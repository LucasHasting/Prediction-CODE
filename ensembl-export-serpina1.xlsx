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6.xml" ContentType="application/vnd.openxmlformats-officedocument.spreadsheetml.work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bel\Downloads\"/>
    </mc:Choice>
  </mc:AlternateContent>
  <xr:revisionPtr revIDLastSave="0" documentId="13_ncr:1_{1991D92A-4315-41D6-8071-6D46248B67BE}" xr6:coauthVersionLast="47" xr6:coauthVersionMax="47" xr10:uidLastSave="{00000000-0000-0000-0000-000000000000}"/>
  <bookViews>
    <workbookView xWindow="-120" yWindow="-120" windowWidth="20730" windowHeight="11160" activeTab="1" xr2:uid="{7C2F2286-B3BB-428E-8C64-90FD314FDA58}"/>
  </bookViews>
  <sheets>
    <sheet name="ensembl-export" sheetId="1" r:id="rId1"/>
    <sheet name="Sheet2" sheetId="12" r:id="rId2"/>
    <sheet name="Sheet4" sheetId="13" r:id="rId3"/>
    <sheet name="PolyphenPieChart" sheetId="11" r:id="rId4"/>
    <sheet name="Sheet3" sheetId="10" r:id="rId5"/>
    <sheet name="Position and CADD Score Table" sheetId="2" r:id="rId6"/>
    <sheet name="PieChart" sheetId="5" r:id="rId7"/>
    <sheet name="Variant Pie Chart" sheetId="8" r:id="rId8"/>
    <sheet name="Sheet1" sheetId="4" r:id="rId9"/>
    <sheet name="Position and CADD Score Figure" sheetId="3" r:id="rId10"/>
  </sheets>
  <calcPr calcId="191029"/>
  <customWorkbookViews>
    <customWorkbookView name="j" guid="{13E00259-D325-4D27-B6D0-F1F28B665E89}" maximized="1" xWindow="-8" yWindow="-8" windowWidth="1382" windowHeight="744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7" i="12" l="1"/>
  <c r="AM7" i="12"/>
  <c r="AN3" i="12"/>
  <c r="AM3" i="12"/>
  <c r="AO6" i="12"/>
  <c r="AO2" i="12"/>
  <c r="AQ6" i="12"/>
  <c r="AQ2" i="12"/>
  <c r="AP6" i="12"/>
  <c r="AP2" i="12"/>
  <c r="AN6" i="12"/>
  <c r="AM6" i="12"/>
  <c r="AN2" i="12"/>
  <c r="AM2" i="12"/>
  <c r="H3" i="10"/>
  <c r="H4" i="10"/>
  <c r="H2" i="10"/>
  <c r="G5" i="10"/>
  <c r="G4" i="10"/>
  <c r="G3" i="10"/>
  <c r="G2" i="10"/>
  <c r="K2" i="4"/>
  <c r="K4" i="4"/>
  <c r="K3" i="4"/>
  <c r="C10" i="4"/>
  <c r="C9" i="4"/>
  <c r="C8" i="4"/>
  <c r="C7" i="4"/>
  <c r="C6" i="4"/>
  <c r="C5" i="4"/>
  <c r="C4" i="4"/>
  <c r="C3" i="4"/>
  <c r="C1" i="4"/>
  <c r="C2" i="4"/>
  <c r="K5" i="4" l="1"/>
  <c r="L3" i="4" l="1"/>
  <c r="L4" i="4"/>
  <c r="L2" i="4"/>
</calcChain>
</file>

<file path=xl/sharedStrings.xml><?xml version="1.0" encoding="utf-8"?>
<sst xmlns="http://schemas.openxmlformats.org/spreadsheetml/2006/main" count="56547" uniqueCount="1181">
  <si>
    <t>Variant ID</t>
  </si>
  <si>
    <t>vf</t>
  </si>
  <si>
    <t>Location</t>
  </si>
  <si>
    <t>Chr: bp</t>
  </si>
  <si>
    <t>vf_allele</t>
  </si>
  <si>
    <t>Alleles</t>
  </si>
  <si>
    <t>gmaf_allele</t>
  </si>
  <si>
    <t>gmaf_freq</t>
  </si>
  <si>
    <t>Global MAF</t>
  </si>
  <si>
    <t>Class</t>
  </si>
  <si>
    <t>Source</t>
  </si>
  <si>
    <t>Evidence</t>
  </si>
  <si>
    <t>Clin. Sig.</t>
  </si>
  <si>
    <t>Conseq. Type</t>
  </si>
  <si>
    <t>AA</t>
  </si>
  <si>
    <t>AA coord</t>
  </si>
  <si>
    <t>sift_sort</t>
  </si>
  <si>
    <t>sift_class</t>
  </si>
  <si>
    <t>SIFT</t>
  </si>
  <si>
    <t>polyphen_sort</t>
  </si>
  <si>
    <t>polyphen_class</t>
  </si>
  <si>
    <t>PolyPhen</t>
  </si>
  <si>
    <t>cadd_sort</t>
  </si>
  <si>
    <t>cadd_class</t>
  </si>
  <si>
    <t>CADD</t>
  </si>
  <si>
    <t>revel_sort</t>
  </si>
  <si>
    <t>revel_class</t>
  </si>
  <si>
    <t>REVEL</t>
  </si>
  <si>
    <t>meta_lr_sort</t>
  </si>
  <si>
    <t>meta_lr_class</t>
  </si>
  <si>
    <t>MetaLR</t>
  </si>
  <si>
    <t>mutation_assessor_sort</t>
  </si>
  <si>
    <t>mutation_assessor_class</t>
  </si>
  <si>
    <t>Mutation Assessor</t>
  </si>
  <si>
    <t>Transcript</t>
  </si>
  <si>
    <t>rs1566747286</t>
  </si>
  <si>
    <t>14:94378453</t>
  </si>
  <si>
    <t>A</t>
  </si>
  <si>
    <t>T/A</t>
  </si>
  <si>
    <t>-</t>
  </si>
  <si>
    <t>SNP</t>
  </si>
  <si>
    <t>dbSNP</t>
  </si>
  <si>
    <t>Frequency~TOPMed</t>
  </si>
  <si>
    <t>missense variant</t>
  </si>
  <si>
    <t>K/I</t>
  </si>
  <si>
    <t>deleterious</t>
  </si>
  <si>
    <t>probably damaging</t>
  </si>
  <si>
    <t>likely benign</t>
  </si>
  <si>
    <t>damaging</t>
  </si>
  <si>
    <t>medium</t>
  </si>
  <si>
    <t>ENST00000393087.9</t>
  </si>
  <si>
    <t>rs200467663</t>
  </si>
  <si>
    <t>14:94378456</t>
  </si>
  <si>
    <t>Frequency~ExAC~TOPMed~gnomAD</t>
  </si>
  <si>
    <t>Q/L</t>
  </si>
  <si>
    <t>benign</t>
  </si>
  <si>
    <t>tolerated</t>
  </si>
  <si>
    <t>low</t>
  </si>
  <si>
    <t>rs1896523960</t>
  </si>
  <si>
    <t>14:94378457</t>
  </si>
  <si>
    <t>T</t>
  </si>
  <si>
    <t>G/T</t>
  </si>
  <si>
    <t>Q/K</t>
  </si>
  <si>
    <t>rs3191200</t>
  </si>
  <si>
    <t>14:94378460</t>
  </si>
  <si>
    <t>G</t>
  </si>
  <si>
    <t>T/G</t>
  </si>
  <si>
    <t>Frequency~Cited</t>
  </si>
  <si>
    <t>T/P</t>
  </si>
  <si>
    <t>rs2139664128</t>
  </si>
  <si>
    <t>14:94378462</t>
  </si>
  <si>
    <t>G/A</t>
  </si>
  <si>
    <t>Phenotype_or_Disease</t>
  </si>
  <si>
    <t>uncertain significance</t>
  </si>
  <si>
    <t>P/L</t>
  </si>
  <si>
    <t>likely disease causing</t>
  </si>
  <si>
    <t>rs1406135754</t>
  </si>
  <si>
    <t>14:94378465</t>
  </si>
  <si>
    <t>Frequency~TOPMed~gnomAD</t>
  </si>
  <si>
    <t>N/I</t>
  </si>
  <si>
    <t>high</t>
  </si>
  <si>
    <t>rs1396187932</t>
  </si>
  <si>
    <t>14:94378469</t>
  </si>
  <si>
    <t>C/G/T</t>
  </si>
  <si>
    <t>V/L</t>
  </si>
  <si>
    <t>V/M</t>
  </si>
  <si>
    <t>rs1896525774</t>
  </si>
  <si>
    <t>14:94378477</t>
  </si>
  <si>
    <t>C/T</t>
  </si>
  <si>
    <t>Frequency</t>
  </si>
  <si>
    <t>G/E</t>
  </si>
  <si>
    <t>rs1488213352</t>
  </si>
  <si>
    <t>14:94378480</t>
  </si>
  <si>
    <t>A/G</t>
  </si>
  <si>
    <t>Frequency~Phenotype_or_Disease~gnomAD</t>
  </si>
  <si>
    <t>likely pathogenic~pathogenic</t>
  </si>
  <si>
    <t>M/T</t>
  </si>
  <si>
    <t>rs149800596</t>
  </si>
  <si>
    <t>14:94378481</t>
  </si>
  <si>
    <t>C</t>
  </si>
  <si>
    <t>T/C/G</t>
  </si>
  <si>
    <t>Frequency~ESP~Phenotype_or_Disease~ExAC~TOPMed~gnomAD</t>
  </si>
  <si>
    <t>M/V</t>
  </si>
  <si>
    <t>neutral</t>
  </si>
  <si>
    <t>M/L</t>
  </si>
  <si>
    <t>rs1011476837</t>
  </si>
  <si>
    <t>14:94378486</t>
  </si>
  <si>
    <t>A/C</t>
  </si>
  <si>
    <t>L/R</t>
  </si>
  <si>
    <t>rs1896527464</t>
  </si>
  <si>
    <t>14:94378487</t>
  </si>
  <si>
    <t>G/C</t>
  </si>
  <si>
    <t>L/V</t>
  </si>
  <si>
    <t>possibly damaging</t>
  </si>
  <si>
    <t>rs1896527745</t>
  </si>
  <si>
    <t>14:94378489</t>
  </si>
  <si>
    <t>rs753705146</t>
  </si>
  <si>
    <t>14:94378490</t>
  </si>
  <si>
    <t>Frequency~ExAC~gnomAD</t>
  </si>
  <si>
    <t>P/T</t>
  </si>
  <si>
    <t>rs1008480744</t>
  </si>
  <si>
    <t>14:94378492</t>
  </si>
  <si>
    <t>G/A/T</t>
  </si>
  <si>
    <t>S/F</t>
  </si>
  <si>
    <t>S/Y</t>
  </si>
  <si>
    <t>rs2139664333</t>
  </si>
  <si>
    <t>14:94378494</t>
  </si>
  <si>
    <t>C/A</t>
  </si>
  <si>
    <t>K/N</t>
  </si>
  <si>
    <t>rs754885222</t>
  </si>
  <si>
    <t>14:94378495</t>
  </si>
  <si>
    <t>Frequency~Cited~Phenotype_or_Disease~ExAC~TOPMed~gnomAD</t>
  </si>
  <si>
    <t>K/R</t>
  </si>
  <si>
    <t>K/T</t>
  </si>
  <si>
    <t>rs778747339</t>
  </si>
  <si>
    <t>14:94378498</t>
  </si>
  <si>
    <t>G/A/C/T</t>
  </si>
  <si>
    <t>Frequency~Phenotype_or_Disease~ExAC~gnomAD</t>
  </si>
  <si>
    <t>T/I</t>
  </si>
  <si>
    <t>T/S</t>
  </si>
  <si>
    <t>T/N</t>
  </si>
  <si>
    <t>rs1267334269</t>
  </si>
  <si>
    <t>14:94378499</t>
  </si>
  <si>
    <t>T/C</t>
  </si>
  <si>
    <t>rs1896530048</t>
  </si>
  <si>
    <t>14:94378504</t>
  </si>
  <si>
    <t>Q/P</t>
  </si>
  <si>
    <t>rs17850837</t>
  </si>
  <si>
    <t>14:94378505</t>
  </si>
  <si>
    <t>rs1303</t>
  </si>
  <si>
    <t>14:94378506</t>
  </si>
  <si>
    <t>Frequency~1000Genomes~Cited~ESP~Phenotype_or_Disease~ExAC~TOPMed~gnomAD</t>
  </si>
  <si>
    <t>benign~likely benign~other</t>
  </si>
  <si>
    <t>E/D</t>
  </si>
  <si>
    <t>rs1348752810</t>
  </si>
  <si>
    <t>14:94378507</t>
  </si>
  <si>
    <t>E/G</t>
  </si>
  <si>
    <t>rs777537335</t>
  </si>
  <si>
    <t>14:94378510</t>
  </si>
  <si>
    <t>I/T</t>
  </si>
  <si>
    <t>rs139972630</t>
  </si>
  <si>
    <t>14:94378511</t>
  </si>
  <si>
    <t>Frequency~ESP~TOPMed~gnomAD</t>
  </si>
  <si>
    <t>I/V</t>
  </si>
  <si>
    <t>rs1896532969</t>
  </si>
  <si>
    <t>14:94378512</t>
  </si>
  <si>
    <t>C/G</t>
  </si>
  <si>
    <t>M/I</t>
  </si>
  <si>
    <t>rs1260078376</t>
  </si>
  <si>
    <t>14:94378516</t>
  </si>
  <si>
    <t>L/S</t>
  </si>
  <si>
    <t>rs1368052264</t>
  </si>
  <si>
    <t>14:94378523</t>
  </si>
  <si>
    <t>Frequency~gnomAD</t>
  </si>
  <si>
    <t>V/F</t>
  </si>
  <si>
    <t>rs199422209</t>
  </si>
  <si>
    <t>14:94378528</t>
  </si>
  <si>
    <t>Frequency~Cited~ESP~Phenotype_or_Disease~ExAC~TOPMed~gnomAD</t>
  </si>
  <si>
    <t>uncertain significance~likely pathogenic~pathogenic~other</t>
  </si>
  <si>
    <t>P/R</t>
  </si>
  <si>
    <t>P/H</t>
  </si>
  <si>
    <t>rs61761869</t>
  </si>
  <si>
    <t>14:94378529</t>
  </si>
  <si>
    <t>uncertain significance~pathogenic</t>
  </si>
  <si>
    <t>P/S</t>
  </si>
  <si>
    <t>rs1296584606</t>
  </si>
  <si>
    <t>14:94378540</t>
  </si>
  <si>
    <t>rs1321171362</t>
  </si>
  <si>
    <t>14:94378544</t>
  </si>
  <si>
    <t>rs121912712</t>
  </si>
  <si>
    <t>14:94378547</t>
  </si>
  <si>
    <t>C/A/T</t>
  </si>
  <si>
    <t>Frequency~1000Genomes~Cited~Phenotype_or_Disease~TOPMed~gnomAD</t>
  </si>
  <si>
    <t>uncertain significance~likely benign~other</t>
  </si>
  <si>
    <t>E/K</t>
  </si>
  <si>
    <t>rs569384943</t>
  </si>
  <si>
    <t>14:94378549</t>
  </si>
  <si>
    <t>Frequency~Phenotype_or_Disease~TOPMed~gnomAD</t>
  </si>
  <si>
    <t>rs12233</t>
  </si>
  <si>
    <t>14:94378550</t>
  </si>
  <si>
    <t>P/A</t>
  </si>
  <si>
    <t>rs867521254</t>
  </si>
  <si>
    <t>14:94378553</t>
  </si>
  <si>
    <t>rs764340766</t>
  </si>
  <si>
    <t>14:94378554</t>
  </si>
  <si>
    <t>I/M</t>
  </si>
  <si>
    <t>rs762151808</t>
  </si>
  <si>
    <t>14:94378559</t>
  </si>
  <si>
    <t>S/A</t>
  </si>
  <si>
    <t>rs372140596</t>
  </si>
  <si>
    <t>14:94378560</t>
  </si>
  <si>
    <t>Frequency~ESP~ExAC~TOPMed~gnomAD</t>
  </si>
  <si>
    <t>rs121912713</t>
  </si>
  <si>
    <t>14:94378561</t>
  </si>
  <si>
    <t>A/C/G</t>
  </si>
  <si>
    <t>Frequency~Cited~Phenotype_or_Disease</t>
  </si>
  <si>
    <t>pathogenic</t>
  </si>
  <si>
    <t>M/R</t>
  </si>
  <si>
    <t>rs917855405</t>
  </si>
  <si>
    <t>14:94378562</t>
  </si>
  <si>
    <t>T/A/C</t>
  </si>
  <si>
    <t>rs1486743686</t>
  </si>
  <si>
    <t>14:94378568</t>
  </si>
  <si>
    <t>rs1291036417</t>
  </si>
  <si>
    <t>14:94378570</t>
  </si>
  <si>
    <t>A/V</t>
  </si>
  <si>
    <t>A/D</t>
  </si>
  <si>
    <t>rs773275051</t>
  </si>
  <si>
    <t>14:94378571</t>
  </si>
  <si>
    <t>A/T</t>
  </si>
  <si>
    <t>rs1566747984</t>
  </si>
  <si>
    <t>14:94378574</t>
  </si>
  <si>
    <t>rs28929473</t>
  </si>
  <si>
    <t>14:94378575</t>
  </si>
  <si>
    <t>Cited~Phenotype_or_Disease</t>
  </si>
  <si>
    <t>other</t>
  </si>
  <si>
    <t>L/F</t>
  </si>
  <si>
    <t>rs751696406</t>
  </si>
  <si>
    <t>14:94378580</t>
  </si>
  <si>
    <t>F/I</t>
  </si>
  <si>
    <t>rs1421513582</t>
  </si>
  <si>
    <t>14:94378582</t>
  </si>
  <si>
    <t>rs765199959</t>
  </si>
  <si>
    <t>14:94378583</t>
  </si>
  <si>
    <t>rs1566748077</t>
  </si>
  <si>
    <t>14:94378585</t>
  </si>
  <si>
    <t>rs752723808</t>
  </si>
  <si>
    <t>14:94378586</t>
  </si>
  <si>
    <t>Frequency~Phenotype_or_Disease~ExAC~TOPMed~gnomAD</t>
  </si>
  <si>
    <t>rs12077</t>
  </si>
  <si>
    <t>14:94378589</t>
  </si>
  <si>
    <t>Frequency~Cited~ExAC~gnomAD</t>
  </si>
  <si>
    <t>G/W</t>
  </si>
  <si>
    <t>G/R</t>
  </si>
  <si>
    <t>rs2139665501</t>
  </si>
  <si>
    <t>14:94378591</t>
  </si>
  <si>
    <t>rs1177953477</t>
  </si>
  <si>
    <t>14:94378592</t>
  </si>
  <si>
    <t>rs1896552477</t>
  </si>
  <si>
    <t>14:94378594</t>
  </si>
  <si>
    <t>rs1896552728</t>
  </si>
  <si>
    <t>14:94378595</t>
  </si>
  <si>
    <t>rs1443088374</t>
  </si>
  <si>
    <t>14:94378597</t>
  </si>
  <si>
    <t>rs756871122</t>
  </si>
  <si>
    <t>14:94378598</t>
  </si>
  <si>
    <t>rs551595739</t>
  </si>
  <si>
    <t>14:94378603</t>
  </si>
  <si>
    <t>&lt; 0.001</t>
  </si>
  <si>
    <t>Frequency~1000Genomes~ExAC~gnomAD</t>
  </si>
  <si>
    <t>rs755625134</t>
  </si>
  <si>
    <t>14:94378606</t>
  </si>
  <si>
    <t>rs1896555090</t>
  </si>
  <si>
    <t>14:94378608</t>
  </si>
  <si>
    <t>rs28929474</t>
  </si>
  <si>
    <t>14:94378610</t>
  </si>
  <si>
    <t>uncertain significance~likely pathogenic~pathogenic~other~risk factor</t>
  </si>
  <si>
    <t>E/Q</t>
  </si>
  <si>
    <t>rs201774333</t>
  </si>
  <si>
    <t>14:94378611</t>
  </si>
  <si>
    <t>G/A/C</t>
  </si>
  <si>
    <t>Frequency~1000Genomes~Cited~Phenotype_or_Disease~ExAC~TOPMed~gnomAD</t>
  </si>
  <si>
    <t>uncertain significance~likely benign</t>
  </si>
  <si>
    <t>D/E</t>
  </si>
  <si>
    <t>rs864622046</t>
  </si>
  <si>
    <t>14:94378612</t>
  </si>
  <si>
    <t>Frequency~Cited~Phenotype_or_Disease~TOPMed~gnomAD</t>
  </si>
  <si>
    <t>D/V</t>
  </si>
  <si>
    <t>D/G</t>
  </si>
  <si>
    <t>rs143370956</t>
  </si>
  <si>
    <t>14:94378613</t>
  </si>
  <si>
    <t>C/A/G/T</t>
  </si>
  <si>
    <t>uncertain significance~benign~likely benign~other</t>
  </si>
  <si>
    <t>D/Y</t>
  </si>
  <si>
    <t>D/H</t>
  </si>
  <si>
    <t>D/N</t>
  </si>
  <si>
    <t>rs772289957</t>
  </si>
  <si>
    <t>14:94378614</t>
  </si>
  <si>
    <t>rs201318727</t>
  </si>
  <si>
    <t>14:94378616</t>
  </si>
  <si>
    <t>Frequency~Cited~ExAC~TOPMed~gnomAD</t>
  </si>
  <si>
    <t>rs1896558645</t>
  </si>
  <si>
    <t>14:94378618</t>
  </si>
  <si>
    <t>rs1482108138</t>
  </si>
  <si>
    <t>14:94378619</t>
  </si>
  <si>
    <t>rs1378650955</t>
  </si>
  <si>
    <t>14:94378621</t>
  </si>
  <si>
    <t>L/P</t>
  </si>
  <si>
    <t>rs1131154</t>
  </si>
  <si>
    <t>14:94378622</t>
  </si>
  <si>
    <t>L/M</t>
  </si>
  <si>
    <t>rs1131139</t>
  </si>
  <si>
    <t>14:94378624</t>
  </si>
  <si>
    <t>Frequency~1000Genomes~ExAC~TOPMed~gnomAD</t>
  </si>
  <si>
    <t>V/G</t>
  </si>
  <si>
    <t>V/A</t>
  </si>
  <si>
    <t>rs1450256967</t>
  </si>
  <si>
    <t>14:94378625</t>
  </si>
  <si>
    <t>rs762930016</t>
  </si>
  <si>
    <t>14:94378627</t>
  </si>
  <si>
    <t>Frequency~ExAC~TOPMed</t>
  </si>
  <si>
    <t>rs1802959</t>
  </si>
  <si>
    <t>14:94378628</t>
  </si>
  <si>
    <t>uncertain significance~pathogenic~other</t>
  </si>
  <si>
    <t>A/S</t>
  </si>
  <si>
    <t>A/P</t>
  </si>
  <si>
    <t>rs796549685</t>
  </si>
  <si>
    <t>14:94378630</t>
  </si>
  <si>
    <t>K/M</t>
  </si>
  <si>
    <t>rs200945035</t>
  </si>
  <si>
    <t>14:94378631</t>
  </si>
  <si>
    <t>Frequency~1000Genomes~Cited~Phenotype_or_Disease~ExAC~gnomAD</t>
  </si>
  <si>
    <t>K/E</t>
  </si>
  <si>
    <t>rs1555367891</t>
  </si>
  <si>
    <t>14:94378633</t>
  </si>
  <si>
    <t>likely pathogenic</t>
  </si>
  <si>
    <t>H/R</t>
  </si>
  <si>
    <t>rs1595598934</t>
  </si>
  <si>
    <t>14:94378636</t>
  </si>
  <si>
    <t>not provided</t>
  </si>
  <si>
    <t>rs373630097</t>
  </si>
  <si>
    <t>14:94378637</t>
  </si>
  <si>
    <t>rs1896566380</t>
  </si>
  <si>
    <t>14:94378640</t>
  </si>
  <si>
    <t>missense variant~splice region variant</t>
  </si>
  <si>
    <t>likely deleterious</t>
  </si>
  <si>
    <t>rs864622055</t>
  </si>
  <si>
    <t>14:94379465</t>
  </si>
  <si>
    <t>rs201788603</t>
  </si>
  <si>
    <t>14:94379468</t>
  </si>
  <si>
    <t>Frequency~1000Genomes~Cited~ESP~Phenotype_or_Disease~ExAC~gnomAD</t>
  </si>
  <si>
    <t>rs866203136</t>
  </si>
  <si>
    <t>14:94379472</t>
  </si>
  <si>
    <t>rs1425102569</t>
  </si>
  <si>
    <t>14:94379477</t>
  </si>
  <si>
    <t>rs1322791235</t>
  </si>
  <si>
    <t>14:94379478</t>
  </si>
  <si>
    <t>rs770030839</t>
  </si>
  <si>
    <t>14:94379480</t>
  </si>
  <si>
    <t>rs377739083</t>
  </si>
  <si>
    <t>14:94379481</t>
  </si>
  <si>
    <t>Frequency~Cited~ESP~ExAC~TOPMed~gnomAD</t>
  </si>
  <si>
    <t>rs376024688</t>
  </si>
  <si>
    <t>14:94379484</t>
  </si>
  <si>
    <t>Frequency~Cited~ESP~gnomAD</t>
  </si>
  <si>
    <t>rs926110466</t>
  </si>
  <si>
    <t>14:94379489</t>
  </si>
  <si>
    <t>E/A</t>
  </si>
  <si>
    <t>rs797013882</t>
  </si>
  <si>
    <t>14:94379490</t>
  </si>
  <si>
    <t>rs796680542</t>
  </si>
  <si>
    <t>14:94379492</t>
  </si>
  <si>
    <t>T/R</t>
  </si>
  <si>
    <t>rs761711628</t>
  </si>
  <si>
    <t>14:94379496</t>
  </si>
  <si>
    <t>V/I</t>
  </si>
  <si>
    <t>rs772059003</t>
  </si>
  <si>
    <t>14:94379498</t>
  </si>
  <si>
    <t>G/V</t>
  </si>
  <si>
    <t>rs367797069</t>
  </si>
  <si>
    <t>14:94379499</t>
  </si>
  <si>
    <t>Frequency~Cited~ESP~Phenotype_or_Disease~ExAC~gnomAD</t>
  </si>
  <si>
    <t>rs1400497428</t>
  </si>
  <si>
    <t>14:94379502</t>
  </si>
  <si>
    <t>rs28929471</t>
  </si>
  <si>
    <t>14:94379508</t>
  </si>
  <si>
    <t>Cited</t>
  </si>
  <si>
    <t>rs1343661824</t>
  </si>
  <si>
    <t>14:94379510</t>
  </si>
  <si>
    <t>rs186298255</t>
  </si>
  <si>
    <t>14:94379513</t>
  </si>
  <si>
    <t>Frequency~1000Genomes~gnomAD</t>
  </si>
  <si>
    <t>rs765966782</t>
  </si>
  <si>
    <t>14:94379514</t>
  </si>
  <si>
    <t>rs371761828</t>
  </si>
  <si>
    <t>14:94379515</t>
  </si>
  <si>
    <t>A/G/T</t>
  </si>
  <si>
    <t>Frequency~ESP~Phenotype_or_Disease~ExAC~gnomAD</t>
  </si>
  <si>
    <t>N/K</t>
  </si>
  <si>
    <t>rs190061930</t>
  </si>
  <si>
    <t>14:94379526</t>
  </si>
  <si>
    <t>Frequency~1000Genomes~TOPMed~gnomAD</t>
  </si>
  <si>
    <t>rs1444508096</t>
  </si>
  <si>
    <t>14:94379529</t>
  </si>
  <si>
    <t>rs1896695513</t>
  </si>
  <si>
    <t>14:94379532</t>
  </si>
  <si>
    <t>Frequency~Phenotype_or_Disease~TOPMed</t>
  </si>
  <si>
    <t>rs569455355</t>
  </si>
  <si>
    <t>14:94379538</t>
  </si>
  <si>
    <t>G/S</t>
  </si>
  <si>
    <t>rs1595602352</t>
  </si>
  <si>
    <t>14:94379542</t>
  </si>
  <si>
    <t>Q/H</t>
  </si>
  <si>
    <t>rs369788393</t>
  </si>
  <si>
    <t>14:94379546</t>
  </si>
  <si>
    <t>rs139964603</t>
  </si>
  <si>
    <t>14:94379553</t>
  </si>
  <si>
    <t>rs764238790</t>
  </si>
  <si>
    <t>14:94379554</t>
  </si>
  <si>
    <t>benign~likely benign</t>
  </si>
  <si>
    <t>S/R</t>
  </si>
  <si>
    <t>rs1896700115</t>
  </si>
  <si>
    <t>14:94379555</t>
  </si>
  <si>
    <t>S/I</t>
  </si>
  <si>
    <t>rs1802962</t>
  </si>
  <si>
    <t>14:94379556</t>
  </si>
  <si>
    <t>S/C</t>
  </si>
  <si>
    <t>rs190881649</t>
  </si>
  <si>
    <t>14:94379563</t>
  </si>
  <si>
    <t>Frequency~1000Genomes~Phenotype_or_Disease~ExAC~gnomAD</t>
  </si>
  <si>
    <t>rs55704149</t>
  </si>
  <si>
    <t>14:94379565</t>
  </si>
  <si>
    <t>rs774775536</t>
  </si>
  <si>
    <t>14:94379567</t>
  </si>
  <si>
    <t>Y/C</t>
  </si>
  <si>
    <t>rs746155701</t>
  </si>
  <si>
    <t>14:94379571</t>
  </si>
  <si>
    <t>rs796985046</t>
  </si>
  <si>
    <t>14:94379577</t>
  </si>
  <si>
    <t>rs1896704693</t>
  </si>
  <si>
    <t>14:94379579</t>
  </si>
  <si>
    <t>rs1164159907</t>
  </si>
  <si>
    <t>14:94379580</t>
  </si>
  <si>
    <t>I/L</t>
  </si>
  <si>
    <t>rs756246391</t>
  </si>
  <si>
    <t>14:94379583</t>
  </si>
  <si>
    <t>S/T</t>
  </si>
  <si>
    <t>rs2139673530</t>
  </si>
  <si>
    <t>14:94379585</t>
  </si>
  <si>
    <t>rs1896706581</t>
  </si>
  <si>
    <t>14:94379589</t>
  </si>
  <si>
    <t>K/Q</t>
  </si>
  <si>
    <t>rs779938258</t>
  </si>
  <si>
    <t>14:94379592</t>
  </si>
  <si>
    <t>rs749389616</t>
  </si>
  <si>
    <t>14:94379593</t>
  </si>
  <si>
    <t>rs771862730</t>
  </si>
  <si>
    <t>14:94379598</t>
  </si>
  <si>
    <t>Frequency~ExAC</t>
  </si>
  <si>
    <t>H/Y</t>
  </si>
  <si>
    <t>rs773222881</t>
  </si>
  <si>
    <t>14:94379603</t>
  </si>
  <si>
    <t>S/N</t>
  </si>
  <si>
    <t>rs1440243479</t>
  </si>
  <si>
    <t>14:94379606</t>
  </si>
  <si>
    <t>rs141620200</t>
  </si>
  <si>
    <t>14:94379607</t>
  </si>
  <si>
    <t>uncertain significance~benign~likely benign</t>
  </si>
  <si>
    <t>rs759132932</t>
  </si>
  <si>
    <t>14:94379611</t>
  </si>
  <si>
    <t>R/S</t>
  </si>
  <si>
    <t>rs749021630</t>
  </si>
  <si>
    <t>14:94380878</t>
  </si>
  <si>
    <t>rs1566753060</t>
  </si>
  <si>
    <t>14:94380880</t>
  </si>
  <si>
    <t>rs1802963</t>
  </si>
  <si>
    <t>14:94380881</t>
  </si>
  <si>
    <t>rs377668175</t>
  </si>
  <si>
    <t>14:94380883</t>
  </si>
  <si>
    <t>rs550592374</t>
  </si>
  <si>
    <t>14:94380889</t>
  </si>
  <si>
    <t>rs778905943</t>
  </si>
  <si>
    <t>14:94380893</t>
  </si>
  <si>
    <t>F/L</t>
  </si>
  <si>
    <t>rs957169128</t>
  </si>
  <si>
    <t>14:94380894</t>
  </si>
  <si>
    <t>rs752776707</t>
  </si>
  <si>
    <t>14:94380898</t>
  </si>
  <si>
    <t>rs1449547720</t>
  </si>
  <si>
    <t>14:94380904</t>
  </si>
  <si>
    <t>I/S</t>
  </si>
  <si>
    <t>rs772436715</t>
  </si>
  <si>
    <t>14:94380908</t>
  </si>
  <si>
    <t>rs141095970</t>
  </si>
  <si>
    <t>14:94380909</t>
  </si>
  <si>
    <t>H/Q</t>
  </si>
  <si>
    <t>rs1281598461</t>
  </si>
  <si>
    <t>14:94380910</t>
  </si>
  <si>
    <t>rs745624643</t>
  </si>
  <si>
    <t>14:94380913</t>
  </si>
  <si>
    <t>rs769666780</t>
  </si>
  <si>
    <t>14:94380914</t>
  </si>
  <si>
    <t>rs1443274556</t>
  </si>
  <si>
    <t>14:94380917</t>
  </si>
  <si>
    <t>rs749030711</t>
  </si>
  <si>
    <t>14:94380923</t>
  </si>
  <si>
    <t>N/H</t>
  </si>
  <si>
    <t>rs17580</t>
  </si>
  <si>
    <t>14:94380925</t>
  </si>
  <si>
    <t>pathogenic~other~risk factor~pathogenic low penetrance</t>
  </si>
  <si>
    <t>E/V</t>
  </si>
  <si>
    <t>rs1450795004</t>
  </si>
  <si>
    <t>14:94380928</t>
  </si>
  <si>
    <t>rs149537225</t>
  </si>
  <si>
    <t>14:94380932</t>
  </si>
  <si>
    <t>rs2139682019</t>
  </si>
  <si>
    <t>14:94380937</t>
  </si>
  <si>
    <t>rs864622044</t>
  </si>
  <si>
    <t>14:94380940</t>
  </si>
  <si>
    <t>rs370923940</t>
  </si>
  <si>
    <t>14:94380944</t>
  </si>
  <si>
    <t>rs760917668</t>
  </si>
  <si>
    <t>14:94380947</t>
  </si>
  <si>
    <t>rs1049800</t>
  </si>
  <si>
    <t>14:94380948</t>
  </si>
  <si>
    <t>A/C/G/T</t>
  </si>
  <si>
    <t>rs121912714</t>
  </si>
  <si>
    <t>14:94380949</t>
  </si>
  <si>
    <t>likely pathogenic~pathogenic~other</t>
  </si>
  <si>
    <t>rs759736224</t>
  </si>
  <si>
    <t>14:94380953</t>
  </si>
  <si>
    <t>rs1566753480</t>
  </si>
  <si>
    <t>14:94380955</t>
  </si>
  <si>
    <t>rs1566753494</t>
  </si>
  <si>
    <t>14:94380960</t>
  </si>
  <si>
    <t>rs1295161543</t>
  </si>
  <si>
    <t>14:94380965</t>
  </si>
  <si>
    <t>I/F</t>
  </si>
  <si>
    <t>rs752721615</t>
  </si>
  <si>
    <t>14:94380968</t>
  </si>
  <si>
    <t>rs1007168915</t>
  </si>
  <si>
    <t>14:94380973</t>
  </si>
  <si>
    <t>rs755851961</t>
  </si>
  <si>
    <t>14:94380977</t>
  </si>
  <si>
    <t>N/D</t>
  </si>
  <si>
    <t>rs1896863301</t>
  </si>
  <si>
    <t>14:94380979</t>
  </si>
  <si>
    <t>G/D</t>
  </si>
  <si>
    <t>rs1412064727</t>
  </si>
  <si>
    <t>14:94380987</t>
  </si>
  <si>
    <t>rs779843923</t>
  </si>
  <si>
    <t>14:94380991</t>
  </si>
  <si>
    <t>rs768386476</t>
  </si>
  <si>
    <t>14:94380995</t>
  </si>
  <si>
    <t>rs1170614686</t>
  </si>
  <si>
    <t>14:94381002</t>
  </si>
  <si>
    <t>W/C</t>
  </si>
  <si>
    <t>rs778732023</t>
  </si>
  <si>
    <t>14:94381006</t>
  </si>
  <si>
    <t>rs1595607823</t>
  </si>
  <si>
    <t>14:94381009</t>
  </si>
  <si>
    <t>rs376294932</t>
  </si>
  <si>
    <t>14:94381017</t>
  </si>
  <si>
    <t>C/A/G</t>
  </si>
  <si>
    <t>rs753068726</t>
  </si>
  <si>
    <t>14:94381019</t>
  </si>
  <si>
    <t>rs8350</t>
  </si>
  <si>
    <t>14:94381020</t>
  </si>
  <si>
    <t>C/W</t>
  </si>
  <si>
    <t>rs1896867837</t>
  </si>
  <si>
    <t>14:94381021</t>
  </si>
  <si>
    <t>C/Y</t>
  </si>
  <si>
    <t>rs763249215</t>
  </si>
  <si>
    <t>14:94381026</t>
  </si>
  <si>
    <t>rs1566753789</t>
  </si>
  <si>
    <t>14:94381027</t>
  </si>
  <si>
    <t>Q/R</t>
  </si>
  <si>
    <t>rs575123943</t>
  </si>
  <si>
    <t>14:94381031</t>
  </si>
  <si>
    <t>rs777012321</t>
  </si>
  <si>
    <t>14:94381034</t>
  </si>
  <si>
    <t>N/Y</t>
  </si>
  <si>
    <t>rs759837735</t>
  </si>
  <si>
    <t>14:94381036</t>
  </si>
  <si>
    <t>F/C</t>
  </si>
  <si>
    <t>rs1896870457</t>
  </si>
  <si>
    <t>14:94381037</t>
  </si>
  <si>
    <t>rs1382158101</t>
  </si>
  <si>
    <t>14:94381039</t>
  </si>
  <si>
    <t>rs765419872</t>
  </si>
  <si>
    <t>14:94381040</t>
  </si>
  <si>
    <t>T/A/C/G</t>
  </si>
  <si>
    <t>rs577164283</t>
  </si>
  <si>
    <t>14:94381042</t>
  </si>
  <si>
    <t>rs764220898</t>
  </si>
  <si>
    <t>14:94381043</t>
  </si>
  <si>
    <t>rs544632177</t>
  </si>
  <si>
    <t>14:94381048</t>
  </si>
  <si>
    <t>Frequency~1000Genomes~Phenotype_or_Disease~ExAC~TOPMed~gnomAD</t>
  </si>
  <si>
    <t>R/L</t>
  </si>
  <si>
    <t>R/H</t>
  </si>
  <si>
    <t>rs28929470</t>
  </si>
  <si>
    <t>14:94381049</t>
  </si>
  <si>
    <t>R/C</t>
  </si>
  <si>
    <t>rs864622054</t>
  </si>
  <si>
    <t>14:94381051</t>
  </si>
  <si>
    <t>rs1379377700</t>
  </si>
  <si>
    <t>14:94381052</t>
  </si>
  <si>
    <t>rs864622053</t>
  </si>
  <si>
    <t>14:94381053</t>
  </si>
  <si>
    <t>rs766260108</t>
  </si>
  <si>
    <t>14:94381054</t>
  </si>
  <si>
    <t>rs1241932181</t>
  </si>
  <si>
    <t>14:94381058</t>
  </si>
  <si>
    <t>rs1316729320</t>
  </si>
  <si>
    <t>14:94381061</t>
  </si>
  <si>
    <t>rs753621457</t>
  </si>
  <si>
    <t>14:94381063</t>
  </si>
  <si>
    <t>rs1401368743</t>
  </si>
  <si>
    <t>14:94381069</t>
  </si>
  <si>
    <t>V/E</t>
  </si>
  <si>
    <t>rs72552401</t>
  </si>
  <si>
    <t>14:94381070</t>
  </si>
  <si>
    <t>rs1164468748</t>
  </si>
  <si>
    <t>14:94381072</t>
  </si>
  <si>
    <t>rs1158756052</t>
  </si>
  <si>
    <t>14:94381073</t>
  </si>
  <si>
    <t>rs758136730</t>
  </si>
  <si>
    <t>14:94381075</t>
  </si>
  <si>
    <t>rs6647</t>
  </si>
  <si>
    <t>14:94381078</t>
  </si>
  <si>
    <t>rs746531546</t>
  </si>
  <si>
    <t>14:94381081</t>
  </si>
  <si>
    <t>rs771419213</t>
  </si>
  <si>
    <t>14:94381082</t>
  </si>
  <si>
    <t>rs777051992</t>
  </si>
  <si>
    <t>14:94381083</t>
  </si>
  <si>
    <t>rs1896878766</t>
  </si>
  <si>
    <t>14:94381084</t>
  </si>
  <si>
    <t>rs1304523649</t>
  </si>
  <si>
    <t>14:94381085</t>
  </si>
  <si>
    <t>rs746197812</t>
  </si>
  <si>
    <t>14:94381087</t>
  </si>
  <si>
    <t>Frequency~Cited~Phenotype_or_Disease~ExAC~gnomAD</t>
  </si>
  <si>
    <t>rs374168370</t>
  </si>
  <si>
    <t>14:94381088</t>
  </si>
  <si>
    <t>rs763108861</t>
  </si>
  <si>
    <t>14:94381091</t>
  </si>
  <si>
    <t>H/N</t>
  </si>
  <si>
    <t>rs145410420</t>
  </si>
  <si>
    <t>14:94381095</t>
  </si>
  <si>
    <t>rs1896881459</t>
  </si>
  <si>
    <t>14:94381097</t>
  </si>
  <si>
    <t>rs1896881684</t>
  </si>
  <si>
    <t>14:94381099</t>
  </si>
  <si>
    <t>rs1896881918</t>
  </si>
  <si>
    <t>14:94381103</t>
  </si>
  <si>
    <t>rs199422208</t>
  </si>
  <si>
    <t>14:94381106</t>
  </si>
  <si>
    <t>uncertain significance~other</t>
  </si>
  <si>
    <t>rs1482768852</t>
  </si>
  <si>
    <t>14:94381109</t>
  </si>
  <si>
    <t>rs1566754362</t>
  </si>
  <si>
    <t>14:94381111</t>
  </si>
  <si>
    <t>rs1421296365</t>
  </si>
  <si>
    <t>14:94381112</t>
  </si>
  <si>
    <t>rs866634673</t>
  </si>
  <si>
    <t>14:94381123</t>
  </si>
  <si>
    <t>F/S</t>
  </si>
  <si>
    <t>rs1555368744</t>
  </si>
  <si>
    <t>14:94381124</t>
  </si>
  <si>
    <t>rs368117781</t>
  </si>
  <si>
    <t>14:94381126</t>
  </si>
  <si>
    <t>Frequency~ESP~ExAC~gnomAD</t>
  </si>
  <si>
    <t>rs1405702444</t>
  </si>
  <si>
    <t>14:94381129</t>
  </si>
  <si>
    <t>R/I</t>
  </si>
  <si>
    <t>rs1445192595</t>
  </si>
  <si>
    <t>14:94381134</t>
  </si>
  <si>
    <t>likely benign~likely pathogenic</t>
  </si>
  <si>
    <t>rs756773408</t>
  </si>
  <si>
    <t>14:94382592</t>
  </si>
  <si>
    <t>rs1283743503</t>
  </si>
  <si>
    <t>14:94382603</t>
  </si>
  <si>
    <t>rs749944428</t>
  </si>
  <si>
    <t>14:94382604</t>
  </si>
  <si>
    <t>rs1206520317</t>
  </si>
  <si>
    <t>14:94382606</t>
  </si>
  <si>
    <t>rs864622052</t>
  </si>
  <si>
    <t>14:94382607</t>
  </si>
  <si>
    <t>Y/H</t>
  </si>
  <si>
    <t>rs1555368958</t>
  </si>
  <si>
    <t>14:94382612</t>
  </si>
  <si>
    <t>rs780562960</t>
  </si>
  <si>
    <t>14:94382613</t>
  </si>
  <si>
    <t>rs1201819840</t>
  </si>
  <si>
    <t>14:94382621</t>
  </si>
  <si>
    <t>F/Y</t>
  </si>
  <si>
    <t>rs1022463154</t>
  </si>
  <si>
    <t>14:94382622</t>
  </si>
  <si>
    <t>rs1897010110</t>
  </si>
  <si>
    <t>14:94382624</t>
  </si>
  <si>
    <t>rs749634278</t>
  </si>
  <si>
    <t>14:94382625</t>
  </si>
  <si>
    <t>rs933306901</t>
  </si>
  <si>
    <t>14:94382629</t>
  </si>
  <si>
    <t>rs768943640</t>
  </si>
  <si>
    <t>14:94382633</t>
  </si>
  <si>
    <t>R/T</t>
  </si>
  <si>
    <t>R/K</t>
  </si>
  <si>
    <t>rs1897011357</t>
  </si>
  <si>
    <t>14:94382635</t>
  </si>
  <si>
    <t>rs1555368976</t>
  </si>
  <si>
    <t>14:94382636</t>
  </si>
  <si>
    <t>rs760372645</t>
  </si>
  <si>
    <t>14:94382637</t>
  </si>
  <si>
    <t>rs748377295</t>
  </si>
  <si>
    <t>14:94382641</t>
  </si>
  <si>
    <t>rs766034720</t>
  </si>
  <si>
    <t>14:94382646</t>
  </si>
  <si>
    <t>rs368433503</t>
  </si>
  <si>
    <t>14:94382651</t>
  </si>
  <si>
    <t>rs1363454506</t>
  </si>
  <si>
    <t>14:94382661</t>
  </si>
  <si>
    <t>rs1469794381</t>
  </si>
  <si>
    <t>14:94382662</t>
  </si>
  <si>
    <t>rs1281058408</t>
  </si>
  <si>
    <t>14:94382663</t>
  </si>
  <si>
    <t>rs1323793141</t>
  </si>
  <si>
    <t>14:94382669</t>
  </si>
  <si>
    <t>rs775606044</t>
  </si>
  <si>
    <t>14:94382676</t>
  </si>
  <si>
    <t>rs762801939</t>
  </si>
  <si>
    <t>14:94382678</t>
  </si>
  <si>
    <t>rs1035710135</t>
  </si>
  <si>
    <t>14:94382681</t>
  </si>
  <si>
    <t>rs1271373062</t>
  </si>
  <si>
    <t>14:94382682</t>
  </si>
  <si>
    <t>rs147247134</t>
  </si>
  <si>
    <t>14:94382685</t>
  </si>
  <si>
    <t>rs759578830</t>
  </si>
  <si>
    <t>14:94382691</t>
  </si>
  <si>
    <t>rs864622051</t>
  </si>
  <si>
    <t>14:94382700</t>
  </si>
  <si>
    <t>likely benign~likely pathogenic~pathogenic</t>
  </si>
  <si>
    <t>Q/E</t>
  </si>
  <si>
    <t>rs1446571866</t>
  </si>
  <si>
    <t>14:94382708</t>
  </si>
  <si>
    <t>rs2139692154</t>
  </si>
  <si>
    <t>14:94382709</t>
  </si>
  <si>
    <t>rs1897019419</t>
  </si>
  <si>
    <t>14:94382711</t>
  </si>
  <si>
    <t>rs149770048</t>
  </si>
  <si>
    <t>14:94382715</t>
  </si>
  <si>
    <t>Frequency~1000Genomes~ESP~ExAC~TOPMed~gnomAD</t>
  </si>
  <si>
    <t>rs1450215301</t>
  </si>
  <si>
    <t>14:94382718</t>
  </si>
  <si>
    <t>rs2139692313</t>
  </si>
  <si>
    <t>14:94382723</t>
  </si>
  <si>
    <t>rs112030253</t>
  </si>
  <si>
    <t>14:94382724</t>
  </si>
  <si>
    <t>rs778188056</t>
  </si>
  <si>
    <t>14:94382728</t>
  </si>
  <si>
    <t>rs1897021264</t>
  </si>
  <si>
    <t>14:94382733</t>
  </si>
  <si>
    <t>rs747053324</t>
  </si>
  <si>
    <t>14:94382736</t>
  </si>
  <si>
    <t>rs142942004</t>
  </si>
  <si>
    <t>14:94382741</t>
  </si>
  <si>
    <t>G/C/T</t>
  </si>
  <si>
    <t>Frequency~Cited~ESP~Phenotype_or_Disease~TOPMed~gnomAD</t>
  </si>
  <si>
    <t>rs1003633145</t>
  </si>
  <si>
    <t>14:94382748</t>
  </si>
  <si>
    <t>S/P</t>
  </si>
  <si>
    <t>rs1030600584</t>
  </si>
  <si>
    <t>14:94382755</t>
  </si>
  <si>
    <t>rs1897022781</t>
  </si>
  <si>
    <t>14:94382759</t>
  </si>
  <si>
    <t>rs1897022994</t>
  </si>
  <si>
    <t>14:94382760</t>
  </si>
  <si>
    <t>rs775552836</t>
  </si>
  <si>
    <t>14:94382766</t>
  </si>
  <si>
    <t>rs1897023680</t>
  </si>
  <si>
    <t>14:94382767</t>
  </si>
  <si>
    <t>rs749118243</t>
  </si>
  <si>
    <t>14:94382768</t>
  </si>
  <si>
    <t>rs1595612771</t>
  </si>
  <si>
    <t>14:94382769</t>
  </si>
  <si>
    <t>rs78640395</t>
  </si>
  <si>
    <t>14:94382772</t>
  </si>
  <si>
    <t>rs576575224</t>
  </si>
  <si>
    <t>14:94382778</t>
  </si>
  <si>
    <t>rs369060615</t>
  </si>
  <si>
    <t>14:94382781</t>
  </si>
  <si>
    <t>rs772895093</t>
  </si>
  <si>
    <t>14:94382783</t>
  </si>
  <si>
    <t>rs760175391</t>
  </si>
  <si>
    <t>14:94382787</t>
  </si>
  <si>
    <t>rs1465395828</t>
  </si>
  <si>
    <t>14:94382789</t>
  </si>
  <si>
    <t>rs537285845</t>
  </si>
  <si>
    <t>14:94382802</t>
  </si>
  <si>
    <t>rs11558263</t>
  </si>
  <si>
    <t>14:94382803</t>
  </si>
  <si>
    <t>rs1897028710</t>
  </si>
  <si>
    <t>14:94382804</t>
  </si>
  <si>
    <t>rs374198121</t>
  </si>
  <si>
    <t>14:94382808</t>
  </si>
  <si>
    <t>rs752979989</t>
  </si>
  <si>
    <t>14:94382809</t>
  </si>
  <si>
    <t>rs1223975325</t>
  </si>
  <si>
    <t>14:94382810</t>
  </si>
  <si>
    <t>rs757562207</t>
  </si>
  <si>
    <t>14:94382822</t>
  </si>
  <si>
    <t>rs11558261</t>
  </si>
  <si>
    <t>14:94382823</t>
  </si>
  <si>
    <t>pathogenic~other</t>
  </si>
  <si>
    <t>rs768432782</t>
  </si>
  <si>
    <t>14:94382828</t>
  </si>
  <si>
    <t>rs1897032434</t>
  </si>
  <si>
    <t>14:94382831</t>
  </si>
  <si>
    <t>rs1897032650</t>
  </si>
  <si>
    <t>14:94382833</t>
  </si>
  <si>
    <t>rs774398845</t>
  </si>
  <si>
    <t>14:94382837</t>
  </si>
  <si>
    <t>rs1897033299</t>
  </si>
  <si>
    <t>14:94382838</t>
  </si>
  <si>
    <t>L/I</t>
  </si>
  <si>
    <t>rs1383642353</t>
  </si>
  <si>
    <t>14:94382843</t>
  </si>
  <si>
    <t>rs1290444588</t>
  </si>
  <si>
    <t>14:94382844</t>
  </si>
  <si>
    <t>S/G</t>
  </si>
  <si>
    <t>rs747867823</t>
  </si>
  <si>
    <t>14:94382846</t>
  </si>
  <si>
    <t>D/A</t>
  </si>
  <si>
    <t>rs1595613279</t>
  </si>
  <si>
    <t>14:94382852</t>
  </si>
  <si>
    <t>rs756311065</t>
  </si>
  <si>
    <t>14:94382853</t>
  </si>
  <si>
    <t>rs1462737580</t>
  </si>
  <si>
    <t>14:94382859</t>
  </si>
  <si>
    <t>rs709932</t>
  </si>
  <si>
    <t>14:94382864</t>
  </si>
  <si>
    <t>benign~other</t>
  </si>
  <si>
    <t>rs766025736</t>
  </si>
  <si>
    <t>14:94382865</t>
  </si>
  <si>
    <t>rs1479870890</t>
  </si>
  <si>
    <t>14:94382876</t>
  </si>
  <si>
    <t>rs1897037665</t>
  </si>
  <si>
    <t>14:94382877</t>
  </si>
  <si>
    <t>rs749295615</t>
  </si>
  <si>
    <t>14:94382882</t>
  </si>
  <si>
    <t>rs1595613479</t>
  </si>
  <si>
    <t>14:94382889</t>
  </si>
  <si>
    <t>rs759135389</t>
  </si>
  <si>
    <t>14:94382890</t>
  </si>
  <si>
    <t>rs28931572</t>
  </si>
  <si>
    <t>14:94382891</t>
  </si>
  <si>
    <t>I/N</t>
  </si>
  <si>
    <t>rs769217078</t>
  </si>
  <si>
    <t>14:94382892</t>
  </si>
  <si>
    <t>rs1286737525</t>
  </si>
  <si>
    <t>14:94382893</t>
  </si>
  <si>
    <t>rs1897040319</t>
  </si>
  <si>
    <t>14:94382895</t>
  </si>
  <si>
    <t>rs1466151001</t>
  </si>
  <si>
    <t>14:94382897</t>
  </si>
  <si>
    <t>rs1566757580</t>
  </si>
  <si>
    <t>14:94382898</t>
  </si>
  <si>
    <t>rs1566757595</t>
  </si>
  <si>
    <t>14:94382899</t>
  </si>
  <si>
    <t>rs765628480</t>
  </si>
  <si>
    <t>14:94382901</t>
  </si>
  <si>
    <t>rs758820515</t>
  </si>
  <si>
    <t>14:94382903</t>
  </si>
  <si>
    <t>rs886044322</t>
  </si>
  <si>
    <t>14:94382904</t>
  </si>
  <si>
    <t>rs886050923</t>
  </si>
  <si>
    <t>14:94382905</t>
  </si>
  <si>
    <t>rs199422213</t>
  </si>
  <si>
    <t>14:94382912</t>
  </si>
  <si>
    <t>T/M</t>
  </si>
  <si>
    <t>rs137888162</t>
  </si>
  <si>
    <t>14:94382915</t>
  </si>
  <si>
    <t>A/C/T</t>
  </si>
  <si>
    <t>Frequency~ESP~TOPMed</t>
  </si>
  <si>
    <t>L/H</t>
  </si>
  <si>
    <t>rs779344345</t>
  </si>
  <si>
    <t>14:94382916</t>
  </si>
  <si>
    <t>rs1281659812</t>
  </si>
  <si>
    <t>14:94382920</t>
  </si>
  <si>
    <t>rs757510628</t>
  </si>
  <si>
    <t>14:94382925</t>
  </si>
  <si>
    <t>rs1897044682</t>
  </si>
  <si>
    <t>14:94382933</t>
  </si>
  <si>
    <t>rs1234126292</t>
  </si>
  <si>
    <t>14:94382934</t>
  </si>
  <si>
    <t>rs1555369135</t>
  </si>
  <si>
    <t>14:94382939</t>
  </si>
  <si>
    <t>rs1566757757</t>
  </si>
  <si>
    <t>14:94382941</t>
  </si>
  <si>
    <t>T/A/G</t>
  </si>
  <si>
    <t>Frequency~Phenotype_or_Disease</t>
  </si>
  <si>
    <t>rs2139694097</t>
  </si>
  <si>
    <t>14:94382943</t>
  </si>
  <si>
    <t>rs1566757762</t>
  </si>
  <si>
    <t>14:94382945</t>
  </si>
  <si>
    <t>rs1035193069</t>
  </si>
  <si>
    <t>14:94382946</t>
  </si>
  <si>
    <t>rs781502220</t>
  </si>
  <si>
    <t>14:94382947</t>
  </si>
  <si>
    <t>rs1425601743</t>
  </si>
  <si>
    <t>14:94382951</t>
  </si>
  <si>
    <t>rs376616935</t>
  </si>
  <si>
    <t>14:94382952</t>
  </si>
  <si>
    <t>rs199962756</t>
  </si>
  <si>
    <t>14:94382953</t>
  </si>
  <si>
    <t>rs1252210567</t>
  </si>
  <si>
    <t>14:94382955</t>
  </si>
  <si>
    <t>rs1595613917</t>
  </si>
  <si>
    <t>14:94382957</t>
  </si>
  <si>
    <t>rs1897048452</t>
  </si>
  <si>
    <t>14:94382958</t>
  </si>
  <si>
    <t>rs1490133295</t>
  </si>
  <si>
    <t>14:94382963</t>
  </si>
  <si>
    <t>rs28931568</t>
  </si>
  <si>
    <t>14:94382966</t>
  </si>
  <si>
    <t>rs564267551</t>
  </si>
  <si>
    <t>14:94382969</t>
  </si>
  <si>
    <t>rs1433266173</t>
  </si>
  <si>
    <t>14:94382970</t>
  </si>
  <si>
    <t>rs1191769902</t>
  </si>
  <si>
    <t>14:94382976</t>
  </si>
  <si>
    <t>rs1370857918</t>
  </si>
  <si>
    <t>14:94382984</t>
  </si>
  <si>
    <t>rs1460874866</t>
  </si>
  <si>
    <t>14:94382987</t>
  </si>
  <si>
    <t>rs111850950</t>
  </si>
  <si>
    <t>14:94382988</t>
  </si>
  <si>
    <t>rs1371527797</t>
  </si>
  <si>
    <t>14:94382990</t>
  </si>
  <si>
    <t>rs113817720</t>
  </si>
  <si>
    <t>14:94382994</t>
  </si>
  <si>
    <t>uncertain significance~likely benign~pathogenic</t>
  </si>
  <si>
    <t>rs1897053025</t>
  </si>
  <si>
    <t>14:94382997</t>
  </si>
  <si>
    <t>rs777478364</t>
  </si>
  <si>
    <t>14:94382999</t>
  </si>
  <si>
    <t>rs864622047</t>
  </si>
  <si>
    <t>14:94383002</t>
  </si>
  <si>
    <t>rs1595614180</t>
  </si>
  <si>
    <t>14:94383003</t>
  </si>
  <si>
    <t>rs55819880</t>
  </si>
  <si>
    <t>14:94383008</t>
  </si>
  <si>
    <t>Frequency~Cited~Phenotype_or_Disease~TOPMed</t>
  </si>
  <si>
    <t>rs1555369172</t>
  </si>
  <si>
    <t>14:94383011</t>
  </si>
  <si>
    <t>rs1458111327</t>
  </si>
  <si>
    <t>14:94383012</t>
  </si>
  <si>
    <t>rs1230465323</t>
  </si>
  <si>
    <t>14:94383013</t>
  </si>
  <si>
    <t>rs369966794</t>
  </si>
  <si>
    <t>14:94383014</t>
  </si>
  <si>
    <t>Frequency~Cited~ESP</t>
  </si>
  <si>
    <t>rs1275309068</t>
  </si>
  <si>
    <t>14:94383017</t>
  </si>
  <si>
    <t>rs1393875655</t>
  </si>
  <si>
    <t>14:94383025</t>
  </si>
  <si>
    <t>rs11575873</t>
  </si>
  <si>
    <t>14:94383027</t>
  </si>
  <si>
    <t>rs199687431</t>
  </si>
  <si>
    <t>14:94383032</t>
  </si>
  <si>
    <t>rs140744031</t>
  </si>
  <si>
    <t>14:94383037</t>
  </si>
  <si>
    <t>rs1897057638</t>
  </si>
  <si>
    <t>14:94383038</t>
  </si>
  <si>
    <t>rs864622050</t>
  </si>
  <si>
    <t>14:94383039</t>
  </si>
  <si>
    <t>rs769400992</t>
  </si>
  <si>
    <t>14:94383041</t>
  </si>
  <si>
    <t>rs1897058574</t>
  </si>
  <si>
    <t>14:94383042</t>
  </si>
  <si>
    <t>rs28931569</t>
  </si>
  <si>
    <t>14:94383044</t>
  </si>
  <si>
    <t>rs763483402</t>
  </si>
  <si>
    <t>14:94383047</t>
  </si>
  <si>
    <t>rs1555369198</t>
  </si>
  <si>
    <t>14:94383048</t>
  </si>
  <si>
    <t>rs764726147</t>
  </si>
  <si>
    <t>14:94383050</t>
  </si>
  <si>
    <t>rs28931570</t>
  </si>
  <si>
    <t>14:94383051</t>
  </si>
  <si>
    <t>R/G</t>
  </si>
  <si>
    <t>rs864622045</t>
  </si>
  <si>
    <t>14:94383058</t>
  </si>
  <si>
    <t>rs767606257</t>
  </si>
  <si>
    <t>14:94383060</t>
  </si>
  <si>
    <t>rs1161984475</t>
  </si>
  <si>
    <t>14:94383062</t>
  </si>
  <si>
    <t>rs770667932</t>
  </si>
  <si>
    <t>14:94383065</t>
  </si>
  <si>
    <t>rs149319176</t>
  </si>
  <si>
    <t>14:94383066</t>
  </si>
  <si>
    <t>rs150784949</t>
  </si>
  <si>
    <t>14:94383067</t>
  </si>
  <si>
    <t>rs1457464431</t>
  </si>
  <si>
    <t>14:94383069</t>
  </si>
  <si>
    <t>rs753921311</t>
  </si>
  <si>
    <t>14:94383075</t>
  </si>
  <si>
    <t>rs758914650</t>
  </si>
  <si>
    <t>14:94383080</t>
  </si>
  <si>
    <t>N/S</t>
  </si>
  <si>
    <t>rs944607375</t>
  </si>
  <si>
    <t>14:94383083</t>
  </si>
  <si>
    <t>rs1897065615</t>
  </si>
  <si>
    <t>14:94383084</t>
  </si>
  <si>
    <t>rs1595614696</t>
  </si>
  <si>
    <t>14:94383087</t>
  </si>
  <si>
    <t>rs963967922</t>
  </si>
  <si>
    <t>14:94383090</t>
  </si>
  <si>
    <t>rs764792979</t>
  </si>
  <si>
    <t>14:94383099</t>
  </si>
  <si>
    <t>rs1381869222</t>
  </si>
  <si>
    <t>14:94383101</t>
  </si>
  <si>
    <t>rs1243707738</t>
  </si>
  <si>
    <t>14:94383102</t>
  </si>
  <si>
    <t>rs758293405</t>
  </si>
  <si>
    <t>14:94383104</t>
  </si>
  <si>
    <t>rs1322087241</t>
  </si>
  <si>
    <t>14:94383105</t>
  </si>
  <si>
    <t>rs1214596628</t>
  </si>
  <si>
    <t>14:94383106</t>
  </si>
  <si>
    <t>rs752646694</t>
  </si>
  <si>
    <t>14:94383109</t>
  </si>
  <si>
    <t>rs1897069375</t>
  </si>
  <si>
    <t>14:94383110</t>
  </si>
  <si>
    <t>rs186478039</t>
  </si>
  <si>
    <t>14:94383119</t>
  </si>
  <si>
    <t>rs138070585</t>
  </si>
  <si>
    <t>14:94383123</t>
  </si>
  <si>
    <t>rs745463238</t>
  </si>
  <si>
    <t>14:94383125</t>
  </si>
  <si>
    <t>rs769331986</t>
  </si>
  <si>
    <t>14:94383126</t>
  </si>
  <si>
    <t>rs11558262</t>
  </si>
  <si>
    <t>14:94383129</t>
  </si>
  <si>
    <t>rs1158625562</t>
  </si>
  <si>
    <t>14:94383131</t>
  </si>
  <si>
    <t>rs1897071939</t>
  </si>
  <si>
    <t>14:94383134</t>
  </si>
  <si>
    <t>rs1374116152</t>
  </si>
  <si>
    <t>14:94383135</t>
  </si>
  <si>
    <t>rs864622049</t>
  </si>
  <si>
    <t>14:94383136</t>
  </si>
  <si>
    <t>rs769267062</t>
  </si>
  <si>
    <t>14:94383138</t>
  </si>
  <si>
    <t>rs1897073335</t>
  </si>
  <si>
    <t>14:94383146</t>
  </si>
  <si>
    <t>rs1897073566</t>
  </si>
  <si>
    <t>14:94383147</t>
  </si>
  <si>
    <t>rs864622048</t>
  </si>
  <si>
    <t>14:94383149</t>
  </si>
  <si>
    <t>rs1321237081</t>
  </si>
  <si>
    <t>14:94383150</t>
  </si>
  <si>
    <t>rs11558259</t>
  </si>
  <si>
    <t>14:94383155</t>
  </si>
  <si>
    <t>rs190231439</t>
  </si>
  <si>
    <t>14:94383158</t>
  </si>
  <si>
    <t>rs767986567</t>
  </si>
  <si>
    <t>14:94383159</t>
  </si>
  <si>
    <t>rs199422212</t>
  </si>
  <si>
    <t>14:94383161</t>
  </si>
  <si>
    <t>rs750766974</t>
  </si>
  <si>
    <t>14:94383162</t>
  </si>
  <si>
    <t>rs766542592</t>
  </si>
  <si>
    <t>14:94383165</t>
  </si>
  <si>
    <t>rs753867893</t>
  </si>
  <si>
    <t>14:94383167</t>
  </si>
  <si>
    <t>rs755088914</t>
  </si>
  <si>
    <t>14:94383168</t>
  </si>
  <si>
    <t>rs1379209512</t>
  </si>
  <si>
    <t>14:94383170</t>
  </si>
  <si>
    <t>L/Q</t>
  </si>
  <si>
    <t>rs751555333</t>
  </si>
  <si>
    <t>14:94383174</t>
  </si>
  <si>
    <t>rs1897077671</t>
  </si>
  <si>
    <t>14:94383176</t>
  </si>
  <si>
    <t>rs1448214480</t>
  </si>
  <si>
    <t>14:94383177</t>
  </si>
  <si>
    <t>rs1897078339</t>
  </si>
  <si>
    <t>14:94383179</t>
  </si>
  <si>
    <t>rs1595615236</t>
  </si>
  <si>
    <t>14:94383180</t>
  </si>
  <si>
    <t>rs780969205</t>
  </si>
  <si>
    <t>14:94383183</t>
  </si>
  <si>
    <t>rs1176919060</t>
  </si>
  <si>
    <t>14:94383188</t>
  </si>
  <si>
    <t>C/F</t>
  </si>
  <si>
    <t>rs1250083377</t>
  </si>
  <si>
    <t>14:94383189</t>
  </si>
  <si>
    <t>C/R</t>
  </si>
  <si>
    <t>rs1473667365</t>
  </si>
  <si>
    <t>14:94383192</t>
  </si>
  <si>
    <t>rs768352001</t>
  </si>
  <si>
    <t>14:94383197</t>
  </si>
  <si>
    <t>rs1897081099</t>
  </si>
  <si>
    <t>14:94383198</t>
  </si>
  <si>
    <t>rs1566759056</t>
  </si>
  <si>
    <t>14:94383203</t>
  </si>
  <si>
    <t>rs377747242</t>
  </si>
  <si>
    <t>14:94383204</t>
  </si>
  <si>
    <t>rs1296175763</t>
  </si>
  <si>
    <t>14:94383212</t>
  </si>
  <si>
    <t>rs773588978</t>
  </si>
  <si>
    <t>14:94383215</t>
  </si>
  <si>
    <t>rs1410013401</t>
  </si>
  <si>
    <t>14:94383216</t>
  </si>
  <si>
    <t>rs370038282</t>
  </si>
  <si>
    <t>14:94383217</t>
  </si>
  <si>
    <t>rs140814100</t>
  </si>
  <si>
    <t>14:94383221</t>
  </si>
  <si>
    <t>S/L</t>
  </si>
  <si>
    <t>rs1897084348</t>
  </si>
  <si>
    <t>14:94383224</t>
  </si>
  <si>
    <t>rs776904334</t>
  </si>
  <si>
    <t>14:94383225</t>
  </si>
  <si>
    <t>rs1484441543</t>
  </si>
  <si>
    <t>14:94383227</t>
  </si>
  <si>
    <t>rs1259380442</t>
  </si>
  <si>
    <t>14:94383228</t>
  </si>
  <si>
    <t>rs759598955</t>
  </si>
  <si>
    <t>14:94383230</t>
  </si>
  <si>
    <t>rs142288916</t>
  </si>
  <si>
    <t>14:94383233</t>
  </si>
  <si>
    <t>rs757174326</t>
  </si>
  <si>
    <t>14:94383234</t>
  </si>
  <si>
    <t>rs1489955124</t>
  </si>
  <si>
    <t>14:94379453</t>
  </si>
  <si>
    <t>deleterious - low confidence</t>
  </si>
  <si>
    <t>unknown</t>
  </si>
  <si>
    <t>ENST00000402629.1</t>
  </si>
  <si>
    <t>rs56388024</t>
  </si>
  <si>
    <t>14:94379454</t>
  </si>
  <si>
    <t>rs2139672307</t>
  </si>
  <si>
    <t>14:94379457</t>
  </si>
  <si>
    <t>tolerated - low confidence</t>
  </si>
  <si>
    <t>rs79078626</t>
  </si>
  <si>
    <t>14:94379458</t>
  </si>
  <si>
    <t>rs879042153</t>
  </si>
  <si>
    <t>14:94379462</t>
  </si>
  <si>
    <t>rs781591420</t>
  </si>
  <si>
    <t>14:94379463</t>
  </si>
  <si>
    <t>ENST00000440909.5</t>
  </si>
  <si>
    <t>ENST00000866518.1</t>
  </si>
  <si>
    <t>ENST00000959502.1</t>
  </si>
  <si>
    <t>ENST00000959504.1</t>
  </si>
  <si>
    <t>b/lb</t>
  </si>
  <si>
    <t>lb/o</t>
  </si>
  <si>
    <t>lp/p/o</t>
  </si>
  <si>
    <t>lp/p/rf</t>
  </si>
  <si>
    <t>o</t>
  </si>
  <si>
    <t>p</t>
  </si>
  <si>
    <t>p/o</t>
  </si>
  <si>
    <t>lb</t>
  </si>
  <si>
    <t>b/lb/o</t>
  </si>
  <si>
    <t>lb/p</t>
  </si>
  <si>
    <t xml:space="preserve">total </t>
  </si>
  <si>
    <t>percent</t>
  </si>
  <si>
    <t xml:space="preserve">benign </t>
  </si>
  <si>
    <t>uncertain</t>
  </si>
  <si>
    <t>total</t>
  </si>
  <si>
    <t>Unknown</t>
  </si>
  <si>
    <t>Benign</t>
  </si>
  <si>
    <t>Damaging</t>
  </si>
  <si>
    <t>SIFT_AVG</t>
  </si>
  <si>
    <t>MetaLR_AVG</t>
  </si>
  <si>
    <t>CADD_AVG</t>
  </si>
  <si>
    <t>REVEL_AVG</t>
  </si>
  <si>
    <t>PolyPhen_AVG</t>
  </si>
  <si>
    <t>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</si>
</sst>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42" applyFont="1"/>
    <xf numFmtId="0" fontId="0" fillId="0" borderId="0" xfId="0" quotePrefix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openxmlformats.org/officeDocument/2006/relationships/chartsheet" Target="chartsheets/sheet4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Ratio of Polyphen Classification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A2-4A68-BF83-82022A52B8EA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A2-4A68-BF83-82022A52B8E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A2-4A68-BF83-82022A52B8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Sheet3!$F$2:$F$4</c:f>
              <c:strCache>
                <c:ptCount val="3"/>
                <c:pt idx="0">
                  <c:v>Benign</c:v>
                </c:pt>
                <c:pt idx="1">
                  <c:v>Unknown</c:v>
                </c:pt>
                <c:pt idx="2">
                  <c:v>Damaging</c:v>
                </c:pt>
              </c:strCache>
            </c:strRef>
          </c:cat>
          <c:val>
            <c:numRef>
              <c:f>Sheet3!$H$2:$H$4</c:f>
              <c:numCache>
                <c:formatCode>0%</c:formatCode>
                <c:ptCount val="3"/>
                <c:pt idx="0">
                  <c:v>0.42996742671009774</c:v>
                </c:pt>
                <c:pt idx="1">
                  <c:v>0.28447339847991315</c:v>
                </c:pt>
                <c:pt idx="2">
                  <c:v>0.28555917480998916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A2-4A68-BF83-82022A52B8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Sheet3!$A$2:$A$2768</c:f>
              <c:strCache>
                <c:ptCount val="2767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-</c:v>
                </c:pt>
                <c:pt idx="21">
                  <c:v>-</c:v>
                </c:pt>
                <c:pt idx="22">
                  <c:v>-</c:v>
                </c:pt>
                <c:pt idx="23">
                  <c:v>-</c:v>
                </c:pt>
                <c:pt idx="24">
                  <c:v>-</c:v>
                </c:pt>
                <c:pt idx="25">
                  <c:v>-</c:v>
                </c:pt>
                <c:pt idx="26">
                  <c:v>-</c:v>
                </c:pt>
                <c:pt idx="27">
                  <c:v>-</c:v>
                </c:pt>
                <c:pt idx="28">
                  <c:v>-</c:v>
                </c:pt>
                <c:pt idx="29">
                  <c:v>-</c:v>
                </c:pt>
                <c:pt idx="30">
                  <c:v>-</c:v>
                </c:pt>
                <c:pt idx="31">
                  <c:v>-</c:v>
                </c:pt>
                <c:pt idx="32">
                  <c:v>-</c:v>
                </c:pt>
                <c:pt idx="33">
                  <c:v>-</c:v>
                </c:pt>
                <c:pt idx="34">
                  <c:v>-</c:v>
                </c:pt>
                <c:pt idx="35">
                  <c:v>-</c:v>
                </c:pt>
                <c:pt idx="36">
                  <c:v>-</c:v>
                </c:pt>
                <c:pt idx="37">
                  <c:v>-</c:v>
                </c:pt>
                <c:pt idx="38">
                  <c:v>-</c:v>
                </c:pt>
                <c:pt idx="39">
                  <c:v>-</c:v>
                </c:pt>
                <c:pt idx="40">
                  <c:v>-</c:v>
                </c:pt>
                <c:pt idx="41">
                  <c:v>-</c:v>
                </c:pt>
                <c:pt idx="42">
                  <c:v>-</c:v>
                </c:pt>
                <c:pt idx="43">
                  <c:v>-</c:v>
                </c:pt>
                <c:pt idx="44">
                  <c:v>-</c:v>
                </c:pt>
                <c:pt idx="45">
                  <c:v>-</c:v>
                </c:pt>
                <c:pt idx="46">
                  <c:v>-</c:v>
                </c:pt>
                <c:pt idx="47">
                  <c:v>-</c:v>
                </c:pt>
                <c:pt idx="48">
                  <c:v>-</c:v>
                </c:pt>
                <c:pt idx="49">
                  <c:v>-</c:v>
                </c:pt>
                <c:pt idx="50">
                  <c:v>-</c:v>
                </c:pt>
                <c:pt idx="51">
                  <c:v>-</c:v>
                </c:pt>
                <c:pt idx="52">
                  <c:v>-</c:v>
                </c:pt>
                <c:pt idx="53">
                  <c:v>-</c:v>
                </c:pt>
                <c:pt idx="54">
                  <c:v>-</c:v>
                </c:pt>
                <c:pt idx="55">
                  <c:v>-</c:v>
                </c:pt>
                <c:pt idx="56">
                  <c:v>-</c:v>
                </c:pt>
                <c:pt idx="57">
                  <c:v>-</c:v>
                </c:pt>
                <c:pt idx="58">
                  <c:v>-</c:v>
                </c:pt>
                <c:pt idx="59">
                  <c:v>-</c:v>
                </c:pt>
                <c:pt idx="60">
                  <c:v>-</c:v>
                </c:pt>
                <c:pt idx="61">
                  <c:v>-</c:v>
                </c:pt>
                <c:pt idx="62">
                  <c:v>-</c:v>
                </c:pt>
                <c:pt idx="63">
                  <c:v>-</c:v>
                </c:pt>
                <c:pt idx="64">
                  <c:v>-</c:v>
                </c:pt>
                <c:pt idx="65">
                  <c:v>-</c:v>
                </c:pt>
                <c:pt idx="66">
                  <c:v>-</c:v>
                </c:pt>
                <c:pt idx="67">
                  <c:v>-</c:v>
                </c:pt>
                <c:pt idx="68">
                  <c:v>-</c:v>
                </c:pt>
                <c:pt idx="69">
                  <c:v>-</c:v>
                </c:pt>
                <c:pt idx="70">
                  <c:v>-</c:v>
                </c:pt>
                <c:pt idx="71">
                  <c:v>-</c:v>
                </c:pt>
                <c:pt idx="72">
                  <c:v>-</c:v>
                </c:pt>
                <c:pt idx="73">
                  <c:v>-</c:v>
                </c:pt>
                <c:pt idx="74">
                  <c:v>-</c:v>
                </c:pt>
                <c:pt idx="75">
                  <c:v>-</c:v>
                </c:pt>
                <c:pt idx="76">
                  <c:v>-</c:v>
                </c:pt>
                <c:pt idx="77">
                  <c:v>-</c:v>
                </c:pt>
                <c:pt idx="78">
                  <c:v>-</c:v>
                </c:pt>
                <c:pt idx="79">
                  <c:v>-</c:v>
                </c:pt>
                <c:pt idx="80">
                  <c:v>-</c:v>
                </c:pt>
                <c:pt idx="81">
                  <c:v>-</c:v>
                </c:pt>
                <c:pt idx="82">
                  <c:v>-</c:v>
                </c:pt>
                <c:pt idx="83">
                  <c:v>-</c:v>
                </c:pt>
                <c:pt idx="84">
                  <c:v>-</c:v>
                </c:pt>
                <c:pt idx="85">
                  <c:v>-</c:v>
                </c:pt>
                <c:pt idx="86">
                  <c:v>-</c:v>
                </c:pt>
                <c:pt idx="87">
                  <c:v>-</c:v>
                </c:pt>
                <c:pt idx="88">
                  <c:v>-</c:v>
                </c:pt>
                <c:pt idx="89">
                  <c:v>-</c:v>
                </c:pt>
                <c:pt idx="90">
                  <c:v>-</c:v>
                </c:pt>
                <c:pt idx="91">
                  <c:v>-</c:v>
                </c:pt>
                <c:pt idx="92">
                  <c:v>-</c:v>
                </c:pt>
                <c:pt idx="93">
                  <c:v>-</c:v>
                </c:pt>
                <c:pt idx="94">
                  <c:v>-</c:v>
                </c:pt>
                <c:pt idx="95">
                  <c:v>-</c:v>
                </c:pt>
                <c:pt idx="96">
                  <c:v>-</c:v>
                </c:pt>
                <c:pt idx="97">
                  <c:v>-</c:v>
                </c:pt>
                <c:pt idx="98">
                  <c:v>-</c:v>
                </c:pt>
                <c:pt idx="99">
                  <c:v>-</c:v>
                </c:pt>
                <c:pt idx="100">
                  <c:v>-</c:v>
                </c:pt>
                <c:pt idx="101">
                  <c:v>-</c:v>
                </c:pt>
                <c:pt idx="102">
                  <c:v>-</c:v>
                </c:pt>
                <c:pt idx="103">
                  <c:v>-</c:v>
                </c:pt>
                <c:pt idx="104">
                  <c:v>-</c:v>
                </c:pt>
                <c:pt idx="105">
                  <c:v>-</c:v>
                </c:pt>
                <c:pt idx="106">
                  <c:v>-</c:v>
                </c:pt>
                <c:pt idx="107">
                  <c:v>-</c:v>
                </c:pt>
                <c:pt idx="108">
                  <c:v>-</c:v>
                </c:pt>
                <c:pt idx="109">
                  <c:v>-</c:v>
                </c:pt>
                <c:pt idx="110">
                  <c:v>-</c:v>
                </c:pt>
                <c:pt idx="111">
                  <c:v>-</c:v>
                </c:pt>
                <c:pt idx="112">
                  <c:v>-</c:v>
                </c:pt>
                <c:pt idx="113">
                  <c:v>-</c:v>
                </c:pt>
                <c:pt idx="114">
                  <c:v>-</c:v>
                </c:pt>
                <c:pt idx="115">
                  <c:v>-</c:v>
                </c:pt>
                <c:pt idx="116">
                  <c:v>-</c:v>
                </c:pt>
                <c:pt idx="117">
                  <c:v>-</c:v>
                </c:pt>
                <c:pt idx="118">
                  <c:v>-</c:v>
                </c:pt>
                <c:pt idx="119">
                  <c:v>-</c:v>
                </c:pt>
                <c:pt idx="120">
                  <c:v>-</c:v>
                </c:pt>
                <c:pt idx="121">
                  <c:v>-</c:v>
                </c:pt>
                <c:pt idx="122">
                  <c:v>-</c:v>
                </c:pt>
                <c:pt idx="123">
                  <c:v>-</c:v>
                </c:pt>
                <c:pt idx="124">
                  <c:v>-</c:v>
                </c:pt>
                <c:pt idx="125">
                  <c:v>-</c:v>
                </c:pt>
                <c:pt idx="126">
                  <c:v>-</c:v>
                </c:pt>
                <c:pt idx="127">
                  <c:v>-</c:v>
                </c:pt>
                <c:pt idx="128">
                  <c:v>-</c:v>
                </c:pt>
                <c:pt idx="129">
                  <c:v>-</c:v>
                </c:pt>
                <c:pt idx="130">
                  <c:v>-</c:v>
                </c:pt>
                <c:pt idx="131">
                  <c:v>-</c:v>
                </c:pt>
                <c:pt idx="132">
                  <c:v>-</c:v>
                </c:pt>
                <c:pt idx="133">
                  <c:v>-</c:v>
                </c:pt>
                <c:pt idx="134">
                  <c:v>-</c:v>
                </c:pt>
                <c:pt idx="135">
                  <c:v>-</c:v>
                </c:pt>
                <c:pt idx="136">
                  <c:v>-</c:v>
                </c:pt>
                <c:pt idx="137">
                  <c:v>-</c:v>
                </c:pt>
                <c:pt idx="138">
                  <c:v>-</c:v>
                </c:pt>
                <c:pt idx="139">
                  <c:v>-</c:v>
                </c:pt>
                <c:pt idx="140">
                  <c:v>-</c:v>
                </c:pt>
                <c:pt idx="141">
                  <c:v>-</c:v>
                </c:pt>
                <c:pt idx="142">
                  <c:v>-</c:v>
                </c:pt>
                <c:pt idx="143">
                  <c:v>-</c:v>
                </c:pt>
                <c:pt idx="144">
                  <c:v>-</c:v>
                </c:pt>
                <c:pt idx="145">
                  <c:v>-</c:v>
                </c:pt>
                <c:pt idx="146">
                  <c:v>-</c:v>
                </c:pt>
                <c:pt idx="147">
                  <c:v>-</c:v>
                </c:pt>
                <c:pt idx="148">
                  <c:v>-</c:v>
                </c:pt>
                <c:pt idx="149">
                  <c:v>-</c:v>
                </c:pt>
                <c:pt idx="150">
                  <c:v>-</c:v>
                </c:pt>
                <c:pt idx="151">
                  <c:v>-</c:v>
                </c:pt>
                <c:pt idx="152">
                  <c:v>-</c:v>
                </c:pt>
                <c:pt idx="153">
                  <c:v>-</c:v>
                </c:pt>
                <c:pt idx="154">
                  <c:v>-</c:v>
                </c:pt>
                <c:pt idx="155">
                  <c:v>-</c:v>
                </c:pt>
                <c:pt idx="156">
                  <c:v>-</c:v>
                </c:pt>
                <c:pt idx="157">
                  <c:v>-</c:v>
                </c:pt>
                <c:pt idx="158">
                  <c:v>-</c:v>
                </c:pt>
                <c:pt idx="159">
                  <c:v>-</c:v>
                </c:pt>
                <c:pt idx="160">
                  <c:v>-</c:v>
                </c:pt>
                <c:pt idx="161">
                  <c:v>-</c:v>
                </c:pt>
                <c:pt idx="162">
                  <c:v>-</c:v>
                </c:pt>
                <c:pt idx="163">
                  <c:v>-</c:v>
                </c:pt>
                <c:pt idx="164">
                  <c:v>-</c:v>
                </c:pt>
                <c:pt idx="165">
                  <c:v>-</c:v>
                </c:pt>
                <c:pt idx="166">
                  <c:v>-</c:v>
                </c:pt>
                <c:pt idx="167">
                  <c:v>-</c:v>
                </c:pt>
                <c:pt idx="168">
                  <c:v>-</c:v>
                </c:pt>
                <c:pt idx="169">
                  <c:v>-</c:v>
                </c:pt>
                <c:pt idx="170">
                  <c:v>-</c:v>
                </c:pt>
                <c:pt idx="171">
                  <c:v>-</c:v>
                </c:pt>
                <c:pt idx="172">
                  <c:v>-</c:v>
                </c:pt>
                <c:pt idx="173">
                  <c:v>-</c:v>
                </c:pt>
                <c:pt idx="174">
                  <c:v>-</c:v>
                </c:pt>
                <c:pt idx="175">
                  <c:v>-</c:v>
                </c:pt>
                <c:pt idx="176">
                  <c:v>-</c:v>
                </c:pt>
                <c:pt idx="177">
                  <c:v>-</c:v>
                </c:pt>
                <c:pt idx="178">
                  <c:v>-</c:v>
                </c:pt>
                <c:pt idx="179">
                  <c:v>-</c:v>
                </c:pt>
                <c:pt idx="180">
                  <c:v>-</c:v>
                </c:pt>
                <c:pt idx="181">
                  <c:v>-</c:v>
                </c:pt>
                <c:pt idx="182">
                  <c:v>-</c:v>
                </c:pt>
                <c:pt idx="183">
                  <c:v>-</c:v>
                </c:pt>
                <c:pt idx="184">
                  <c:v>-</c:v>
                </c:pt>
                <c:pt idx="185">
                  <c:v>-</c:v>
                </c:pt>
                <c:pt idx="186">
                  <c:v>-</c:v>
                </c:pt>
                <c:pt idx="187">
                  <c:v>-</c:v>
                </c:pt>
                <c:pt idx="188">
                  <c:v>-</c:v>
                </c:pt>
                <c:pt idx="189">
                  <c:v>-</c:v>
                </c:pt>
                <c:pt idx="190">
                  <c:v>-</c:v>
                </c:pt>
                <c:pt idx="191">
                  <c:v>-</c:v>
                </c:pt>
                <c:pt idx="192">
                  <c:v>-</c:v>
                </c:pt>
                <c:pt idx="193">
                  <c:v>-</c:v>
                </c:pt>
                <c:pt idx="194">
                  <c:v>-</c:v>
                </c:pt>
                <c:pt idx="195">
                  <c:v>-</c:v>
                </c:pt>
                <c:pt idx="196">
                  <c:v>-</c:v>
                </c:pt>
                <c:pt idx="197">
                  <c:v>-</c:v>
                </c:pt>
                <c:pt idx="198">
                  <c:v>-</c:v>
                </c:pt>
                <c:pt idx="199">
                  <c:v>-</c:v>
                </c:pt>
                <c:pt idx="200">
                  <c:v>-</c:v>
                </c:pt>
                <c:pt idx="201">
                  <c:v>-</c:v>
                </c:pt>
                <c:pt idx="202">
                  <c:v>-</c:v>
                </c:pt>
                <c:pt idx="203">
                  <c:v>-</c:v>
                </c:pt>
                <c:pt idx="204">
                  <c:v>-</c:v>
                </c:pt>
                <c:pt idx="205">
                  <c:v>-</c:v>
                </c:pt>
                <c:pt idx="206">
                  <c:v>-</c:v>
                </c:pt>
                <c:pt idx="207">
                  <c:v>-</c:v>
                </c:pt>
                <c:pt idx="208">
                  <c:v>-</c:v>
                </c:pt>
                <c:pt idx="209">
                  <c:v>-</c:v>
                </c:pt>
                <c:pt idx="210">
                  <c:v>-</c:v>
                </c:pt>
                <c:pt idx="211">
                  <c:v>-</c:v>
                </c:pt>
                <c:pt idx="212">
                  <c:v>-</c:v>
                </c:pt>
                <c:pt idx="213">
                  <c:v>-</c:v>
                </c:pt>
                <c:pt idx="214">
                  <c:v>-</c:v>
                </c:pt>
                <c:pt idx="215">
                  <c:v>-</c:v>
                </c:pt>
                <c:pt idx="216">
                  <c:v>-</c:v>
                </c:pt>
                <c:pt idx="217">
                  <c:v>-</c:v>
                </c:pt>
                <c:pt idx="218">
                  <c:v>-</c:v>
                </c:pt>
                <c:pt idx="219">
                  <c:v>-</c:v>
                </c:pt>
                <c:pt idx="220">
                  <c:v>-</c:v>
                </c:pt>
                <c:pt idx="221">
                  <c:v>-</c:v>
                </c:pt>
                <c:pt idx="222">
                  <c:v>-</c:v>
                </c:pt>
                <c:pt idx="223">
                  <c:v>-</c:v>
                </c:pt>
                <c:pt idx="224">
                  <c:v>-</c:v>
                </c:pt>
                <c:pt idx="225">
                  <c:v>-</c:v>
                </c:pt>
                <c:pt idx="226">
                  <c:v>-</c:v>
                </c:pt>
                <c:pt idx="227">
                  <c:v>-</c:v>
                </c:pt>
                <c:pt idx="228">
                  <c:v>-</c:v>
                </c:pt>
                <c:pt idx="229">
                  <c:v>-</c:v>
                </c:pt>
                <c:pt idx="230">
                  <c:v>-</c:v>
                </c:pt>
                <c:pt idx="231">
                  <c:v>-</c:v>
                </c:pt>
                <c:pt idx="232">
                  <c:v>-</c:v>
                </c:pt>
                <c:pt idx="233">
                  <c:v>-</c:v>
                </c:pt>
                <c:pt idx="234">
                  <c:v>-</c:v>
                </c:pt>
                <c:pt idx="235">
                  <c:v>-</c:v>
                </c:pt>
                <c:pt idx="236">
                  <c:v>-</c:v>
                </c:pt>
                <c:pt idx="237">
                  <c:v>-</c:v>
                </c:pt>
                <c:pt idx="238">
                  <c:v>-</c:v>
                </c:pt>
                <c:pt idx="239">
                  <c:v>-</c:v>
                </c:pt>
                <c:pt idx="240">
                  <c:v>-</c:v>
                </c:pt>
                <c:pt idx="241">
                  <c:v>-</c:v>
                </c:pt>
                <c:pt idx="242">
                  <c:v>-</c:v>
                </c:pt>
                <c:pt idx="243">
                  <c:v>-</c:v>
                </c:pt>
                <c:pt idx="244">
                  <c:v>-</c:v>
                </c:pt>
                <c:pt idx="245">
                  <c:v>-</c:v>
                </c:pt>
                <c:pt idx="246">
                  <c:v>-</c:v>
                </c:pt>
                <c:pt idx="247">
                  <c:v>-</c:v>
                </c:pt>
                <c:pt idx="248">
                  <c:v>-</c:v>
                </c:pt>
                <c:pt idx="249">
                  <c:v>-</c:v>
                </c:pt>
                <c:pt idx="250">
                  <c:v>-</c:v>
                </c:pt>
                <c:pt idx="251">
                  <c:v>-</c:v>
                </c:pt>
                <c:pt idx="252">
                  <c:v>-</c:v>
                </c:pt>
                <c:pt idx="253">
                  <c:v>-</c:v>
                </c:pt>
                <c:pt idx="254">
                  <c:v>-</c:v>
                </c:pt>
                <c:pt idx="255">
                  <c:v>-</c:v>
                </c:pt>
                <c:pt idx="256">
                  <c:v>-</c:v>
                </c:pt>
                <c:pt idx="257">
                  <c:v>-</c:v>
                </c:pt>
                <c:pt idx="258">
                  <c:v>-</c:v>
                </c:pt>
                <c:pt idx="259">
                  <c:v>-</c:v>
                </c:pt>
                <c:pt idx="260">
                  <c:v>-</c:v>
                </c:pt>
                <c:pt idx="261">
                  <c:v>-</c:v>
                </c:pt>
                <c:pt idx="262">
                  <c:v>-</c:v>
                </c:pt>
                <c:pt idx="263">
                  <c:v>-</c:v>
                </c:pt>
                <c:pt idx="264">
                  <c:v>-</c:v>
                </c:pt>
                <c:pt idx="265">
                  <c:v>-</c:v>
                </c:pt>
                <c:pt idx="266">
                  <c:v>-</c:v>
                </c:pt>
                <c:pt idx="267">
                  <c:v>-</c:v>
                </c:pt>
                <c:pt idx="268">
                  <c:v>-</c:v>
                </c:pt>
                <c:pt idx="269">
                  <c:v>-</c:v>
                </c:pt>
                <c:pt idx="270">
                  <c:v>-</c:v>
                </c:pt>
                <c:pt idx="271">
                  <c:v>-</c:v>
                </c:pt>
                <c:pt idx="272">
                  <c:v>-</c:v>
                </c:pt>
                <c:pt idx="273">
                  <c:v>-</c:v>
                </c:pt>
                <c:pt idx="274">
                  <c:v>-</c:v>
                </c:pt>
                <c:pt idx="275">
                  <c:v>-</c:v>
                </c:pt>
                <c:pt idx="276">
                  <c:v>-</c:v>
                </c:pt>
                <c:pt idx="277">
                  <c:v>-</c:v>
                </c:pt>
                <c:pt idx="278">
                  <c:v>-</c:v>
                </c:pt>
                <c:pt idx="279">
                  <c:v>-</c:v>
                </c:pt>
                <c:pt idx="280">
                  <c:v>-</c:v>
                </c:pt>
                <c:pt idx="281">
                  <c:v>-</c:v>
                </c:pt>
                <c:pt idx="282">
                  <c:v>-</c:v>
                </c:pt>
                <c:pt idx="283">
                  <c:v>-</c:v>
                </c:pt>
                <c:pt idx="284">
                  <c:v>-</c:v>
                </c:pt>
                <c:pt idx="285">
                  <c:v>-</c:v>
                </c:pt>
                <c:pt idx="286">
                  <c:v>-</c:v>
                </c:pt>
                <c:pt idx="287">
                  <c:v>-</c:v>
                </c:pt>
                <c:pt idx="288">
                  <c:v>-</c:v>
                </c:pt>
                <c:pt idx="289">
                  <c:v>-</c:v>
                </c:pt>
                <c:pt idx="290">
                  <c:v>-</c:v>
                </c:pt>
                <c:pt idx="291">
                  <c:v>-</c:v>
                </c:pt>
                <c:pt idx="292">
                  <c:v>-</c:v>
                </c:pt>
                <c:pt idx="293">
                  <c:v>-</c:v>
                </c:pt>
                <c:pt idx="294">
                  <c:v>-</c:v>
                </c:pt>
                <c:pt idx="295">
                  <c:v>-</c:v>
                </c:pt>
                <c:pt idx="296">
                  <c:v>-</c:v>
                </c:pt>
                <c:pt idx="297">
                  <c:v>-</c:v>
                </c:pt>
                <c:pt idx="298">
                  <c:v>-</c:v>
                </c:pt>
                <c:pt idx="299">
                  <c:v>-</c:v>
                </c:pt>
                <c:pt idx="300">
                  <c:v>-</c:v>
                </c:pt>
                <c:pt idx="301">
                  <c:v>-</c:v>
                </c:pt>
                <c:pt idx="302">
                  <c:v>-</c:v>
                </c:pt>
                <c:pt idx="303">
                  <c:v>-</c:v>
                </c:pt>
                <c:pt idx="304">
                  <c:v>-</c:v>
                </c:pt>
                <c:pt idx="305">
                  <c:v>-</c:v>
                </c:pt>
                <c:pt idx="306">
                  <c:v>-</c:v>
                </c:pt>
                <c:pt idx="307">
                  <c:v>-</c:v>
                </c:pt>
                <c:pt idx="308">
                  <c:v>-</c:v>
                </c:pt>
                <c:pt idx="309">
                  <c:v>-</c:v>
                </c:pt>
                <c:pt idx="310">
                  <c:v>-</c:v>
                </c:pt>
                <c:pt idx="311">
                  <c:v>-</c:v>
                </c:pt>
                <c:pt idx="312">
                  <c:v>-</c:v>
                </c:pt>
                <c:pt idx="313">
                  <c:v>-</c:v>
                </c:pt>
                <c:pt idx="314">
                  <c:v>-</c:v>
                </c:pt>
                <c:pt idx="315">
                  <c:v>-</c:v>
                </c:pt>
                <c:pt idx="316">
                  <c:v>-</c:v>
                </c:pt>
                <c:pt idx="317">
                  <c:v>-</c:v>
                </c:pt>
                <c:pt idx="318">
                  <c:v>-</c:v>
                </c:pt>
                <c:pt idx="319">
                  <c:v>-</c:v>
                </c:pt>
                <c:pt idx="320">
                  <c:v>-</c:v>
                </c:pt>
                <c:pt idx="321">
                  <c:v>-</c:v>
                </c:pt>
                <c:pt idx="322">
                  <c:v>-</c:v>
                </c:pt>
                <c:pt idx="323">
                  <c:v>-</c:v>
                </c:pt>
                <c:pt idx="324">
                  <c:v>-</c:v>
                </c:pt>
                <c:pt idx="325">
                  <c:v>-</c:v>
                </c:pt>
                <c:pt idx="326">
                  <c:v>-</c:v>
                </c:pt>
                <c:pt idx="327">
                  <c:v>-</c:v>
                </c:pt>
                <c:pt idx="328">
                  <c:v>-</c:v>
                </c:pt>
                <c:pt idx="329">
                  <c:v>-</c:v>
                </c:pt>
                <c:pt idx="330">
                  <c:v>-</c:v>
                </c:pt>
                <c:pt idx="331">
                  <c:v>-</c:v>
                </c:pt>
                <c:pt idx="332">
                  <c:v>-</c:v>
                </c:pt>
                <c:pt idx="333">
                  <c:v>-</c:v>
                </c:pt>
                <c:pt idx="334">
                  <c:v>-</c:v>
                </c:pt>
                <c:pt idx="335">
                  <c:v>-</c:v>
                </c:pt>
                <c:pt idx="336">
                  <c:v>-</c:v>
                </c:pt>
                <c:pt idx="337">
                  <c:v>-</c:v>
                </c:pt>
                <c:pt idx="338">
                  <c:v>-</c:v>
                </c:pt>
                <c:pt idx="339">
                  <c:v>-</c:v>
                </c:pt>
                <c:pt idx="340">
                  <c:v>-</c:v>
                </c:pt>
                <c:pt idx="341">
                  <c:v>-</c:v>
                </c:pt>
                <c:pt idx="342">
                  <c:v>-</c:v>
                </c:pt>
                <c:pt idx="343">
                  <c:v>-</c:v>
                </c:pt>
                <c:pt idx="344">
                  <c:v>-</c:v>
                </c:pt>
                <c:pt idx="345">
                  <c:v>-</c:v>
                </c:pt>
                <c:pt idx="346">
                  <c:v>-</c:v>
                </c:pt>
                <c:pt idx="347">
                  <c:v>-</c:v>
                </c:pt>
                <c:pt idx="348">
                  <c:v>-</c:v>
                </c:pt>
                <c:pt idx="349">
                  <c:v>-</c:v>
                </c:pt>
                <c:pt idx="350">
                  <c:v>-</c:v>
                </c:pt>
                <c:pt idx="351">
                  <c:v>-</c:v>
                </c:pt>
                <c:pt idx="352">
                  <c:v>-</c:v>
                </c:pt>
                <c:pt idx="353">
                  <c:v>-</c:v>
                </c:pt>
                <c:pt idx="354">
                  <c:v>-</c:v>
                </c:pt>
                <c:pt idx="355">
                  <c:v>-</c:v>
                </c:pt>
                <c:pt idx="356">
                  <c:v>-</c:v>
                </c:pt>
                <c:pt idx="357">
                  <c:v>-</c:v>
                </c:pt>
                <c:pt idx="358">
                  <c:v>-</c:v>
                </c:pt>
                <c:pt idx="359">
                  <c:v>-</c:v>
                </c:pt>
                <c:pt idx="360">
                  <c:v>-</c:v>
                </c:pt>
                <c:pt idx="361">
                  <c:v>-</c:v>
                </c:pt>
                <c:pt idx="362">
                  <c:v>-</c:v>
                </c:pt>
                <c:pt idx="363">
                  <c:v>-</c:v>
                </c:pt>
                <c:pt idx="364">
                  <c:v>-</c:v>
                </c:pt>
                <c:pt idx="365">
                  <c:v>-</c:v>
                </c:pt>
                <c:pt idx="366">
                  <c:v>-</c:v>
                </c:pt>
                <c:pt idx="367">
                  <c:v>-</c:v>
                </c:pt>
                <c:pt idx="368">
                  <c:v>-</c:v>
                </c:pt>
                <c:pt idx="369">
                  <c:v>-</c:v>
                </c:pt>
                <c:pt idx="370">
                  <c:v>-</c:v>
                </c:pt>
                <c:pt idx="371">
                  <c:v>-</c:v>
                </c:pt>
                <c:pt idx="372">
                  <c:v>-</c:v>
                </c:pt>
                <c:pt idx="373">
                  <c:v>-</c:v>
                </c:pt>
                <c:pt idx="374">
                  <c:v>-</c:v>
                </c:pt>
                <c:pt idx="375">
                  <c:v>-</c:v>
                </c:pt>
                <c:pt idx="376">
                  <c:v>-</c:v>
                </c:pt>
                <c:pt idx="377">
                  <c:v>-</c:v>
                </c:pt>
                <c:pt idx="378">
                  <c:v>-</c:v>
                </c:pt>
                <c:pt idx="379">
                  <c:v>-</c:v>
                </c:pt>
                <c:pt idx="380">
                  <c:v>-</c:v>
                </c:pt>
                <c:pt idx="381">
                  <c:v>-</c:v>
                </c:pt>
                <c:pt idx="382">
                  <c:v>-</c:v>
                </c:pt>
                <c:pt idx="383">
                  <c:v>-</c:v>
                </c:pt>
                <c:pt idx="384">
                  <c:v>-</c:v>
                </c:pt>
                <c:pt idx="385">
                  <c:v>-</c:v>
                </c:pt>
                <c:pt idx="386">
                  <c:v>-</c:v>
                </c:pt>
                <c:pt idx="387">
                  <c:v>-</c:v>
                </c:pt>
                <c:pt idx="388">
                  <c:v>-</c:v>
                </c:pt>
                <c:pt idx="389">
                  <c:v>-</c:v>
                </c:pt>
                <c:pt idx="390">
                  <c:v>-</c:v>
                </c:pt>
                <c:pt idx="391">
                  <c:v>-</c:v>
                </c:pt>
                <c:pt idx="392">
                  <c:v>-</c:v>
                </c:pt>
                <c:pt idx="393">
                  <c:v>-</c:v>
                </c:pt>
                <c:pt idx="394">
                  <c:v>-</c:v>
                </c:pt>
                <c:pt idx="395">
                  <c:v>-</c:v>
                </c:pt>
                <c:pt idx="396">
                  <c:v>-</c:v>
                </c:pt>
                <c:pt idx="397">
                  <c:v>-</c:v>
                </c:pt>
                <c:pt idx="398">
                  <c:v>-</c:v>
                </c:pt>
                <c:pt idx="399">
                  <c:v>-</c:v>
                </c:pt>
                <c:pt idx="400">
                  <c:v>-</c:v>
                </c:pt>
                <c:pt idx="401">
                  <c:v>-</c:v>
                </c:pt>
                <c:pt idx="402">
                  <c:v>-</c:v>
                </c:pt>
                <c:pt idx="403">
                  <c:v>-</c:v>
                </c:pt>
                <c:pt idx="404">
                  <c:v>-</c:v>
                </c:pt>
                <c:pt idx="405">
                  <c:v>-</c:v>
                </c:pt>
                <c:pt idx="406">
                  <c:v>-</c:v>
                </c:pt>
                <c:pt idx="407">
                  <c:v>-</c:v>
                </c:pt>
                <c:pt idx="408">
                  <c:v>-</c:v>
                </c:pt>
                <c:pt idx="409">
                  <c:v>-</c:v>
                </c:pt>
                <c:pt idx="410">
                  <c:v>-</c:v>
                </c:pt>
                <c:pt idx="411">
                  <c:v>-</c:v>
                </c:pt>
                <c:pt idx="412">
                  <c:v>-</c:v>
                </c:pt>
                <c:pt idx="413">
                  <c:v>-</c:v>
                </c:pt>
                <c:pt idx="414">
                  <c:v>-</c:v>
                </c:pt>
                <c:pt idx="415">
                  <c:v>-</c:v>
                </c:pt>
                <c:pt idx="416">
                  <c:v>-</c:v>
                </c:pt>
                <c:pt idx="417">
                  <c:v>-</c:v>
                </c:pt>
                <c:pt idx="418">
                  <c:v>-</c:v>
                </c:pt>
                <c:pt idx="419">
                  <c:v>-</c:v>
                </c:pt>
                <c:pt idx="420">
                  <c:v>-</c:v>
                </c:pt>
                <c:pt idx="421">
                  <c:v>-</c:v>
                </c:pt>
                <c:pt idx="422">
                  <c:v>-</c:v>
                </c:pt>
                <c:pt idx="423">
                  <c:v>-</c:v>
                </c:pt>
                <c:pt idx="424">
                  <c:v>-</c:v>
                </c:pt>
                <c:pt idx="425">
                  <c:v>-</c:v>
                </c:pt>
                <c:pt idx="426">
                  <c:v>-</c:v>
                </c:pt>
                <c:pt idx="427">
                  <c:v>-</c:v>
                </c:pt>
                <c:pt idx="428">
                  <c:v>-</c:v>
                </c:pt>
                <c:pt idx="429">
                  <c:v>-</c:v>
                </c:pt>
                <c:pt idx="430">
                  <c:v>-</c:v>
                </c:pt>
                <c:pt idx="431">
                  <c:v>-</c:v>
                </c:pt>
                <c:pt idx="432">
                  <c:v>-</c:v>
                </c:pt>
                <c:pt idx="433">
                  <c:v>-</c:v>
                </c:pt>
                <c:pt idx="434">
                  <c:v>-</c:v>
                </c:pt>
                <c:pt idx="435">
                  <c:v>-</c:v>
                </c:pt>
                <c:pt idx="436">
                  <c:v>-</c:v>
                </c:pt>
                <c:pt idx="437">
                  <c:v>-</c:v>
                </c:pt>
                <c:pt idx="438">
                  <c:v>-</c:v>
                </c:pt>
                <c:pt idx="439">
                  <c:v>-</c:v>
                </c:pt>
                <c:pt idx="440">
                  <c:v>-</c:v>
                </c:pt>
                <c:pt idx="441">
                  <c:v>-</c:v>
                </c:pt>
                <c:pt idx="442">
                  <c:v>-</c:v>
                </c:pt>
                <c:pt idx="443">
                  <c:v>-</c:v>
                </c:pt>
                <c:pt idx="444">
                  <c:v>-</c:v>
                </c:pt>
                <c:pt idx="445">
                  <c:v>-</c:v>
                </c:pt>
                <c:pt idx="446">
                  <c:v>-</c:v>
                </c:pt>
                <c:pt idx="447">
                  <c:v>-</c:v>
                </c:pt>
                <c:pt idx="448">
                  <c:v>-</c:v>
                </c:pt>
                <c:pt idx="449">
                  <c:v>-</c:v>
                </c:pt>
                <c:pt idx="450">
                  <c:v>-</c:v>
                </c:pt>
                <c:pt idx="451">
                  <c:v>-</c:v>
                </c:pt>
                <c:pt idx="452">
                  <c:v>-</c:v>
                </c:pt>
                <c:pt idx="453">
                  <c:v>-</c:v>
                </c:pt>
                <c:pt idx="454">
                  <c:v>-</c:v>
                </c:pt>
                <c:pt idx="455">
                  <c:v>-</c:v>
                </c:pt>
                <c:pt idx="456">
                  <c:v>-</c:v>
                </c:pt>
                <c:pt idx="457">
                  <c:v>-</c:v>
                </c:pt>
                <c:pt idx="458">
                  <c:v>-</c:v>
                </c:pt>
                <c:pt idx="459">
                  <c:v>-</c:v>
                </c:pt>
                <c:pt idx="460">
                  <c:v>-</c:v>
                </c:pt>
                <c:pt idx="461">
                  <c:v>-</c:v>
                </c:pt>
                <c:pt idx="462">
                  <c:v>-</c:v>
                </c:pt>
                <c:pt idx="463">
                  <c:v>-</c:v>
                </c:pt>
                <c:pt idx="464">
                  <c:v>-</c:v>
                </c:pt>
                <c:pt idx="465">
                  <c:v>-</c:v>
                </c:pt>
                <c:pt idx="466">
                  <c:v>-</c:v>
                </c:pt>
                <c:pt idx="467">
                  <c:v>-</c:v>
                </c:pt>
                <c:pt idx="468">
                  <c:v>-</c:v>
                </c:pt>
                <c:pt idx="469">
                  <c:v>-</c:v>
                </c:pt>
                <c:pt idx="470">
                  <c:v>-</c:v>
                </c:pt>
                <c:pt idx="471">
                  <c:v>-</c:v>
                </c:pt>
                <c:pt idx="472">
                  <c:v>-</c:v>
                </c:pt>
                <c:pt idx="473">
                  <c:v>-</c:v>
                </c:pt>
                <c:pt idx="474">
                  <c:v>-</c:v>
                </c:pt>
                <c:pt idx="475">
                  <c:v>-</c:v>
                </c:pt>
                <c:pt idx="476">
                  <c:v>-</c:v>
                </c:pt>
                <c:pt idx="477">
                  <c:v>-</c:v>
                </c:pt>
                <c:pt idx="478">
                  <c:v>-</c:v>
                </c:pt>
                <c:pt idx="479">
                  <c:v>-</c:v>
                </c:pt>
                <c:pt idx="480">
                  <c:v>-</c:v>
                </c:pt>
                <c:pt idx="481">
                  <c:v>-</c:v>
                </c:pt>
                <c:pt idx="482">
                  <c:v>-</c:v>
                </c:pt>
                <c:pt idx="483">
                  <c:v>-</c:v>
                </c:pt>
                <c:pt idx="484">
                  <c:v>-</c:v>
                </c:pt>
                <c:pt idx="485">
                  <c:v>-</c:v>
                </c:pt>
                <c:pt idx="486">
                  <c:v>-</c:v>
                </c:pt>
                <c:pt idx="487">
                  <c:v>-</c:v>
                </c:pt>
                <c:pt idx="488">
                  <c:v>-</c:v>
                </c:pt>
                <c:pt idx="489">
                  <c:v>-</c:v>
                </c:pt>
                <c:pt idx="490">
                  <c:v>-</c:v>
                </c:pt>
                <c:pt idx="491">
                  <c:v>-</c:v>
                </c:pt>
                <c:pt idx="492">
                  <c:v>-</c:v>
                </c:pt>
                <c:pt idx="493">
                  <c:v>-</c:v>
                </c:pt>
                <c:pt idx="494">
                  <c:v>-</c:v>
                </c:pt>
                <c:pt idx="495">
                  <c:v>-</c:v>
                </c:pt>
                <c:pt idx="496">
                  <c:v>-</c:v>
                </c:pt>
                <c:pt idx="497">
                  <c:v>-</c:v>
                </c:pt>
                <c:pt idx="498">
                  <c:v>-</c:v>
                </c:pt>
                <c:pt idx="499">
                  <c:v>-</c:v>
                </c:pt>
                <c:pt idx="500">
                  <c:v>-</c:v>
                </c:pt>
                <c:pt idx="501">
                  <c:v>-</c:v>
                </c:pt>
                <c:pt idx="502">
                  <c:v>-</c:v>
                </c:pt>
                <c:pt idx="503">
                  <c:v>-</c:v>
                </c:pt>
                <c:pt idx="504">
                  <c:v>-</c:v>
                </c:pt>
                <c:pt idx="505">
                  <c:v>-</c:v>
                </c:pt>
                <c:pt idx="506">
                  <c:v>-</c:v>
                </c:pt>
                <c:pt idx="507">
                  <c:v>-</c:v>
                </c:pt>
                <c:pt idx="508">
                  <c:v>-</c:v>
                </c:pt>
                <c:pt idx="509">
                  <c:v>-</c:v>
                </c:pt>
                <c:pt idx="510">
                  <c:v>-</c:v>
                </c:pt>
                <c:pt idx="511">
                  <c:v>-</c:v>
                </c:pt>
                <c:pt idx="512">
                  <c:v>-</c:v>
                </c:pt>
                <c:pt idx="513">
                  <c:v>-</c:v>
                </c:pt>
                <c:pt idx="514">
                  <c:v>-</c:v>
                </c:pt>
                <c:pt idx="515">
                  <c:v>-</c:v>
                </c:pt>
                <c:pt idx="516">
                  <c:v>-</c:v>
                </c:pt>
                <c:pt idx="517">
                  <c:v>-</c:v>
                </c:pt>
                <c:pt idx="518">
                  <c:v>-</c:v>
                </c:pt>
                <c:pt idx="519">
                  <c:v>-</c:v>
                </c:pt>
                <c:pt idx="520">
                  <c:v>-</c:v>
                </c:pt>
                <c:pt idx="521">
                  <c:v>-</c:v>
                </c:pt>
                <c:pt idx="522">
                  <c:v>-</c:v>
                </c:pt>
                <c:pt idx="523">
                  <c:v>-</c:v>
                </c:pt>
                <c:pt idx="524">
                  <c:v>-</c:v>
                </c:pt>
                <c:pt idx="525">
                  <c:v>-</c:v>
                </c:pt>
                <c:pt idx="526">
                  <c:v>-</c:v>
                </c:pt>
                <c:pt idx="527">
                  <c:v>-</c:v>
                </c:pt>
                <c:pt idx="528">
                  <c:v>-</c:v>
                </c:pt>
                <c:pt idx="529">
                  <c:v>-</c:v>
                </c:pt>
                <c:pt idx="530">
                  <c:v>-</c:v>
                </c:pt>
                <c:pt idx="531">
                  <c:v>-</c:v>
                </c:pt>
                <c:pt idx="532">
                  <c:v>-</c:v>
                </c:pt>
                <c:pt idx="533">
                  <c:v>-</c:v>
                </c:pt>
                <c:pt idx="534">
                  <c:v>-</c:v>
                </c:pt>
                <c:pt idx="535">
                  <c:v>-</c:v>
                </c:pt>
                <c:pt idx="536">
                  <c:v>-</c:v>
                </c:pt>
                <c:pt idx="537">
                  <c:v>-</c:v>
                </c:pt>
                <c:pt idx="538">
                  <c:v>-</c:v>
                </c:pt>
                <c:pt idx="539">
                  <c:v>-</c:v>
                </c:pt>
                <c:pt idx="540">
                  <c:v>-</c:v>
                </c:pt>
                <c:pt idx="541">
                  <c:v>-</c:v>
                </c:pt>
                <c:pt idx="542">
                  <c:v>-</c:v>
                </c:pt>
                <c:pt idx="543">
                  <c:v>-</c:v>
                </c:pt>
                <c:pt idx="544">
                  <c:v>-</c:v>
                </c:pt>
                <c:pt idx="545">
                  <c:v>-</c:v>
                </c:pt>
                <c:pt idx="546">
                  <c:v>-</c:v>
                </c:pt>
                <c:pt idx="547">
                  <c:v>-</c:v>
                </c:pt>
                <c:pt idx="548">
                  <c:v>-</c:v>
                </c:pt>
                <c:pt idx="549">
                  <c:v>-</c:v>
                </c:pt>
                <c:pt idx="550">
                  <c:v>-</c:v>
                </c:pt>
                <c:pt idx="551">
                  <c:v>-</c:v>
                </c:pt>
                <c:pt idx="552">
                  <c:v>-</c:v>
                </c:pt>
                <c:pt idx="553">
                  <c:v>-</c:v>
                </c:pt>
                <c:pt idx="554">
                  <c:v>-</c:v>
                </c:pt>
                <c:pt idx="555">
                  <c:v>-</c:v>
                </c:pt>
                <c:pt idx="556">
                  <c:v>-</c:v>
                </c:pt>
                <c:pt idx="557">
                  <c:v>-</c:v>
                </c:pt>
                <c:pt idx="558">
                  <c:v>-</c:v>
                </c:pt>
                <c:pt idx="559">
                  <c:v>-</c:v>
                </c:pt>
                <c:pt idx="560">
                  <c:v>-</c:v>
                </c:pt>
                <c:pt idx="561">
                  <c:v>-</c:v>
                </c:pt>
                <c:pt idx="562">
                  <c:v>-</c:v>
                </c:pt>
                <c:pt idx="563">
                  <c:v>-</c:v>
                </c:pt>
                <c:pt idx="564">
                  <c:v>-</c:v>
                </c:pt>
                <c:pt idx="565">
                  <c:v>-</c:v>
                </c:pt>
                <c:pt idx="566">
                  <c:v>-</c:v>
                </c:pt>
                <c:pt idx="567">
                  <c:v>-</c:v>
                </c:pt>
                <c:pt idx="568">
                  <c:v>-</c:v>
                </c:pt>
                <c:pt idx="569">
                  <c:v>-</c:v>
                </c:pt>
                <c:pt idx="570">
                  <c:v>-</c:v>
                </c:pt>
                <c:pt idx="571">
                  <c:v>-</c:v>
                </c:pt>
                <c:pt idx="572">
                  <c:v>-</c:v>
                </c:pt>
                <c:pt idx="573">
                  <c:v>-</c:v>
                </c:pt>
                <c:pt idx="574">
                  <c:v>-</c:v>
                </c:pt>
                <c:pt idx="575">
                  <c:v>-</c:v>
                </c:pt>
                <c:pt idx="576">
                  <c:v>-</c:v>
                </c:pt>
                <c:pt idx="577">
                  <c:v>-</c:v>
                </c:pt>
                <c:pt idx="578">
                  <c:v>-</c:v>
                </c:pt>
                <c:pt idx="579">
                  <c:v>-</c:v>
                </c:pt>
                <c:pt idx="580">
                  <c:v>-</c:v>
                </c:pt>
                <c:pt idx="581">
                  <c:v>-</c:v>
                </c:pt>
                <c:pt idx="582">
                  <c:v>-</c:v>
                </c:pt>
                <c:pt idx="583">
                  <c:v>-</c:v>
                </c:pt>
                <c:pt idx="584">
                  <c:v>-</c:v>
                </c:pt>
                <c:pt idx="585">
                  <c:v>-</c:v>
                </c:pt>
                <c:pt idx="586">
                  <c:v>-</c:v>
                </c:pt>
                <c:pt idx="587">
                  <c:v>-</c:v>
                </c:pt>
                <c:pt idx="588">
                  <c:v>-</c:v>
                </c:pt>
                <c:pt idx="589">
                  <c:v>-</c:v>
                </c:pt>
                <c:pt idx="590">
                  <c:v>-</c:v>
                </c:pt>
                <c:pt idx="591">
                  <c:v>-</c:v>
                </c:pt>
                <c:pt idx="592">
                  <c:v>-</c:v>
                </c:pt>
                <c:pt idx="593">
                  <c:v>-</c:v>
                </c:pt>
                <c:pt idx="594">
                  <c:v>-</c:v>
                </c:pt>
                <c:pt idx="595">
                  <c:v>-</c:v>
                </c:pt>
                <c:pt idx="596">
                  <c:v>-</c:v>
                </c:pt>
                <c:pt idx="597">
                  <c:v>-</c:v>
                </c:pt>
                <c:pt idx="598">
                  <c:v>-</c:v>
                </c:pt>
                <c:pt idx="599">
                  <c:v>-</c:v>
                </c:pt>
                <c:pt idx="600">
                  <c:v>-</c:v>
                </c:pt>
                <c:pt idx="601">
                  <c:v>-</c:v>
                </c:pt>
                <c:pt idx="602">
                  <c:v>-</c:v>
                </c:pt>
                <c:pt idx="603">
                  <c:v>-</c:v>
                </c:pt>
                <c:pt idx="604">
                  <c:v>-</c:v>
                </c:pt>
                <c:pt idx="605">
                  <c:v>-</c:v>
                </c:pt>
                <c:pt idx="606">
                  <c:v>-</c:v>
                </c:pt>
                <c:pt idx="607">
                  <c:v>-</c:v>
                </c:pt>
                <c:pt idx="608">
                  <c:v>-</c:v>
                </c:pt>
                <c:pt idx="609">
                  <c:v>-</c:v>
                </c:pt>
                <c:pt idx="610">
                  <c:v>-</c:v>
                </c:pt>
                <c:pt idx="611">
                  <c:v>-</c:v>
                </c:pt>
                <c:pt idx="612">
                  <c:v>-</c:v>
                </c:pt>
                <c:pt idx="613">
                  <c:v>-</c:v>
                </c:pt>
                <c:pt idx="614">
                  <c:v>-</c:v>
                </c:pt>
                <c:pt idx="615">
                  <c:v>-</c:v>
                </c:pt>
                <c:pt idx="616">
                  <c:v>-</c:v>
                </c:pt>
                <c:pt idx="617">
                  <c:v>-</c:v>
                </c:pt>
                <c:pt idx="618">
                  <c:v>-</c:v>
                </c:pt>
                <c:pt idx="619">
                  <c:v>-</c:v>
                </c:pt>
                <c:pt idx="620">
                  <c:v>-</c:v>
                </c:pt>
                <c:pt idx="621">
                  <c:v>-</c:v>
                </c:pt>
                <c:pt idx="622">
                  <c:v>-</c:v>
                </c:pt>
                <c:pt idx="623">
                  <c:v>-</c:v>
                </c:pt>
                <c:pt idx="624">
                  <c:v>-</c:v>
                </c:pt>
                <c:pt idx="625">
                  <c:v>-</c:v>
                </c:pt>
                <c:pt idx="626">
                  <c:v>-</c:v>
                </c:pt>
                <c:pt idx="627">
                  <c:v>-</c:v>
                </c:pt>
                <c:pt idx="628">
                  <c:v>-</c:v>
                </c:pt>
                <c:pt idx="629">
                  <c:v>-</c:v>
                </c:pt>
                <c:pt idx="630">
                  <c:v>-</c:v>
                </c:pt>
                <c:pt idx="631">
                  <c:v>-</c:v>
                </c:pt>
                <c:pt idx="632">
                  <c:v>-</c:v>
                </c:pt>
                <c:pt idx="633">
                  <c:v>-</c:v>
                </c:pt>
                <c:pt idx="634">
                  <c:v>-</c:v>
                </c:pt>
                <c:pt idx="635">
                  <c:v>-</c:v>
                </c:pt>
                <c:pt idx="636">
                  <c:v>-</c:v>
                </c:pt>
                <c:pt idx="637">
                  <c:v>-</c:v>
                </c:pt>
                <c:pt idx="638">
                  <c:v>-</c:v>
                </c:pt>
                <c:pt idx="639">
                  <c:v>-</c:v>
                </c:pt>
                <c:pt idx="640">
                  <c:v>-</c:v>
                </c:pt>
                <c:pt idx="641">
                  <c:v>-</c:v>
                </c:pt>
                <c:pt idx="642">
                  <c:v>-</c:v>
                </c:pt>
                <c:pt idx="643">
                  <c:v>-</c:v>
                </c:pt>
                <c:pt idx="644">
                  <c:v>-</c:v>
                </c:pt>
                <c:pt idx="645">
                  <c:v>-</c:v>
                </c:pt>
                <c:pt idx="646">
                  <c:v>-</c:v>
                </c:pt>
                <c:pt idx="647">
                  <c:v>-</c:v>
                </c:pt>
                <c:pt idx="648">
                  <c:v>-</c:v>
                </c:pt>
                <c:pt idx="649">
                  <c:v>-</c:v>
                </c:pt>
                <c:pt idx="650">
                  <c:v>-</c:v>
                </c:pt>
                <c:pt idx="651">
                  <c:v>-</c:v>
                </c:pt>
                <c:pt idx="652">
                  <c:v>-</c:v>
                </c:pt>
                <c:pt idx="653">
                  <c:v>-</c:v>
                </c:pt>
                <c:pt idx="654">
                  <c:v>-</c:v>
                </c:pt>
                <c:pt idx="655">
                  <c:v>-</c:v>
                </c:pt>
                <c:pt idx="656">
                  <c:v>-</c:v>
                </c:pt>
                <c:pt idx="657">
                  <c:v>-</c:v>
                </c:pt>
                <c:pt idx="658">
                  <c:v>-</c:v>
                </c:pt>
                <c:pt idx="659">
                  <c:v>-</c:v>
                </c:pt>
                <c:pt idx="660">
                  <c:v>-</c:v>
                </c:pt>
                <c:pt idx="661">
                  <c:v>-</c:v>
                </c:pt>
                <c:pt idx="662">
                  <c:v>-</c:v>
                </c:pt>
                <c:pt idx="663">
                  <c:v>-</c:v>
                </c:pt>
                <c:pt idx="664">
                  <c:v>-</c:v>
                </c:pt>
                <c:pt idx="665">
                  <c:v>-</c:v>
                </c:pt>
                <c:pt idx="666">
                  <c:v>-</c:v>
                </c:pt>
                <c:pt idx="667">
                  <c:v>-</c:v>
                </c:pt>
                <c:pt idx="668">
                  <c:v>-</c:v>
                </c:pt>
                <c:pt idx="669">
                  <c:v>-</c:v>
                </c:pt>
                <c:pt idx="670">
                  <c:v>-</c:v>
                </c:pt>
                <c:pt idx="671">
                  <c:v>-</c:v>
                </c:pt>
                <c:pt idx="672">
                  <c:v>-</c:v>
                </c:pt>
                <c:pt idx="673">
                  <c:v>-</c:v>
                </c:pt>
                <c:pt idx="674">
                  <c:v>-</c:v>
                </c:pt>
                <c:pt idx="675">
                  <c:v>-</c:v>
                </c:pt>
                <c:pt idx="676">
                  <c:v>-</c:v>
                </c:pt>
                <c:pt idx="677">
                  <c:v>-</c:v>
                </c:pt>
                <c:pt idx="678">
                  <c:v>-</c:v>
                </c:pt>
                <c:pt idx="679">
                  <c:v>-</c:v>
                </c:pt>
                <c:pt idx="680">
                  <c:v>-</c:v>
                </c:pt>
                <c:pt idx="681">
                  <c:v>-</c:v>
                </c:pt>
                <c:pt idx="682">
                  <c:v>-</c:v>
                </c:pt>
                <c:pt idx="683">
                  <c:v>-</c:v>
                </c:pt>
                <c:pt idx="684">
                  <c:v>-</c:v>
                </c:pt>
                <c:pt idx="685">
                  <c:v>-</c:v>
                </c:pt>
                <c:pt idx="686">
                  <c:v>-</c:v>
                </c:pt>
                <c:pt idx="687">
                  <c:v>-</c:v>
                </c:pt>
                <c:pt idx="688">
                  <c:v>-</c:v>
                </c:pt>
                <c:pt idx="689">
                  <c:v>-</c:v>
                </c:pt>
                <c:pt idx="690">
                  <c:v>-</c:v>
                </c:pt>
                <c:pt idx="691">
                  <c:v>-</c:v>
                </c:pt>
                <c:pt idx="692">
                  <c:v>-</c:v>
                </c:pt>
                <c:pt idx="693">
                  <c:v>-</c:v>
                </c:pt>
                <c:pt idx="694">
                  <c:v>-</c:v>
                </c:pt>
                <c:pt idx="695">
                  <c:v>-</c:v>
                </c:pt>
                <c:pt idx="696">
                  <c:v>-</c:v>
                </c:pt>
                <c:pt idx="697">
                  <c:v>-</c:v>
                </c:pt>
                <c:pt idx="698">
                  <c:v>-</c:v>
                </c:pt>
                <c:pt idx="699">
                  <c:v>-</c:v>
                </c:pt>
                <c:pt idx="700">
                  <c:v>-</c:v>
                </c:pt>
                <c:pt idx="701">
                  <c:v>-</c:v>
                </c:pt>
                <c:pt idx="702">
                  <c:v>-</c:v>
                </c:pt>
                <c:pt idx="703">
                  <c:v>-</c:v>
                </c:pt>
                <c:pt idx="704">
                  <c:v>-</c:v>
                </c:pt>
                <c:pt idx="705">
                  <c:v>-</c:v>
                </c:pt>
                <c:pt idx="706">
                  <c:v>-</c:v>
                </c:pt>
                <c:pt idx="707">
                  <c:v>-</c:v>
                </c:pt>
                <c:pt idx="708">
                  <c:v>-</c:v>
                </c:pt>
                <c:pt idx="709">
                  <c:v>-</c:v>
                </c:pt>
                <c:pt idx="710">
                  <c:v>-</c:v>
                </c:pt>
                <c:pt idx="711">
                  <c:v>-</c:v>
                </c:pt>
                <c:pt idx="712">
                  <c:v>-</c:v>
                </c:pt>
                <c:pt idx="713">
                  <c:v>-</c:v>
                </c:pt>
                <c:pt idx="714">
                  <c:v>-</c:v>
                </c:pt>
                <c:pt idx="715">
                  <c:v>-</c:v>
                </c:pt>
                <c:pt idx="716">
                  <c:v>-</c:v>
                </c:pt>
                <c:pt idx="717">
                  <c:v>-</c:v>
                </c:pt>
                <c:pt idx="718">
                  <c:v>-</c:v>
                </c:pt>
                <c:pt idx="719">
                  <c:v>-</c:v>
                </c:pt>
                <c:pt idx="720">
                  <c:v>-</c:v>
                </c:pt>
                <c:pt idx="721">
                  <c:v>-</c:v>
                </c:pt>
                <c:pt idx="722">
                  <c:v>-</c:v>
                </c:pt>
                <c:pt idx="723">
                  <c:v>-</c:v>
                </c:pt>
                <c:pt idx="724">
                  <c:v>-</c:v>
                </c:pt>
                <c:pt idx="725">
                  <c:v>-</c:v>
                </c:pt>
                <c:pt idx="726">
                  <c:v>-</c:v>
                </c:pt>
                <c:pt idx="727">
                  <c:v>-</c:v>
                </c:pt>
                <c:pt idx="728">
                  <c:v>-</c:v>
                </c:pt>
                <c:pt idx="729">
                  <c:v>-</c:v>
                </c:pt>
                <c:pt idx="730">
                  <c:v>-</c:v>
                </c:pt>
                <c:pt idx="731">
                  <c:v>-</c:v>
                </c:pt>
                <c:pt idx="732">
                  <c:v>-</c:v>
                </c:pt>
                <c:pt idx="733">
                  <c:v>-</c:v>
                </c:pt>
                <c:pt idx="734">
                  <c:v>-</c:v>
                </c:pt>
                <c:pt idx="735">
                  <c:v>-</c:v>
                </c:pt>
                <c:pt idx="736">
                  <c:v>-</c:v>
                </c:pt>
                <c:pt idx="737">
                  <c:v>-</c:v>
                </c:pt>
                <c:pt idx="738">
                  <c:v>-</c:v>
                </c:pt>
                <c:pt idx="739">
                  <c:v>-</c:v>
                </c:pt>
                <c:pt idx="740">
                  <c:v>-</c:v>
                </c:pt>
                <c:pt idx="741">
                  <c:v>-</c:v>
                </c:pt>
                <c:pt idx="742">
                  <c:v>-</c:v>
                </c:pt>
                <c:pt idx="743">
                  <c:v>-</c:v>
                </c:pt>
                <c:pt idx="744">
                  <c:v>-</c:v>
                </c:pt>
                <c:pt idx="745">
                  <c:v>-</c:v>
                </c:pt>
                <c:pt idx="746">
                  <c:v>-</c:v>
                </c:pt>
                <c:pt idx="747">
                  <c:v>-</c:v>
                </c:pt>
                <c:pt idx="748">
                  <c:v>-</c:v>
                </c:pt>
                <c:pt idx="749">
                  <c:v>-</c:v>
                </c:pt>
                <c:pt idx="750">
                  <c:v>-</c:v>
                </c:pt>
                <c:pt idx="751">
                  <c:v>-</c:v>
                </c:pt>
                <c:pt idx="752">
                  <c:v>-</c:v>
                </c:pt>
                <c:pt idx="753">
                  <c:v>-</c:v>
                </c:pt>
                <c:pt idx="754">
                  <c:v>-</c:v>
                </c:pt>
                <c:pt idx="755">
                  <c:v>-</c:v>
                </c:pt>
                <c:pt idx="756">
                  <c:v>-</c:v>
                </c:pt>
                <c:pt idx="757">
                  <c:v>-</c:v>
                </c:pt>
                <c:pt idx="758">
                  <c:v>-</c:v>
                </c:pt>
                <c:pt idx="759">
                  <c:v>-</c:v>
                </c:pt>
                <c:pt idx="760">
                  <c:v>-</c:v>
                </c:pt>
                <c:pt idx="761">
                  <c:v>-</c:v>
                </c:pt>
                <c:pt idx="762">
                  <c:v>-</c:v>
                </c:pt>
                <c:pt idx="763">
                  <c:v>-</c:v>
                </c:pt>
                <c:pt idx="764">
                  <c:v>-</c:v>
                </c:pt>
                <c:pt idx="765">
                  <c:v>-</c:v>
                </c:pt>
                <c:pt idx="766">
                  <c:v>-</c:v>
                </c:pt>
                <c:pt idx="767">
                  <c:v>-</c:v>
                </c:pt>
                <c:pt idx="768">
                  <c:v>-</c:v>
                </c:pt>
                <c:pt idx="769">
                  <c:v>-</c:v>
                </c:pt>
                <c:pt idx="770">
                  <c:v>-</c:v>
                </c:pt>
                <c:pt idx="771">
                  <c:v>-</c:v>
                </c:pt>
                <c:pt idx="772">
                  <c:v>-</c:v>
                </c:pt>
                <c:pt idx="773">
                  <c:v>-</c:v>
                </c:pt>
                <c:pt idx="774">
                  <c:v>-</c:v>
                </c:pt>
                <c:pt idx="775">
                  <c:v>-</c:v>
                </c:pt>
                <c:pt idx="776">
                  <c:v>-</c:v>
                </c:pt>
                <c:pt idx="777">
                  <c:v>-</c:v>
                </c:pt>
                <c:pt idx="778">
                  <c:v>-</c:v>
                </c:pt>
                <c:pt idx="779">
                  <c:v>-</c:v>
                </c:pt>
                <c:pt idx="780">
                  <c:v>-</c:v>
                </c:pt>
                <c:pt idx="781">
                  <c:v>-</c:v>
                </c:pt>
                <c:pt idx="782">
                  <c:v>-</c:v>
                </c:pt>
                <c:pt idx="783">
                  <c:v>-</c:v>
                </c:pt>
                <c:pt idx="784">
                  <c:v>-</c:v>
                </c:pt>
                <c:pt idx="785">
                  <c:v>benign</c:v>
                </c:pt>
                <c:pt idx="786">
                  <c:v>benign</c:v>
                </c:pt>
                <c:pt idx="787">
                  <c:v>benign</c:v>
                </c:pt>
                <c:pt idx="788">
                  <c:v>benign</c:v>
                </c:pt>
                <c:pt idx="789">
                  <c:v>benign</c:v>
                </c:pt>
                <c:pt idx="790">
                  <c:v>benign</c:v>
                </c:pt>
                <c:pt idx="791">
                  <c:v>benign</c:v>
                </c:pt>
                <c:pt idx="792">
                  <c:v>benign</c:v>
                </c:pt>
                <c:pt idx="793">
                  <c:v>benign</c:v>
                </c:pt>
                <c:pt idx="794">
                  <c:v>benign</c:v>
                </c:pt>
                <c:pt idx="795">
                  <c:v>benign</c:v>
                </c:pt>
                <c:pt idx="796">
                  <c:v>benign</c:v>
                </c:pt>
                <c:pt idx="797">
                  <c:v>benign</c:v>
                </c:pt>
                <c:pt idx="798">
                  <c:v>benign</c:v>
                </c:pt>
                <c:pt idx="799">
                  <c:v>benign</c:v>
                </c:pt>
                <c:pt idx="800">
                  <c:v>benign</c:v>
                </c:pt>
                <c:pt idx="801">
                  <c:v>benign</c:v>
                </c:pt>
                <c:pt idx="802">
                  <c:v>benign</c:v>
                </c:pt>
                <c:pt idx="803">
                  <c:v>benign</c:v>
                </c:pt>
                <c:pt idx="804">
                  <c:v>benign</c:v>
                </c:pt>
                <c:pt idx="805">
                  <c:v>benign</c:v>
                </c:pt>
                <c:pt idx="806">
                  <c:v>benign</c:v>
                </c:pt>
                <c:pt idx="807">
                  <c:v>benign</c:v>
                </c:pt>
                <c:pt idx="808">
                  <c:v>benign</c:v>
                </c:pt>
                <c:pt idx="809">
                  <c:v>benign</c:v>
                </c:pt>
                <c:pt idx="810">
                  <c:v>benign</c:v>
                </c:pt>
                <c:pt idx="811">
                  <c:v>benign</c:v>
                </c:pt>
                <c:pt idx="812">
                  <c:v>benign</c:v>
                </c:pt>
                <c:pt idx="813">
                  <c:v>benign</c:v>
                </c:pt>
                <c:pt idx="814">
                  <c:v>benign</c:v>
                </c:pt>
                <c:pt idx="815">
                  <c:v>benign</c:v>
                </c:pt>
                <c:pt idx="816">
                  <c:v>benign</c:v>
                </c:pt>
                <c:pt idx="817">
                  <c:v>benign</c:v>
                </c:pt>
                <c:pt idx="818">
                  <c:v>benign</c:v>
                </c:pt>
                <c:pt idx="819">
                  <c:v>benign</c:v>
                </c:pt>
                <c:pt idx="820">
                  <c:v>benign</c:v>
                </c:pt>
                <c:pt idx="821">
                  <c:v>benign</c:v>
                </c:pt>
                <c:pt idx="822">
                  <c:v>benign</c:v>
                </c:pt>
                <c:pt idx="823">
                  <c:v>benign</c:v>
                </c:pt>
                <c:pt idx="824">
                  <c:v>benign</c:v>
                </c:pt>
                <c:pt idx="825">
                  <c:v>benign</c:v>
                </c:pt>
                <c:pt idx="826">
                  <c:v>benign</c:v>
                </c:pt>
                <c:pt idx="827">
                  <c:v>benign</c:v>
                </c:pt>
                <c:pt idx="828">
                  <c:v>benign</c:v>
                </c:pt>
                <c:pt idx="829">
                  <c:v>benign</c:v>
                </c:pt>
                <c:pt idx="830">
                  <c:v>benign</c:v>
                </c:pt>
                <c:pt idx="831">
                  <c:v>benign</c:v>
                </c:pt>
                <c:pt idx="832">
                  <c:v>benign</c:v>
                </c:pt>
                <c:pt idx="833">
                  <c:v>benign</c:v>
                </c:pt>
                <c:pt idx="834">
                  <c:v>benign</c:v>
                </c:pt>
                <c:pt idx="835">
                  <c:v>benign</c:v>
                </c:pt>
                <c:pt idx="836">
                  <c:v>benign</c:v>
                </c:pt>
                <c:pt idx="837">
                  <c:v>benign</c:v>
                </c:pt>
                <c:pt idx="838">
                  <c:v>benign</c:v>
                </c:pt>
                <c:pt idx="839">
                  <c:v>benign</c:v>
                </c:pt>
                <c:pt idx="840">
                  <c:v>benign</c:v>
                </c:pt>
                <c:pt idx="841">
                  <c:v>benign</c:v>
                </c:pt>
                <c:pt idx="842">
                  <c:v>benign</c:v>
                </c:pt>
                <c:pt idx="843">
                  <c:v>benign</c:v>
                </c:pt>
                <c:pt idx="844">
                  <c:v>benign</c:v>
                </c:pt>
                <c:pt idx="845">
                  <c:v>benign</c:v>
                </c:pt>
                <c:pt idx="846">
                  <c:v>benign</c:v>
                </c:pt>
                <c:pt idx="847">
                  <c:v>benign</c:v>
                </c:pt>
                <c:pt idx="848">
                  <c:v>benign</c:v>
                </c:pt>
                <c:pt idx="849">
                  <c:v>benign</c:v>
                </c:pt>
                <c:pt idx="850">
                  <c:v>benign</c:v>
                </c:pt>
                <c:pt idx="851">
                  <c:v>benign</c:v>
                </c:pt>
                <c:pt idx="852">
                  <c:v>benign</c:v>
                </c:pt>
                <c:pt idx="853">
                  <c:v>benign</c:v>
                </c:pt>
                <c:pt idx="854">
                  <c:v>benign</c:v>
                </c:pt>
                <c:pt idx="855">
                  <c:v>benign</c:v>
                </c:pt>
                <c:pt idx="856">
                  <c:v>benign</c:v>
                </c:pt>
                <c:pt idx="857">
                  <c:v>benign</c:v>
                </c:pt>
                <c:pt idx="858">
                  <c:v>benign</c:v>
                </c:pt>
                <c:pt idx="859">
                  <c:v>benign</c:v>
                </c:pt>
                <c:pt idx="860">
                  <c:v>benign</c:v>
                </c:pt>
                <c:pt idx="861">
                  <c:v>benign</c:v>
                </c:pt>
                <c:pt idx="862">
                  <c:v>benign</c:v>
                </c:pt>
                <c:pt idx="863">
                  <c:v>benign</c:v>
                </c:pt>
                <c:pt idx="864">
                  <c:v>benign</c:v>
                </c:pt>
                <c:pt idx="865">
                  <c:v>benign</c:v>
                </c:pt>
                <c:pt idx="866">
                  <c:v>benign</c:v>
                </c:pt>
                <c:pt idx="867">
                  <c:v>benign</c:v>
                </c:pt>
                <c:pt idx="868">
                  <c:v>benign</c:v>
                </c:pt>
                <c:pt idx="869">
                  <c:v>benign</c:v>
                </c:pt>
                <c:pt idx="870">
                  <c:v>benign</c:v>
                </c:pt>
                <c:pt idx="871">
                  <c:v>benign</c:v>
                </c:pt>
                <c:pt idx="872">
                  <c:v>benign</c:v>
                </c:pt>
                <c:pt idx="873">
                  <c:v>benign</c:v>
                </c:pt>
                <c:pt idx="874">
                  <c:v>benign</c:v>
                </c:pt>
                <c:pt idx="875">
                  <c:v>benign</c:v>
                </c:pt>
                <c:pt idx="876">
                  <c:v>benign</c:v>
                </c:pt>
                <c:pt idx="877">
                  <c:v>benign</c:v>
                </c:pt>
                <c:pt idx="878">
                  <c:v>benign</c:v>
                </c:pt>
                <c:pt idx="879">
                  <c:v>benign</c:v>
                </c:pt>
                <c:pt idx="880">
                  <c:v>benign</c:v>
                </c:pt>
                <c:pt idx="881">
                  <c:v>benign</c:v>
                </c:pt>
                <c:pt idx="882">
                  <c:v>benign</c:v>
                </c:pt>
                <c:pt idx="883">
                  <c:v>benign</c:v>
                </c:pt>
                <c:pt idx="884">
                  <c:v>benign</c:v>
                </c:pt>
                <c:pt idx="885">
                  <c:v>benign</c:v>
                </c:pt>
                <c:pt idx="886">
                  <c:v>benign</c:v>
                </c:pt>
                <c:pt idx="887">
                  <c:v>benign</c:v>
                </c:pt>
                <c:pt idx="888">
                  <c:v>benign</c:v>
                </c:pt>
                <c:pt idx="889">
                  <c:v>benign</c:v>
                </c:pt>
                <c:pt idx="890">
                  <c:v>benign</c:v>
                </c:pt>
                <c:pt idx="891">
                  <c:v>benign</c:v>
                </c:pt>
                <c:pt idx="892">
                  <c:v>benign</c:v>
                </c:pt>
                <c:pt idx="893">
                  <c:v>benign</c:v>
                </c:pt>
                <c:pt idx="894">
                  <c:v>benign</c:v>
                </c:pt>
                <c:pt idx="895">
                  <c:v>benign</c:v>
                </c:pt>
                <c:pt idx="896">
                  <c:v>benign</c:v>
                </c:pt>
                <c:pt idx="897">
                  <c:v>benign</c:v>
                </c:pt>
                <c:pt idx="898">
                  <c:v>benign</c:v>
                </c:pt>
                <c:pt idx="899">
                  <c:v>benign</c:v>
                </c:pt>
                <c:pt idx="900">
                  <c:v>benign</c:v>
                </c:pt>
                <c:pt idx="901">
                  <c:v>benign</c:v>
                </c:pt>
                <c:pt idx="902">
                  <c:v>benign</c:v>
                </c:pt>
                <c:pt idx="903">
                  <c:v>benign</c:v>
                </c:pt>
                <c:pt idx="904">
                  <c:v>benign</c:v>
                </c:pt>
                <c:pt idx="905">
                  <c:v>benign</c:v>
                </c:pt>
                <c:pt idx="906">
                  <c:v>benign</c:v>
                </c:pt>
                <c:pt idx="907">
                  <c:v>benign</c:v>
                </c:pt>
                <c:pt idx="908">
                  <c:v>benign</c:v>
                </c:pt>
                <c:pt idx="909">
                  <c:v>benign</c:v>
                </c:pt>
                <c:pt idx="910">
                  <c:v>benign</c:v>
                </c:pt>
                <c:pt idx="911">
                  <c:v>benign</c:v>
                </c:pt>
                <c:pt idx="912">
                  <c:v>benign</c:v>
                </c:pt>
                <c:pt idx="913">
                  <c:v>benign</c:v>
                </c:pt>
                <c:pt idx="914">
                  <c:v>benign</c:v>
                </c:pt>
                <c:pt idx="915">
                  <c:v>benign</c:v>
                </c:pt>
                <c:pt idx="916">
                  <c:v>benign</c:v>
                </c:pt>
                <c:pt idx="917">
                  <c:v>benign</c:v>
                </c:pt>
                <c:pt idx="918">
                  <c:v>benign</c:v>
                </c:pt>
                <c:pt idx="919">
                  <c:v>benign</c:v>
                </c:pt>
                <c:pt idx="920">
                  <c:v>benign</c:v>
                </c:pt>
                <c:pt idx="921">
                  <c:v>benign</c:v>
                </c:pt>
                <c:pt idx="922">
                  <c:v>benign</c:v>
                </c:pt>
                <c:pt idx="923">
                  <c:v>benign</c:v>
                </c:pt>
                <c:pt idx="924">
                  <c:v>benign</c:v>
                </c:pt>
                <c:pt idx="925">
                  <c:v>benign</c:v>
                </c:pt>
                <c:pt idx="926">
                  <c:v>benign</c:v>
                </c:pt>
                <c:pt idx="927">
                  <c:v>benign</c:v>
                </c:pt>
                <c:pt idx="928">
                  <c:v>benign</c:v>
                </c:pt>
                <c:pt idx="929">
                  <c:v>benign</c:v>
                </c:pt>
                <c:pt idx="930">
                  <c:v>benign</c:v>
                </c:pt>
                <c:pt idx="931">
                  <c:v>benign</c:v>
                </c:pt>
                <c:pt idx="932">
                  <c:v>benign</c:v>
                </c:pt>
                <c:pt idx="933">
                  <c:v>benign</c:v>
                </c:pt>
                <c:pt idx="934">
                  <c:v>benign</c:v>
                </c:pt>
                <c:pt idx="935">
                  <c:v>benign</c:v>
                </c:pt>
                <c:pt idx="936">
                  <c:v>benign</c:v>
                </c:pt>
                <c:pt idx="937">
                  <c:v>benign</c:v>
                </c:pt>
                <c:pt idx="938">
                  <c:v>benign</c:v>
                </c:pt>
                <c:pt idx="939">
                  <c:v>benign</c:v>
                </c:pt>
                <c:pt idx="940">
                  <c:v>benign</c:v>
                </c:pt>
                <c:pt idx="941">
                  <c:v>benign</c:v>
                </c:pt>
                <c:pt idx="942">
                  <c:v>benign</c:v>
                </c:pt>
                <c:pt idx="943">
                  <c:v>benign</c:v>
                </c:pt>
                <c:pt idx="944">
                  <c:v>benign</c:v>
                </c:pt>
                <c:pt idx="945">
                  <c:v>benign</c:v>
                </c:pt>
                <c:pt idx="946">
                  <c:v>benign</c:v>
                </c:pt>
                <c:pt idx="947">
                  <c:v>benign</c:v>
                </c:pt>
                <c:pt idx="948">
                  <c:v>benign</c:v>
                </c:pt>
                <c:pt idx="949">
                  <c:v>benign</c:v>
                </c:pt>
                <c:pt idx="950">
                  <c:v>benign</c:v>
                </c:pt>
                <c:pt idx="951">
                  <c:v>benign</c:v>
                </c:pt>
                <c:pt idx="952">
                  <c:v>benign</c:v>
                </c:pt>
                <c:pt idx="953">
                  <c:v>benign</c:v>
                </c:pt>
                <c:pt idx="954">
                  <c:v>benign</c:v>
                </c:pt>
                <c:pt idx="955">
                  <c:v>benign</c:v>
                </c:pt>
                <c:pt idx="956">
                  <c:v>benign</c:v>
                </c:pt>
                <c:pt idx="957">
                  <c:v>benign</c:v>
                </c:pt>
                <c:pt idx="958">
                  <c:v>benign</c:v>
                </c:pt>
                <c:pt idx="959">
                  <c:v>benign</c:v>
                </c:pt>
                <c:pt idx="960">
                  <c:v>benign</c:v>
                </c:pt>
                <c:pt idx="961">
                  <c:v>benign</c:v>
                </c:pt>
                <c:pt idx="962">
                  <c:v>benign</c:v>
                </c:pt>
                <c:pt idx="963">
                  <c:v>benign</c:v>
                </c:pt>
                <c:pt idx="964">
                  <c:v>benign</c:v>
                </c:pt>
                <c:pt idx="965">
                  <c:v>benign</c:v>
                </c:pt>
                <c:pt idx="966">
                  <c:v>benign</c:v>
                </c:pt>
                <c:pt idx="967">
                  <c:v>benign</c:v>
                </c:pt>
                <c:pt idx="968">
                  <c:v>benign</c:v>
                </c:pt>
                <c:pt idx="969">
                  <c:v>benign</c:v>
                </c:pt>
                <c:pt idx="970">
                  <c:v>benign</c:v>
                </c:pt>
                <c:pt idx="971">
                  <c:v>benign</c:v>
                </c:pt>
                <c:pt idx="972">
                  <c:v>benign</c:v>
                </c:pt>
                <c:pt idx="973">
                  <c:v>benign</c:v>
                </c:pt>
                <c:pt idx="974">
                  <c:v>benign</c:v>
                </c:pt>
                <c:pt idx="975">
                  <c:v>benign</c:v>
                </c:pt>
                <c:pt idx="976">
                  <c:v>benign</c:v>
                </c:pt>
                <c:pt idx="977">
                  <c:v>benign</c:v>
                </c:pt>
                <c:pt idx="978">
                  <c:v>benign</c:v>
                </c:pt>
                <c:pt idx="979">
                  <c:v>benign</c:v>
                </c:pt>
                <c:pt idx="980">
                  <c:v>benign</c:v>
                </c:pt>
                <c:pt idx="981">
                  <c:v>benign</c:v>
                </c:pt>
                <c:pt idx="982">
                  <c:v>benign</c:v>
                </c:pt>
                <c:pt idx="983">
                  <c:v>benign</c:v>
                </c:pt>
                <c:pt idx="984">
                  <c:v>benign</c:v>
                </c:pt>
                <c:pt idx="985">
                  <c:v>benign</c:v>
                </c:pt>
                <c:pt idx="986">
                  <c:v>benign</c:v>
                </c:pt>
                <c:pt idx="987">
                  <c:v>benign</c:v>
                </c:pt>
                <c:pt idx="988">
                  <c:v>benign</c:v>
                </c:pt>
                <c:pt idx="989">
                  <c:v>benign</c:v>
                </c:pt>
                <c:pt idx="990">
                  <c:v>benign</c:v>
                </c:pt>
                <c:pt idx="991">
                  <c:v>benign</c:v>
                </c:pt>
                <c:pt idx="992">
                  <c:v>benign</c:v>
                </c:pt>
                <c:pt idx="993">
                  <c:v>benign</c:v>
                </c:pt>
                <c:pt idx="994">
                  <c:v>benign</c:v>
                </c:pt>
                <c:pt idx="995">
                  <c:v>benign</c:v>
                </c:pt>
                <c:pt idx="996">
                  <c:v>benign</c:v>
                </c:pt>
                <c:pt idx="997">
                  <c:v>benign</c:v>
                </c:pt>
                <c:pt idx="998">
                  <c:v>benign</c:v>
                </c:pt>
                <c:pt idx="999">
                  <c:v>benign</c:v>
                </c:pt>
                <c:pt idx="1000">
                  <c:v>benign</c:v>
                </c:pt>
                <c:pt idx="1001">
                  <c:v>benign</c:v>
                </c:pt>
                <c:pt idx="1002">
                  <c:v>benign</c:v>
                </c:pt>
                <c:pt idx="1003">
                  <c:v>benign</c:v>
                </c:pt>
                <c:pt idx="1004">
                  <c:v>benign</c:v>
                </c:pt>
                <c:pt idx="1005">
                  <c:v>benign</c:v>
                </c:pt>
                <c:pt idx="1006">
                  <c:v>benign</c:v>
                </c:pt>
                <c:pt idx="1007">
                  <c:v>benign</c:v>
                </c:pt>
                <c:pt idx="1008">
                  <c:v>benign</c:v>
                </c:pt>
                <c:pt idx="1009">
                  <c:v>benign</c:v>
                </c:pt>
                <c:pt idx="1010">
                  <c:v>benign</c:v>
                </c:pt>
                <c:pt idx="1011">
                  <c:v>benign</c:v>
                </c:pt>
                <c:pt idx="1012">
                  <c:v>benign</c:v>
                </c:pt>
                <c:pt idx="1013">
                  <c:v>benign</c:v>
                </c:pt>
                <c:pt idx="1014">
                  <c:v>benign</c:v>
                </c:pt>
                <c:pt idx="1015">
                  <c:v>benign</c:v>
                </c:pt>
                <c:pt idx="1016">
                  <c:v>benign</c:v>
                </c:pt>
                <c:pt idx="1017">
                  <c:v>benign</c:v>
                </c:pt>
                <c:pt idx="1018">
                  <c:v>benign</c:v>
                </c:pt>
                <c:pt idx="1019">
                  <c:v>benign</c:v>
                </c:pt>
                <c:pt idx="1020">
                  <c:v>benign</c:v>
                </c:pt>
                <c:pt idx="1021">
                  <c:v>benign</c:v>
                </c:pt>
                <c:pt idx="1022">
                  <c:v>benign</c:v>
                </c:pt>
                <c:pt idx="1023">
                  <c:v>benign</c:v>
                </c:pt>
                <c:pt idx="1024">
                  <c:v>benign</c:v>
                </c:pt>
                <c:pt idx="1025">
                  <c:v>benign</c:v>
                </c:pt>
                <c:pt idx="1026">
                  <c:v>benign</c:v>
                </c:pt>
                <c:pt idx="1027">
                  <c:v>benign</c:v>
                </c:pt>
                <c:pt idx="1028">
                  <c:v>benign</c:v>
                </c:pt>
                <c:pt idx="1029">
                  <c:v>benign</c:v>
                </c:pt>
                <c:pt idx="1030">
                  <c:v>benign</c:v>
                </c:pt>
                <c:pt idx="1031">
                  <c:v>benign</c:v>
                </c:pt>
                <c:pt idx="1032">
                  <c:v>benign</c:v>
                </c:pt>
                <c:pt idx="1033">
                  <c:v>benign</c:v>
                </c:pt>
                <c:pt idx="1034">
                  <c:v>benign</c:v>
                </c:pt>
                <c:pt idx="1035">
                  <c:v>benign</c:v>
                </c:pt>
                <c:pt idx="1036">
                  <c:v>benign</c:v>
                </c:pt>
                <c:pt idx="1037">
                  <c:v>benign</c:v>
                </c:pt>
                <c:pt idx="1038">
                  <c:v>benign</c:v>
                </c:pt>
                <c:pt idx="1039">
                  <c:v>benign</c:v>
                </c:pt>
                <c:pt idx="1040">
                  <c:v>benign</c:v>
                </c:pt>
                <c:pt idx="1041">
                  <c:v>benign</c:v>
                </c:pt>
                <c:pt idx="1042">
                  <c:v>benign</c:v>
                </c:pt>
                <c:pt idx="1043">
                  <c:v>benign</c:v>
                </c:pt>
                <c:pt idx="1044">
                  <c:v>benign</c:v>
                </c:pt>
                <c:pt idx="1045">
                  <c:v>benign</c:v>
                </c:pt>
                <c:pt idx="1046">
                  <c:v>benign</c:v>
                </c:pt>
                <c:pt idx="1047">
                  <c:v>benign</c:v>
                </c:pt>
                <c:pt idx="1048">
                  <c:v>benign</c:v>
                </c:pt>
                <c:pt idx="1049">
                  <c:v>benign</c:v>
                </c:pt>
                <c:pt idx="1050">
                  <c:v>benign</c:v>
                </c:pt>
                <c:pt idx="1051">
                  <c:v>benign</c:v>
                </c:pt>
                <c:pt idx="1052">
                  <c:v>benign</c:v>
                </c:pt>
                <c:pt idx="1053">
                  <c:v>benign</c:v>
                </c:pt>
                <c:pt idx="1054">
                  <c:v>benign</c:v>
                </c:pt>
                <c:pt idx="1055">
                  <c:v>benign</c:v>
                </c:pt>
                <c:pt idx="1056">
                  <c:v>benign</c:v>
                </c:pt>
                <c:pt idx="1057">
                  <c:v>benign</c:v>
                </c:pt>
                <c:pt idx="1058">
                  <c:v>benign</c:v>
                </c:pt>
                <c:pt idx="1059">
                  <c:v>benign</c:v>
                </c:pt>
                <c:pt idx="1060">
                  <c:v>benign</c:v>
                </c:pt>
                <c:pt idx="1061">
                  <c:v>benign</c:v>
                </c:pt>
                <c:pt idx="1062">
                  <c:v>benign</c:v>
                </c:pt>
                <c:pt idx="1063">
                  <c:v>benign</c:v>
                </c:pt>
                <c:pt idx="1064">
                  <c:v>benign</c:v>
                </c:pt>
                <c:pt idx="1065">
                  <c:v>benign</c:v>
                </c:pt>
                <c:pt idx="1066">
                  <c:v>benign</c:v>
                </c:pt>
                <c:pt idx="1067">
                  <c:v>benign</c:v>
                </c:pt>
                <c:pt idx="1068">
                  <c:v>benign</c:v>
                </c:pt>
                <c:pt idx="1069">
                  <c:v>benign</c:v>
                </c:pt>
                <c:pt idx="1070">
                  <c:v>benign</c:v>
                </c:pt>
                <c:pt idx="1071">
                  <c:v>benign</c:v>
                </c:pt>
                <c:pt idx="1072">
                  <c:v>benign</c:v>
                </c:pt>
                <c:pt idx="1073">
                  <c:v>benign</c:v>
                </c:pt>
                <c:pt idx="1074">
                  <c:v>benign</c:v>
                </c:pt>
                <c:pt idx="1075">
                  <c:v>benign</c:v>
                </c:pt>
                <c:pt idx="1076">
                  <c:v>benign</c:v>
                </c:pt>
                <c:pt idx="1077">
                  <c:v>benign</c:v>
                </c:pt>
                <c:pt idx="1078">
                  <c:v>benign</c:v>
                </c:pt>
                <c:pt idx="1079">
                  <c:v>benign</c:v>
                </c:pt>
                <c:pt idx="1080">
                  <c:v>benign</c:v>
                </c:pt>
                <c:pt idx="1081">
                  <c:v>benign</c:v>
                </c:pt>
                <c:pt idx="1082">
                  <c:v>benign</c:v>
                </c:pt>
                <c:pt idx="1083">
                  <c:v>benign</c:v>
                </c:pt>
                <c:pt idx="1084">
                  <c:v>benign</c:v>
                </c:pt>
                <c:pt idx="1085">
                  <c:v>benign</c:v>
                </c:pt>
                <c:pt idx="1086">
                  <c:v>benign</c:v>
                </c:pt>
                <c:pt idx="1087">
                  <c:v>benign</c:v>
                </c:pt>
                <c:pt idx="1088">
                  <c:v>benign</c:v>
                </c:pt>
                <c:pt idx="1089">
                  <c:v>benign</c:v>
                </c:pt>
                <c:pt idx="1090">
                  <c:v>benign</c:v>
                </c:pt>
                <c:pt idx="1091">
                  <c:v>benign</c:v>
                </c:pt>
                <c:pt idx="1092">
                  <c:v>benign</c:v>
                </c:pt>
                <c:pt idx="1093">
                  <c:v>benign</c:v>
                </c:pt>
                <c:pt idx="1094">
                  <c:v>benign</c:v>
                </c:pt>
                <c:pt idx="1095">
                  <c:v>benign</c:v>
                </c:pt>
                <c:pt idx="1096">
                  <c:v>benign</c:v>
                </c:pt>
                <c:pt idx="1097">
                  <c:v>benign</c:v>
                </c:pt>
                <c:pt idx="1098">
                  <c:v>benign</c:v>
                </c:pt>
                <c:pt idx="1099">
                  <c:v>benign</c:v>
                </c:pt>
                <c:pt idx="1100">
                  <c:v>benign</c:v>
                </c:pt>
                <c:pt idx="1101">
                  <c:v>benign</c:v>
                </c:pt>
                <c:pt idx="1102">
                  <c:v>benign</c:v>
                </c:pt>
                <c:pt idx="1103">
                  <c:v>benign</c:v>
                </c:pt>
                <c:pt idx="1104">
                  <c:v>benign</c:v>
                </c:pt>
                <c:pt idx="1105">
                  <c:v>benign</c:v>
                </c:pt>
                <c:pt idx="1106">
                  <c:v>benign</c:v>
                </c:pt>
                <c:pt idx="1107">
                  <c:v>benign</c:v>
                </c:pt>
                <c:pt idx="1108">
                  <c:v>benign</c:v>
                </c:pt>
                <c:pt idx="1109">
                  <c:v>benign</c:v>
                </c:pt>
                <c:pt idx="1110">
                  <c:v>benign</c:v>
                </c:pt>
                <c:pt idx="1111">
                  <c:v>benign</c:v>
                </c:pt>
                <c:pt idx="1112">
                  <c:v>benign</c:v>
                </c:pt>
                <c:pt idx="1113">
                  <c:v>benign</c:v>
                </c:pt>
                <c:pt idx="1114">
                  <c:v>benign</c:v>
                </c:pt>
                <c:pt idx="1115">
                  <c:v>benign</c:v>
                </c:pt>
                <c:pt idx="1116">
                  <c:v>benign</c:v>
                </c:pt>
                <c:pt idx="1117">
                  <c:v>benign</c:v>
                </c:pt>
                <c:pt idx="1118">
                  <c:v>benign</c:v>
                </c:pt>
                <c:pt idx="1119">
                  <c:v>benign</c:v>
                </c:pt>
                <c:pt idx="1120">
                  <c:v>benign</c:v>
                </c:pt>
                <c:pt idx="1121">
                  <c:v>benign</c:v>
                </c:pt>
                <c:pt idx="1122">
                  <c:v>benign</c:v>
                </c:pt>
                <c:pt idx="1123">
                  <c:v>benign</c:v>
                </c:pt>
                <c:pt idx="1124">
                  <c:v>benign</c:v>
                </c:pt>
                <c:pt idx="1125">
                  <c:v>benign</c:v>
                </c:pt>
                <c:pt idx="1126">
                  <c:v>benign</c:v>
                </c:pt>
                <c:pt idx="1127">
                  <c:v>benign</c:v>
                </c:pt>
                <c:pt idx="1128">
                  <c:v>benign</c:v>
                </c:pt>
                <c:pt idx="1129">
                  <c:v>benign</c:v>
                </c:pt>
                <c:pt idx="1130">
                  <c:v>benign</c:v>
                </c:pt>
                <c:pt idx="1131">
                  <c:v>benign</c:v>
                </c:pt>
                <c:pt idx="1132">
                  <c:v>benign</c:v>
                </c:pt>
                <c:pt idx="1133">
                  <c:v>benign</c:v>
                </c:pt>
                <c:pt idx="1134">
                  <c:v>benign</c:v>
                </c:pt>
                <c:pt idx="1135">
                  <c:v>benign</c:v>
                </c:pt>
                <c:pt idx="1136">
                  <c:v>benign</c:v>
                </c:pt>
                <c:pt idx="1137">
                  <c:v>benign</c:v>
                </c:pt>
                <c:pt idx="1138">
                  <c:v>benign</c:v>
                </c:pt>
                <c:pt idx="1139">
                  <c:v>benign</c:v>
                </c:pt>
                <c:pt idx="1140">
                  <c:v>benign</c:v>
                </c:pt>
                <c:pt idx="1141">
                  <c:v>benign</c:v>
                </c:pt>
                <c:pt idx="1142">
                  <c:v>benign</c:v>
                </c:pt>
                <c:pt idx="1143">
                  <c:v>benign</c:v>
                </c:pt>
                <c:pt idx="1144">
                  <c:v>benign</c:v>
                </c:pt>
                <c:pt idx="1145">
                  <c:v>benign</c:v>
                </c:pt>
                <c:pt idx="1146">
                  <c:v>benign</c:v>
                </c:pt>
                <c:pt idx="1147">
                  <c:v>benign</c:v>
                </c:pt>
                <c:pt idx="1148">
                  <c:v>benign</c:v>
                </c:pt>
                <c:pt idx="1149">
                  <c:v>benign</c:v>
                </c:pt>
                <c:pt idx="1150">
                  <c:v>benign</c:v>
                </c:pt>
                <c:pt idx="1151">
                  <c:v>benign</c:v>
                </c:pt>
                <c:pt idx="1152">
                  <c:v>benign</c:v>
                </c:pt>
                <c:pt idx="1153">
                  <c:v>benign</c:v>
                </c:pt>
                <c:pt idx="1154">
                  <c:v>benign</c:v>
                </c:pt>
                <c:pt idx="1155">
                  <c:v>benign</c:v>
                </c:pt>
                <c:pt idx="1156">
                  <c:v>benign</c:v>
                </c:pt>
                <c:pt idx="1157">
                  <c:v>benign</c:v>
                </c:pt>
                <c:pt idx="1158">
                  <c:v>benign</c:v>
                </c:pt>
                <c:pt idx="1159">
                  <c:v>benign</c:v>
                </c:pt>
                <c:pt idx="1160">
                  <c:v>benign</c:v>
                </c:pt>
                <c:pt idx="1161">
                  <c:v>benign</c:v>
                </c:pt>
                <c:pt idx="1162">
                  <c:v>benign</c:v>
                </c:pt>
                <c:pt idx="1163">
                  <c:v>benign</c:v>
                </c:pt>
                <c:pt idx="1164">
                  <c:v>benign</c:v>
                </c:pt>
                <c:pt idx="1165">
                  <c:v>benign</c:v>
                </c:pt>
                <c:pt idx="1166">
                  <c:v>benign</c:v>
                </c:pt>
                <c:pt idx="1167">
                  <c:v>benign</c:v>
                </c:pt>
                <c:pt idx="1168">
                  <c:v>benign</c:v>
                </c:pt>
                <c:pt idx="1169">
                  <c:v>benign</c:v>
                </c:pt>
                <c:pt idx="1170">
                  <c:v>benign</c:v>
                </c:pt>
                <c:pt idx="1171">
                  <c:v>benign</c:v>
                </c:pt>
                <c:pt idx="1172">
                  <c:v>benign</c:v>
                </c:pt>
                <c:pt idx="1173">
                  <c:v>benign</c:v>
                </c:pt>
                <c:pt idx="1174">
                  <c:v>benign</c:v>
                </c:pt>
                <c:pt idx="1175">
                  <c:v>benign</c:v>
                </c:pt>
                <c:pt idx="1176">
                  <c:v>benign</c:v>
                </c:pt>
                <c:pt idx="1177">
                  <c:v>benign</c:v>
                </c:pt>
                <c:pt idx="1178">
                  <c:v>benign</c:v>
                </c:pt>
                <c:pt idx="1179">
                  <c:v>benign</c:v>
                </c:pt>
                <c:pt idx="1180">
                  <c:v>benign</c:v>
                </c:pt>
                <c:pt idx="1181">
                  <c:v>benign</c:v>
                </c:pt>
                <c:pt idx="1182">
                  <c:v>benign</c:v>
                </c:pt>
                <c:pt idx="1183">
                  <c:v>benign</c:v>
                </c:pt>
                <c:pt idx="1184">
                  <c:v>benign</c:v>
                </c:pt>
                <c:pt idx="1185">
                  <c:v>benign</c:v>
                </c:pt>
                <c:pt idx="1186">
                  <c:v>benign</c:v>
                </c:pt>
                <c:pt idx="1187">
                  <c:v>benign</c:v>
                </c:pt>
                <c:pt idx="1188">
                  <c:v>benign</c:v>
                </c:pt>
                <c:pt idx="1189">
                  <c:v>benign</c:v>
                </c:pt>
                <c:pt idx="1190">
                  <c:v>benign</c:v>
                </c:pt>
                <c:pt idx="1191">
                  <c:v>benign</c:v>
                </c:pt>
                <c:pt idx="1192">
                  <c:v>benign</c:v>
                </c:pt>
                <c:pt idx="1193">
                  <c:v>benign</c:v>
                </c:pt>
                <c:pt idx="1194">
                  <c:v>benign</c:v>
                </c:pt>
                <c:pt idx="1195">
                  <c:v>benign</c:v>
                </c:pt>
                <c:pt idx="1196">
                  <c:v>benign</c:v>
                </c:pt>
                <c:pt idx="1197">
                  <c:v>benign</c:v>
                </c:pt>
                <c:pt idx="1198">
                  <c:v>benign</c:v>
                </c:pt>
                <c:pt idx="1199">
                  <c:v>benign</c:v>
                </c:pt>
                <c:pt idx="1200">
                  <c:v>benign</c:v>
                </c:pt>
                <c:pt idx="1201">
                  <c:v>benign</c:v>
                </c:pt>
                <c:pt idx="1202">
                  <c:v>benign</c:v>
                </c:pt>
                <c:pt idx="1203">
                  <c:v>benign</c:v>
                </c:pt>
                <c:pt idx="1204">
                  <c:v>benign</c:v>
                </c:pt>
                <c:pt idx="1205">
                  <c:v>benign</c:v>
                </c:pt>
                <c:pt idx="1206">
                  <c:v>benign</c:v>
                </c:pt>
                <c:pt idx="1207">
                  <c:v>benign</c:v>
                </c:pt>
                <c:pt idx="1208">
                  <c:v>benign</c:v>
                </c:pt>
                <c:pt idx="1209">
                  <c:v>benign</c:v>
                </c:pt>
                <c:pt idx="1210">
                  <c:v>benign</c:v>
                </c:pt>
                <c:pt idx="1211">
                  <c:v>benign</c:v>
                </c:pt>
                <c:pt idx="1212">
                  <c:v>benign</c:v>
                </c:pt>
                <c:pt idx="1213">
                  <c:v>benign</c:v>
                </c:pt>
                <c:pt idx="1214">
                  <c:v>benign</c:v>
                </c:pt>
                <c:pt idx="1215">
                  <c:v>benign</c:v>
                </c:pt>
                <c:pt idx="1216">
                  <c:v>benign</c:v>
                </c:pt>
                <c:pt idx="1217">
                  <c:v>benign</c:v>
                </c:pt>
                <c:pt idx="1218">
                  <c:v>benign</c:v>
                </c:pt>
                <c:pt idx="1219">
                  <c:v>benign</c:v>
                </c:pt>
                <c:pt idx="1220">
                  <c:v>benign</c:v>
                </c:pt>
                <c:pt idx="1221">
                  <c:v>benign</c:v>
                </c:pt>
                <c:pt idx="1222">
                  <c:v>benign</c:v>
                </c:pt>
                <c:pt idx="1223">
                  <c:v>benign</c:v>
                </c:pt>
                <c:pt idx="1224">
                  <c:v>benign</c:v>
                </c:pt>
                <c:pt idx="1225">
                  <c:v>benign</c:v>
                </c:pt>
                <c:pt idx="1226">
                  <c:v>benign</c:v>
                </c:pt>
                <c:pt idx="1227">
                  <c:v>benign</c:v>
                </c:pt>
                <c:pt idx="1228">
                  <c:v>benign</c:v>
                </c:pt>
                <c:pt idx="1229">
                  <c:v>benign</c:v>
                </c:pt>
                <c:pt idx="1230">
                  <c:v>benign</c:v>
                </c:pt>
                <c:pt idx="1231">
                  <c:v>benign</c:v>
                </c:pt>
                <c:pt idx="1232">
                  <c:v>benign</c:v>
                </c:pt>
                <c:pt idx="1233">
                  <c:v>benign</c:v>
                </c:pt>
                <c:pt idx="1234">
                  <c:v>benign</c:v>
                </c:pt>
                <c:pt idx="1235">
                  <c:v>benign</c:v>
                </c:pt>
                <c:pt idx="1236">
                  <c:v>benign</c:v>
                </c:pt>
                <c:pt idx="1237">
                  <c:v>benign</c:v>
                </c:pt>
                <c:pt idx="1238">
                  <c:v>benign</c:v>
                </c:pt>
                <c:pt idx="1239">
                  <c:v>benign</c:v>
                </c:pt>
                <c:pt idx="1240">
                  <c:v>benign</c:v>
                </c:pt>
                <c:pt idx="1241">
                  <c:v>benign</c:v>
                </c:pt>
                <c:pt idx="1242">
                  <c:v>benign</c:v>
                </c:pt>
                <c:pt idx="1243">
                  <c:v>benign</c:v>
                </c:pt>
                <c:pt idx="1244">
                  <c:v>benign</c:v>
                </c:pt>
                <c:pt idx="1245">
                  <c:v>benign</c:v>
                </c:pt>
                <c:pt idx="1246">
                  <c:v>benign</c:v>
                </c:pt>
                <c:pt idx="1247">
                  <c:v>benign</c:v>
                </c:pt>
                <c:pt idx="1248">
                  <c:v>benign</c:v>
                </c:pt>
                <c:pt idx="1249">
                  <c:v>benign</c:v>
                </c:pt>
                <c:pt idx="1250">
                  <c:v>benign</c:v>
                </c:pt>
                <c:pt idx="1251">
                  <c:v>benign</c:v>
                </c:pt>
                <c:pt idx="1252">
                  <c:v>benign</c:v>
                </c:pt>
                <c:pt idx="1253">
                  <c:v>benign</c:v>
                </c:pt>
                <c:pt idx="1254">
                  <c:v>benign</c:v>
                </c:pt>
                <c:pt idx="1255">
                  <c:v>benign</c:v>
                </c:pt>
                <c:pt idx="1256">
                  <c:v>benign</c:v>
                </c:pt>
                <c:pt idx="1257">
                  <c:v>benign</c:v>
                </c:pt>
                <c:pt idx="1258">
                  <c:v>benign</c:v>
                </c:pt>
                <c:pt idx="1259">
                  <c:v>benign</c:v>
                </c:pt>
                <c:pt idx="1260">
                  <c:v>benign</c:v>
                </c:pt>
                <c:pt idx="1261">
                  <c:v>benign</c:v>
                </c:pt>
                <c:pt idx="1262">
                  <c:v>benign</c:v>
                </c:pt>
                <c:pt idx="1263">
                  <c:v>benign</c:v>
                </c:pt>
                <c:pt idx="1264">
                  <c:v>benign</c:v>
                </c:pt>
                <c:pt idx="1265">
                  <c:v>benign</c:v>
                </c:pt>
                <c:pt idx="1266">
                  <c:v>benign</c:v>
                </c:pt>
                <c:pt idx="1267">
                  <c:v>benign</c:v>
                </c:pt>
                <c:pt idx="1268">
                  <c:v>benign</c:v>
                </c:pt>
                <c:pt idx="1269">
                  <c:v>benign</c:v>
                </c:pt>
                <c:pt idx="1270">
                  <c:v>benign</c:v>
                </c:pt>
                <c:pt idx="1271">
                  <c:v>benign</c:v>
                </c:pt>
                <c:pt idx="1272">
                  <c:v>benign</c:v>
                </c:pt>
                <c:pt idx="1273">
                  <c:v>benign</c:v>
                </c:pt>
                <c:pt idx="1274">
                  <c:v>benign</c:v>
                </c:pt>
                <c:pt idx="1275">
                  <c:v>benign</c:v>
                </c:pt>
                <c:pt idx="1276">
                  <c:v>benign</c:v>
                </c:pt>
                <c:pt idx="1277">
                  <c:v>benign</c:v>
                </c:pt>
                <c:pt idx="1278">
                  <c:v>benign</c:v>
                </c:pt>
                <c:pt idx="1279">
                  <c:v>benign</c:v>
                </c:pt>
                <c:pt idx="1280">
                  <c:v>benign</c:v>
                </c:pt>
                <c:pt idx="1281">
                  <c:v>benign</c:v>
                </c:pt>
                <c:pt idx="1282">
                  <c:v>benign</c:v>
                </c:pt>
                <c:pt idx="1283">
                  <c:v>benign</c:v>
                </c:pt>
                <c:pt idx="1284">
                  <c:v>benign</c:v>
                </c:pt>
                <c:pt idx="1285">
                  <c:v>benign</c:v>
                </c:pt>
                <c:pt idx="1286">
                  <c:v>benign</c:v>
                </c:pt>
                <c:pt idx="1287">
                  <c:v>benign</c:v>
                </c:pt>
                <c:pt idx="1288">
                  <c:v>benign</c:v>
                </c:pt>
                <c:pt idx="1289">
                  <c:v>benign</c:v>
                </c:pt>
                <c:pt idx="1290">
                  <c:v>benign</c:v>
                </c:pt>
                <c:pt idx="1291">
                  <c:v>benign</c:v>
                </c:pt>
                <c:pt idx="1292">
                  <c:v>benign</c:v>
                </c:pt>
                <c:pt idx="1293">
                  <c:v>benign</c:v>
                </c:pt>
                <c:pt idx="1294">
                  <c:v>benign</c:v>
                </c:pt>
                <c:pt idx="1295">
                  <c:v>benign</c:v>
                </c:pt>
                <c:pt idx="1296">
                  <c:v>benign</c:v>
                </c:pt>
                <c:pt idx="1297">
                  <c:v>benign</c:v>
                </c:pt>
                <c:pt idx="1298">
                  <c:v>benign</c:v>
                </c:pt>
                <c:pt idx="1299">
                  <c:v>benign</c:v>
                </c:pt>
                <c:pt idx="1300">
                  <c:v>benign</c:v>
                </c:pt>
                <c:pt idx="1301">
                  <c:v>benign</c:v>
                </c:pt>
                <c:pt idx="1302">
                  <c:v>benign</c:v>
                </c:pt>
                <c:pt idx="1303">
                  <c:v>benign</c:v>
                </c:pt>
                <c:pt idx="1304">
                  <c:v>benign</c:v>
                </c:pt>
                <c:pt idx="1305">
                  <c:v>benign</c:v>
                </c:pt>
                <c:pt idx="1306">
                  <c:v>benign</c:v>
                </c:pt>
                <c:pt idx="1307">
                  <c:v>benign</c:v>
                </c:pt>
                <c:pt idx="1308">
                  <c:v>benign</c:v>
                </c:pt>
                <c:pt idx="1309">
                  <c:v>benign</c:v>
                </c:pt>
                <c:pt idx="1310">
                  <c:v>benign</c:v>
                </c:pt>
                <c:pt idx="1311">
                  <c:v>benign</c:v>
                </c:pt>
                <c:pt idx="1312">
                  <c:v>benign</c:v>
                </c:pt>
                <c:pt idx="1313">
                  <c:v>benign</c:v>
                </c:pt>
                <c:pt idx="1314">
                  <c:v>benign</c:v>
                </c:pt>
                <c:pt idx="1315">
                  <c:v>benign</c:v>
                </c:pt>
                <c:pt idx="1316">
                  <c:v>benign</c:v>
                </c:pt>
                <c:pt idx="1317">
                  <c:v>benign</c:v>
                </c:pt>
                <c:pt idx="1318">
                  <c:v>benign</c:v>
                </c:pt>
                <c:pt idx="1319">
                  <c:v>benign</c:v>
                </c:pt>
                <c:pt idx="1320">
                  <c:v>benign</c:v>
                </c:pt>
                <c:pt idx="1321">
                  <c:v>benign</c:v>
                </c:pt>
                <c:pt idx="1322">
                  <c:v>benign</c:v>
                </c:pt>
                <c:pt idx="1323">
                  <c:v>benign</c:v>
                </c:pt>
                <c:pt idx="1324">
                  <c:v>benign</c:v>
                </c:pt>
                <c:pt idx="1325">
                  <c:v>benign</c:v>
                </c:pt>
                <c:pt idx="1326">
                  <c:v>benign</c:v>
                </c:pt>
                <c:pt idx="1327">
                  <c:v>benign</c:v>
                </c:pt>
                <c:pt idx="1328">
                  <c:v>benign</c:v>
                </c:pt>
                <c:pt idx="1329">
                  <c:v>benign</c:v>
                </c:pt>
                <c:pt idx="1330">
                  <c:v>benign</c:v>
                </c:pt>
                <c:pt idx="1331">
                  <c:v>benign</c:v>
                </c:pt>
                <c:pt idx="1332">
                  <c:v>benign</c:v>
                </c:pt>
                <c:pt idx="1333">
                  <c:v>benign</c:v>
                </c:pt>
                <c:pt idx="1334">
                  <c:v>benign</c:v>
                </c:pt>
                <c:pt idx="1335">
                  <c:v>benign</c:v>
                </c:pt>
                <c:pt idx="1336">
                  <c:v>benign</c:v>
                </c:pt>
                <c:pt idx="1337">
                  <c:v>benign</c:v>
                </c:pt>
                <c:pt idx="1338">
                  <c:v>benign</c:v>
                </c:pt>
                <c:pt idx="1339">
                  <c:v>benign</c:v>
                </c:pt>
                <c:pt idx="1340">
                  <c:v>benign</c:v>
                </c:pt>
                <c:pt idx="1341">
                  <c:v>benign</c:v>
                </c:pt>
                <c:pt idx="1342">
                  <c:v>benign</c:v>
                </c:pt>
                <c:pt idx="1343">
                  <c:v>benign</c:v>
                </c:pt>
                <c:pt idx="1344">
                  <c:v>benign</c:v>
                </c:pt>
                <c:pt idx="1345">
                  <c:v>benign</c:v>
                </c:pt>
                <c:pt idx="1346">
                  <c:v>benign</c:v>
                </c:pt>
                <c:pt idx="1347">
                  <c:v>benign</c:v>
                </c:pt>
                <c:pt idx="1348">
                  <c:v>benign</c:v>
                </c:pt>
                <c:pt idx="1349">
                  <c:v>benign</c:v>
                </c:pt>
                <c:pt idx="1350">
                  <c:v>benign</c:v>
                </c:pt>
                <c:pt idx="1351">
                  <c:v>benign</c:v>
                </c:pt>
                <c:pt idx="1352">
                  <c:v>benign</c:v>
                </c:pt>
                <c:pt idx="1353">
                  <c:v>benign</c:v>
                </c:pt>
                <c:pt idx="1354">
                  <c:v>benign</c:v>
                </c:pt>
                <c:pt idx="1355">
                  <c:v>benign</c:v>
                </c:pt>
                <c:pt idx="1356">
                  <c:v>benign</c:v>
                </c:pt>
                <c:pt idx="1357">
                  <c:v>benign</c:v>
                </c:pt>
                <c:pt idx="1358">
                  <c:v>benign</c:v>
                </c:pt>
                <c:pt idx="1359">
                  <c:v>benign</c:v>
                </c:pt>
                <c:pt idx="1360">
                  <c:v>benign</c:v>
                </c:pt>
                <c:pt idx="1361">
                  <c:v>benign</c:v>
                </c:pt>
                <c:pt idx="1362">
                  <c:v>benign</c:v>
                </c:pt>
                <c:pt idx="1363">
                  <c:v>benign</c:v>
                </c:pt>
                <c:pt idx="1364">
                  <c:v>benign</c:v>
                </c:pt>
                <c:pt idx="1365">
                  <c:v>benign</c:v>
                </c:pt>
                <c:pt idx="1366">
                  <c:v>benign</c:v>
                </c:pt>
                <c:pt idx="1367">
                  <c:v>benign</c:v>
                </c:pt>
                <c:pt idx="1368">
                  <c:v>benign</c:v>
                </c:pt>
                <c:pt idx="1369">
                  <c:v>benign</c:v>
                </c:pt>
                <c:pt idx="1370">
                  <c:v>benign</c:v>
                </c:pt>
                <c:pt idx="1371">
                  <c:v>benign</c:v>
                </c:pt>
                <c:pt idx="1372">
                  <c:v>benign</c:v>
                </c:pt>
                <c:pt idx="1373">
                  <c:v>benign</c:v>
                </c:pt>
                <c:pt idx="1374">
                  <c:v>benign</c:v>
                </c:pt>
                <c:pt idx="1375">
                  <c:v>benign</c:v>
                </c:pt>
                <c:pt idx="1376">
                  <c:v>benign</c:v>
                </c:pt>
                <c:pt idx="1377">
                  <c:v>benign</c:v>
                </c:pt>
                <c:pt idx="1378">
                  <c:v>benign</c:v>
                </c:pt>
                <c:pt idx="1379">
                  <c:v>benign</c:v>
                </c:pt>
                <c:pt idx="1380">
                  <c:v>benign</c:v>
                </c:pt>
                <c:pt idx="1381">
                  <c:v>benign</c:v>
                </c:pt>
                <c:pt idx="1382">
                  <c:v>benign</c:v>
                </c:pt>
                <c:pt idx="1383">
                  <c:v>benign</c:v>
                </c:pt>
                <c:pt idx="1384">
                  <c:v>benign</c:v>
                </c:pt>
                <c:pt idx="1385">
                  <c:v>benign</c:v>
                </c:pt>
                <c:pt idx="1386">
                  <c:v>benign</c:v>
                </c:pt>
                <c:pt idx="1387">
                  <c:v>benign</c:v>
                </c:pt>
                <c:pt idx="1388">
                  <c:v>benign</c:v>
                </c:pt>
                <c:pt idx="1389">
                  <c:v>benign</c:v>
                </c:pt>
                <c:pt idx="1390">
                  <c:v>benign</c:v>
                </c:pt>
                <c:pt idx="1391">
                  <c:v>benign</c:v>
                </c:pt>
                <c:pt idx="1392">
                  <c:v>benign</c:v>
                </c:pt>
                <c:pt idx="1393">
                  <c:v>benign</c:v>
                </c:pt>
                <c:pt idx="1394">
                  <c:v>benign</c:v>
                </c:pt>
                <c:pt idx="1395">
                  <c:v>benign</c:v>
                </c:pt>
                <c:pt idx="1396">
                  <c:v>benign</c:v>
                </c:pt>
                <c:pt idx="1397">
                  <c:v>benign</c:v>
                </c:pt>
                <c:pt idx="1398">
                  <c:v>benign</c:v>
                </c:pt>
                <c:pt idx="1399">
                  <c:v>benign</c:v>
                </c:pt>
                <c:pt idx="1400">
                  <c:v>benign</c:v>
                </c:pt>
                <c:pt idx="1401">
                  <c:v>benign</c:v>
                </c:pt>
                <c:pt idx="1402">
                  <c:v>benign</c:v>
                </c:pt>
                <c:pt idx="1403">
                  <c:v>benign</c:v>
                </c:pt>
                <c:pt idx="1404">
                  <c:v>benign</c:v>
                </c:pt>
                <c:pt idx="1405">
                  <c:v>benign</c:v>
                </c:pt>
                <c:pt idx="1406">
                  <c:v>benign</c:v>
                </c:pt>
                <c:pt idx="1407">
                  <c:v>benign</c:v>
                </c:pt>
                <c:pt idx="1408">
                  <c:v>benign</c:v>
                </c:pt>
                <c:pt idx="1409">
                  <c:v>benign</c:v>
                </c:pt>
                <c:pt idx="1410">
                  <c:v>benign</c:v>
                </c:pt>
                <c:pt idx="1411">
                  <c:v>benign</c:v>
                </c:pt>
                <c:pt idx="1412">
                  <c:v>benign</c:v>
                </c:pt>
                <c:pt idx="1413">
                  <c:v>benign</c:v>
                </c:pt>
                <c:pt idx="1414">
                  <c:v>benign</c:v>
                </c:pt>
                <c:pt idx="1415">
                  <c:v>benign</c:v>
                </c:pt>
                <c:pt idx="1416">
                  <c:v>benign</c:v>
                </c:pt>
                <c:pt idx="1417">
                  <c:v>benign</c:v>
                </c:pt>
                <c:pt idx="1418">
                  <c:v>benign</c:v>
                </c:pt>
                <c:pt idx="1419">
                  <c:v>benign</c:v>
                </c:pt>
                <c:pt idx="1420">
                  <c:v>benign</c:v>
                </c:pt>
                <c:pt idx="1421">
                  <c:v>benign</c:v>
                </c:pt>
                <c:pt idx="1422">
                  <c:v>benign</c:v>
                </c:pt>
                <c:pt idx="1423">
                  <c:v>benign</c:v>
                </c:pt>
                <c:pt idx="1424">
                  <c:v>benign</c:v>
                </c:pt>
                <c:pt idx="1425">
                  <c:v>benign</c:v>
                </c:pt>
                <c:pt idx="1426">
                  <c:v>benign</c:v>
                </c:pt>
                <c:pt idx="1427">
                  <c:v>benign</c:v>
                </c:pt>
                <c:pt idx="1428">
                  <c:v>benign</c:v>
                </c:pt>
                <c:pt idx="1429">
                  <c:v>benign</c:v>
                </c:pt>
                <c:pt idx="1430">
                  <c:v>benign</c:v>
                </c:pt>
                <c:pt idx="1431">
                  <c:v>benign</c:v>
                </c:pt>
                <c:pt idx="1432">
                  <c:v>benign</c:v>
                </c:pt>
                <c:pt idx="1433">
                  <c:v>benign</c:v>
                </c:pt>
                <c:pt idx="1434">
                  <c:v>benign</c:v>
                </c:pt>
                <c:pt idx="1435">
                  <c:v>benign</c:v>
                </c:pt>
                <c:pt idx="1436">
                  <c:v>benign</c:v>
                </c:pt>
                <c:pt idx="1437">
                  <c:v>benign</c:v>
                </c:pt>
                <c:pt idx="1438">
                  <c:v>benign</c:v>
                </c:pt>
                <c:pt idx="1439">
                  <c:v>benign</c:v>
                </c:pt>
                <c:pt idx="1440">
                  <c:v>benign</c:v>
                </c:pt>
                <c:pt idx="1441">
                  <c:v>benign</c:v>
                </c:pt>
                <c:pt idx="1442">
                  <c:v>benign</c:v>
                </c:pt>
                <c:pt idx="1443">
                  <c:v>benign</c:v>
                </c:pt>
                <c:pt idx="1444">
                  <c:v>benign</c:v>
                </c:pt>
                <c:pt idx="1445">
                  <c:v>benign</c:v>
                </c:pt>
                <c:pt idx="1446">
                  <c:v>benign</c:v>
                </c:pt>
                <c:pt idx="1447">
                  <c:v>benign</c:v>
                </c:pt>
                <c:pt idx="1448">
                  <c:v>benign</c:v>
                </c:pt>
                <c:pt idx="1449">
                  <c:v>benign</c:v>
                </c:pt>
                <c:pt idx="1450">
                  <c:v>benign</c:v>
                </c:pt>
                <c:pt idx="1451">
                  <c:v>benign</c:v>
                </c:pt>
                <c:pt idx="1452">
                  <c:v>benign</c:v>
                </c:pt>
                <c:pt idx="1453">
                  <c:v>benign</c:v>
                </c:pt>
                <c:pt idx="1454">
                  <c:v>benign</c:v>
                </c:pt>
                <c:pt idx="1455">
                  <c:v>benign</c:v>
                </c:pt>
                <c:pt idx="1456">
                  <c:v>benign</c:v>
                </c:pt>
                <c:pt idx="1457">
                  <c:v>benign</c:v>
                </c:pt>
                <c:pt idx="1458">
                  <c:v>benign</c:v>
                </c:pt>
                <c:pt idx="1459">
                  <c:v>benign</c:v>
                </c:pt>
                <c:pt idx="1460">
                  <c:v>benign</c:v>
                </c:pt>
                <c:pt idx="1461">
                  <c:v>benign</c:v>
                </c:pt>
                <c:pt idx="1462">
                  <c:v>benign</c:v>
                </c:pt>
                <c:pt idx="1463">
                  <c:v>benign</c:v>
                </c:pt>
                <c:pt idx="1464">
                  <c:v>benign</c:v>
                </c:pt>
                <c:pt idx="1465">
                  <c:v>benign</c:v>
                </c:pt>
                <c:pt idx="1466">
                  <c:v>benign</c:v>
                </c:pt>
                <c:pt idx="1467">
                  <c:v>benign</c:v>
                </c:pt>
                <c:pt idx="1468">
                  <c:v>benign</c:v>
                </c:pt>
                <c:pt idx="1469">
                  <c:v>benign</c:v>
                </c:pt>
                <c:pt idx="1470">
                  <c:v>benign</c:v>
                </c:pt>
                <c:pt idx="1471">
                  <c:v>benign</c:v>
                </c:pt>
                <c:pt idx="1472">
                  <c:v>benign</c:v>
                </c:pt>
                <c:pt idx="1473">
                  <c:v>benign</c:v>
                </c:pt>
                <c:pt idx="1474">
                  <c:v>benign</c:v>
                </c:pt>
                <c:pt idx="1475">
                  <c:v>benign</c:v>
                </c:pt>
                <c:pt idx="1476">
                  <c:v>benign</c:v>
                </c:pt>
                <c:pt idx="1477">
                  <c:v>benign</c:v>
                </c:pt>
                <c:pt idx="1478">
                  <c:v>benign</c:v>
                </c:pt>
                <c:pt idx="1479">
                  <c:v>benign</c:v>
                </c:pt>
                <c:pt idx="1480">
                  <c:v>benign</c:v>
                </c:pt>
                <c:pt idx="1481">
                  <c:v>benign</c:v>
                </c:pt>
                <c:pt idx="1482">
                  <c:v>benign</c:v>
                </c:pt>
                <c:pt idx="1483">
                  <c:v>benign</c:v>
                </c:pt>
                <c:pt idx="1484">
                  <c:v>benign</c:v>
                </c:pt>
                <c:pt idx="1485">
                  <c:v>benign</c:v>
                </c:pt>
                <c:pt idx="1486">
                  <c:v>benign</c:v>
                </c:pt>
                <c:pt idx="1487">
                  <c:v>benign</c:v>
                </c:pt>
                <c:pt idx="1488">
                  <c:v>benign</c:v>
                </c:pt>
                <c:pt idx="1489">
                  <c:v>benign</c:v>
                </c:pt>
                <c:pt idx="1490">
                  <c:v>benign</c:v>
                </c:pt>
                <c:pt idx="1491">
                  <c:v>benign</c:v>
                </c:pt>
                <c:pt idx="1492">
                  <c:v>benign</c:v>
                </c:pt>
                <c:pt idx="1493">
                  <c:v>benign</c:v>
                </c:pt>
                <c:pt idx="1494">
                  <c:v>benign</c:v>
                </c:pt>
                <c:pt idx="1495">
                  <c:v>benign</c:v>
                </c:pt>
                <c:pt idx="1496">
                  <c:v>benign</c:v>
                </c:pt>
                <c:pt idx="1497">
                  <c:v>benign</c:v>
                </c:pt>
                <c:pt idx="1498">
                  <c:v>benign</c:v>
                </c:pt>
                <c:pt idx="1499">
                  <c:v>benign</c:v>
                </c:pt>
                <c:pt idx="1500">
                  <c:v>benign</c:v>
                </c:pt>
                <c:pt idx="1501">
                  <c:v>benign</c:v>
                </c:pt>
                <c:pt idx="1502">
                  <c:v>benign</c:v>
                </c:pt>
                <c:pt idx="1503">
                  <c:v>benign</c:v>
                </c:pt>
                <c:pt idx="1504">
                  <c:v>benign</c:v>
                </c:pt>
                <c:pt idx="1505">
                  <c:v>benign</c:v>
                </c:pt>
                <c:pt idx="1506">
                  <c:v>benign</c:v>
                </c:pt>
                <c:pt idx="1507">
                  <c:v>benign</c:v>
                </c:pt>
                <c:pt idx="1508">
                  <c:v>benign</c:v>
                </c:pt>
                <c:pt idx="1509">
                  <c:v>benign</c:v>
                </c:pt>
                <c:pt idx="1510">
                  <c:v>benign</c:v>
                </c:pt>
                <c:pt idx="1511">
                  <c:v>benign</c:v>
                </c:pt>
                <c:pt idx="1512">
                  <c:v>benign</c:v>
                </c:pt>
                <c:pt idx="1513">
                  <c:v>benign</c:v>
                </c:pt>
                <c:pt idx="1514">
                  <c:v>benign</c:v>
                </c:pt>
                <c:pt idx="1515">
                  <c:v>benign</c:v>
                </c:pt>
                <c:pt idx="1516">
                  <c:v>benign</c:v>
                </c:pt>
                <c:pt idx="1517">
                  <c:v>benign</c:v>
                </c:pt>
                <c:pt idx="1518">
                  <c:v>benign</c:v>
                </c:pt>
                <c:pt idx="1519">
                  <c:v>benign</c:v>
                </c:pt>
                <c:pt idx="1520">
                  <c:v>benign</c:v>
                </c:pt>
                <c:pt idx="1521">
                  <c:v>benign</c:v>
                </c:pt>
                <c:pt idx="1522">
                  <c:v>benign</c:v>
                </c:pt>
                <c:pt idx="1523">
                  <c:v>benign</c:v>
                </c:pt>
                <c:pt idx="1524">
                  <c:v>benign</c:v>
                </c:pt>
                <c:pt idx="1525">
                  <c:v>benign</c:v>
                </c:pt>
                <c:pt idx="1526">
                  <c:v>benign</c:v>
                </c:pt>
                <c:pt idx="1527">
                  <c:v>benign</c:v>
                </c:pt>
                <c:pt idx="1528">
                  <c:v>benign</c:v>
                </c:pt>
                <c:pt idx="1529">
                  <c:v>benign</c:v>
                </c:pt>
                <c:pt idx="1530">
                  <c:v>benign</c:v>
                </c:pt>
                <c:pt idx="1531">
                  <c:v>benign</c:v>
                </c:pt>
                <c:pt idx="1532">
                  <c:v>benign</c:v>
                </c:pt>
                <c:pt idx="1533">
                  <c:v>benign</c:v>
                </c:pt>
                <c:pt idx="1534">
                  <c:v>benign</c:v>
                </c:pt>
                <c:pt idx="1535">
                  <c:v>benign</c:v>
                </c:pt>
                <c:pt idx="1536">
                  <c:v>benign</c:v>
                </c:pt>
                <c:pt idx="1537">
                  <c:v>benign</c:v>
                </c:pt>
                <c:pt idx="1538">
                  <c:v>benign</c:v>
                </c:pt>
                <c:pt idx="1539">
                  <c:v>benign</c:v>
                </c:pt>
                <c:pt idx="1540">
                  <c:v>benign</c:v>
                </c:pt>
                <c:pt idx="1541">
                  <c:v>benign</c:v>
                </c:pt>
                <c:pt idx="1542">
                  <c:v>benign</c:v>
                </c:pt>
                <c:pt idx="1543">
                  <c:v>benign</c:v>
                </c:pt>
                <c:pt idx="1544">
                  <c:v>benign</c:v>
                </c:pt>
                <c:pt idx="1545">
                  <c:v>benign</c:v>
                </c:pt>
                <c:pt idx="1546">
                  <c:v>benign</c:v>
                </c:pt>
                <c:pt idx="1547">
                  <c:v>benign</c:v>
                </c:pt>
                <c:pt idx="1548">
                  <c:v>benign</c:v>
                </c:pt>
                <c:pt idx="1549">
                  <c:v>benign</c:v>
                </c:pt>
                <c:pt idx="1550">
                  <c:v>benign</c:v>
                </c:pt>
                <c:pt idx="1551">
                  <c:v>benign</c:v>
                </c:pt>
                <c:pt idx="1552">
                  <c:v>benign</c:v>
                </c:pt>
                <c:pt idx="1553">
                  <c:v>benign</c:v>
                </c:pt>
                <c:pt idx="1554">
                  <c:v>benign</c:v>
                </c:pt>
                <c:pt idx="1555">
                  <c:v>benign</c:v>
                </c:pt>
                <c:pt idx="1556">
                  <c:v>benign</c:v>
                </c:pt>
                <c:pt idx="1557">
                  <c:v>benign</c:v>
                </c:pt>
                <c:pt idx="1558">
                  <c:v>benign</c:v>
                </c:pt>
                <c:pt idx="1559">
                  <c:v>benign</c:v>
                </c:pt>
                <c:pt idx="1560">
                  <c:v>benign</c:v>
                </c:pt>
                <c:pt idx="1561">
                  <c:v>benign</c:v>
                </c:pt>
                <c:pt idx="1562">
                  <c:v>benign</c:v>
                </c:pt>
                <c:pt idx="1563">
                  <c:v>benign</c:v>
                </c:pt>
                <c:pt idx="1564">
                  <c:v>benign</c:v>
                </c:pt>
                <c:pt idx="1565">
                  <c:v>benign</c:v>
                </c:pt>
                <c:pt idx="1566">
                  <c:v>benign</c:v>
                </c:pt>
                <c:pt idx="1567">
                  <c:v>benign</c:v>
                </c:pt>
                <c:pt idx="1568">
                  <c:v>benign</c:v>
                </c:pt>
                <c:pt idx="1569">
                  <c:v>benign</c:v>
                </c:pt>
                <c:pt idx="1570">
                  <c:v>benign</c:v>
                </c:pt>
                <c:pt idx="1571">
                  <c:v>benign</c:v>
                </c:pt>
                <c:pt idx="1572">
                  <c:v>benign</c:v>
                </c:pt>
                <c:pt idx="1573">
                  <c:v>benign</c:v>
                </c:pt>
                <c:pt idx="1574">
                  <c:v>benign</c:v>
                </c:pt>
                <c:pt idx="1575">
                  <c:v>benign</c:v>
                </c:pt>
                <c:pt idx="1576">
                  <c:v>benign</c:v>
                </c:pt>
                <c:pt idx="1577">
                  <c:v>benign</c:v>
                </c:pt>
                <c:pt idx="1578">
                  <c:v>benign</c:v>
                </c:pt>
                <c:pt idx="1579">
                  <c:v>benign</c:v>
                </c:pt>
                <c:pt idx="1580">
                  <c:v>benign</c:v>
                </c:pt>
                <c:pt idx="1581">
                  <c:v>benign</c:v>
                </c:pt>
                <c:pt idx="1582">
                  <c:v>benign</c:v>
                </c:pt>
                <c:pt idx="1583">
                  <c:v>benign</c:v>
                </c:pt>
                <c:pt idx="1584">
                  <c:v>benign</c:v>
                </c:pt>
                <c:pt idx="1585">
                  <c:v>benign</c:v>
                </c:pt>
                <c:pt idx="1586">
                  <c:v>benign</c:v>
                </c:pt>
                <c:pt idx="1587">
                  <c:v>benign</c:v>
                </c:pt>
                <c:pt idx="1588">
                  <c:v>benign</c:v>
                </c:pt>
                <c:pt idx="1589">
                  <c:v>benign</c:v>
                </c:pt>
                <c:pt idx="1590">
                  <c:v>benign</c:v>
                </c:pt>
                <c:pt idx="1591">
                  <c:v>benign</c:v>
                </c:pt>
                <c:pt idx="1592">
                  <c:v>benign</c:v>
                </c:pt>
                <c:pt idx="1593">
                  <c:v>benign</c:v>
                </c:pt>
                <c:pt idx="1594">
                  <c:v>benign</c:v>
                </c:pt>
                <c:pt idx="1595">
                  <c:v>benign</c:v>
                </c:pt>
                <c:pt idx="1596">
                  <c:v>benign</c:v>
                </c:pt>
                <c:pt idx="1597">
                  <c:v>benign</c:v>
                </c:pt>
                <c:pt idx="1598">
                  <c:v>benign</c:v>
                </c:pt>
                <c:pt idx="1599">
                  <c:v>benign</c:v>
                </c:pt>
                <c:pt idx="1600">
                  <c:v>benign</c:v>
                </c:pt>
                <c:pt idx="1601">
                  <c:v>benign</c:v>
                </c:pt>
                <c:pt idx="1602">
                  <c:v>benign</c:v>
                </c:pt>
                <c:pt idx="1603">
                  <c:v>benign</c:v>
                </c:pt>
                <c:pt idx="1604">
                  <c:v>benign</c:v>
                </c:pt>
                <c:pt idx="1605">
                  <c:v>benign</c:v>
                </c:pt>
                <c:pt idx="1606">
                  <c:v>benign</c:v>
                </c:pt>
                <c:pt idx="1607">
                  <c:v>benign</c:v>
                </c:pt>
                <c:pt idx="1608">
                  <c:v>benign</c:v>
                </c:pt>
                <c:pt idx="1609">
                  <c:v>benign</c:v>
                </c:pt>
                <c:pt idx="1610">
                  <c:v>benign</c:v>
                </c:pt>
                <c:pt idx="1611">
                  <c:v>benign</c:v>
                </c:pt>
                <c:pt idx="1612">
                  <c:v>benign</c:v>
                </c:pt>
                <c:pt idx="1613">
                  <c:v>benign</c:v>
                </c:pt>
                <c:pt idx="1614">
                  <c:v>benign</c:v>
                </c:pt>
                <c:pt idx="1615">
                  <c:v>benign</c:v>
                </c:pt>
                <c:pt idx="1616">
                  <c:v>benign</c:v>
                </c:pt>
                <c:pt idx="1617">
                  <c:v>benign</c:v>
                </c:pt>
                <c:pt idx="1618">
                  <c:v>benign</c:v>
                </c:pt>
                <c:pt idx="1619">
                  <c:v>benign</c:v>
                </c:pt>
                <c:pt idx="1620">
                  <c:v>benign</c:v>
                </c:pt>
                <c:pt idx="1621">
                  <c:v>benign</c:v>
                </c:pt>
                <c:pt idx="1622">
                  <c:v>benign</c:v>
                </c:pt>
                <c:pt idx="1623">
                  <c:v>benign</c:v>
                </c:pt>
                <c:pt idx="1624">
                  <c:v>benign</c:v>
                </c:pt>
                <c:pt idx="1625">
                  <c:v>benign</c:v>
                </c:pt>
                <c:pt idx="1626">
                  <c:v>benign</c:v>
                </c:pt>
                <c:pt idx="1627">
                  <c:v>benign</c:v>
                </c:pt>
                <c:pt idx="1628">
                  <c:v>benign</c:v>
                </c:pt>
                <c:pt idx="1629">
                  <c:v>benign</c:v>
                </c:pt>
                <c:pt idx="1630">
                  <c:v>benign</c:v>
                </c:pt>
                <c:pt idx="1631">
                  <c:v>benign</c:v>
                </c:pt>
                <c:pt idx="1632">
                  <c:v>benign</c:v>
                </c:pt>
                <c:pt idx="1633">
                  <c:v>benign</c:v>
                </c:pt>
                <c:pt idx="1634">
                  <c:v>benign</c:v>
                </c:pt>
                <c:pt idx="1635">
                  <c:v>benign</c:v>
                </c:pt>
                <c:pt idx="1636">
                  <c:v>benign</c:v>
                </c:pt>
                <c:pt idx="1637">
                  <c:v>benign</c:v>
                </c:pt>
                <c:pt idx="1638">
                  <c:v>benign</c:v>
                </c:pt>
                <c:pt idx="1639">
                  <c:v>benign</c:v>
                </c:pt>
                <c:pt idx="1640">
                  <c:v>benign</c:v>
                </c:pt>
                <c:pt idx="1641">
                  <c:v>benign</c:v>
                </c:pt>
                <c:pt idx="1642">
                  <c:v>benign</c:v>
                </c:pt>
                <c:pt idx="1643">
                  <c:v>benign</c:v>
                </c:pt>
                <c:pt idx="1644">
                  <c:v>benign</c:v>
                </c:pt>
                <c:pt idx="1645">
                  <c:v>benign</c:v>
                </c:pt>
                <c:pt idx="1646">
                  <c:v>benign</c:v>
                </c:pt>
                <c:pt idx="1647">
                  <c:v>benign</c:v>
                </c:pt>
                <c:pt idx="1648">
                  <c:v>benign</c:v>
                </c:pt>
                <c:pt idx="1649">
                  <c:v>benign</c:v>
                </c:pt>
                <c:pt idx="1650">
                  <c:v>benign</c:v>
                </c:pt>
                <c:pt idx="1651">
                  <c:v>benign</c:v>
                </c:pt>
                <c:pt idx="1652">
                  <c:v>benign</c:v>
                </c:pt>
                <c:pt idx="1653">
                  <c:v>benign</c:v>
                </c:pt>
                <c:pt idx="1654">
                  <c:v>benign</c:v>
                </c:pt>
                <c:pt idx="1655">
                  <c:v>benign</c:v>
                </c:pt>
                <c:pt idx="1656">
                  <c:v>benign</c:v>
                </c:pt>
                <c:pt idx="1657">
                  <c:v>benign</c:v>
                </c:pt>
                <c:pt idx="1658">
                  <c:v>benign</c:v>
                </c:pt>
                <c:pt idx="1659">
                  <c:v>benign</c:v>
                </c:pt>
                <c:pt idx="1660">
                  <c:v>benign</c:v>
                </c:pt>
                <c:pt idx="1661">
                  <c:v>benign</c:v>
                </c:pt>
                <c:pt idx="1662">
                  <c:v>benign</c:v>
                </c:pt>
                <c:pt idx="1663">
                  <c:v>benign</c:v>
                </c:pt>
                <c:pt idx="1664">
                  <c:v>benign</c:v>
                </c:pt>
                <c:pt idx="1665">
                  <c:v>benign</c:v>
                </c:pt>
                <c:pt idx="1666">
                  <c:v>benign</c:v>
                </c:pt>
                <c:pt idx="1667">
                  <c:v>benign</c:v>
                </c:pt>
                <c:pt idx="1668">
                  <c:v>benign</c:v>
                </c:pt>
                <c:pt idx="1669">
                  <c:v>benign</c:v>
                </c:pt>
                <c:pt idx="1670">
                  <c:v>benign</c:v>
                </c:pt>
                <c:pt idx="1671">
                  <c:v>benign</c:v>
                </c:pt>
                <c:pt idx="1672">
                  <c:v>benign</c:v>
                </c:pt>
                <c:pt idx="1673">
                  <c:v>benign</c:v>
                </c:pt>
                <c:pt idx="1674">
                  <c:v>benign</c:v>
                </c:pt>
                <c:pt idx="1675">
                  <c:v>benign</c:v>
                </c:pt>
                <c:pt idx="1676">
                  <c:v>benign</c:v>
                </c:pt>
                <c:pt idx="1677">
                  <c:v>benign</c:v>
                </c:pt>
                <c:pt idx="1678">
                  <c:v>benign</c:v>
                </c:pt>
                <c:pt idx="1679">
                  <c:v>benign</c:v>
                </c:pt>
                <c:pt idx="1680">
                  <c:v>benign</c:v>
                </c:pt>
                <c:pt idx="1681">
                  <c:v>benign</c:v>
                </c:pt>
                <c:pt idx="1682">
                  <c:v>benign</c:v>
                </c:pt>
                <c:pt idx="1683">
                  <c:v>benign</c:v>
                </c:pt>
                <c:pt idx="1684">
                  <c:v>benign</c:v>
                </c:pt>
                <c:pt idx="1685">
                  <c:v>benign</c:v>
                </c:pt>
                <c:pt idx="1686">
                  <c:v>benign</c:v>
                </c:pt>
                <c:pt idx="1687">
                  <c:v>benign</c:v>
                </c:pt>
                <c:pt idx="1688">
                  <c:v>benign</c:v>
                </c:pt>
                <c:pt idx="1689">
                  <c:v>benign</c:v>
                </c:pt>
                <c:pt idx="1690">
                  <c:v>benign</c:v>
                </c:pt>
                <c:pt idx="1691">
                  <c:v>benign</c:v>
                </c:pt>
                <c:pt idx="1692">
                  <c:v>benign</c:v>
                </c:pt>
                <c:pt idx="1693">
                  <c:v>benign</c:v>
                </c:pt>
                <c:pt idx="1694">
                  <c:v>benign</c:v>
                </c:pt>
                <c:pt idx="1695">
                  <c:v>benign</c:v>
                </c:pt>
                <c:pt idx="1696">
                  <c:v>benign</c:v>
                </c:pt>
                <c:pt idx="1697">
                  <c:v>benign</c:v>
                </c:pt>
                <c:pt idx="1698">
                  <c:v>benign</c:v>
                </c:pt>
                <c:pt idx="1699">
                  <c:v>benign</c:v>
                </c:pt>
                <c:pt idx="1700">
                  <c:v>benign</c:v>
                </c:pt>
                <c:pt idx="1701">
                  <c:v>benign</c:v>
                </c:pt>
                <c:pt idx="1702">
                  <c:v>benign</c:v>
                </c:pt>
                <c:pt idx="1703">
                  <c:v>benign</c:v>
                </c:pt>
                <c:pt idx="1704">
                  <c:v>benign</c:v>
                </c:pt>
                <c:pt idx="1705">
                  <c:v>benign</c:v>
                </c:pt>
                <c:pt idx="1706">
                  <c:v>benign</c:v>
                </c:pt>
                <c:pt idx="1707">
                  <c:v>benign</c:v>
                </c:pt>
                <c:pt idx="1708">
                  <c:v>benign</c:v>
                </c:pt>
                <c:pt idx="1709">
                  <c:v>benign</c:v>
                </c:pt>
                <c:pt idx="1710">
                  <c:v>benign</c:v>
                </c:pt>
                <c:pt idx="1711">
                  <c:v>benign</c:v>
                </c:pt>
                <c:pt idx="1712">
                  <c:v>benign</c:v>
                </c:pt>
                <c:pt idx="1713">
                  <c:v>benign</c:v>
                </c:pt>
                <c:pt idx="1714">
                  <c:v>benign</c:v>
                </c:pt>
                <c:pt idx="1715">
                  <c:v>benign</c:v>
                </c:pt>
                <c:pt idx="1716">
                  <c:v>benign</c:v>
                </c:pt>
                <c:pt idx="1717">
                  <c:v>benign</c:v>
                </c:pt>
                <c:pt idx="1718">
                  <c:v>benign</c:v>
                </c:pt>
                <c:pt idx="1719">
                  <c:v>benign</c:v>
                </c:pt>
                <c:pt idx="1720">
                  <c:v>benign</c:v>
                </c:pt>
                <c:pt idx="1721">
                  <c:v>benign</c:v>
                </c:pt>
                <c:pt idx="1722">
                  <c:v>benign</c:v>
                </c:pt>
                <c:pt idx="1723">
                  <c:v>benign</c:v>
                </c:pt>
                <c:pt idx="1724">
                  <c:v>benign</c:v>
                </c:pt>
                <c:pt idx="1725">
                  <c:v>benign</c:v>
                </c:pt>
                <c:pt idx="1726">
                  <c:v>benign</c:v>
                </c:pt>
                <c:pt idx="1727">
                  <c:v>benign</c:v>
                </c:pt>
                <c:pt idx="1728">
                  <c:v>benign</c:v>
                </c:pt>
                <c:pt idx="1729">
                  <c:v>benign</c:v>
                </c:pt>
                <c:pt idx="1730">
                  <c:v>benign</c:v>
                </c:pt>
                <c:pt idx="1731">
                  <c:v>benign</c:v>
                </c:pt>
                <c:pt idx="1732">
                  <c:v>benign</c:v>
                </c:pt>
                <c:pt idx="1733">
                  <c:v>benign</c:v>
                </c:pt>
                <c:pt idx="1734">
                  <c:v>benign</c:v>
                </c:pt>
                <c:pt idx="1735">
                  <c:v>benign</c:v>
                </c:pt>
                <c:pt idx="1736">
                  <c:v>benign</c:v>
                </c:pt>
                <c:pt idx="1737">
                  <c:v>benign</c:v>
                </c:pt>
                <c:pt idx="1738">
                  <c:v>benign</c:v>
                </c:pt>
                <c:pt idx="1739">
                  <c:v>benign</c:v>
                </c:pt>
                <c:pt idx="1740">
                  <c:v>benign</c:v>
                </c:pt>
                <c:pt idx="1741">
                  <c:v>benign</c:v>
                </c:pt>
                <c:pt idx="1742">
                  <c:v>benign</c:v>
                </c:pt>
                <c:pt idx="1743">
                  <c:v>benign</c:v>
                </c:pt>
                <c:pt idx="1744">
                  <c:v>benign</c:v>
                </c:pt>
                <c:pt idx="1745">
                  <c:v>benign</c:v>
                </c:pt>
                <c:pt idx="1746">
                  <c:v>benign</c:v>
                </c:pt>
                <c:pt idx="1747">
                  <c:v>benign</c:v>
                </c:pt>
                <c:pt idx="1748">
                  <c:v>benign</c:v>
                </c:pt>
                <c:pt idx="1749">
                  <c:v>benign</c:v>
                </c:pt>
                <c:pt idx="1750">
                  <c:v>benign</c:v>
                </c:pt>
                <c:pt idx="1751">
                  <c:v>benign</c:v>
                </c:pt>
                <c:pt idx="1752">
                  <c:v>benign</c:v>
                </c:pt>
                <c:pt idx="1753">
                  <c:v>benign</c:v>
                </c:pt>
                <c:pt idx="1754">
                  <c:v>benign</c:v>
                </c:pt>
                <c:pt idx="1755">
                  <c:v>benign</c:v>
                </c:pt>
                <c:pt idx="1756">
                  <c:v>benign</c:v>
                </c:pt>
                <c:pt idx="1757">
                  <c:v>benign</c:v>
                </c:pt>
                <c:pt idx="1758">
                  <c:v>benign</c:v>
                </c:pt>
                <c:pt idx="1759">
                  <c:v>benign</c:v>
                </c:pt>
                <c:pt idx="1760">
                  <c:v>benign</c:v>
                </c:pt>
                <c:pt idx="1761">
                  <c:v>benign</c:v>
                </c:pt>
                <c:pt idx="1762">
                  <c:v>benign</c:v>
                </c:pt>
                <c:pt idx="1763">
                  <c:v>benign</c:v>
                </c:pt>
                <c:pt idx="1764">
                  <c:v>benign</c:v>
                </c:pt>
                <c:pt idx="1765">
                  <c:v>benign</c:v>
                </c:pt>
                <c:pt idx="1766">
                  <c:v>benign</c:v>
                </c:pt>
                <c:pt idx="1767">
                  <c:v>benign</c:v>
                </c:pt>
                <c:pt idx="1768">
                  <c:v>benign</c:v>
                </c:pt>
                <c:pt idx="1769">
                  <c:v>benign</c:v>
                </c:pt>
                <c:pt idx="1770">
                  <c:v>benign</c:v>
                </c:pt>
                <c:pt idx="1771">
                  <c:v>benign</c:v>
                </c:pt>
                <c:pt idx="1772">
                  <c:v>benign</c:v>
                </c:pt>
                <c:pt idx="1773">
                  <c:v>benign</c:v>
                </c:pt>
                <c:pt idx="1774">
                  <c:v>benign</c:v>
                </c:pt>
                <c:pt idx="1775">
                  <c:v>benign</c:v>
                </c:pt>
                <c:pt idx="1776">
                  <c:v>benign</c:v>
                </c:pt>
                <c:pt idx="1777">
                  <c:v>benign</c:v>
                </c:pt>
                <c:pt idx="1778">
                  <c:v>benign</c:v>
                </c:pt>
                <c:pt idx="1779">
                  <c:v>benign</c:v>
                </c:pt>
                <c:pt idx="1780">
                  <c:v>benign</c:v>
                </c:pt>
                <c:pt idx="1781">
                  <c:v>benign</c:v>
                </c:pt>
                <c:pt idx="1782">
                  <c:v>benign</c:v>
                </c:pt>
                <c:pt idx="1783">
                  <c:v>benign</c:v>
                </c:pt>
                <c:pt idx="1784">
                  <c:v>benign</c:v>
                </c:pt>
                <c:pt idx="1785">
                  <c:v>benign</c:v>
                </c:pt>
                <c:pt idx="1786">
                  <c:v>benign</c:v>
                </c:pt>
                <c:pt idx="1787">
                  <c:v>benign</c:v>
                </c:pt>
                <c:pt idx="1788">
                  <c:v>benign</c:v>
                </c:pt>
                <c:pt idx="1789">
                  <c:v>benign</c:v>
                </c:pt>
                <c:pt idx="1790">
                  <c:v>benign</c:v>
                </c:pt>
                <c:pt idx="1791">
                  <c:v>benign</c:v>
                </c:pt>
                <c:pt idx="1792">
                  <c:v>benign</c:v>
                </c:pt>
                <c:pt idx="1793">
                  <c:v>benign</c:v>
                </c:pt>
                <c:pt idx="1794">
                  <c:v>benign</c:v>
                </c:pt>
                <c:pt idx="1795">
                  <c:v>benign</c:v>
                </c:pt>
                <c:pt idx="1796">
                  <c:v>benign</c:v>
                </c:pt>
                <c:pt idx="1797">
                  <c:v>benign</c:v>
                </c:pt>
                <c:pt idx="1798">
                  <c:v>benign</c:v>
                </c:pt>
                <c:pt idx="1799">
                  <c:v>benign</c:v>
                </c:pt>
                <c:pt idx="1800">
                  <c:v>benign</c:v>
                </c:pt>
                <c:pt idx="1801">
                  <c:v>benign</c:v>
                </c:pt>
                <c:pt idx="1802">
                  <c:v>benign</c:v>
                </c:pt>
                <c:pt idx="1803">
                  <c:v>benign</c:v>
                </c:pt>
                <c:pt idx="1804">
                  <c:v>benign</c:v>
                </c:pt>
                <c:pt idx="1805">
                  <c:v>benign</c:v>
                </c:pt>
                <c:pt idx="1806">
                  <c:v>benign</c:v>
                </c:pt>
                <c:pt idx="1807">
                  <c:v>benign</c:v>
                </c:pt>
                <c:pt idx="1808">
                  <c:v>benign</c:v>
                </c:pt>
                <c:pt idx="1809">
                  <c:v>benign</c:v>
                </c:pt>
                <c:pt idx="1810">
                  <c:v>benign</c:v>
                </c:pt>
                <c:pt idx="1811">
                  <c:v>benign</c:v>
                </c:pt>
                <c:pt idx="1812">
                  <c:v>benign</c:v>
                </c:pt>
                <c:pt idx="1813">
                  <c:v>benign</c:v>
                </c:pt>
                <c:pt idx="1814">
                  <c:v>benign</c:v>
                </c:pt>
                <c:pt idx="1815">
                  <c:v>benign</c:v>
                </c:pt>
                <c:pt idx="1816">
                  <c:v>benign</c:v>
                </c:pt>
                <c:pt idx="1817">
                  <c:v>benign</c:v>
                </c:pt>
                <c:pt idx="1818">
                  <c:v>benign</c:v>
                </c:pt>
                <c:pt idx="1819">
                  <c:v>benign</c:v>
                </c:pt>
                <c:pt idx="1820">
                  <c:v>benign</c:v>
                </c:pt>
                <c:pt idx="1821">
                  <c:v>benign</c:v>
                </c:pt>
                <c:pt idx="1822">
                  <c:v>benign</c:v>
                </c:pt>
                <c:pt idx="1823">
                  <c:v>benign</c:v>
                </c:pt>
                <c:pt idx="1824">
                  <c:v>benign</c:v>
                </c:pt>
                <c:pt idx="1825">
                  <c:v>benign</c:v>
                </c:pt>
                <c:pt idx="1826">
                  <c:v>benign</c:v>
                </c:pt>
                <c:pt idx="1827">
                  <c:v>benign</c:v>
                </c:pt>
                <c:pt idx="1828">
                  <c:v>benign</c:v>
                </c:pt>
                <c:pt idx="1829">
                  <c:v>benign</c:v>
                </c:pt>
                <c:pt idx="1830">
                  <c:v>benign</c:v>
                </c:pt>
                <c:pt idx="1831">
                  <c:v>benign</c:v>
                </c:pt>
                <c:pt idx="1832">
                  <c:v>benign</c:v>
                </c:pt>
                <c:pt idx="1833">
                  <c:v>benign</c:v>
                </c:pt>
                <c:pt idx="1834">
                  <c:v>benign</c:v>
                </c:pt>
                <c:pt idx="1835">
                  <c:v>benign</c:v>
                </c:pt>
                <c:pt idx="1836">
                  <c:v>benign</c:v>
                </c:pt>
                <c:pt idx="1837">
                  <c:v>benign</c:v>
                </c:pt>
                <c:pt idx="1838">
                  <c:v>benign</c:v>
                </c:pt>
                <c:pt idx="1839">
                  <c:v>benign</c:v>
                </c:pt>
                <c:pt idx="1840">
                  <c:v>benign</c:v>
                </c:pt>
                <c:pt idx="1841">
                  <c:v>benign</c:v>
                </c:pt>
                <c:pt idx="1842">
                  <c:v>benign</c:v>
                </c:pt>
                <c:pt idx="1843">
                  <c:v>benign</c:v>
                </c:pt>
                <c:pt idx="1844">
                  <c:v>benign</c:v>
                </c:pt>
                <c:pt idx="1845">
                  <c:v>benign</c:v>
                </c:pt>
                <c:pt idx="1846">
                  <c:v>benign</c:v>
                </c:pt>
                <c:pt idx="1847">
                  <c:v>benign</c:v>
                </c:pt>
                <c:pt idx="1848">
                  <c:v>benign</c:v>
                </c:pt>
                <c:pt idx="1849">
                  <c:v>benign</c:v>
                </c:pt>
                <c:pt idx="1850">
                  <c:v>benign</c:v>
                </c:pt>
                <c:pt idx="1851">
                  <c:v>benign</c:v>
                </c:pt>
                <c:pt idx="1852">
                  <c:v>benign</c:v>
                </c:pt>
                <c:pt idx="1853">
                  <c:v>benign</c:v>
                </c:pt>
                <c:pt idx="1854">
                  <c:v>benign</c:v>
                </c:pt>
                <c:pt idx="1855">
                  <c:v>benign</c:v>
                </c:pt>
                <c:pt idx="1856">
                  <c:v>benign</c:v>
                </c:pt>
                <c:pt idx="1857">
                  <c:v>benign</c:v>
                </c:pt>
                <c:pt idx="1858">
                  <c:v>benign</c:v>
                </c:pt>
                <c:pt idx="1859">
                  <c:v>benign</c:v>
                </c:pt>
                <c:pt idx="1860">
                  <c:v>benign</c:v>
                </c:pt>
                <c:pt idx="1861">
                  <c:v>benign</c:v>
                </c:pt>
                <c:pt idx="1862">
                  <c:v>benign</c:v>
                </c:pt>
                <c:pt idx="1863">
                  <c:v>benign</c:v>
                </c:pt>
                <c:pt idx="1864">
                  <c:v>benign</c:v>
                </c:pt>
                <c:pt idx="1865">
                  <c:v>benign</c:v>
                </c:pt>
                <c:pt idx="1866">
                  <c:v>benign</c:v>
                </c:pt>
                <c:pt idx="1867">
                  <c:v>benign</c:v>
                </c:pt>
                <c:pt idx="1868">
                  <c:v>benign</c:v>
                </c:pt>
                <c:pt idx="1869">
                  <c:v>benign</c:v>
                </c:pt>
                <c:pt idx="1870">
                  <c:v>benign</c:v>
                </c:pt>
                <c:pt idx="1871">
                  <c:v>benign</c:v>
                </c:pt>
                <c:pt idx="1872">
                  <c:v>benign</c:v>
                </c:pt>
                <c:pt idx="1873">
                  <c:v>benign</c:v>
                </c:pt>
                <c:pt idx="1874">
                  <c:v>benign</c:v>
                </c:pt>
                <c:pt idx="1875">
                  <c:v>benign</c:v>
                </c:pt>
                <c:pt idx="1876">
                  <c:v>benign</c:v>
                </c:pt>
                <c:pt idx="1877">
                  <c:v>benign</c:v>
                </c:pt>
                <c:pt idx="1878">
                  <c:v>benign</c:v>
                </c:pt>
                <c:pt idx="1879">
                  <c:v>benign</c:v>
                </c:pt>
                <c:pt idx="1880">
                  <c:v>benign</c:v>
                </c:pt>
                <c:pt idx="1881">
                  <c:v>benign</c:v>
                </c:pt>
                <c:pt idx="1882">
                  <c:v>benign</c:v>
                </c:pt>
                <c:pt idx="1883">
                  <c:v>benign</c:v>
                </c:pt>
                <c:pt idx="1884">
                  <c:v>benign</c:v>
                </c:pt>
                <c:pt idx="1885">
                  <c:v>benign</c:v>
                </c:pt>
                <c:pt idx="1886">
                  <c:v>benign</c:v>
                </c:pt>
                <c:pt idx="1887">
                  <c:v>benign</c:v>
                </c:pt>
                <c:pt idx="1888">
                  <c:v>benign</c:v>
                </c:pt>
                <c:pt idx="1889">
                  <c:v>benign</c:v>
                </c:pt>
                <c:pt idx="1890">
                  <c:v>benign</c:v>
                </c:pt>
                <c:pt idx="1891">
                  <c:v>benign</c:v>
                </c:pt>
                <c:pt idx="1892">
                  <c:v>benign</c:v>
                </c:pt>
                <c:pt idx="1893">
                  <c:v>benign</c:v>
                </c:pt>
                <c:pt idx="1894">
                  <c:v>benign</c:v>
                </c:pt>
                <c:pt idx="1895">
                  <c:v>benign</c:v>
                </c:pt>
                <c:pt idx="1896">
                  <c:v>benign</c:v>
                </c:pt>
                <c:pt idx="1897">
                  <c:v>benign</c:v>
                </c:pt>
                <c:pt idx="1898">
                  <c:v>benign</c:v>
                </c:pt>
                <c:pt idx="1899">
                  <c:v>benign</c:v>
                </c:pt>
                <c:pt idx="1900">
                  <c:v>benign</c:v>
                </c:pt>
                <c:pt idx="1901">
                  <c:v>benign</c:v>
                </c:pt>
                <c:pt idx="1902">
                  <c:v>benign</c:v>
                </c:pt>
                <c:pt idx="1903">
                  <c:v>benign</c:v>
                </c:pt>
                <c:pt idx="1904">
                  <c:v>benign</c:v>
                </c:pt>
                <c:pt idx="1905">
                  <c:v>benign</c:v>
                </c:pt>
                <c:pt idx="1906">
                  <c:v>benign</c:v>
                </c:pt>
                <c:pt idx="1907">
                  <c:v>benign</c:v>
                </c:pt>
                <c:pt idx="1908">
                  <c:v>benign</c:v>
                </c:pt>
                <c:pt idx="1909">
                  <c:v>benign</c:v>
                </c:pt>
                <c:pt idx="1910">
                  <c:v>benign</c:v>
                </c:pt>
                <c:pt idx="1911">
                  <c:v>benign</c:v>
                </c:pt>
                <c:pt idx="1912">
                  <c:v>benign</c:v>
                </c:pt>
                <c:pt idx="1913">
                  <c:v>benign</c:v>
                </c:pt>
                <c:pt idx="1914">
                  <c:v>benign</c:v>
                </c:pt>
                <c:pt idx="1915">
                  <c:v>benign</c:v>
                </c:pt>
                <c:pt idx="1916">
                  <c:v>benign</c:v>
                </c:pt>
                <c:pt idx="1917">
                  <c:v>benign</c:v>
                </c:pt>
                <c:pt idx="1918">
                  <c:v>benign</c:v>
                </c:pt>
                <c:pt idx="1919">
                  <c:v>benign</c:v>
                </c:pt>
                <c:pt idx="1920">
                  <c:v>benign</c:v>
                </c:pt>
                <c:pt idx="1921">
                  <c:v>benign</c:v>
                </c:pt>
                <c:pt idx="1922">
                  <c:v>benign</c:v>
                </c:pt>
                <c:pt idx="1923">
                  <c:v>benign</c:v>
                </c:pt>
                <c:pt idx="1924">
                  <c:v>benign</c:v>
                </c:pt>
                <c:pt idx="1925">
                  <c:v>benign</c:v>
                </c:pt>
                <c:pt idx="1926">
                  <c:v>benign</c:v>
                </c:pt>
                <c:pt idx="1927">
                  <c:v>benign</c:v>
                </c:pt>
                <c:pt idx="1928">
                  <c:v>benign</c:v>
                </c:pt>
                <c:pt idx="1929">
                  <c:v>benign</c:v>
                </c:pt>
                <c:pt idx="1930">
                  <c:v>benign</c:v>
                </c:pt>
                <c:pt idx="1931">
                  <c:v>benign</c:v>
                </c:pt>
                <c:pt idx="1932">
                  <c:v>benign</c:v>
                </c:pt>
                <c:pt idx="1933">
                  <c:v>benign</c:v>
                </c:pt>
                <c:pt idx="1934">
                  <c:v>benign</c:v>
                </c:pt>
                <c:pt idx="1935">
                  <c:v>benign</c:v>
                </c:pt>
                <c:pt idx="1936">
                  <c:v>benign</c:v>
                </c:pt>
                <c:pt idx="1937">
                  <c:v>benign</c:v>
                </c:pt>
                <c:pt idx="1938">
                  <c:v>benign</c:v>
                </c:pt>
                <c:pt idx="1939">
                  <c:v>benign</c:v>
                </c:pt>
                <c:pt idx="1940">
                  <c:v>benign</c:v>
                </c:pt>
                <c:pt idx="1941">
                  <c:v>benign</c:v>
                </c:pt>
                <c:pt idx="1942">
                  <c:v>benign</c:v>
                </c:pt>
                <c:pt idx="1943">
                  <c:v>benign</c:v>
                </c:pt>
                <c:pt idx="1944">
                  <c:v>benign</c:v>
                </c:pt>
                <c:pt idx="1945">
                  <c:v>benign</c:v>
                </c:pt>
                <c:pt idx="1946">
                  <c:v>benign</c:v>
                </c:pt>
                <c:pt idx="1947">
                  <c:v>benign</c:v>
                </c:pt>
                <c:pt idx="1948">
                  <c:v>benign</c:v>
                </c:pt>
                <c:pt idx="1949">
                  <c:v>benign</c:v>
                </c:pt>
                <c:pt idx="1950">
                  <c:v>benign</c:v>
                </c:pt>
                <c:pt idx="1951">
                  <c:v>benign</c:v>
                </c:pt>
                <c:pt idx="1952">
                  <c:v>benign</c:v>
                </c:pt>
                <c:pt idx="1953">
                  <c:v>benign</c:v>
                </c:pt>
                <c:pt idx="1954">
                  <c:v>benign</c:v>
                </c:pt>
                <c:pt idx="1955">
                  <c:v>benign</c:v>
                </c:pt>
                <c:pt idx="1956">
                  <c:v>benign</c:v>
                </c:pt>
                <c:pt idx="1957">
                  <c:v>benign</c:v>
                </c:pt>
                <c:pt idx="1958">
                  <c:v>benign</c:v>
                </c:pt>
                <c:pt idx="1959">
                  <c:v>benign</c:v>
                </c:pt>
                <c:pt idx="1960">
                  <c:v>benign</c:v>
                </c:pt>
                <c:pt idx="1961">
                  <c:v>benign</c:v>
                </c:pt>
                <c:pt idx="1962">
                  <c:v>benign</c:v>
                </c:pt>
                <c:pt idx="1963">
                  <c:v>benign</c:v>
                </c:pt>
                <c:pt idx="1964">
                  <c:v>benign</c:v>
                </c:pt>
                <c:pt idx="1965">
                  <c:v>benign</c:v>
                </c:pt>
                <c:pt idx="1966">
                  <c:v>benign</c:v>
                </c:pt>
                <c:pt idx="1967">
                  <c:v>benign</c:v>
                </c:pt>
                <c:pt idx="1968">
                  <c:v>benign</c:v>
                </c:pt>
                <c:pt idx="1969">
                  <c:v>benign</c:v>
                </c:pt>
                <c:pt idx="1970">
                  <c:v>benign</c:v>
                </c:pt>
                <c:pt idx="1971">
                  <c:v>benign</c:v>
                </c:pt>
                <c:pt idx="1972">
                  <c:v>benign</c:v>
                </c:pt>
                <c:pt idx="1973">
                  <c:v>polyphen_class</c:v>
                </c:pt>
                <c:pt idx="1974">
                  <c:v>possibly damaging</c:v>
                </c:pt>
                <c:pt idx="1975">
                  <c:v>possibly damaging</c:v>
                </c:pt>
                <c:pt idx="1976">
                  <c:v>possibly damaging</c:v>
                </c:pt>
                <c:pt idx="1977">
                  <c:v>possibly damaging</c:v>
                </c:pt>
                <c:pt idx="1978">
                  <c:v>possibly damaging</c:v>
                </c:pt>
                <c:pt idx="1979">
                  <c:v>possibly damaging</c:v>
                </c:pt>
                <c:pt idx="1980">
                  <c:v>possibly damaging</c:v>
                </c:pt>
                <c:pt idx="1981">
                  <c:v>possibly damaging</c:v>
                </c:pt>
                <c:pt idx="1982">
                  <c:v>possibly damaging</c:v>
                </c:pt>
                <c:pt idx="1983">
                  <c:v>possibly damaging</c:v>
                </c:pt>
                <c:pt idx="1984">
                  <c:v>possibly damaging</c:v>
                </c:pt>
                <c:pt idx="1985">
                  <c:v>possibly damaging</c:v>
                </c:pt>
                <c:pt idx="1986">
                  <c:v>possibly damaging</c:v>
                </c:pt>
                <c:pt idx="1987">
                  <c:v>possibly damaging</c:v>
                </c:pt>
                <c:pt idx="1988">
                  <c:v>possibly damaging</c:v>
                </c:pt>
                <c:pt idx="1989">
                  <c:v>possibly damaging</c:v>
                </c:pt>
                <c:pt idx="1990">
                  <c:v>possibly damaging</c:v>
                </c:pt>
                <c:pt idx="1991">
                  <c:v>possibly damaging</c:v>
                </c:pt>
                <c:pt idx="1992">
                  <c:v>possibly damaging</c:v>
                </c:pt>
                <c:pt idx="1993">
                  <c:v>possibly damaging</c:v>
                </c:pt>
                <c:pt idx="1994">
                  <c:v>possibly damaging</c:v>
                </c:pt>
                <c:pt idx="1995">
                  <c:v>possibly damaging</c:v>
                </c:pt>
                <c:pt idx="1996">
                  <c:v>possibly damaging</c:v>
                </c:pt>
                <c:pt idx="1997">
                  <c:v>possibly damaging</c:v>
                </c:pt>
                <c:pt idx="1998">
                  <c:v>possibly damaging</c:v>
                </c:pt>
                <c:pt idx="1999">
                  <c:v>possibly damaging</c:v>
                </c:pt>
                <c:pt idx="2000">
                  <c:v>possibly damaging</c:v>
                </c:pt>
                <c:pt idx="2001">
                  <c:v>possibly damaging</c:v>
                </c:pt>
                <c:pt idx="2002">
                  <c:v>possibly damaging</c:v>
                </c:pt>
                <c:pt idx="2003">
                  <c:v>possibly damaging</c:v>
                </c:pt>
                <c:pt idx="2004">
                  <c:v>possibly damaging</c:v>
                </c:pt>
                <c:pt idx="2005">
                  <c:v>possibly damaging</c:v>
                </c:pt>
                <c:pt idx="2006">
                  <c:v>possibly damaging</c:v>
                </c:pt>
                <c:pt idx="2007">
                  <c:v>possibly damaging</c:v>
                </c:pt>
                <c:pt idx="2008">
                  <c:v>possibly damaging</c:v>
                </c:pt>
                <c:pt idx="2009">
                  <c:v>possibly damaging</c:v>
                </c:pt>
                <c:pt idx="2010">
                  <c:v>possibly damaging</c:v>
                </c:pt>
                <c:pt idx="2011">
                  <c:v>possibly damaging</c:v>
                </c:pt>
                <c:pt idx="2012">
                  <c:v>possibly damaging</c:v>
                </c:pt>
                <c:pt idx="2013">
                  <c:v>possibly damaging</c:v>
                </c:pt>
                <c:pt idx="2014">
                  <c:v>possibly damaging</c:v>
                </c:pt>
                <c:pt idx="2015">
                  <c:v>possibly damaging</c:v>
                </c:pt>
                <c:pt idx="2016">
                  <c:v>possibly damaging</c:v>
                </c:pt>
                <c:pt idx="2017">
                  <c:v>possibly damaging</c:v>
                </c:pt>
                <c:pt idx="2018">
                  <c:v>possibly damaging</c:v>
                </c:pt>
                <c:pt idx="2019">
                  <c:v>possibly damaging</c:v>
                </c:pt>
                <c:pt idx="2020">
                  <c:v>possibly damaging</c:v>
                </c:pt>
                <c:pt idx="2021">
                  <c:v>possibly damaging</c:v>
                </c:pt>
                <c:pt idx="2022">
                  <c:v>possibly damaging</c:v>
                </c:pt>
                <c:pt idx="2023">
                  <c:v>possibly damaging</c:v>
                </c:pt>
                <c:pt idx="2024">
                  <c:v>possibly damaging</c:v>
                </c:pt>
                <c:pt idx="2025">
                  <c:v>possibly damaging</c:v>
                </c:pt>
                <c:pt idx="2026">
                  <c:v>possibly damaging</c:v>
                </c:pt>
                <c:pt idx="2027">
                  <c:v>possibly damaging</c:v>
                </c:pt>
                <c:pt idx="2028">
                  <c:v>possibly damaging</c:v>
                </c:pt>
                <c:pt idx="2029">
                  <c:v>possibly damaging</c:v>
                </c:pt>
                <c:pt idx="2030">
                  <c:v>possibly damaging</c:v>
                </c:pt>
                <c:pt idx="2031">
                  <c:v>possibly damaging</c:v>
                </c:pt>
                <c:pt idx="2032">
                  <c:v>possibly damaging</c:v>
                </c:pt>
                <c:pt idx="2033">
                  <c:v>possibly damaging</c:v>
                </c:pt>
                <c:pt idx="2034">
                  <c:v>possibly damaging</c:v>
                </c:pt>
                <c:pt idx="2035">
                  <c:v>possibly damaging</c:v>
                </c:pt>
                <c:pt idx="2036">
                  <c:v>possibly damaging</c:v>
                </c:pt>
                <c:pt idx="2037">
                  <c:v>possibly damaging</c:v>
                </c:pt>
                <c:pt idx="2038">
                  <c:v>possibly damaging</c:v>
                </c:pt>
                <c:pt idx="2039">
                  <c:v>possibly damaging</c:v>
                </c:pt>
                <c:pt idx="2040">
                  <c:v>possibly damaging</c:v>
                </c:pt>
                <c:pt idx="2041">
                  <c:v>possibly damaging</c:v>
                </c:pt>
                <c:pt idx="2042">
                  <c:v>possibly damaging</c:v>
                </c:pt>
                <c:pt idx="2043">
                  <c:v>possibly damaging</c:v>
                </c:pt>
                <c:pt idx="2044">
                  <c:v>possibly damaging</c:v>
                </c:pt>
                <c:pt idx="2045">
                  <c:v>possibly damaging</c:v>
                </c:pt>
                <c:pt idx="2046">
                  <c:v>possibly damaging</c:v>
                </c:pt>
                <c:pt idx="2047">
                  <c:v>possibly damaging</c:v>
                </c:pt>
                <c:pt idx="2048">
                  <c:v>possibly damaging</c:v>
                </c:pt>
                <c:pt idx="2049">
                  <c:v>possibly damaging</c:v>
                </c:pt>
                <c:pt idx="2050">
                  <c:v>possibly damaging</c:v>
                </c:pt>
                <c:pt idx="2051">
                  <c:v>possibly damaging</c:v>
                </c:pt>
                <c:pt idx="2052">
                  <c:v>possibly damaging</c:v>
                </c:pt>
                <c:pt idx="2053">
                  <c:v>possibly damaging</c:v>
                </c:pt>
                <c:pt idx="2054">
                  <c:v>possibly damaging</c:v>
                </c:pt>
                <c:pt idx="2055">
                  <c:v>possibly damaging</c:v>
                </c:pt>
                <c:pt idx="2056">
                  <c:v>possibly damaging</c:v>
                </c:pt>
                <c:pt idx="2057">
                  <c:v>possibly damaging</c:v>
                </c:pt>
                <c:pt idx="2058">
                  <c:v>possibly damaging</c:v>
                </c:pt>
                <c:pt idx="2059">
                  <c:v>possibly damaging</c:v>
                </c:pt>
                <c:pt idx="2060">
                  <c:v>possibly damaging</c:v>
                </c:pt>
                <c:pt idx="2061">
                  <c:v>possibly damaging</c:v>
                </c:pt>
                <c:pt idx="2062">
                  <c:v>possibly damaging</c:v>
                </c:pt>
                <c:pt idx="2063">
                  <c:v>possibly damaging</c:v>
                </c:pt>
                <c:pt idx="2064">
                  <c:v>possibly damaging</c:v>
                </c:pt>
                <c:pt idx="2065">
                  <c:v>possibly damaging</c:v>
                </c:pt>
                <c:pt idx="2066">
                  <c:v>possibly damaging</c:v>
                </c:pt>
                <c:pt idx="2067">
                  <c:v>possibly damaging</c:v>
                </c:pt>
                <c:pt idx="2068">
                  <c:v>possibly damaging</c:v>
                </c:pt>
                <c:pt idx="2069">
                  <c:v>possibly damaging</c:v>
                </c:pt>
                <c:pt idx="2070">
                  <c:v>possibly damaging</c:v>
                </c:pt>
                <c:pt idx="2071">
                  <c:v>possibly damaging</c:v>
                </c:pt>
                <c:pt idx="2072">
                  <c:v>possibly damaging</c:v>
                </c:pt>
                <c:pt idx="2073">
                  <c:v>possibly damaging</c:v>
                </c:pt>
                <c:pt idx="2074">
                  <c:v>possibly damaging</c:v>
                </c:pt>
                <c:pt idx="2075">
                  <c:v>possibly damaging</c:v>
                </c:pt>
                <c:pt idx="2076">
                  <c:v>possibly damaging</c:v>
                </c:pt>
                <c:pt idx="2077">
                  <c:v>possibly damaging</c:v>
                </c:pt>
                <c:pt idx="2078">
                  <c:v>possibly damaging</c:v>
                </c:pt>
                <c:pt idx="2079">
                  <c:v>possibly damaging</c:v>
                </c:pt>
                <c:pt idx="2080">
                  <c:v>possibly damaging</c:v>
                </c:pt>
                <c:pt idx="2081">
                  <c:v>possibly damaging</c:v>
                </c:pt>
                <c:pt idx="2082">
                  <c:v>possibly damaging</c:v>
                </c:pt>
                <c:pt idx="2083">
                  <c:v>possibly damaging</c:v>
                </c:pt>
                <c:pt idx="2084">
                  <c:v>possibly damaging</c:v>
                </c:pt>
                <c:pt idx="2085">
                  <c:v>possibly damaging</c:v>
                </c:pt>
                <c:pt idx="2086">
                  <c:v>possibly damaging</c:v>
                </c:pt>
                <c:pt idx="2087">
                  <c:v>possibly damaging</c:v>
                </c:pt>
                <c:pt idx="2088">
                  <c:v>possibly damaging</c:v>
                </c:pt>
                <c:pt idx="2089">
                  <c:v>possibly damaging</c:v>
                </c:pt>
                <c:pt idx="2090">
                  <c:v>possibly damaging</c:v>
                </c:pt>
                <c:pt idx="2091">
                  <c:v>possibly damaging</c:v>
                </c:pt>
                <c:pt idx="2092">
                  <c:v>possibly damaging</c:v>
                </c:pt>
                <c:pt idx="2093">
                  <c:v>possibly damaging</c:v>
                </c:pt>
                <c:pt idx="2094">
                  <c:v>possibly damaging</c:v>
                </c:pt>
                <c:pt idx="2095">
                  <c:v>possibly damaging</c:v>
                </c:pt>
                <c:pt idx="2096">
                  <c:v>possibly damaging</c:v>
                </c:pt>
                <c:pt idx="2097">
                  <c:v>possibly damaging</c:v>
                </c:pt>
                <c:pt idx="2098">
                  <c:v>possibly damaging</c:v>
                </c:pt>
                <c:pt idx="2099">
                  <c:v>possibly damaging</c:v>
                </c:pt>
                <c:pt idx="2100">
                  <c:v>possibly damaging</c:v>
                </c:pt>
                <c:pt idx="2101">
                  <c:v>possibly damaging</c:v>
                </c:pt>
                <c:pt idx="2102">
                  <c:v>possibly damaging</c:v>
                </c:pt>
                <c:pt idx="2103">
                  <c:v>possibly damaging</c:v>
                </c:pt>
                <c:pt idx="2104">
                  <c:v>possibly damaging</c:v>
                </c:pt>
                <c:pt idx="2105">
                  <c:v>possibly damaging</c:v>
                </c:pt>
                <c:pt idx="2106">
                  <c:v>possibly damaging</c:v>
                </c:pt>
                <c:pt idx="2107">
                  <c:v>possibly damaging</c:v>
                </c:pt>
                <c:pt idx="2108">
                  <c:v>possibly damaging</c:v>
                </c:pt>
                <c:pt idx="2109">
                  <c:v>possibly damaging</c:v>
                </c:pt>
                <c:pt idx="2110">
                  <c:v>possibly damaging</c:v>
                </c:pt>
                <c:pt idx="2111">
                  <c:v>possibly damaging</c:v>
                </c:pt>
                <c:pt idx="2112">
                  <c:v>possibly damaging</c:v>
                </c:pt>
                <c:pt idx="2113">
                  <c:v>possibly damaging</c:v>
                </c:pt>
                <c:pt idx="2114">
                  <c:v>possibly damaging</c:v>
                </c:pt>
                <c:pt idx="2115">
                  <c:v>possibly damaging</c:v>
                </c:pt>
                <c:pt idx="2116">
                  <c:v>possibly damaging</c:v>
                </c:pt>
                <c:pt idx="2117">
                  <c:v>possibly damaging</c:v>
                </c:pt>
                <c:pt idx="2118">
                  <c:v>possibly damaging</c:v>
                </c:pt>
                <c:pt idx="2119">
                  <c:v>possibly damaging</c:v>
                </c:pt>
                <c:pt idx="2120">
                  <c:v>possibly damaging</c:v>
                </c:pt>
                <c:pt idx="2121">
                  <c:v>possibly damaging</c:v>
                </c:pt>
                <c:pt idx="2122">
                  <c:v>possibly damaging</c:v>
                </c:pt>
                <c:pt idx="2123">
                  <c:v>possibly damaging</c:v>
                </c:pt>
                <c:pt idx="2124">
                  <c:v>possibly damaging</c:v>
                </c:pt>
                <c:pt idx="2125">
                  <c:v>possibly damaging</c:v>
                </c:pt>
                <c:pt idx="2126">
                  <c:v>possibly damaging</c:v>
                </c:pt>
                <c:pt idx="2127">
                  <c:v>possibly damaging</c:v>
                </c:pt>
                <c:pt idx="2128">
                  <c:v>possibly damaging</c:v>
                </c:pt>
                <c:pt idx="2129">
                  <c:v>possibly damaging</c:v>
                </c:pt>
                <c:pt idx="2130">
                  <c:v>possibly damaging</c:v>
                </c:pt>
                <c:pt idx="2131">
                  <c:v>possibly damaging</c:v>
                </c:pt>
                <c:pt idx="2132">
                  <c:v>possibly damaging</c:v>
                </c:pt>
                <c:pt idx="2133">
                  <c:v>possibly damaging</c:v>
                </c:pt>
                <c:pt idx="2134">
                  <c:v>possibly damaging</c:v>
                </c:pt>
                <c:pt idx="2135">
                  <c:v>possibly damaging</c:v>
                </c:pt>
                <c:pt idx="2136">
                  <c:v>possibly damaging</c:v>
                </c:pt>
                <c:pt idx="2137">
                  <c:v>possibly damaging</c:v>
                </c:pt>
                <c:pt idx="2138">
                  <c:v>possibly damaging</c:v>
                </c:pt>
                <c:pt idx="2139">
                  <c:v>possibly damaging</c:v>
                </c:pt>
                <c:pt idx="2140">
                  <c:v>possibly damaging</c:v>
                </c:pt>
                <c:pt idx="2141">
                  <c:v>possibly damaging</c:v>
                </c:pt>
                <c:pt idx="2142">
                  <c:v>possibly damaging</c:v>
                </c:pt>
                <c:pt idx="2143">
                  <c:v>possibly damaging</c:v>
                </c:pt>
                <c:pt idx="2144">
                  <c:v>possibly damaging</c:v>
                </c:pt>
                <c:pt idx="2145">
                  <c:v>possibly damaging</c:v>
                </c:pt>
                <c:pt idx="2146">
                  <c:v>possibly damaging</c:v>
                </c:pt>
                <c:pt idx="2147">
                  <c:v>possibly damaging</c:v>
                </c:pt>
                <c:pt idx="2148">
                  <c:v>possibly damaging</c:v>
                </c:pt>
                <c:pt idx="2149">
                  <c:v>possibly damaging</c:v>
                </c:pt>
                <c:pt idx="2150">
                  <c:v>possibly damaging</c:v>
                </c:pt>
                <c:pt idx="2151">
                  <c:v>possibly damaging</c:v>
                </c:pt>
                <c:pt idx="2152">
                  <c:v>possibly damaging</c:v>
                </c:pt>
                <c:pt idx="2153">
                  <c:v>possibly damaging</c:v>
                </c:pt>
                <c:pt idx="2154">
                  <c:v>possibly damaging</c:v>
                </c:pt>
                <c:pt idx="2155">
                  <c:v>possibly damaging</c:v>
                </c:pt>
                <c:pt idx="2156">
                  <c:v>possibly damaging</c:v>
                </c:pt>
                <c:pt idx="2157">
                  <c:v>possibly damaging</c:v>
                </c:pt>
                <c:pt idx="2158">
                  <c:v>possibly damaging</c:v>
                </c:pt>
                <c:pt idx="2159">
                  <c:v>possibly damaging</c:v>
                </c:pt>
                <c:pt idx="2160">
                  <c:v>possibly damaging</c:v>
                </c:pt>
                <c:pt idx="2161">
                  <c:v>possibly damaging</c:v>
                </c:pt>
                <c:pt idx="2162">
                  <c:v>possibly damaging</c:v>
                </c:pt>
                <c:pt idx="2163">
                  <c:v>possibly damaging</c:v>
                </c:pt>
                <c:pt idx="2164">
                  <c:v>possibly damaging</c:v>
                </c:pt>
                <c:pt idx="2165">
                  <c:v>possibly damaging</c:v>
                </c:pt>
                <c:pt idx="2166">
                  <c:v>possibly damaging</c:v>
                </c:pt>
                <c:pt idx="2167">
                  <c:v>possibly damaging</c:v>
                </c:pt>
                <c:pt idx="2168">
                  <c:v>possibly damaging</c:v>
                </c:pt>
                <c:pt idx="2169">
                  <c:v>possibly damaging</c:v>
                </c:pt>
                <c:pt idx="2170">
                  <c:v>possibly damaging</c:v>
                </c:pt>
                <c:pt idx="2171">
                  <c:v>possibly damaging</c:v>
                </c:pt>
                <c:pt idx="2172">
                  <c:v>possibly damaging</c:v>
                </c:pt>
                <c:pt idx="2173">
                  <c:v>possibly damaging</c:v>
                </c:pt>
                <c:pt idx="2174">
                  <c:v>possibly damaging</c:v>
                </c:pt>
                <c:pt idx="2175">
                  <c:v>possibly damaging</c:v>
                </c:pt>
                <c:pt idx="2176">
                  <c:v>possibly damaging</c:v>
                </c:pt>
                <c:pt idx="2177">
                  <c:v>possibly damaging</c:v>
                </c:pt>
                <c:pt idx="2178">
                  <c:v>possibly damaging</c:v>
                </c:pt>
                <c:pt idx="2179">
                  <c:v>possibly damaging</c:v>
                </c:pt>
                <c:pt idx="2180">
                  <c:v>possibly damaging</c:v>
                </c:pt>
                <c:pt idx="2181">
                  <c:v>possibly damaging</c:v>
                </c:pt>
                <c:pt idx="2182">
                  <c:v>possibly damaging</c:v>
                </c:pt>
                <c:pt idx="2183">
                  <c:v>possibly damaging</c:v>
                </c:pt>
                <c:pt idx="2184">
                  <c:v>possibly damaging</c:v>
                </c:pt>
                <c:pt idx="2185">
                  <c:v>possibly damaging</c:v>
                </c:pt>
                <c:pt idx="2186">
                  <c:v>possibly damaging</c:v>
                </c:pt>
                <c:pt idx="2187">
                  <c:v>possibly damaging</c:v>
                </c:pt>
                <c:pt idx="2188">
                  <c:v>possibly damaging</c:v>
                </c:pt>
                <c:pt idx="2189">
                  <c:v>possibly damaging</c:v>
                </c:pt>
                <c:pt idx="2190">
                  <c:v>possibly damaging</c:v>
                </c:pt>
                <c:pt idx="2191">
                  <c:v>possibly damaging</c:v>
                </c:pt>
                <c:pt idx="2192">
                  <c:v>possibly damaging</c:v>
                </c:pt>
                <c:pt idx="2193">
                  <c:v>possibly damaging</c:v>
                </c:pt>
                <c:pt idx="2194">
                  <c:v>possibly damaging</c:v>
                </c:pt>
                <c:pt idx="2195">
                  <c:v>possibly damaging</c:v>
                </c:pt>
                <c:pt idx="2196">
                  <c:v>possibly damaging</c:v>
                </c:pt>
                <c:pt idx="2197">
                  <c:v>possibly damaging</c:v>
                </c:pt>
                <c:pt idx="2198">
                  <c:v>possibly damaging</c:v>
                </c:pt>
                <c:pt idx="2199">
                  <c:v>possibly damaging</c:v>
                </c:pt>
                <c:pt idx="2200">
                  <c:v>possibly damaging</c:v>
                </c:pt>
                <c:pt idx="2201">
                  <c:v>possibly damaging</c:v>
                </c:pt>
                <c:pt idx="2202">
                  <c:v>possibly damaging</c:v>
                </c:pt>
                <c:pt idx="2203">
                  <c:v>possibly damaging</c:v>
                </c:pt>
                <c:pt idx="2204">
                  <c:v>possibly damaging</c:v>
                </c:pt>
                <c:pt idx="2205">
                  <c:v>possibly damaging</c:v>
                </c:pt>
                <c:pt idx="2206">
                  <c:v>possibly damaging</c:v>
                </c:pt>
                <c:pt idx="2207">
                  <c:v>possibly damaging</c:v>
                </c:pt>
                <c:pt idx="2208">
                  <c:v>possibly damaging</c:v>
                </c:pt>
                <c:pt idx="2209">
                  <c:v>possibly damaging</c:v>
                </c:pt>
                <c:pt idx="2210">
                  <c:v>possibly damaging</c:v>
                </c:pt>
                <c:pt idx="2211">
                  <c:v>possibly damaging</c:v>
                </c:pt>
                <c:pt idx="2212">
                  <c:v>possibly damaging</c:v>
                </c:pt>
                <c:pt idx="2213">
                  <c:v>possibly damaging</c:v>
                </c:pt>
                <c:pt idx="2214">
                  <c:v>possibly damaging</c:v>
                </c:pt>
                <c:pt idx="2215">
                  <c:v>possibly damaging</c:v>
                </c:pt>
                <c:pt idx="2216">
                  <c:v>possibly damaging</c:v>
                </c:pt>
                <c:pt idx="2217">
                  <c:v>possibly damaging</c:v>
                </c:pt>
                <c:pt idx="2218">
                  <c:v>possibly damaging</c:v>
                </c:pt>
                <c:pt idx="2219">
                  <c:v>possibly damaging</c:v>
                </c:pt>
                <c:pt idx="2220">
                  <c:v>possibly damaging</c:v>
                </c:pt>
                <c:pt idx="2221">
                  <c:v>possibly damaging</c:v>
                </c:pt>
                <c:pt idx="2222">
                  <c:v>possibly damaging</c:v>
                </c:pt>
                <c:pt idx="2223">
                  <c:v>possibly damaging</c:v>
                </c:pt>
                <c:pt idx="2224">
                  <c:v>possibly damaging</c:v>
                </c:pt>
                <c:pt idx="2225">
                  <c:v>possibly damaging</c:v>
                </c:pt>
                <c:pt idx="2226">
                  <c:v>possibly damaging</c:v>
                </c:pt>
                <c:pt idx="2227">
                  <c:v>possibly damaging</c:v>
                </c:pt>
                <c:pt idx="2228">
                  <c:v>possibly damaging</c:v>
                </c:pt>
                <c:pt idx="2229">
                  <c:v>possibly damaging</c:v>
                </c:pt>
                <c:pt idx="2230">
                  <c:v>possibly damaging</c:v>
                </c:pt>
                <c:pt idx="2231">
                  <c:v>possibly damaging</c:v>
                </c:pt>
                <c:pt idx="2232">
                  <c:v>possibly damaging</c:v>
                </c:pt>
                <c:pt idx="2233">
                  <c:v>possibly damaging</c:v>
                </c:pt>
                <c:pt idx="2234">
                  <c:v>possibly damaging</c:v>
                </c:pt>
                <c:pt idx="2235">
                  <c:v>possibly damaging</c:v>
                </c:pt>
                <c:pt idx="2236">
                  <c:v>possibly damaging</c:v>
                </c:pt>
                <c:pt idx="2237">
                  <c:v>possibly damaging</c:v>
                </c:pt>
                <c:pt idx="2238">
                  <c:v>possibly damaging</c:v>
                </c:pt>
                <c:pt idx="2239">
                  <c:v>possibly damaging</c:v>
                </c:pt>
                <c:pt idx="2240">
                  <c:v>possibly damaging</c:v>
                </c:pt>
                <c:pt idx="2241">
                  <c:v>possibly damaging</c:v>
                </c:pt>
                <c:pt idx="2242">
                  <c:v>possibly damaging</c:v>
                </c:pt>
                <c:pt idx="2243">
                  <c:v>possibly damaging</c:v>
                </c:pt>
                <c:pt idx="2244">
                  <c:v>possibly damaging</c:v>
                </c:pt>
                <c:pt idx="2245">
                  <c:v>possibly damaging</c:v>
                </c:pt>
                <c:pt idx="2246">
                  <c:v>possibly damaging</c:v>
                </c:pt>
                <c:pt idx="2247">
                  <c:v>possibly damaging</c:v>
                </c:pt>
                <c:pt idx="2248">
                  <c:v>possibly damaging</c:v>
                </c:pt>
                <c:pt idx="2249">
                  <c:v>possibly damaging</c:v>
                </c:pt>
                <c:pt idx="2250">
                  <c:v>possibly damaging</c:v>
                </c:pt>
                <c:pt idx="2251">
                  <c:v>possibly damaging</c:v>
                </c:pt>
                <c:pt idx="2252">
                  <c:v>possibly damaging</c:v>
                </c:pt>
                <c:pt idx="2253">
                  <c:v>possibly damaging</c:v>
                </c:pt>
                <c:pt idx="2254">
                  <c:v>possibly damaging</c:v>
                </c:pt>
                <c:pt idx="2255">
                  <c:v>possibly damaging</c:v>
                </c:pt>
                <c:pt idx="2256">
                  <c:v>possibly damaging</c:v>
                </c:pt>
                <c:pt idx="2257">
                  <c:v>possibly damaging</c:v>
                </c:pt>
                <c:pt idx="2258">
                  <c:v>possibly damaging</c:v>
                </c:pt>
                <c:pt idx="2259">
                  <c:v>possibly damaging</c:v>
                </c:pt>
                <c:pt idx="2260">
                  <c:v>possibly damaging</c:v>
                </c:pt>
                <c:pt idx="2261">
                  <c:v>possibly damaging</c:v>
                </c:pt>
                <c:pt idx="2262">
                  <c:v>possibly damaging</c:v>
                </c:pt>
                <c:pt idx="2263">
                  <c:v>possibly damaging</c:v>
                </c:pt>
                <c:pt idx="2264">
                  <c:v>possibly damaging</c:v>
                </c:pt>
                <c:pt idx="2265">
                  <c:v>possibly damaging</c:v>
                </c:pt>
                <c:pt idx="2266">
                  <c:v>possibly damaging</c:v>
                </c:pt>
                <c:pt idx="2267">
                  <c:v>possibly damaging</c:v>
                </c:pt>
                <c:pt idx="2268">
                  <c:v>possibly damaging</c:v>
                </c:pt>
                <c:pt idx="2269">
                  <c:v>possibly damaging</c:v>
                </c:pt>
                <c:pt idx="2270">
                  <c:v>possibly damaging</c:v>
                </c:pt>
                <c:pt idx="2271">
                  <c:v>possibly damaging</c:v>
                </c:pt>
                <c:pt idx="2272">
                  <c:v>possibly damaging</c:v>
                </c:pt>
                <c:pt idx="2273">
                  <c:v>possibly damaging</c:v>
                </c:pt>
                <c:pt idx="2274">
                  <c:v>possibly damaging</c:v>
                </c:pt>
                <c:pt idx="2275">
                  <c:v>possibly damaging</c:v>
                </c:pt>
                <c:pt idx="2276">
                  <c:v>possibly damaging</c:v>
                </c:pt>
                <c:pt idx="2277">
                  <c:v>possibly damaging</c:v>
                </c:pt>
                <c:pt idx="2278">
                  <c:v>possibly damaging</c:v>
                </c:pt>
                <c:pt idx="2279">
                  <c:v>possibly damaging</c:v>
                </c:pt>
                <c:pt idx="2280">
                  <c:v>possibly damaging</c:v>
                </c:pt>
                <c:pt idx="2281">
                  <c:v>possibly damaging</c:v>
                </c:pt>
                <c:pt idx="2282">
                  <c:v>possibly damaging</c:v>
                </c:pt>
                <c:pt idx="2283">
                  <c:v>possibly damaging</c:v>
                </c:pt>
                <c:pt idx="2284">
                  <c:v>possibly damaging</c:v>
                </c:pt>
                <c:pt idx="2285">
                  <c:v>possibly damaging</c:v>
                </c:pt>
                <c:pt idx="2286">
                  <c:v>possibly damaging</c:v>
                </c:pt>
                <c:pt idx="2287">
                  <c:v>possibly damaging</c:v>
                </c:pt>
                <c:pt idx="2288">
                  <c:v>possibly damaging</c:v>
                </c:pt>
                <c:pt idx="2289">
                  <c:v>possibly damaging</c:v>
                </c:pt>
                <c:pt idx="2290">
                  <c:v>possibly damaging</c:v>
                </c:pt>
                <c:pt idx="2291">
                  <c:v>possibly damaging</c:v>
                </c:pt>
                <c:pt idx="2292">
                  <c:v>possibly damaging</c:v>
                </c:pt>
                <c:pt idx="2293">
                  <c:v>possibly damaging</c:v>
                </c:pt>
                <c:pt idx="2294">
                  <c:v>possibly damaging</c:v>
                </c:pt>
                <c:pt idx="2295">
                  <c:v>possibly damaging</c:v>
                </c:pt>
                <c:pt idx="2296">
                  <c:v>possibly damaging</c:v>
                </c:pt>
                <c:pt idx="2297">
                  <c:v>possibly damaging</c:v>
                </c:pt>
                <c:pt idx="2298">
                  <c:v>possibly damaging</c:v>
                </c:pt>
                <c:pt idx="2299">
                  <c:v>possibly damaging</c:v>
                </c:pt>
                <c:pt idx="2300">
                  <c:v>possibly damaging</c:v>
                </c:pt>
                <c:pt idx="2301">
                  <c:v>possibly damaging</c:v>
                </c:pt>
                <c:pt idx="2302">
                  <c:v>possibly damaging</c:v>
                </c:pt>
                <c:pt idx="2303">
                  <c:v>possibly damaging</c:v>
                </c:pt>
                <c:pt idx="2304">
                  <c:v>possibly damaging</c:v>
                </c:pt>
                <c:pt idx="2305">
                  <c:v>possibly damaging</c:v>
                </c:pt>
                <c:pt idx="2306">
                  <c:v>possibly damaging</c:v>
                </c:pt>
                <c:pt idx="2307">
                  <c:v>possibly damaging</c:v>
                </c:pt>
                <c:pt idx="2308">
                  <c:v>possibly damaging</c:v>
                </c:pt>
                <c:pt idx="2309">
                  <c:v>possibly damaging</c:v>
                </c:pt>
                <c:pt idx="2310">
                  <c:v>possibly damaging</c:v>
                </c:pt>
                <c:pt idx="2311">
                  <c:v>possibly damaging</c:v>
                </c:pt>
                <c:pt idx="2312">
                  <c:v>possibly damaging</c:v>
                </c:pt>
                <c:pt idx="2313">
                  <c:v>possibly damaging</c:v>
                </c:pt>
                <c:pt idx="2314">
                  <c:v>possibly damaging</c:v>
                </c:pt>
                <c:pt idx="2315">
                  <c:v>possibly damaging</c:v>
                </c:pt>
                <c:pt idx="2316">
                  <c:v>possibly damaging</c:v>
                </c:pt>
                <c:pt idx="2317">
                  <c:v>probably damaging</c:v>
                </c:pt>
                <c:pt idx="2318">
                  <c:v>probably damaging</c:v>
                </c:pt>
                <c:pt idx="2319">
                  <c:v>probably damaging</c:v>
                </c:pt>
                <c:pt idx="2320">
                  <c:v>probably damaging</c:v>
                </c:pt>
                <c:pt idx="2321">
                  <c:v>probably damaging</c:v>
                </c:pt>
                <c:pt idx="2322">
                  <c:v>probably damaging</c:v>
                </c:pt>
                <c:pt idx="2323">
                  <c:v>probably damaging</c:v>
                </c:pt>
                <c:pt idx="2324">
                  <c:v>probably damaging</c:v>
                </c:pt>
                <c:pt idx="2325">
                  <c:v>probably damaging</c:v>
                </c:pt>
                <c:pt idx="2326">
                  <c:v>probably damaging</c:v>
                </c:pt>
                <c:pt idx="2327">
                  <c:v>probably damaging</c:v>
                </c:pt>
                <c:pt idx="2328">
                  <c:v>probably damaging</c:v>
                </c:pt>
                <c:pt idx="2329">
                  <c:v>probably damaging</c:v>
                </c:pt>
                <c:pt idx="2330">
                  <c:v>probably damaging</c:v>
                </c:pt>
                <c:pt idx="2331">
                  <c:v>probably damaging</c:v>
                </c:pt>
                <c:pt idx="2332">
                  <c:v>probably damaging</c:v>
                </c:pt>
                <c:pt idx="2333">
                  <c:v>probably damaging</c:v>
                </c:pt>
                <c:pt idx="2334">
                  <c:v>probably damaging</c:v>
                </c:pt>
                <c:pt idx="2335">
                  <c:v>probably damaging</c:v>
                </c:pt>
                <c:pt idx="2336">
                  <c:v>probably damaging</c:v>
                </c:pt>
                <c:pt idx="2337">
                  <c:v>probably damaging</c:v>
                </c:pt>
                <c:pt idx="2338">
                  <c:v>probably damaging</c:v>
                </c:pt>
                <c:pt idx="2339">
                  <c:v>probably damaging</c:v>
                </c:pt>
                <c:pt idx="2340">
                  <c:v>probably damaging</c:v>
                </c:pt>
                <c:pt idx="2341">
                  <c:v>probably damaging</c:v>
                </c:pt>
                <c:pt idx="2342">
                  <c:v>probably damaging</c:v>
                </c:pt>
                <c:pt idx="2343">
                  <c:v>probably damaging</c:v>
                </c:pt>
                <c:pt idx="2344">
                  <c:v>probably damaging</c:v>
                </c:pt>
                <c:pt idx="2345">
                  <c:v>probably damaging</c:v>
                </c:pt>
                <c:pt idx="2346">
                  <c:v>probably damaging</c:v>
                </c:pt>
                <c:pt idx="2347">
                  <c:v>probably damaging</c:v>
                </c:pt>
                <c:pt idx="2348">
                  <c:v>probably damaging</c:v>
                </c:pt>
                <c:pt idx="2349">
                  <c:v>probably damaging</c:v>
                </c:pt>
                <c:pt idx="2350">
                  <c:v>probably damaging</c:v>
                </c:pt>
                <c:pt idx="2351">
                  <c:v>probably damaging</c:v>
                </c:pt>
                <c:pt idx="2352">
                  <c:v>probably damaging</c:v>
                </c:pt>
                <c:pt idx="2353">
                  <c:v>probably damaging</c:v>
                </c:pt>
                <c:pt idx="2354">
                  <c:v>probably damaging</c:v>
                </c:pt>
                <c:pt idx="2355">
                  <c:v>probably damaging</c:v>
                </c:pt>
                <c:pt idx="2356">
                  <c:v>probably damaging</c:v>
                </c:pt>
                <c:pt idx="2357">
                  <c:v>probably damaging</c:v>
                </c:pt>
                <c:pt idx="2358">
                  <c:v>probably damaging</c:v>
                </c:pt>
                <c:pt idx="2359">
                  <c:v>probably damaging</c:v>
                </c:pt>
                <c:pt idx="2360">
                  <c:v>probably damaging</c:v>
                </c:pt>
                <c:pt idx="2361">
                  <c:v>probably damaging</c:v>
                </c:pt>
                <c:pt idx="2362">
                  <c:v>probably damaging</c:v>
                </c:pt>
                <c:pt idx="2363">
                  <c:v>probably damaging</c:v>
                </c:pt>
                <c:pt idx="2364">
                  <c:v>probably damaging</c:v>
                </c:pt>
                <c:pt idx="2365">
                  <c:v>probably damaging</c:v>
                </c:pt>
                <c:pt idx="2366">
                  <c:v>probably damaging</c:v>
                </c:pt>
                <c:pt idx="2367">
                  <c:v>probably damaging</c:v>
                </c:pt>
                <c:pt idx="2368">
                  <c:v>probably damaging</c:v>
                </c:pt>
                <c:pt idx="2369">
                  <c:v>probably damaging</c:v>
                </c:pt>
                <c:pt idx="2370">
                  <c:v>probably damaging</c:v>
                </c:pt>
                <c:pt idx="2371">
                  <c:v>probably damaging</c:v>
                </c:pt>
                <c:pt idx="2372">
                  <c:v>probably damaging</c:v>
                </c:pt>
                <c:pt idx="2373">
                  <c:v>probably damaging</c:v>
                </c:pt>
                <c:pt idx="2374">
                  <c:v>probably damaging</c:v>
                </c:pt>
                <c:pt idx="2375">
                  <c:v>probably damaging</c:v>
                </c:pt>
                <c:pt idx="2376">
                  <c:v>probably damaging</c:v>
                </c:pt>
                <c:pt idx="2377">
                  <c:v>probably damaging</c:v>
                </c:pt>
                <c:pt idx="2378">
                  <c:v>probably damaging</c:v>
                </c:pt>
                <c:pt idx="2379">
                  <c:v>probably damaging</c:v>
                </c:pt>
                <c:pt idx="2380">
                  <c:v>probably damaging</c:v>
                </c:pt>
                <c:pt idx="2381">
                  <c:v>probably damaging</c:v>
                </c:pt>
                <c:pt idx="2382">
                  <c:v>probably damaging</c:v>
                </c:pt>
                <c:pt idx="2383">
                  <c:v>probably damaging</c:v>
                </c:pt>
                <c:pt idx="2384">
                  <c:v>probably damaging</c:v>
                </c:pt>
                <c:pt idx="2385">
                  <c:v>probably damaging</c:v>
                </c:pt>
                <c:pt idx="2386">
                  <c:v>probably damaging</c:v>
                </c:pt>
                <c:pt idx="2387">
                  <c:v>probably damaging</c:v>
                </c:pt>
                <c:pt idx="2388">
                  <c:v>probably damaging</c:v>
                </c:pt>
                <c:pt idx="2389">
                  <c:v>probably damaging</c:v>
                </c:pt>
                <c:pt idx="2390">
                  <c:v>probably damaging</c:v>
                </c:pt>
                <c:pt idx="2391">
                  <c:v>probably damaging</c:v>
                </c:pt>
                <c:pt idx="2392">
                  <c:v>probably damaging</c:v>
                </c:pt>
                <c:pt idx="2393">
                  <c:v>probably damaging</c:v>
                </c:pt>
                <c:pt idx="2394">
                  <c:v>probably damaging</c:v>
                </c:pt>
                <c:pt idx="2395">
                  <c:v>probably damaging</c:v>
                </c:pt>
                <c:pt idx="2396">
                  <c:v>probably damaging</c:v>
                </c:pt>
                <c:pt idx="2397">
                  <c:v>probably damaging</c:v>
                </c:pt>
                <c:pt idx="2398">
                  <c:v>probably damaging</c:v>
                </c:pt>
                <c:pt idx="2399">
                  <c:v>probably damaging</c:v>
                </c:pt>
                <c:pt idx="2400">
                  <c:v>probably damaging</c:v>
                </c:pt>
                <c:pt idx="2401">
                  <c:v>probably damaging</c:v>
                </c:pt>
                <c:pt idx="2402">
                  <c:v>probably damaging</c:v>
                </c:pt>
                <c:pt idx="2403">
                  <c:v>probably damaging</c:v>
                </c:pt>
                <c:pt idx="2404">
                  <c:v>probably damaging</c:v>
                </c:pt>
                <c:pt idx="2405">
                  <c:v>probably damaging</c:v>
                </c:pt>
                <c:pt idx="2406">
                  <c:v>probably damaging</c:v>
                </c:pt>
                <c:pt idx="2407">
                  <c:v>probably damaging</c:v>
                </c:pt>
                <c:pt idx="2408">
                  <c:v>probably damaging</c:v>
                </c:pt>
                <c:pt idx="2409">
                  <c:v>probably damaging</c:v>
                </c:pt>
                <c:pt idx="2410">
                  <c:v>probably damaging</c:v>
                </c:pt>
                <c:pt idx="2411">
                  <c:v>probably damaging</c:v>
                </c:pt>
                <c:pt idx="2412">
                  <c:v>probably damaging</c:v>
                </c:pt>
                <c:pt idx="2413">
                  <c:v>probably damaging</c:v>
                </c:pt>
                <c:pt idx="2414">
                  <c:v>probably damaging</c:v>
                </c:pt>
                <c:pt idx="2415">
                  <c:v>probably damaging</c:v>
                </c:pt>
                <c:pt idx="2416">
                  <c:v>probably damaging</c:v>
                </c:pt>
                <c:pt idx="2417">
                  <c:v>probably damaging</c:v>
                </c:pt>
                <c:pt idx="2418">
                  <c:v>probably damaging</c:v>
                </c:pt>
                <c:pt idx="2419">
                  <c:v>probably damaging</c:v>
                </c:pt>
                <c:pt idx="2420">
                  <c:v>probably damaging</c:v>
                </c:pt>
                <c:pt idx="2421">
                  <c:v>probably damaging</c:v>
                </c:pt>
                <c:pt idx="2422">
                  <c:v>probably damaging</c:v>
                </c:pt>
                <c:pt idx="2423">
                  <c:v>probably damaging</c:v>
                </c:pt>
                <c:pt idx="2424">
                  <c:v>probably damaging</c:v>
                </c:pt>
                <c:pt idx="2425">
                  <c:v>probably damaging</c:v>
                </c:pt>
                <c:pt idx="2426">
                  <c:v>probably damaging</c:v>
                </c:pt>
                <c:pt idx="2427">
                  <c:v>probably damaging</c:v>
                </c:pt>
                <c:pt idx="2428">
                  <c:v>probably damaging</c:v>
                </c:pt>
                <c:pt idx="2429">
                  <c:v>probably damaging</c:v>
                </c:pt>
                <c:pt idx="2430">
                  <c:v>probably damaging</c:v>
                </c:pt>
                <c:pt idx="2431">
                  <c:v>probably damaging</c:v>
                </c:pt>
                <c:pt idx="2432">
                  <c:v>probably damaging</c:v>
                </c:pt>
                <c:pt idx="2433">
                  <c:v>probably damaging</c:v>
                </c:pt>
                <c:pt idx="2434">
                  <c:v>probably damaging</c:v>
                </c:pt>
                <c:pt idx="2435">
                  <c:v>probably damaging</c:v>
                </c:pt>
                <c:pt idx="2436">
                  <c:v>probably damaging</c:v>
                </c:pt>
                <c:pt idx="2437">
                  <c:v>probably damaging</c:v>
                </c:pt>
                <c:pt idx="2438">
                  <c:v>probably damaging</c:v>
                </c:pt>
                <c:pt idx="2439">
                  <c:v>probably damaging</c:v>
                </c:pt>
                <c:pt idx="2440">
                  <c:v>probably damaging</c:v>
                </c:pt>
                <c:pt idx="2441">
                  <c:v>probably damaging</c:v>
                </c:pt>
                <c:pt idx="2442">
                  <c:v>probably damaging</c:v>
                </c:pt>
                <c:pt idx="2443">
                  <c:v>probably damaging</c:v>
                </c:pt>
                <c:pt idx="2444">
                  <c:v>probably damaging</c:v>
                </c:pt>
                <c:pt idx="2445">
                  <c:v>probably damaging</c:v>
                </c:pt>
                <c:pt idx="2446">
                  <c:v>probably damaging</c:v>
                </c:pt>
                <c:pt idx="2447">
                  <c:v>probably damaging</c:v>
                </c:pt>
                <c:pt idx="2448">
                  <c:v>probably damaging</c:v>
                </c:pt>
                <c:pt idx="2449">
                  <c:v>probably damaging</c:v>
                </c:pt>
                <c:pt idx="2450">
                  <c:v>probably damaging</c:v>
                </c:pt>
                <c:pt idx="2451">
                  <c:v>probably damaging</c:v>
                </c:pt>
                <c:pt idx="2452">
                  <c:v>probably damaging</c:v>
                </c:pt>
                <c:pt idx="2453">
                  <c:v>probably damaging</c:v>
                </c:pt>
                <c:pt idx="2454">
                  <c:v>probably damaging</c:v>
                </c:pt>
                <c:pt idx="2455">
                  <c:v>probably damaging</c:v>
                </c:pt>
                <c:pt idx="2456">
                  <c:v>probably damaging</c:v>
                </c:pt>
                <c:pt idx="2457">
                  <c:v>probably damaging</c:v>
                </c:pt>
                <c:pt idx="2458">
                  <c:v>probably damaging</c:v>
                </c:pt>
                <c:pt idx="2459">
                  <c:v>probably damaging</c:v>
                </c:pt>
                <c:pt idx="2460">
                  <c:v>probably damaging</c:v>
                </c:pt>
                <c:pt idx="2461">
                  <c:v>probably damaging</c:v>
                </c:pt>
                <c:pt idx="2462">
                  <c:v>probably damaging</c:v>
                </c:pt>
                <c:pt idx="2463">
                  <c:v>probably damaging</c:v>
                </c:pt>
                <c:pt idx="2464">
                  <c:v>probably damaging</c:v>
                </c:pt>
                <c:pt idx="2465">
                  <c:v>probably damaging</c:v>
                </c:pt>
                <c:pt idx="2466">
                  <c:v>probably damaging</c:v>
                </c:pt>
                <c:pt idx="2467">
                  <c:v>probably damaging</c:v>
                </c:pt>
                <c:pt idx="2468">
                  <c:v>probably damaging</c:v>
                </c:pt>
                <c:pt idx="2469">
                  <c:v>probably damaging</c:v>
                </c:pt>
                <c:pt idx="2470">
                  <c:v>probably damaging</c:v>
                </c:pt>
                <c:pt idx="2471">
                  <c:v>probably damaging</c:v>
                </c:pt>
                <c:pt idx="2472">
                  <c:v>probably damaging</c:v>
                </c:pt>
                <c:pt idx="2473">
                  <c:v>probably damaging</c:v>
                </c:pt>
                <c:pt idx="2474">
                  <c:v>probably damaging</c:v>
                </c:pt>
                <c:pt idx="2475">
                  <c:v>probably damaging</c:v>
                </c:pt>
                <c:pt idx="2476">
                  <c:v>probably damaging</c:v>
                </c:pt>
                <c:pt idx="2477">
                  <c:v>probably damaging</c:v>
                </c:pt>
                <c:pt idx="2478">
                  <c:v>probably damaging</c:v>
                </c:pt>
                <c:pt idx="2479">
                  <c:v>probably damaging</c:v>
                </c:pt>
                <c:pt idx="2480">
                  <c:v>probably damaging</c:v>
                </c:pt>
                <c:pt idx="2481">
                  <c:v>probably damaging</c:v>
                </c:pt>
                <c:pt idx="2482">
                  <c:v>probably damaging</c:v>
                </c:pt>
                <c:pt idx="2483">
                  <c:v>probably damaging</c:v>
                </c:pt>
                <c:pt idx="2484">
                  <c:v>probably damaging</c:v>
                </c:pt>
                <c:pt idx="2485">
                  <c:v>probably damaging</c:v>
                </c:pt>
                <c:pt idx="2486">
                  <c:v>probably damaging</c:v>
                </c:pt>
                <c:pt idx="2487">
                  <c:v>probably damaging</c:v>
                </c:pt>
                <c:pt idx="2488">
                  <c:v>probably damaging</c:v>
                </c:pt>
                <c:pt idx="2489">
                  <c:v>probably damaging</c:v>
                </c:pt>
                <c:pt idx="2490">
                  <c:v>probably damaging</c:v>
                </c:pt>
                <c:pt idx="2491">
                  <c:v>probably damaging</c:v>
                </c:pt>
                <c:pt idx="2492">
                  <c:v>probably damaging</c:v>
                </c:pt>
                <c:pt idx="2493">
                  <c:v>probably damaging</c:v>
                </c:pt>
                <c:pt idx="2494">
                  <c:v>probably damaging</c:v>
                </c:pt>
                <c:pt idx="2495">
                  <c:v>probably damaging</c:v>
                </c:pt>
                <c:pt idx="2496">
                  <c:v>probably damaging</c:v>
                </c:pt>
                <c:pt idx="2497">
                  <c:v>probably damaging</c:v>
                </c:pt>
                <c:pt idx="2498">
                  <c:v>probably damaging</c:v>
                </c:pt>
                <c:pt idx="2499">
                  <c:v>probably damaging</c:v>
                </c:pt>
                <c:pt idx="2500">
                  <c:v>probably damaging</c:v>
                </c:pt>
                <c:pt idx="2501">
                  <c:v>probably damaging</c:v>
                </c:pt>
                <c:pt idx="2502">
                  <c:v>probably damaging</c:v>
                </c:pt>
                <c:pt idx="2503">
                  <c:v>probably damaging</c:v>
                </c:pt>
                <c:pt idx="2504">
                  <c:v>probably damaging</c:v>
                </c:pt>
                <c:pt idx="2505">
                  <c:v>probably damaging</c:v>
                </c:pt>
                <c:pt idx="2506">
                  <c:v>probably damaging</c:v>
                </c:pt>
                <c:pt idx="2507">
                  <c:v>probably damaging</c:v>
                </c:pt>
                <c:pt idx="2508">
                  <c:v>probably damaging</c:v>
                </c:pt>
                <c:pt idx="2509">
                  <c:v>probably damaging</c:v>
                </c:pt>
                <c:pt idx="2510">
                  <c:v>probably damaging</c:v>
                </c:pt>
                <c:pt idx="2511">
                  <c:v>probably damaging</c:v>
                </c:pt>
                <c:pt idx="2512">
                  <c:v>probably damaging</c:v>
                </c:pt>
                <c:pt idx="2513">
                  <c:v>probably damaging</c:v>
                </c:pt>
                <c:pt idx="2514">
                  <c:v>probably damaging</c:v>
                </c:pt>
                <c:pt idx="2515">
                  <c:v>probably damaging</c:v>
                </c:pt>
                <c:pt idx="2516">
                  <c:v>probably damaging</c:v>
                </c:pt>
                <c:pt idx="2517">
                  <c:v>probably damaging</c:v>
                </c:pt>
                <c:pt idx="2518">
                  <c:v>probably damaging</c:v>
                </c:pt>
                <c:pt idx="2519">
                  <c:v>probably damaging</c:v>
                </c:pt>
                <c:pt idx="2520">
                  <c:v>probably damaging</c:v>
                </c:pt>
                <c:pt idx="2521">
                  <c:v>probably damaging</c:v>
                </c:pt>
                <c:pt idx="2522">
                  <c:v>probably damaging</c:v>
                </c:pt>
                <c:pt idx="2523">
                  <c:v>probably damaging</c:v>
                </c:pt>
                <c:pt idx="2524">
                  <c:v>probably damaging</c:v>
                </c:pt>
                <c:pt idx="2525">
                  <c:v>probably damaging</c:v>
                </c:pt>
                <c:pt idx="2526">
                  <c:v>probably damaging</c:v>
                </c:pt>
                <c:pt idx="2527">
                  <c:v>probably damaging</c:v>
                </c:pt>
                <c:pt idx="2528">
                  <c:v>probably damaging</c:v>
                </c:pt>
                <c:pt idx="2529">
                  <c:v>probably damaging</c:v>
                </c:pt>
                <c:pt idx="2530">
                  <c:v>probably damaging</c:v>
                </c:pt>
                <c:pt idx="2531">
                  <c:v>probably damaging</c:v>
                </c:pt>
                <c:pt idx="2532">
                  <c:v>probably damaging</c:v>
                </c:pt>
                <c:pt idx="2533">
                  <c:v>probably damaging</c:v>
                </c:pt>
                <c:pt idx="2534">
                  <c:v>probably damaging</c:v>
                </c:pt>
                <c:pt idx="2535">
                  <c:v>probably damaging</c:v>
                </c:pt>
                <c:pt idx="2536">
                  <c:v>probably damaging</c:v>
                </c:pt>
                <c:pt idx="2537">
                  <c:v>probably damaging</c:v>
                </c:pt>
                <c:pt idx="2538">
                  <c:v>probably damaging</c:v>
                </c:pt>
                <c:pt idx="2539">
                  <c:v>probably damaging</c:v>
                </c:pt>
                <c:pt idx="2540">
                  <c:v>probably damaging</c:v>
                </c:pt>
                <c:pt idx="2541">
                  <c:v>probably damaging</c:v>
                </c:pt>
                <c:pt idx="2542">
                  <c:v>probably damaging</c:v>
                </c:pt>
                <c:pt idx="2543">
                  <c:v>probably damaging</c:v>
                </c:pt>
                <c:pt idx="2544">
                  <c:v>probably damaging</c:v>
                </c:pt>
                <c:pt idx="2545">
                  <c:v>probably damaging</c:v>
                </c:pt>
                <c:pt idx="2546">
                  <c:v>probably damaging</c:v>
                </c:pt>
                <c:pt idx="2547">
                  <c:v>probably damaging</c:v>
                </c:pt>
                <c:pt idx="2548">
                  <c:v>probably damaging</c:v>
                </c:pt>
                <c:pt idx="2549">
                  <c:v>probably damaging</c:v>
                </c:pt>
                <c:pt idx="2550">
                  <c:v>probably damaging</c:v>
                </c:pt>
                <c:pt idx="2551">
                  <c:v>probably damaging</c:v>
                </c:pt>
                <c:pt idx="2552">
                  <c:v>probably damaging</c:v>
                </c:pt>
                <c:pt idx="2553">
                  <c:v>probably damaging</c:v>
                </c:pt>
                <c:pt idx="2554">
                  <c:v>probably damaging</c:v>
                </c:pt>
                <c:pt idx="2555">
                  <c:v>probably damaging</c:v>
                </c:pt>
                <c:pt idx="2556">
                  <c:v>probably damaging</c:v>
                </c:pt>
                <c:pt idx="2557">
                  <c:v>probably damaging</c:v>
                </c:pt>
                <c:pt idx="2558">
                  <c:v>probably damaging</c:v>
                </c:pt>
                <c:pt idx="2559">
                  <c:v>probably damaging</c:v>
                </c:pt>
                <c:pt idx="2560">
                  <c:v>probably damaging</c:v>
                </c:pt>
                <c:pt idx="2561">
                  <c:v>probably damaging</c:v>
                </c:pt>
                <c:pt idx="2562">
                  <c:v>probably damaging</c:v>
                </c:pt>
                <c:pt idx="2563">
                  <c:v>probably damaging</c:v>
                </c:pt>
                <c:pt idx="2564">
                  <c:v>probably damaging</c:v>
                </c:pt>
                <c:pt idx="2565">
                  <c:v>probably damaging</c:v>
                </c:pt>
                <c:pt idx="2566">
                  <c:v>probably damaging</c:v>
                </c:pt>
                <c:pt idx="2567">
                  <c:v>probably damaging</c:v>
                </c:pt>
                <c:pt idx="2568">
                  <c:v>probably damaging</c:v>
                </c:pt>
                <c:pt idx="2569">
                  <c:v>probably damaging</c:v>
                </c:pt>
                <c:pt idx="2570">
                  <c:v>probably damaging</c:v>
                </c:pt>
                <c:pt idx="2571">
                  <c:v>probably damaging</c:v>
                </c:pt>
                <c:pt idx="2572">
                  <c:v>probably damaging</c:v>
                </c:pt>
                <c:pt idx="2573">
                  <c:v>probably damaging</c:v>
                </c:pt>
                <c:pt idx="2574">
                  <c:v>probably damaging</c:v>
                </c:pt>
                <c:pt idx="2575">
                  <c:v>probably damaging</c:v>
                </c:pt>
                <c:pt idx="2576">
                  <c:v>probably damaging</c:v>
                </c:pt>
                <c:pt idx="2577">
                  <c:v>probably damaging</c:v>
                </c:pt>
                <c:pt idx="2578">
                  <c:v>probably damaging</c:v>
                </c:pt>
                <c:pt idx="2579">
                  <c:v>probably damaging</c:v>
                </c:pt>
                <c:pt idx="2580">
                  <c:v>probably damaging</c:v>
                </c:pt>
                <c:pt idx="2581">
                  <c:v>probably damaging</c:v>
                </c:pt>
                <c:pt idx="2582">
                  <c:v>probably damaging</c:v>
                </c:pt>
                <c:pt idx="2583">
                  <c:v>probably damaging</c:v>
                </c:pt>
                <c:pt idx="2584">
                  <c:v>probably damaging</c:v>
                </c:pt>
                <c:pt idx="2585">
                  <c:v>probably damaging</c:v>
                </c:pt>
                <c:pt idx="2586">
                  <c:v>probably damaging</c:v>
                </c:pt>
                <c:pt idx="2587">
                  <c:v>probably damaging</c:v>
                </c:pt>
                <c:pt idx="2588">
                  <c:v>probably damaging</c:v>
                </c:pt>
                <c:pt idx="2589">
                  <c:v>probably damaging</c:v>
                </c:pt>
                <c:pt idx="2590">
                  <c:v>probably damaging</c:v>
                </c:pt>
                <c:pt idx="2591">
                  <c:v>probably damaging</c:v>
                </c:pt>
                <c:pt idx="2592">
                  <c:v>probably damaging</c:v>
                </c:pt>
                <c:pt idx="2593">
                  <c:v>probably damaging</c:v>
                </c:pt>
                <c:pt idx="2594">
                  <c:v>probably damaging</c:v>
                </c:pt>
                <c:pt idx="2595">
                  <c:v>probably damaging</c:v>
                </c:pt>
                <c:pt idx="2596">
                  <c:v>probably damaging</c:v>
                </c:pt>
                <c:pt idx="2597">
                  <c:v>probably damaging</c:v>
                </c:pt>
                <c:pt idx="2598">
                  <c:v>probably damaging</c:v>
                </c:pt>
                <c:pt idx="2599">
                  <c:v>probably damaging</c:v>
                </c:pt>
                <c:pt idx="2600">
                  <c:v>probably damaging</c:v>
                </c:pt>
                <c:pt idx="2601">
                  <c:v>probably damaging</c:v>
                </c:pt>
                <c:pt idx="2602">
                  <c:v>probably damaging</c:v>
                </c:pt>
                <c:pt idx="2603">
                  <c:v>probably damaging</c:v>
                </c:pt>
                <c:pt idx="2604">
                  <c:v>probably damaging</c:v>
                </c:pt>
                <c:pt idx="2605">
                  <c:v>probably damaging</c:v>
                </c:pt>
                <c:pt idx="2606">
                  <c:v>probably damaging</c:v>
                </c:pt>
                <c:pt idx="2607">
                  <c:v>probably damaging</c:v>
                </c:pt>
                <c:pt idx="2608">
                  <c:v>probably damaging</c:v>
                </c:pt>
                <c:pt idx="2609">
                  <c:v>probably damaging</c:v>
                </c:pt>
                <c:pt idx="2610">
                  <c:v>probably damaging</c:v>
                </c:pt>
                <c:pt idx="2611">
                  <c:v>probably damaging</c:v>
                </c:pt>
                <c:pt idx="2612">
                  <c:v>probably damaging</c:v>
                </c:pt>
                <c:pt idx="2613">
                  <c:v>probably damaging</c:v>
                </c:pt>
                <c:pt idx="2614">
                  <c:v>probably damaging</c:v>
                </c:pt>
                <c:pt idx="2615">
                  <c:v>probably damaging</c:v>
                </c:pt>
                <c:pt idx="2616">
                  <c:v>probably damaging</c:v>
                </c:pt>
                <c:pt idx="2617">
                  <c:v>probably damaging</c:v>
                </c:pt>
                <c:pt idx="2618">
                  <c:v>probably damaging</c:v>
                </c:pt>
                <c:pt idx="2619">
                  <c:v>probably damaging</c:v>
                </c:pt>
                <c:pt idx="2620">
                  <c:v>probably damaging</c:v>
                </c:pt>
                <c:pt idx="2621">
                  <c:v>probably damaging</c:v>
                </c:pt>
                <c:pt idx="2622">
                  <c:v>probably damaging</c:v>
                </c:pt>
                <c:pt idx="2623">
                  <c:v>probably damaging</c:v>
                </c:pt>
                <c:pt idx="2624">
                  <c:v>probably damaging</c:v>
                </c:pt>
                <c:pt idx="2625">
                  <c:v>probably damaging</c:v>
                </c:pt>
                <c:pt idx="2626">
                  <c:v>probably damaging</c:v>
                </c:pt>
                <c:pt idx="2627">
                  <c:v>probably damaging</c:v>
                </c:pt>
                <c:pt idx="2628">
                  <c:v>probably damaging</c:v>
                </c:pt>
                <c:pt idx="2629">
                  <c:v>probably damaging</c:v>
                </c:pt>
                <c:pt idx="2630">
                  <c:v>probably damaging</c:v>
                </c:pt>
                <c:pt idx="2631">
                  <c:v>probably damaging</c:v>
                </c:pt>
                <c:pt idx="2632">
                  <c:v>probably damaging</c:v>
                </c:pt>
                <c:pt idx="2633">
                  <c:v>probably damaging</c:v>
                </c:pt>
                <c:pt idx="2634">
                  <c:v>probably damaging</c:v>
                </c:pt>
                <c:pt idx="2635">
                  <c:v>probably damaging</c:v>
                </c:pt>
                <c:pt idx="2636">
                  <c:v>probably damaging</c:v>
                </c:pt>
                <c:pt idx="2637">
                  <c:v>probably damaging</c:v>
                </c:pt>
                <c:pt idx="2638">
                  <c:v>probably damaging</c:v>
                </c:pt>
                <c:pt idx="2639">
                  <c:v>probably damaging</c:v>
                </c:pt>
                <c:pt idx="2640">
                  <c:v>probably damaging</c:v>
                </c:pt>
                <c:pt idx="2641">
                  <c:v>probably damaging</c:v>
                </c:pt>
                <c:pt idx="2642">
                  <c:v>probably damaging</c:v>
                </c:pt>
                <c:pt idx="2643">
                  <c:v>probably damaging</c:v>
                </c:pt>
                <c:pt idx="2644">
                  <c:v>probably damaging</c:v>
                </c:pt>
                <c:pt idx="2645">
                  <c:v>probably damaging</c:v>
                </c:pt>
                <c:pt idx="2646">
                  <c:v>probably damaging</c:v>
                </c:pt>
                <c:pt idx="2647">
                  <c:v>probably damaging</c:v>
                </c:pt>
                <c:pt idx="2648">
                  <c:v>probably damaging</c:v>
                </c:pt>
                <c:pt idx="2649">
                  <c:v>probably damaging</c:v>
                </c:pt>
                <c:pt idx="2650">
                  <c:v>probably damaging</c:v>
                </c:pt>
                <c:pt idx="2651">
                  <c:v>probably damaging</c:v>
                </c:pt>
                <c:pt idx="2652">
                  <c:v>probably damaging</c:v>
                </c:pt>
                <c:pt idx="2653">
                  <c:v>probably damaging</c:v>
                </c:pt>
                <c:pt idx="2654">
                  <c:v>probably damaging</c:v>
                </c:pt>
                <c:pt idx="2655">
                  <c:v>probably damaging</c:v>
                </c:pt>
                <c:pt idx="2656">
                  <c:v>probably damaging</c:v>
                </c:pt>
                <c:pt idx="2657">
                  <c:v>probably damaging</c:v>
                </c:pt>
                <c:pt idx="2658">
                  <c:v>probably damaging</c:v>
                </c:pt>
                <c:pt idx="2659">
                  <c:v>probably damaging</c:v>
                </c:pt>
                <c:pt idx="2660">
                  <c:v>probably damaging</c:v>
                </c:pt>
                <c:pt idx="2661">
                  <c:v>probably damaging</c:v>
                </c:pt>
                <c:pt idx="2662">
                  <c:v>probably damaging</c:v>
                </c:pt>
                <c:pt idx="2663">
                  <c:v>probably damaging</c:v>
                </c:pt>
                <c:pt idx="2664">
                  <c:v>probably damaging</c:v>
                </c:pt>
                <c:pt idx="2665">
                  <c:v>probably damaging</c:v>
                </c:pt>
                <c:pt idx="2666">
                  <c:v>probably damaging</c:v>
                </c:pt>
                <c:pt idx="2667">
                  <c:v>probably damaging</c:v>
                </c:pt>
                <c:pt idx="2668">
                  <c:v>probably damaging</c:v>
                </c:pt>
                <c:pt idx="2669">
                  <c:v>probably damaging</c:v>
                </c:pt>
                <c:pt idx="2670">
                  <c:v>probably damaging</c:v>
                </c:pt>
                <c:pt idx="2671">
                  <c:v>probably damaging</c:v>
                </c:pt>
                <c:pt idx="2672">
                  <c:v>probably damaging</c:v>
                </c:pt>
                <c:pt idx="2673">
                  <c:v>probably damaging</c:v>
                </c:pt>
                <c:pt idx="2674">
                  <c:v>probably damaging</c:v>
                </c:pt>
                <c:pt idx="2675">
                  <c:v>probably damaging</c:v>
                </c:pt>
                <c:pt idx="2676">
                  <c:v>probably damaging</c:v>
                </c:pt>
                <c:pt idx="2677">
                  <c:v>probably damaging</c:v>
                </c:pt>
                <c:pt idx="2678">
                  <c:v>probably damaging</c:v>
                </c:pt>
                <c:pt idx="2679">
                  <c:v>probably damaging</c:v>
                </c:pt>
                <c:pt idx="2680">
                  <c:v>probably damaging</c:v>
                </c:pt>
                <c:pt idx="2681">
                  <c:v>probably damaging</c:v>
                </c:pt>
                <c:pt idx="2682">
                  <c:v>probably damaging</c:v>
                </c:pt>
                <c:pt idx="2683">
                  <c:v>probably damaging</c:v>
                </c:pt>
                <c:pt idx="2684">
                  <c:v>probably damaging</c:v>
                </c:pt>
                <c:pt idx="2685">
                  <c:v>probably damaging</c:v>
                </c:pt>
                <c:pt idx="2686">
                  <c:v>probably damaging</c:v>
                </c:pt>
                <c:pt idx="2687">
                  <c:v>probably damaging</c:v>
                </c:pt>
                <c:pt idx="2688">
                  <c:v>probably damaging</c:v>
                </c:pt>
                <c:pt idx="2689">
                  <c:v>probably damaging</c:v>
                </c:pt>
                <c:pt idx="2690">
                  <c:v>probably damaging</c:v>
                </c:pt>
                <c:pt idx="2691">
                  <c:v>probably damaging</c:v>
                </c:pt>
                <c:pt idx="2692">
                  <c:v>probably damaging</c:v>
                </c:pt>
                <c:pt idx="2693">
                  <c:v>probably damaging</c:v>
                </c:pt>
                <c:pt idx="2694">
                  <c:v>probably damaging</c:v>
                </c:pt>
                <c:pt idx="2695">
                  <c:v>probably damaging</c:v>
                </c:pt>
                <c:pt idx="2696">
                  <c:v>probably damaging</c:v>
                </c:pt>
                <c:pt idx="2697">
                  <c:v>probably damaging</c:v>
                </c:pt>
                <c:pt idx="2698">
                  <c:v>probably damaging</c:v>
                </c:pt>
                <c:pt idx="2699">
                  <c:v>probably damaging</c:v>
                </c:pt>
                <c:pt idx="2700">
                  <c:v>probably damaging</c:v>
                </c:pt>
                <c:pt idx="2701">
                  <c:v>probably damaging</c:v>
                </c:pt>
                <c:pt idx="2702">
                  <c:v>probably damaging</c:v>
                </c:pt>
                <c:pt idx="2703">
                  <c:v>probably damaging</c:v>
                </c:pt>
                <c:pt idx="2704">
                  <c:v>probably damaging</c:v>
                </c:pt>
                <c:pt idx="2705">
                  <c:v>probably damaging</c:v>
                </c:pt>
                <c:pt idx="2706">
                  <c:v>probably damaging</c:v>
                </c:pt>
                <c:pt idx="2707">
                  <c:v>probably damaging</c:v>
                </c:pt>
                <c:pt idx="2708">
                  <c:v>probably damaging</c:v>
                </c:pt>
                <c:pt idx="2709">
                  <c:v>probably damaging</c:v>
                </c:pt>
                <c:pt idx="2710">
                  <c:v>probably damaging</c:v>
                </c:pt>
                <c:pt idx="2711">
                  <c:v>probably damaging</c:v>
                </c:pt>
                <c:pt idx="2712">
                  <c:v>probably damaging</c:v>
                </c:pt>
                <c:pt idx="2713">
                  <c:v>probably damaging</c:v>
                </c:pt>
                <c:pt idx="2714">
                  <c:v>probably damaging</c:v>
                </c:pt>
                <c:pt idx="2715">
                  <c:v>probably damaging</c:v>
                </c:pt>
                <c:pt idx="2716">
                  <c:v>probably damaging</c:v>
                </c:pt>
                <c:pt idx="2717">
                  <c:v>probably damaging</c:v>
                </c:pt>
                <c:pt idx="2718">
                  <c:v>probably damaging</c:v>
                </c:pt>
                <c:pt idx="2719">
                  <c:v>probably damaging</c:v>
                </c:pt>
                <c:pt idx="2720">
                  <c:v>probably damaging</c:v>
                </c:pt>
                <c:pt idx="2721">
                  <c:v>probably damaging</c:v>
                </c:pt>
                <c:pt idx="2722">
                  <c:v>probably damaging</c:v>
                </c:pt>
                <c:pt idx="2723">
                  <c:v>probably damaging</c:v>
                </c:pt>
                <c:pt idx="2724">
                  <c:v>probably damaging</c:v>
                </c:pt>
                <c:pt idx="2725">
                  <c:v>probably damaging</c:v>
                </c:pt>
                <c:pt idx="2726">
                  <c:v>probably damaging</c:v>
                </c:pt>
                <c:pt idx="2727">
                  <c:v>probably damaging</c:v>
                </c:pt>
                <c:pt idx="2728">
                  <c:v>probably damaging</c:v>
                </c:pt>
                <c:pt idx="2729">
                  <c:v>probably damaging</c:v>
                </c:pt>
                <c:pt idx="2730">
                  <c:v>probably damaging</c:v>
                </c:pt>
                <c:pt idx="2731">
                  <c:v>probably damaging</c:v>
                </c:pt>
                <c:pt idx="2732">
                  <c:v>probably damaging</c:v>
                </c:pt>
                <c:pt idx="2733">
                  <c:v>probably damaging</c:v>
                </c:pt>
                <c:pt idx="2734">
                  <c:v>probably damaging</c:v>
                </c:pt>
                <c:pt idx="2735">
                  <c:v>probably damaging</c:v>
                </c:pt>
                <c:pt idx="2736">
                  <c:v>probably damaging</c:v>
                </c:pt>
                <c:pt idx="2737">
                  <c:v>probably damaging</c:v>
                </c:pt>
                <c:pt idx="2738">
                  <c:v>probably damaging</c:v>
                </c:pt>
                <c:pt idx="2739">
                  <c:v>probably damaging</c:v>
                </c:pt>
                <c:pt idx="2740">
                  <c:v>probably damaging</c:v>
                </c:pt>
                <c:pt idx="2741">
                  <c:v>probably damaging</c:v>
                </c:pt>
                <c:pt idx="2742">
                  <c:v>probably damaging</c:v>
                </c:pt>
                <c:pt idx="2743">
                  <c:v>probably damaging</c:v>
                </c:pt>
                <c:pt idx="2744">
                  <c:v>probably damaging</c:v>
                </c:pt>
                <c:pt idx="2745">
                  <c:v>probably damaging</c:v>
                </c:pt>
                <c:pt idx="2746">
                  <c:v>probably damaging</c:v>
                </c:pt>
                <c:pt idx="2747">
                  <c:v>probably damaging</c:v>
                </c:pt>
                <c:pt idx="2748">
                  <c:v>probably damaging</c:v>
                </c:pt>
                <c:pt idx="2749">
                  <c:v>probably damaging</c:v>
                </c:pt>
                <c:pt idx="2750">
                  <c:v>probably damaging</c:v>
                </c:pt>
                <c:pt idx="2751">
                  <c:v>probably damaging</c:v>
                </c:pt>
                <c:pt idx="2752">
                  <c:v>probably damaging</c:v>
                </c:pt>
                <c:pt idx="2753">
                  <c:v>probably damaging</c:v>
                </c:pt>
                <c:pt idx="2754">
                  <c:v>probably damaging</c:v>
                </c:pt>
                <c:pt idx="2755">
                  <c:v>probably damaging</c:v>
                </c:pt>
                <c:pt idx="2756">
                  <c:v>probably damaging</c:v>
                </c:pt>
                <c:pt idx="2757">
                  <c:v>probably damaging</c:v>
                </c:pt>
                <c:pt idx="2758">
                  <c:v>probably damaging</c:v>
                </c:pt>
                <c:pt idx="2759">
                  <c:v>probably damaging</c:v>
                </c:pt>
                <c:pt idx="2760">
                  <c:v>probably damaging</c:v>
                </c:pt>
                <c:pt idx="2761">
                  <c:v>probably damaging</c:v>
                </c:pt>
                <c:pt idx="2762">
                  <c:v>probably damaging</c:v>
                </c:pt>
                <c:pt idx="2763">
                  <c:v>unknown</c:v>
                </c:pt>
                <c:pt idx="2764">
                  <c:v>unknown</c:v>
                </c:pt>
                <c:pt idx="2765">
                  <c:v>unknown</c:v>
                </c:pt>
                <c:pt idx="2766">
                  <c:v>unknown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7B-4547-B454-2240B09896D8}"/>
              </c:ext>
            </c:extLst>
          </c:dPt>
          <c:val>
            <c:numRef>
              <c:f>Sheet3!$A$2769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8-4CA5-98E5-A7888A74F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Ratio of Varient Classification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D0-47AE-9665-AE76389E6C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D0-47AE-9665-AE76389E6C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D0-47AE-9665-AE76389E6C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D0-47AE-9665-AE76389E6CA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AD0-47AE-9665-AE76389E6CA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AD0-47AE-9665-AE76389E6CA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AD0-47AE-9665-AE76389E6CA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AD0-47AE-9665-AE76389E6CA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AD0-47AE-9665-AE76389E6CAB}"/>
              </c:ext>
            </c:extLst>
          </c:dPt>
          <c:dPt>
            <c:idx val="9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AD0-47AE-9665-AE76389E6C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Sheet1!$B$1:$B$10</c:f>
              <c:strCache>
                <c:ptCount val="10"/>
                <c:pt idx="0">
                  <c:v>lb</c:v>
                </c:pt>
                <c:pt idx="1">
                  <c:v>b/lb</c:v>
                </c:pt>
                <c:pt idx="2">
                  <c:v>lb/o</c:v>
                </c:pt>
                <c:pt idx="3">
                  <c:v>b/lb/o</c:v>
                </c:pt>
                <c:pt idx="4">
                  <c:v>lb/p</c:v>
                </c:pt>
                <c:pt idx="5">
                  <c:v>lp/p/o</c:v>
                </c:pt>
                <c:pt idx="6">
                  <c:v>lp/p/rf</c:v>
                </c:pt>
                <c:pt idx="7">
                  <c:v>o</c:v>
                </c:pt>
                <c:pt idx="8">
                  <c:v>p</c:v>
                </c:pt>
                <c:pt idx="9">
                  <c:v>p/o</c:v>
                </c:pt>
              </c:strCache>
            </c:strRef>
          </c:cat>
          <c:val>
            <c:numRef>
              <c:f>Sheet1!$C$1:$C$10</c:f>
              <c:numCache>
                <c:formatCode>General</c:formatCode>
                <c:ptCount val="10"/>
                <c:pt idx="0">
                  <c:v>87</c:v>
                </c:pt>
                <c:pt idx="1">
                  <c:v>10</c:v>
                </c:pt>
                <c:pt idx="2">
                  <c:v>16</c:v>
                </c:pt>
                <c:pt idx="3">
                  <c:v>12</c:v>
                </c:pt>
                <c:pt idx="4">
                  <c:v>12</c:v>
                </c:pt>
                <c:pt idx="5">
                  <c:v>27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AD0-47AE-9665-AE76389E6C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Ratio of Variant Classification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B2-4F63-BF1E-5CE069E46B8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B2-4F63-BF1E-5CE069E46B89}"/>
              </c:ext>
            </c:extLst>
          </c:dPt>
          <c:dPt>
            <c:idx val="2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B2-4F63-BF1E-5CE069E46B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Sheet1!$J$2:$J$4</c:f>
              <c:strCache>
                <c:ptCount val="3"/>
                <c:pt idx="0">
                  <c:v>benign </c:v>
                </c:pt>
                <c:pt idx="1">
                  <c:v>pathogenic</c:v>
                </c:pt>
                <c:pt idx="2">
                  <c:v>uncertain</c:v>
                </c:pt>
              </c:strCache>
            </c:strRef>
          </c:cat>
          <c:val>
            <c:numRef>
              <c:f>Sheet1!$L$2:$L$4</c:f>
              <c:numCache>
                <c:formatCode>0%</c:formatCode>
                <c:ptCount val="3"/>
                <c:pt idx="0">
                  <c:v>0.37797147385103014</c:v>
                </c:pt>
                <c:pt idx="1">
                  <c:v>0.18541996830427893</c:v>
                </c:pt>
                <c:pt idx="2">
                  <c:v>0.43660855784469099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B2-4F63-BF1E-5CE069E46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Pathogenicity by Position and CADD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benign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'Position and CADD Score Table'!$B$2:$B$330</c:f>
              <c:numCache>
                <c:formatCode>General</c:formatCode>
                <c:ptCount val="329"/>
                <c:pt idx="0">
                  <c:v>359</c:v>
                </c:pt>
                <c:pt idx="1">
                  <c:v>322</c:v>
                </c:pt>
                <c:pt idx="2">
                  <c:v>322</c:v>
                </c:pt>
                <c:pt idx="3">
                  <c:v>322</c:v>
                </c:pt>
                <c:pt idx="4">
                  <c:v>308</c:v>
                </c:pt>
                <c:pt idx="5">
                  <c:v>322</c:v>
                </c:pt>
                <c:pt idx="6">
                  <c:v>322</c:v>
                </c:pt>
                <c:pt idx="7">
                  <c:v>322</c:v>
                </c:pt>
                <c:pt idx="8">
                  <c:v>308</c:v>
                </c:pt>
                <c:pt idx="9">
                  <c:v>359</c:v>
                </c:pt>
                <c:pt idx="10">
                  <c:v>322</c:v>
                </c:pt>
                <c:pt idx="11">
                  <c:v>322</c:v>
                </c:pt>
                <c:pt idx="12">
                  <c:v>322</c:v>
                </c:pt>
                <c:pt idx="13">
                  <c:v>308</c:v>
                </c:pt>
                <c:pt idx="14">
                  <c:v>359</c:v>
                </c:pt>
                <c:pt idx="15">
                  <c:v>322</c:v>
                </c:pt>
                <c:pt idx="16">
                  <c:v>322</c:v>
                </c:pt>
                <c:pt idx="17">
                  <c:v>322</c:v>
                </c:pt>
                <c:pt idx="18">
                  <c:v>308</c:v>
                </c:pt>
                <c:pt idx="19">
                  <c:v>322</c:v>
                </c:pt>
                <c:pt idx="20">
                  <c:v>322</c:v>
                </c:pt>
                <c:pt idx="21">
                  <c:v>322</c:v>
                </c:pt>
                <c:pt idx="22">
                  <c:v>308</c:v>
                </c:pt>
                <c:pt idx="23">
                  <c:v>325</c:v>
                </c:pt>
                <c:pt idx="24">
                  <c:v>280</c:v>
                </c:pt>
                <c:pt idx="25">
                  <c:v>280</c:v>
                </c:pt>
                <c:pt idx="26">
                  <c:v>237</c:v>
                </c:pt>
                <c:pt idx="27">
                  <c:v>325</c:v>
                </c:pt>
                <c:pt idx="28">
                  <c:v>280</c:v>
                </c:pt>
                <c:pt idx="29">
                  <c:v>280</c:v>
                </c:pt>
                <c:pt idx="30">
                  <c:v>237</c:v>
                </c:pt>
                <c:pt idx="31">
                  <c:v>325</c:v>
                </c:pt>
                <c:pt idx="32">
                  <c:v>280</c:v>
                </c:pt>
                <c:pt idx="33">
                  <c:v>280</c:v>
                </c:pt>
                <c:pt idx="34">
                  <c:v>237</c:v>
                </c:pt>
                <c:pt idx="35">
                  <c:v>325</c:v>
                </c:pt>
                <c:pt idx="36">
                  <c:v>280</c:v>
                </c:pt>
                <c:pt idx="37">
                  <c:v>280</c:v>
                </c:pt>
                <c:pt idx="38">
                  <c:v>237</c:v>
                </c:pt>
                <c:pt idx="39">
                  <c:v>325</c:v>
                </c:pt>
                <c:pt idx="40">
                  <c:v>280</c:v>
                </c:pt>
                <c:pt idx="41">
                  <c:v>280</c:v>
                </c:pt>
                <c:pt idx="42">
                  <c:v>237</c:v>
                </c:pt>
                <c:pt idx="43">
                  <c:v>400</c:v>
                </c:pt>
                <c:pt idx="44">
                  <c:v>400</c:v>
                </c:pt>
                <c:pt idx="45">
                  <c:v>400</c:v>
                </c:pt>
                <c:pt idx="46">
                  <c:v>396</c:v>
                </c:pt>
                <c:pt idx="47">
                  <c:v>209</c:v>
                </c:pt>
                <c:pt idx="48">
                  <c:v>125</c:v>
                </c:pt>
                <c:pt idx="49">
                  <c:v>26</c:v>
                </c:pt>
                <c:pt idx="50">
                  <c:v>26</c:v>
                </c:pt>
                <c:pt idx="51">
                  <c:v>125</c:v>
                </c:pt>
                <c:pt idx="52">
                  <c:v>26</c:v>
                </c:pt>
                <c:pt idx="53">
                  <c:v>26</c:v>
                </c:pt>
                <c:pt idx="54">
                  <c:v>125</c:v>
                </c:pt>
                <c:pt idx="55">
                  <c:v>26</c:v>
                </c:pt>
                <c:pt idx="56">
                  <c:v>26</c:v>
                </c:pt>
                <c:pt idx="57">
                  <c:v>125</c:v>
                </c:pt>
                <c:pt idx="58">
                  <c:v>26</c:v>
                </c:pt>
                <c:pt idx="59">
                  <c:v>26</c:v>
                </c:pt>
                <c:pt idx="60">
                  <c:v>125</c:v>
                </c:pt>
                <c:pt idx="61">
                  <c:v>26</c:v>
                </c:pt>
                <c:pt idx="62">
                  <c:v>26</c:v>
                </c:pt>
                <c:pt idx="63">
                  <c:v>125</c:v>
                </c:pt>
                <c:pt idx="64">
                  <c:v>26</c:v>
                </c:pt>
                <c:pt idx="65">
                  <c:v>26</c:v>
                </c:pt>
                <c:pt idx="66">
                  <c:v>409</c:v>
                </c:pt>
                <c:pt idx="67">
                  <c:v>409</c:v>
                </c:pt>
                <c:pt idx="68">
                  <c:v>403</c:v>
                </c:pt>
                <c:pt idx="69">
                  <c:v>403</c:v>
                </c:pt>
                <c:pt idx="70">
                  <c:v>403</c:v>
                </c:pt>
                <c:pt idx="71">
                  <c:v>384</c:v>
                </c:pt>
                <c:pt idx="72">
                  <c:v>379</c:v>
                </c:pt>
                <c:pt idx="73">
                  <c:v>379</c:v>
                </c:pt>
                <c:pt idx="74">
                  <c:v>378</c:v>
                </c:pt>
                <c:pt idx="75">
                  <c:v>375</c:v>
                </c:pt>
                <c:pt idx="76">
                  <c:v>374</c:v>
                </c:pt>
                <c:pt idx="77">
                  <c:v>364</c:v>
                </c:pt>
                <c:pt idx="78">
                  <c:v>355</c:v>
                </c:pt>
                <c:pt idx="79">
                  <c:v>343</c:v>
                </c:pt>
                <c:pt idx="80">
                  <c:v>338</c:v>
                </c:pt>
                <c:pt idx="81">
                  <c:v>334</c:v>
                </c:pt>
                <c:pt idx="82">
                  <c:v>306</c:v>
                </c:pt>
                <c:pt idx="83">
                  <c:v>303</c:v>
                </c:pt>
                <c:pt idx="84">
                  <c:v>298</c:v>
                </c:pt>
                <c:pt idx="85">
                  <c:v>293</c:v>
                </c:pt>
                <c:pt idx="86">
                  <c:v>286</c:v>
                </c:pt>
                <c:pt idx="87">
                  <c:v>276</c:v>
                </c:pt>
                <c:pt idx="88">
                  <c:v>260</c:v>
                </c:pt>
                <c:pt idx="89">
                  <c:v>256</c:v>
                </c:pt>
                <c:pt idx="90">
                  <c:v>254</c:v>
                </c:pt>
                <c:pt idx="91">
                  <c:v>246</c:v>
                </c:pt>
                <c:pt idx="92">
                  <c:v>245</c:v>
                </c:pt>
                <c:pt idx="93">
                  <c:v>243</c:v>
                </c:pt>
                <c:pt idx="94">
                  <c:v>236</c:v>
                </c:pt>
                <c:pt idx="95">
                  <c:v>222</c:v>
                </c:pt>
                <c:pt idx="96">
                  <c:v>211</c:v>
                </c:pt>
                <c:pt idx="97">
                  <c:v>161</c:v>
                </c:pt>
                <c:pt idx="98">
                  <c:v>157</c:v>
                </c:pt>
                <c:pt idx="99">
                  <c:v>145</c:v>
                </c:pt>
                <c:pt idx="100">
                  <c:v>119</c:v>
                </c:pt>
                <c:pt idx="101">
                  <c:v>119</c:v>
                </c:pt>
                <c:pt idx="102">
                  <c:v>119</c:v>
                </c:pt>
                <c:pt idx="103">
                  <c:v>106</c:v>
                </c:pt>
                <c:pt idx="104">
                  <c:v>99</c:v>
                </c:pt>
                <c:pt idx="105">
                  <c:v>99</c:v>
                </c:pt>
                <c:pt idx="106">
                  <c:v>97</c:v>
                </c:pt>
                <c:pt idx="107">
                  <c:v>97</c:v>
                </c:pt>
                <c:pt idx="108">
                  <c:v>67</c:v>
                </c:pt>
                <c:pt idx="109">
                  <c:v>67</c:v>
                </c:pt>
                <c:pt idx="110">
                  <c:v>63</c:v>
                </c:pt>
                <c:pt idx="111">
                  <c:v>63</c:v>
                </c:pt>
                <c:pt idx="112">
                  <c:v>60</c:v>
                </c:pt>
                <c:pt idx="113">
                  <c:v>46</c:v>
                </c:pt>
                <c:pt idx="114">
                  <c:v>34</c:v>
                </c:pt>
                <c:pt idx="115">
                  <c:v>30</c:v>
                </c:pt>
                <c:pt idx="116">
                  <c:v>358</c:v>
                </c:pt>
                <c:pt idx="117">
                  <c:v>355</c:v>
                </c:pt>
                <c:pt idx="118">
                  <c:v>343</c:v>
                </c:pt>
                <c:pt idx="119">
                  <c:v>338</c:v>
                </c:pt>
                <c:pt idx="120">
                  <c:v>334</c:v>
                </c:pt>
                <c:pt idx="121">
                  <c:v>306</c:v>
                </c:pt>
                <c:pt idx="122">
                  <c:v>303</c:v>
                </c:pt>
                <c:pt idx="123">
                  <c:v>298</c:v>
                </c:pt>
                <c:pt idx="124">
                  <c:v>293</c:v>
                </c:pt>
                <c:pt idx="125">
                  <c:v>286</c:v>
                </c:pt>
                <c:pt idx="126">
                  <c:v>276</c:v>
                </c:pt>
                <c:pt idx="127">
                  <c:v>260</c:v>
                </c:pt>
                <c:pt idx="128">
                  <c:v>256</c:v>
                </c:pt>
                <c:pt idx="129">
                  <c:v>254</c:v>
                </c:pt>
                <c:pt idx="130">
                  <c:v>246</c:v>
                </c:pt>
                <c:pt idx="131">
                  <c:v>245</c:v>
                </c:pt>
                <c:pt idx="132">
                  <c:v>243</c:v>
                </c:pt>
                <c:pt idx="133">
                  <c:v>236</c:v>
                </c:pt>
                <c:pt idx="134">
                  <c:v>222</c:v>
                </c:pt>
                <c:pt idx="135">
                  <c:v>211</c:v>
                </c:pt>
                <c:pt idx="136">
                  <c:v>161</c:v>
                </c:pt>
                <c:pt idx="137">
                  <c:v>157</c:v>
                </c:pt>
                <c:pt idx="138">
                  <c:v>145</c:v>
                </c:pt>
                <c:pt idx="139">
                  <c:v>119</c:v>
                </c:pt>
                <c:pt idx="140">
                  <c:v>119</c:v>
                </c:pt>
                <c:pt idx="141">
                  <c:v>119</c:v>
                </c:pt>
                <c:pt idx="142">
                  <c:v>106</c:v>
                </c:pt>
                <c:pt idx="143">
                  <c:v>99</c:v>
                </c:pt>
                <c:pt idx="144">
                  <c:v>99</c:v>
                </c:pt>
                <c:pt idx="145">
                  <c:v>97</c:v>
                </c:pt>
                <c:pt idx="146">
                  <c:v>97</c:v>
                </c:pt>
                <c:pt idx="147">
                  <c:v>67</c:v>
                </c:pt>
                <c:pt idx="148">
                  <c:v>67</c:v>
                </c:pt>
                <c:pt idx="149">
                  <c:v>63</c:v>
                </c:pt>
                <c:pt idx="150">
                  <c:v>63</c:v>
                </c:pt>
                <c:pt idx="151">
                  <c:v>60</c:v>
                </c:pt>
                <c:pt idx="152">
                  <c:v>46</c:v>
                </c:pt>
                <c:pt idx="153">
                  <c:v>34</c:v>
                </c:pt>
                <c:pt idx="154">
                  <c:v>30</c:v>
                </c:pt>
                <c:pt idx="155">
                  <c:v>409</c:v>
                </c:pt>
                <c:pt idx="156">
                  <c:v>409</c:v>
                </c:pt>
                <c:pt idx="157">
                  <c:v>403</c:v>
                </c:pt>
                <c:pt idx="158">
                  <c:v>403</c:v>
                </c:pt>
                <c:pt idx="159">
                  <c:v>403</c:v>
                </c:pt>
                <c:pt idx="160">
                  <c:v>384</c:v>
                </c:pt>
                <c:pt idx="161">
                  <c:v>379</c:v>
                </c:pt>
                <c:pt idx="162">
                  <c:v>379</c:v>
                </c:pt>
                <c:pt idx="163">
                  <c:v>378</c:v>
                </c:pt>
                <c:pt idx="164">
                  <c:v>375</c:v>
                </c:pt>
                <c:pt idx="165">
                  <c:v>374</c:v>
                </c:pt>
                <c:pt idx="166">
                  <c:v>364</c:v>
                </c:pt>
                <c:pt idx="167">
                  <c:v>355</c:v>
                </c:pt>
                <c:pt idx="168">
                  <c:v>343</c:v>
                </c:pt>
                <c:pt idx="169">
                  <c:v>338</c:v>
                </c:pt>
                <c:pt idx="170">
                  <c:v>334</c:v>
                </c:pt>
                <c:pt idx="171">
                  <c:v>306</c:v>
                </c:pt>
                <c:pt idx="172">
                  <c:v>303</c:v>
                </c:pt>
                <c:pt idx="173">
                  <c:v>298</c:v>
                </c:pt>
                <c:pt idx="174">
                  <c:v>293</c:v>
                </c:pt>
                <c:pt idx="175">
                  <c:v>286</c:v>
                </c:pt>
                <c:pt idx="176">
                  <c:v>276</c:v>
                </c:pt>
                <c:pt idx="177">
                  <c:v>260</c:v>
                </c:pt>
                <c:pt idx="178">
                  <c:v>256</c:v>
                </c:pt>
                <c:pt idx="179">
                  <c:v>254</c:v>
                </c:pt>
                <c:pt idx="180">
                  <c:v>246</c:v>
                </c:pt>
                <c:pt idx="181">
                  <c:v>245</c:v>
                </c:pt>
                <c:pt idx="182">
                  <c:v>243</c:v>
                </c:pt>
                <c:pt idx="183">
                  <c:v>236</c:v>
                </c:pt>
                <c:pt idx="184">
                  <c:v>222</c:v>
                </c:pt>
                <c:pt idx="185">
                  <c:v>211</c:v>
                </c:pt>
                <c:pt idx="186">
                  <c:v>161</c:v>
                </c:pt>
                <c:pt idx="187">
                  <c:v>157</c:v>
                </c:pt>
                <c:pt idx="188">
                  <c:v>145</c:v>
                </c:pt>
                <c:pt idx="189">
                  <c:v>119</c:v>
                </c:pt>
                <c:pt idx="190">
                  <c:v>119</c:v>
                </c:pt>
                <c:pt idx="191">
                  <c:v>119</c:v>
                </c:pt>
                <c:pt idx="192">
                  <c:v>106</c:v>
                </c:pt>
                <c:pt idx="193">
                  <c:v>99</c:v>
                </c:pt>
                <c:pt idx="194">
                  <c:v>99</c:v>
                </c:pt>
                <c:pt idx="195">
                  <c:v>97</c:v>
                </c:pt>
                <c:pt idx="196">
                  <c:v>97</c:v>
                </c:pt>
                <c:pt idx="197">
                  <c:v>67</c:v>
                </c:pt>
                <c:pt idx="198">
                  <c:v>67</c:v>
                </c:pt>
                <c:pt idx="199">
                  <c:v>63</c:v>
                </c:pt>
                <c:pt idx="200">
                  <c:v>63</c:v>
                </c:pt>
                <c:pt idx="201">
                  <c:v>60</c:v>
                </c:pt>
                <c:pt idx="202">
                  <c:v>46</c:v>
                </c:pt>
                <c:pt idx="203">
                  <c:v>34</c:v>
                </c:pt>
                <c:pt idx="204">
                  <c:v>30</c:v>
                </c:pt>
                <c:pt idx="205">
                  <c:v>409</c:v>
                </c:pt>
                <c:pt idx="206">
                  <c:v>409</c:v>
                </c:pt>
                <c:pt idx="207">
                  <c:v>403</c:v>
                </c:pt>
                <c:pt idx="208">
                  <c:v>403</c:v>
                </c:pt>
                <c:pt idx="209">
                  <c:v>403</c:v>
                </c:pt>
                <c:pt idx="210">
                  <c:v>384</c:v>
                </c:pt>
                <c:pt idx="211">
                  <c:v>379</c:v>
                </c:pt>
                <c:pt idx="212">
                  <c:v>379</c:v>
                </c:pt>
                <c:pt idx="213">
                  <c:v>378</c:v>
                </c:pt>
                <c:pt idx="214">
                  <c:v>375</c:v>
                </c:pt>
                <c:pt idx="215">
                  <c:v>374</c:v>
                </c:pt>
                <c:pt idx="216">
                  <c:v>364</c:v>
                </c:pt>
                <c:pt idx="217">
                  <c:v>355</c:v>
                </c:pt>
                <c:pt idx="218">
                  <c:v>343</c:v>
                </c:pt>
                <c:pt idx="219">
                  <c:v>338</c:v>
                </c:pt>
                <c:pt idx="220">
                  <c:v>334</c:v>
                </c:pt>
                <c:pt idx="221">
                  <c:v>306</c:v>
                </c:pt>
                <c:pt idx="222">
                  <c:v>303</c:v>
                </c:pt>
                <c:pt idx="223">
                  <c:v>298</c:v>
                </c:pt>
                <c:pt idx="224">
                  <c:v>293</c:v>
                </c:pt>
                <c:pt idx="225">
                  <c:v>286</c:v>
                </c:pt>
                <c:pt idx="226">
                  <c:v>276</c:v>
                </c:pt>
                <c:pt idx="227">
                  <c:v>260</c:v>
                </c:pt>
                <c:pt idx="228">
                  <c:v>256</c:v>
                </c:pt>
                <c:pt idx="229">
                  <c:v>254</c:v>
                </c:pt>
                <c:pt idx="230">
                  <c:v>246</c:v>
                </c:pt>
                <c:pt idx="231">
                  <c:v>245</c:v>
                </c:pt>
                <c:pt idx="232">
                  <c:v>243</c:v>
                </c:pt>
                <c:pt idx="233">
                  <c:v>236</c:v>
                </c:pt>
                <c:pt idx="234">
                  <c:v>222</c:v>
                </c:pt>
                <c:pt idx="235">
                  <c:v>211</c:v>
                </c:pt>
                <c:pt idx="236">
                  <c:v>161</c:v>
                </c:pt>
                <c:pt idx="237">
                  <c:v>157</c:v>
                </c:pt>
                <c:pt idx="238">
                  <c:v>145</c:v>
                </c:pt>
                <c:pt idx="239">
                  <c:v>119</c:v>
                </c:pt>
                <c:pt idx="240">
                  <c:v>119</c:v>
                </c:pt>
                <c:pt idx="241">
                  <c:v>119</c:v>
                </c:pt>
                <c:pt idx="242">
                  <c:v>106</c:v>
                </c:pt>
                <c:pt idx="243">
                  <c:v>99</c:v>
                </c:pt>
                <c:pt idx="244">
                  <c:v>99</c:v>
                </c:pt>
                <c:pt idx="245">
                  <c:v>97</c:v>
                </c:pt>
                <c:pt idx="246">
                  <c:v>97</c:v>
                </c:pt>
                <c:pt idx="247">
                  <c:v>67</c:v>
                </c:pt>
                <c:pt idx="248">
                  <c:v>67</c:v>
                </c:pt>
                <c:pt idx="249">
                  <c:v>63</c:v>
                </c:pt>
                <c:pt idx="250">
                  <c:v>63</c:v>
                </c:pt>
                <c:pt idx="251">
                  <c:v>60</c:v>
                </c:pt>
                <c:pt idx="252">
                  <c:v>46</c:v>
                </c:pt>
                <c:pt idx="253">
                  <c:v>34</c:v>
                </c:pt>
                <c:pt idx="254">
                  <c:v>30</c:v>
                </c:pt>
                <c:pt idx="255">
                  <c:v>405</c:v>
                </c:pt>
                <c:pt idx="256">
                  <c:v>405</c:v>
                </c:pt>
                <c:pt idx="257">
                  <c:v>399</c:v>
                </c:pt>
                <c:pt idx="258">
                  <c:v>399</c:v>
                </c:pt>
                <c:pt idx="259">
                  <c:v>399</c:v>
                </c:pt>
                <c:pt idx="260">
                  <c:v>380</c:v>
                </c:pt>
                <c:pt idx="261">
                  <c:v>375</c:v>
                </c:pt>
                <c:pt idx="262">
                  <c:v>375</c:v>
                </c:pt>
                <c:pt idx="263">
                  <c:v>374</c:v>
                </c:pt>
                <c:pt idx="264">
                  <c:v>371</c:v>
                </c:pt>
                <c:pt idx="265">
                  <c:v>370</c:v>
                </c:pt>
                <c:pt idx="266">
                  <c:v>360</c:v>
                </c:pt>
                <c:pt idx="267">
                  <c:v>355</c:v>
                </c:pt>
                <c:pt idx="268">
                  <c:v>343</c:v>
                </c:pt>
                <c:pt idx="269">
                  <c:v>338</c:v>
                </c:pt>
                <c:pt idx="270">
                  <c:v>334</c:v>
                </c:pt>
                <c:pt idx="271">
                  <c:v>306</c:v>
                </c:pt>
                <c:pt idx="272">
                  <c:v>303</c:v>
                </c:pt>
                <c:pt idx="273">
                  <c:v>298</c:v>
                </c:pt>
                <c:pt idx="274">
                  <c:v>293</c:v>
                </c:pt>
                <c:pt idx="275">
                  <c:v>286</c:v>
                </c:pt>
                <c:pt idx="276">
                  <c:v>276</c:v>
                </c:pt>
                <c:pt idx="277">
                  <c:v>260</c:v>
                </c:pt>
                <c:pt idx="278">
                  <c:v>256</c:v>
                </c:pt>
                <c:pt idx="279">
                  <c:v>254</c:v>
                </c:pt>
                <c:pt idx="280">
                  <c:v>246</c:v>
                </c:pt>
                <c:pt idx="281">
                  <c:v>245</c:v>
                </c:pt>
                <c:pt idx="282">
                  <c:v>243</c:v>
                </c:pt>
                <c:pt idx="283">
                  <c:v>236</c:v>
                </c:pt>
                <c:pt idx="284">
                  <c:v>222</c:v>
                </c:pt>
                <c:pt idx="285">
                  <c:v>211</c:v>
                </c:pt>
                <c:pt idx="286">
                  <c:v>161</c:v>
                </c:pt>
                <c:pt idx="287">
                  <c:v>157</c:v>
                </c:pt>
                <c:pt idx="288">
                  <c:v>145</c:v>
                </c:pt>
                <c:pt idx="289">
                  <c:v>119</c:v>
                </c:pt>
                <c:pt idx="290">
                  <c:v>119</c:v>
                </c:pt>
                <c:pt idx="291">
                  <c:v>119</c:v>
                </c:pt>
                <c:pt idx="292">
                  <c:v>106</c:v>
                </c:pt>
                <c:pt idx="293">
                  <c:v>99</c:v>
                </c:pt>
                <c:pt idx="294">
                  <c:v>99</c:v>
                </c:pt>
                <c:pt idx="295">
                  <c:v>97</c:v>
                </c:pt>
                <c:pt idx="296">
                  <c:v>97</c:v>
                </c:pt>
                <c:pt idx="297">
                  <c:v>67</c:v>
                </c:pt>
                <c:pt idx="298">
                  <c:v>67</c:v>
                </c:pt>
                <c:pt idx="299">
                  <c:v>63</c:v>
                </c:pt>
                <c:pt idx="300">
                  <c:v>63</c:v>
                </c:pt>
                <c:pt idx="301">
                  <c:v>60</c:v>
                </c:pt>
                <c:pt idx="302">
                  <c:v>46</c:v>
                </c:pt>
                <c:pt idx="303">
                  <c:v>34</c:v>
                </c:pt>
                <c:pt idx="304">
                  <c:v>30</c:v>
                </c:pt>
                <c:pt idx="305">
                  <c:v>218</c:v>
                </c:pt>
                <c:pt idx="306">
                  <c:v>218</c:v>
                </c:pt>
                <c:pt idx="307">
                  <c:v>212</c:v>
                </c:pt>
                <c:pt idx="308">
                  <c:v>212</c:v>
                </c:pt>
                <c:pt idx="309">
                  <c:v>212</c:v>
                </c:pt>
                <c:pt idx="310">
                  <c:v>161</c:v>
                </c:pt>
                <c:pt idx="311">
                  <c:v>157</c:v>
                </c:pt>
                <c:pt idx="312">
                  <c:v>145</c:v>
                </c:pt>
                <c:pt idx="313">
                  <c:v>119</c:v>
                </c:pt>
                <c:pt idx="314">
                  <c:v>119</c:v>
                </c:pt>
                <c:pt idx="315">
                  <c:v>119</c:v>
                </c:pt>
                <c:pt idx="316">
                  <c:v>106</c:v>
                </c:pt>
                <c:pt idx="317">
                  <c:v>99</c:v>
                </c:pt>
                <c:pt idx="318">
                  <c:v>99</c:v>
                </c:pt>
                <c:pt idx="319">
                  <c:v>97</c:v>
                </c:pt>
                <c:pt idx="320">
                  <c:v>97</c:v>
                </c:pt>
                <c:pt idx="321">
                  <c:v>67</c:v>
                </c:pt>
                <c:pt idx="322">
                  <c:v>67</c:v>
                </c:pt>
                <c:pt idx="323">
                  <c:v>63</c:v>
                </c:pt>
                <c:pt idx="324">
                  <c:v>63</c:v>
                </c:pt>
                <c:pt idx="325">
                  <c:v>60</c:v>
                </c:pt>
                <c:pt idx="326">
                  <c:v>46</c:v>
                </c:pt>
                <c:pt idx="327">
                  <c:v>34</c:v>
                </c:pt>
                <c:pt idx="328">
                  <c:v>30</c:v>
                </c:pt>
              </c:numCache>
            </c:numRef>
          </c:xVal>
          <c:yVal>
            <c:numRef>
              <c:f>'Position and CADD Score Table'!$C$2:$C$330</c:f>
              <c:numCache>
                <c:formatCode>General</c:formatCode>
                <c:ptCount val="329"/>
                <c:pt idx="0">
                  <c:v>24</c:v>
                </c:pt>
                <c:pt idx="1">
                  <c:v>7</c:v>
                </c:pt>
                <c:pt idx="2">
                  <c:v>19</c:v>
                </c:pt>
                <c:pt idx="3">
                  <c:v>12</c:v>
                </c:pt>
                <c:pt idx="4">
                  <c:v>4</c:v>
                </c:pt>
                <c:pt idx="5">
                  <c:v>7</c:v>
                </c:pt>
                <c:pt idx="6">
                  <c:v>19</c:v>
                </c:pt>
                <c:pt idx="7">
                  <c:v>12</c:v>
                </c:pt>
                <c:pt idx="8">
                  <c:v>4</c:v>
                </c:pt>
                <c:pt idx="9">
                  <c:v>24</c:v>
                </c:pt>
                <c:pt idx="10">
                  <c:v>7</c:v>
                </c:pt>
                <c:pt idx="11">
                  <c:v>19</c:v>
                </c:pt>
                <c:pt idx="12">
                  <c:v>12</c:v>
                </c:pt>
                <c:pt idx="13">
                  <c:v>4</c:v>
                </c:pt>
                <c:pt idx="14">
                  <c:v>24</c:v>
                </c:pt>
                <c:pt idx="15">
                  <c:v>7</c:v>
                </c:pt>
                <c:pt idx="16">
                  <c:v>19</c:v>
                </c:pt>
                <c:pt idx="17">
                  <c:v>12</c:v>
                </c:pt>
                <c:pt idx="18">
                  <c:v>4</c:v>
                </c:pt>
                <c:pt idx="19">
                  <c:v>7</c:v>
                </c:pt>
                <c:pt idx="20">
                  <c:v>19</c:v>
                </c:pt>
                <c:pt idx="21">
                  <c:v>12</c:v>
                </c:pt>
                <c:pt idx="22">
                  <c:v>4</c:v>
                </c:pt>
                <c:pt idx="23">
                  <c:v>0</c:v>
                </c:pt>
                <c:pt idx="24">
                  <c:v>6</c:v>
                </c:pt>
                <c:pt idx="25">
                  <c:v>6</c:v>
                </c:pt>
                <c:pt idx="26">
                  <c:v>0</c:v>
                </c:pt>
                <c:pt idx="27">
                  <c:v>0</c:v>
                </c:pt>
                <c:pt idx="28">
                  <c:v>6</c:v>
                </c:pt>
                <c:pt idx="29">
                  <c:v>6</c:v>
                </c:pt>
                <c:pt idx="30">
                  <c:v>0</c:v>
                </c:pt>
                <c:pt idx="31">
                  <c:v>0</c:v>
                </c:pt>
                <c:pt idx="32">
                  <c:v>6</c:v>
                </c:pt>
                <c:pt idx="33">
                  <c:v>6</c:v>
                </c:pt>
                <c:pt idx="34">
                  <c:v>0</c:v>
                </c:pt>
                <c:pt idx="35">
                  <c:v>0</c:v>
                </c:pt>
                <c:pt idx="36">
                  <c:v>6</c:v>
                </c:pt>
                <c:pt idx="37">
                  <c:v>6</c:v>
                </c:pt>
                <c:pt idx="38">
                  <c:v>0</c:v>
                </c:pt>
                <c:pt idx="39">
                  <c:v>0</c:v>
                </c:pt>
                <c:pt idx="40">
                  <c:v>6</c:v>
                </c:pt>
                <c:pt idx="41">
                  <c:v>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13</c:v>
                </c:pt>
                <c:pt idx="50">
                  <c:v>9</c:v>
                </c:pt>
                <c:pt idx="51">
                  <c:v>0</c:v>
                </c:pt>
                <c:pt idx="52">
                  <c:v>13</c:v>
                </c:pt>
                <c:pt idx="53">
                  <c:v>9</c:v>
                </c:pt>
                <c:pt idx="54">
                  <c:v>0</c:v>
                </c:pt>
                <c:pt idx="55">
                  <c:v>13</c:v>
                </c:pt>
                <c:pt idx="56">
                  <c:v>9</c:v>
                </c:pt>
                <c:pt idx="57">
                  <c:v>0</c:v>
                </c:pt>
                <c:pt idx="58">
                  <c:v>13</c:v>
                </c:pt>
                <c:pt idx="59">
                  <c:v>9</c:v>
                </c:pt>
                <c:pt idx="60">
                  <c:v>0</c:v>
                </c:pt>
                <c:pt idx="61">
                  <c:v>13</c:v>
                </c:pt>
                <c:pt idx="62">
                  <c:v>9</c:v>
                </c:pt>
                <c:pt idx="63">
                  <c:v>0</c:v>
                </c:pt>
                <c:pt idx="64">
                  <c:v>13</c:v>
                </c:pt>
                <c:pt idx="65">
                  <c:v>9</c:v>
                </c:pt>
                <c:pt idx="66">
                  <c:v>0</c:v>
                </c:pt>
                <c:pt idx="67">
                  <c:v>0</c:v>
                </c:pt>
                <c:pt idx="68">
                  <c:v>14</c:v>
                </c:pt>
                <c:pt idx="69">
                  <c:v>18</c:v>
                </c:pt>
                <c:pt idx="70">
                  <c:v>19</c:v>
                </c:pt>
                <c:pt idx="71">
                  <c:v>0</c:v>
                </c:pt>
                <c:pt idx="72">
                  <c:v>1</c:v>
                </c:pt>
                <c:pt idx="73">
                  <c:v>3</c:v>
                </c:pt>
                <c:pt idx="74">
                  <c:v>19</c:v>
                </c:pt>
                <c:pt idx="75">
                  <c:v>1</c:v>
                </c:pt>
                <c:pt idx="76">
                  <c:v>13</c:v>
                </c:pt>
                <c:pt idx="77">
                  <c:v>0</c:v>
                </c:pt>
                <c:pt idx="78">
                  <c:v>23</c:v>
                </c:pt>
                <c:pt idx="79">
                  <c:v>23</c:v>
                </c:pt>
                <c:pt idx="80">
                  <c:v>0</c:v>
                </c:pt>
                <c:pt idx="81">
                  <c:v>5</c:v>
                </c:pt>
                <c:pt idx="83">
                  <c:v>2</c:v>
                </c:pt>
                <c:pt idx="84">
                  <c:v>1</c:v>
                </c:pt>
                <c:pt idx="85">
                  <c:v>2</c:v>
                </c:pt>
                <c:pt idx="86">
                  <c:v>20</c:v>
                </c:pt>
                <c:pt idx="87">
                  <c:v>21</c:v>
                </c:pt>
                <c:pt idx="88">
                  <c:v>19</c:v>
                </c:pt>
                <c:pt idx="89">
                  <c:v>5</c:v>
                </c:pt>
                <c:pt idx="90">
                  <c:v>12</c:v>
                </c:pt>
                <c:pt idx="91">
                  <c:v>0</c:v>
                </c:pt>
                <c:pt idx="92">
                  <c:v>15</c:v>
                </c:pt>
                <c:pt idx="93">
                  <c:v>23</c:v>
                </c:pt>
                <c:pt idx="94">
                  <c:v>7</c:v>
                </c:pt>
                <c:pt idx="95">
                  <c:v>23</c:v>
                </c:pt>
                <c:pt idx="96">
                  <c:v>25</c:v>
                </c:pt>
                <c:pt idx="97">
                  <c:v>4</c:v>
                </c:pt>
                <c:pt idx="98">
                  <c:v>20</c:v>
                </c:pt>
                <c:pt idx="99">
                  <c:v>0</c:v>
                </c:pt>
                <c:pt idx="100">
                  <c:v>22</c:v>
                </c:pt>
                <c:pt idx="101">
                  <c:v>17</c:v>
                </c:pt>
                <c:pt idx="102">
                  <c:v>22</c:v>
                </c:pt>
                <c:pt idx="103">
                  <c:v>22</c:v>
                </c:pt>
                <c:pt idx="104">
                  <c:v>20</c:v>
                </c:pt>
                <c:pt idx="105">
                  <c:v>20</c:v>
                </c:pt>
                <c:pt idx="106">
                  <c:v>9</c:v>
                </c:pt>
                <c:pt idx="107">
                  <c:v>9</c:v>
                </c:pt>
                <c:pt idx="108">
                  <c:v>0</c:v>
                </c:pt>
                <c:pt idx="109">
                  <c:v>5</c:v>
                </c:pt>
                <c:pt idx="110">
                  <c:v>19</c:v>
                </c:pt>
                <c:pt idx="111">
                  <c:v>15</c:v>
                </c:pt>
                <c:pt idx="112">
                  <c:v>0</c:v>
                </c:pt>
                <c:pt idx="113">
                  <c:v>0</c:v>
                </c:pt>
                <c:pt idx="114">
                  <c:v>4</c:v>
                </c:pt>
                <c:pt idx="115">
                  <c:v>8</c:v>
                </c:pt>
                <c:pt idx="116">
                  <c:v>3</c:v>
                </c:pt>
                <c:pt idx="117">
                  <c:v>23</c:v>
                </c:pt>
                <c:pt idx="118">
                  <c:v>23</c:v>
                </c:pt>
                <c:pt idx="119">
                  <c:v>0</c:v>
                </c:pt>
                <c:pt idx="120">
                  <c:v>5</c:v>
                </c:pt>
                <c:pt idx="122">
                  <c:v>2</c:v>
                </c:pt>
                <c:pt idx="123">
                  <c:v>1</c:v>
                </c:pt>
                <c:pt idx="124">
                  <c:v>2</c:v>
                </c:pt>
                <c:pt idx="125">
                  <c:v>20</c:v>
                </c:pt>
                <c:pt idx="126">
                  <c:v>21</c:v>
                </c:pt>
                <c:pt idx="127">
                  <c:v>19</c:v>
                </c:pt>
                <c:pt idx="128">
                  <c:v>5</c:v>
                </c:pt>
                <c:pt idx="129">
                  <c:v>12</c:v>
                </c:pt>
                <c:pt idx="130">
                  <c:v>0</c:v>
                </c:pt>
                <c:pt idx="131">
                  <c:v>15</c:v>
                </c:pt>
                <c:pt idx="132">
                  <c:v>23</c:v>
                </c:pt>
                <c:pt idx="133">
                  <c:v>7</c:v>
                </c:pt>
                <c:pt idx="134">
                  <c:v>23</c:v>
                </c:pt>
                <c:pt idx="135">
                  <c:v>25</c:v>
                </c:pt>
                <c:pt idx="136">
                  <c:v>4</c:v>
                </c:pt>
                <c:pt idx="137">
                  <c:v>20</c:v>
                </c:pt>
                <c:pt idx="138">
                  <c:v>0</c:v>
                </c:pt>
                <c:pt idx="139">
                  <c:v>22</c:v>
                </c:pt>
                <c:pt idx="140">
                  <c:v>17</c:v>
                </c:pt>
                <c:pt idx="141">
                  <c:v>22</c:v>
                </c:pt>
                <c:pt idx="142">
                  <c:v>22</c:v>
                </c:pt>
                <c:pt idx="143">
                  <c:v>20</c:v>
                </c:pt>
                <c:pt idx="144">
                  <c:v>20</c:v>
                </c:pt>
                <c:pt idx="145">
                  <c:v>9</c:v>
                </c:pt>
                <c:pt idx="146">
                  <c:v>9</c:v>
                </c:pt>
                <c:pt idx="147">
                  <c:v>0</c:v>
                </c:pt>
                <c:pt idx="148">
                  <c:v>5</c:v>
                </c:pt>
                <c:pt idx="149">
                  <c:v>19</c:v>
                </c:pt>
                <c:pt idx="150">
                  <c:v>15</c:v>
                </c:pt>
                <c:pt idx="151">
                  <c:v>0</c:v>
                </c:pt>
                <c:pt idx="152">
                  <c:v>0</c:v>
                </c:pt>
                <c:pt idx="153">
                  <c:v>4</c:v>
                </c:pt>
                <c:pt idx="154">
                  <c:v>8</c:v>
                </c:pt>
                <c:pt idx="155">
                  <c:v>0</c:v>
                </c:pt>
                <c:pt idx="156">
                  <c:v>0</c:v>
                </c:pt>
                <c:pt idx="157">
                  <c:v>14</c:v>
                </c:pt>
                <c:pt idx="158">
                  <c:v>18</c:v>
                </c:pt>
                <c:pt idx="159">
                  <c:v>19</c:v>
                </c:pt>
                <c:pt idx="160">
                  <c:v>0</c:v>
                </c:pt>
                <c:pt idx="161">
                  <c:v>1</c:v>
                </c:pt>
                <c:pt idx="162">
                  <c:v>3</c:v>
                </c:pt>
                <c:pt idx="163">
                  <c:v>19</c:v>
                </c:pt>
                <c:pt idx="164">
                  <c:v>1</c:v>
                </c:pt>
                <c:pt idx="165">
                  <c:v>13</c:v>
                </c:pt>
                <c:pt idx="166">
                  <c:v>0</c:v>
                </c:pt>
                <c:pt idx="167">
                  <c:v>23</c:v>
                </c:pt>
                <c:pt idx="168">
                  <c:v>23</c:v>
                </c:pt>
                <c:pt idx="169">
                  <c:v>0</c:v>
                </c:pt>
                <c:pt idx="170">
                  <c:v>5</c:v>
                </c:pt>
                <c:pt idx="172">
                  <c:v>2</c:v>
                </c:pt>
                <c:pt idx="173">
                  <c:v>1</c:v>
                </c:pt>
                <c:pt idx="174">
                  <c:v>2</c:v>
                </c:pt>
                <c:pt idx="175">
                  <c:v>20</c:v>
                </c:pt>
                <c:pt idx="176">
                  <c:v>21</c:v>
                </c:pt>
                <c:pt idx="177">
                  <c:v>19</c:v>
                </c:pt>
                <c:pt idx="178">
                  <c:v>5</c:v>
                </c:pt>
                <c:pt idx="179">
                  <c:v>12</c:v>
                </c:pt>
                <c:pt idx="180">
                  <c:v>0</c:v>
                </c:pt>
                <c:pt idx="181">
                  <c:v>15</c:v>
                </c:pt>
                <c:pt idx="182">
                  <c:v>23</c:v>
                </c:pt>
                <c:pt idx="183">
                  <c:v>7</c:v>
                </c:pt>
                <c:pt idx="184">
                  <c:v>23</c:v>
                </c:pt>
                <c:pt idx="185">
                  <c:v>25</c:v>
                </c:pt>
                <c:pt idx="186">
                  <c:v>4</c:v>
                </c:pt>
                <c:pt idx="187">
                  <c:v>20</c:v>
                </c:pt>
                <c:pt idx="188">
                  <c:v>0</c:v>
                </c:pt>
                <c:pt idx="189">
                  <c:v>22</c:v>
                </c:pt>
                <c:pt idx="190">
                  <c:v>17</c:v>
                </c:pt>
                <c:pt idx="191">
                  <c:v>22</c:v>
                </c:pt>
                <c:pt idx="192">
                  <c:v>22</c:v>
                </c:pt>
                <c:pt idx="193">
                  <c:v>20</c:v>
                </c:pt>
                <c:pt idx="194">
                  <c:v>20</c:v>
                </c:pt>
                <c:pt idx="195">
                  <c:v>9</c:v>
                </c:pt>
                <c:pt idx="196">
                  <c:v>9</c:v>
                </c:pt>
                <c:pt idx="197">
                  <c:v>0</c:v>
                </c:pt>
                <c:pt idx="198">
                  <c:v>5</c:v>
                </c:pt>
                <c:pt idx="199">
                  <c:v>19</c:v>
                </c:pt>
                <c:pt idx="200">
                  <c:v>15</c:v>
                </c:pt>
                <c:pt idx="201">
                  <c:v>0</c:v>
                </c:pt>
                <c:pt idx="202">
                  <c:v>0</c:v>
                </c:pt>
                <c:pt idx="203">
                  <c:v>4</c:v>
                </c:pt>
                <c:pt idx="204">
                  <c:v>8</c:v>
                </c:pt>
                <c:pt idx="205">
                  <c:v>0</c:v>
                </c:pt>
                <c:pt idx="206">
                  <c:v>0</c:v>
                </c:pt>
                <c:pt idx="207">
                  <c:v>14</c:v>
                </c:pt>
                <c:pt idx="208">
                  <c:v>18</c:v>
                </c:pt>
                <c:pt idx="209">
                  <c:v>19</c:v>
                </c:pt>
                <c:pt idx="210">
                  <c:v>0</c:v>
                </c:pt>
                <c:pt idx="211">
                  <c:v>1</c:v>
                </c:pt>
                <c:pt idx="212">
                  <c:v>3</c:v>
                </c:pt>
                <c:pt idx="213">
                  <c:v>19</c:v>
                </c:pt>
                <c:pt idx="214">
                  <c:v>1</c:v>
                </c:pt>
                <c:pt idx="215">
                  <c:v>13</c:v>
                </c:pt>
                <c:pt idx="216">
                  <c:v>0</c:v>
                </c:pt>
                <c:pt idx="217">
                  <c:v>23</c:v>
                </c:pt>
                <c:pt idx="218">
                  <c:v>23</c:v>
                </c:pt>
                <c:pt idx="219">
                  <c:v>0</c:v>
                </c:pt>
                <c:pt idx="220">
                  <c:v>5</c:v>
                </c:pt>
                <c:pt idx="222">
                  <c:v>2</c:v>
                </c:pt>
                <c:pt idx="223">
                  <c:v>1</c:v>
                </c:pt>
                <c:pt idx="224">
                  <c:v>2</c:v>
                </c:pt>
                <c:pt idx="225">
                  <c:v>20</c:v>
                </c:pt>
                <c:pt idx="226">
                  <c:v>21</c:v>
                </c:pt>
                <c:pt idx="227">
                  <c:v>19</c:v>
                </c:pt>
                <c:pt idx="228">
                  <c:v>5</c:v>
                </c:pt>
                <c:pt idx="229">
                  <c:v>12</c:v>
                </c:pt>
                <c:pt idx="230">
                  <c:v>0</c:v>
                </c:pt>
                <c:pt idx="231">
                  <c:v>15</c:v>
                </c:pt>
                <c:pt idx="232">
                  <c:v>23</c:v>
                </c:pt>
                <c:pt idx="233">
                  <c:v>7</c:v>
                </c:pt>
                <c:pt idx="234">
                  <c:v>23</c:v>
                </c:pt>
                <c:pt idx="235">
                  <c:v>25</c:v>
                </c:pt>
                <c:pt idx="236">
                  <c:v>4</c:v>
                </c:pt>
                <c:pt idx="237">
                  <c:v>20</c:v>
                </c:pt>
                <c:pt idx="238">
                  <c:v>0</c:v>
                </c:pt>
                <c:pt idx="239">
                  <c:v>22</c:v>
                </c:pt>
                <c:pt idx="240">
                  <c:v>17</c:v>
                </c:pt>
                <c:pt idx="241">
                  <c:v>22</c:v>
                </c:pt>
                <c:pt idx="242">
                  <c:v>22</c:v>
                </c:pt>
                <c:pt idx="243">
                  <c:v>20</c:v>
                </c:pt>
                <c:pt idx="244">
                  <c:v>20</c:v>
                </c:pt>
                <c:pt idx="245">
                  <c:v>9</c:v>
                </c:pt>
                <c:pt idx="246">
                  <c:v>9</c:v>
                </c:pt>
                <c:pt idx="247">
                  <c:v>0</c:v>
                </c:pt>
                <c:pt idx="248">
                  <c:v>5</c:v>
                </c:pt>
                <c:pt idx="249">
                  <c:v>19</c:v>
                </c:pt>
                <c:pt idx="250">
                  <c:v>15</c:v>
                </c:pt>
                <c:pt idx="251">
                  <c:v>0</c:v>
                </c:pt>
                <c:pt idx="252">
                  <c:v>0</c:v>
                </c:pt>
                <c:pt idx="253">
                  <c:v>4</c:v>
                </c:pt>
                <c:pt idx="254">
                  <c:v>8</c:v>
                </c:pt>
                <c:pt idx="255">
                  <c:v>0</c:v>
                </c:pt>
                <c:pt idx="256">
                  <c:v>0</c:v>
                </c:pt>
                <c:pt idx="257">
                  <c:v>14</c:v>
                </c:pt>
                <c:pt idx="258">
                  <c:v>18</c:v>
                </c:pt>
                <c:pt idx="259">
                  <c:v>19</c:v>
                </c:pt>
                <c:pt idx="260">
                  <c:v>0</c:v>
                </c:pt>
                <c:pt idx="261">
                  <c:v>1</c:v>
                </c:pt>
                <c:pt idx="262">
                  <c:v>3</c:v>
                </c:pt>
                <c:pt idx="263">
                  <c:v>19</c:v>
                </c:pt>
                <c:pt idx="264">
                  <c:v>1</c:v>
                </c:pt>
                <c:pt idx="265">
                  <c:v>13</c:v>
                </c:pt>
                <c:pt idx="266">
                  <c:v>0</c:v>
                </c:pt>
                <c:pt idx="267">
                  <c:v>23</c:v>
                </c:pt>
                <c:pt idx="268">
                  <c:v>23</c:v>
                </c:pt>
                <c:pt idx="269">
                  <c:v>0</c:v>
                </c:pt>
                <c:pt idx="270">
                  <c:v>5</c:v>
                </c:pt>
                <c:pt idx="272">
                  <c:v>2</c:v>
                </c:pt>
                <c:pt idx="273">
                  <c:v>1</c:v>
                </c:pt>
                <c:pt idx="274">
                  <c:v>2</c:v>
                </c:pt>
                <c:pt idx="275">
                  <c:v>20</c:v>
                </c:pt>
                <c:pt idx="276">
                  <c:v>21</c:v>
                </c:pt>
                <c:pt idx="277">
                  <c:v>19</c:v>
                </c:pt>
                <c:pt idx="278">
                  <c:v>5</c:v>
                </c:pt>
                <c:pt idx="279">
                  <c:v>12</c:v>
                </c:pt>
                <c:pt idx="280">
                  <c:v>0</c:v>
                </c:pt>
                <c:pt idx="281">
                  <c:v>15</c:v>
                </c:pt>
                <c:pt idx="282">
                  <c:v>23</c:v>
                </c:pt>
                <c:pt idx="283">
                  <c:v>7</c:v>
                </c:pt>
                <c:pt idx="284">
                  <c:v>23</c:v>
                </c:pt>
                <c:pt idx="285">
                  <c:v>25</c:v>
                </c:pt>
                <c:pt idx="286">
                  <c:v>4</c:v>
                </c:pt>
                <c:pt idx="287">
                  <c:v>20</c:v>
                </c:pt>
                <c:pt idx="288">
                  <c:v>0</c:v>
                </c:pt>
                <c:pt idx="289">
                  <c:v>22</c:v>
                </c:pt>
                <c:pt idx="290">
                  <c:v>17</c:v>
                </c:pt>
                <c:pt idx="291">
                  <c:v>22</c:v>
                </c:pt>
                <c:pt idx="292">
                  <c:v>22</c:v>
                </c:pt>
                <c:pt idx="293">
                  <c:v>20</c:v>
                </c:pt>
                <c:pt idx="294">
                  <c:v>20</c:v>
                </c:pt>
                <c:pt idx="295">
                  <c:v>9</c:v>
                </c:pt>
                <c:pt idx="296">
                  <c:v>9</c:v>
                </c:pt>
                <c:pt idx="297">
                  <c:v>0</c:v>
                </c:pt>
                <c:pt idx="298">
                  <c:v>5</c:v>
                </c:pt>
                <c:pt idx="299">
                  <c:v>19</c:v>
                </c:pt>
                <c:pt idx="300">
                  <c:v>15</c:v>
                </c:pt>
                <c:pt idx="301">
                  <c:v>0</c:v>
                </c:pt>
                <c:pt idx="302">
                  <c:v>0</c:v>
                </c:pt>
                <c:pt idx="303">
                  <c:v>4</c:v>
                </c:pt>
                <c:pt idx="304">
                  <c:v>8</c:v>
                </c:pt>
                <c:pt idx="305">
                  <c:v>0</c:v>
                </c:pt>
                <c:pt idx="306">
                  <c:v>0</c:v>
                </c:pt>
                <c:pt idx="307">
                  <c:v>14</c:v>
                </c:pt>
                <c:pt idx="308">
                  <c:v>18</c:v>
                </c:pt>
                <c:pt idx="309">
                  <c:v>19</c:v>
                </c:pt>
                <c:pt idx="310">
                  <c:v>4</c:v>
                </c:pt>
                <c:pt idx="311">
                  <c:v>20</c:v>
                </c:pt>
                <c:pt idx="312">
                  <c:v>0</c:v>
                </c:pt>
                <c:pt idx="313">
                  <c:v>22</c:v>
                </c:pt>
                <c:pt idx="314">
                  <c:v>17</c:v>
                </c:pt>
                <c:pt idx="315">
                  <c:v>22</c:v>
                </c:pt>
                <c:pt idx="316">
                  <c:v>22</c:v>
                </c:pt>
                <c:pt idx="317">
                  <c:v>20</c:v>
                </c:pt>
                <c:pt idx="318">
                  <c:v>20</c:v>
                </c:pt>
                <c:pt idx="319">
                  <c:v>9</c:v>
                </c:pt>
                <c:pt idx="320">
                  <c:v>9</c:v>
                </c:pt>
                <c:pt idx="321">
                  <c:v>0</c:v>
                </c:pt>
                <c:pt idx="322">
                  <c:v>5</c:v>
                </c:pt>
                <c:pt idx="323">
                  <c:v>19</c:v>
                </c:pt>
                <c:pt idx="324">
                  <c:v>15</c:v>
                </c:pt>
                <c:pt idx="325">
                  <c:v>0</c:v>
                </c:pt>
                <c:pt idx="326">
                  <c:v>0</c:v>
                </c:pt>
                <c:pt idx="327">
                  <c:v>4</c:v>
                </c:pt>
                <c:pt idx="328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21-45F8-B94D-92E2275C4EAC}"/>
            </c:ext>
          </c:extLst>
        </c:ser>
        <c:ser>
          <c:idx val="3"/>
          <c:order val="2"/>
          <c:tx>
            <c:v>VUS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'Position and CADD Score Table'!$B$486:$B$815</c:f>
              <c:numCache>
                <c:formatCode>General</c:formatCode>
                <c:ptCount val="330"/>
                <c:pt idx="0">
                  <c:v>415</c:v>
                </c:pt>
                <c:pt idx="1">
                  <c:v>404</c:v>
                </c:pt>
                <c:pt idx="2">
                  <c:v>404</c:v>
                </c:pt>
                <c:pt idx="3">
                  <c:v>386</c:v>
                </c:pt>
                <c:pt idx="4">
                  <c:v>386</c:v>
                </c:pt>
                <c:pt idx="5">
                  <c:v>386</c:v>
                </c:pt>
                <c:pt idx="6">
                  <c:v>386</c:v>
                </c:pt>
                <c:pt idx="7">
                  <c:v>386</c:v>
                </c:pt>
                <c:pt idx="8">
                  <c:v>380</c:v>
                </c:pt>
                <c:pt idx="9">
                  <c:v>374</c:v>
                </c:pt>
                <c:pt idx="10">
                  <c:v>359</c:v>
                </c:pt>
                <c:pt idx="11">
                  <c:v>357</c:v>
                </c:pt>
                <c:pt idx="12">
                  <c:v>357</c:v>
                </c:pt>
                <c:pt idx="13">
                  <c:v>354</c:v>
                </c:pt>
                <c:pt idx="14">
                  <c:v>350</c:v>
                </c:pt>
                <c:pt idx="15">
                  <c:v>333</c:v>
                </c:pt>
                <c:pt idx="16">
                  <c:v>331</c:v>
                </c:pt>
                <c:pt idx="17">
                  <c:v>331</c:v>
                </c:pt>
                <c:pt idx="18">
                  <c:v>326</c:v>
                </c:pt>
                <c:pt idx="19">
                  <c:v>326</c:v>
                </c:pt>
                <c:pt idx="20">
                  <c:v>314</c:v>
                </c:pt>
                <c:pt idx="21">
                  <c:v>297</c:v>
                </c:pt>
                <c:pt idx="22">
                  <c:v>297</c:v>
                </c:pt>
                <c:pt idx="23">
                  <c:v>294</c:v>
                </c:pt>
                <c:pt idx="24">
                  <c:v>292</c:v>
                </c:pt>
                <c:pt idx="25">
                  <c:v>287</c:v>
                </c:pt>
                <c:pt idx="26">
                  <c:v>283</c:v>
                </c:pt>
                <c:pt idx="27">
                  <c:v>282</c:v>
                </c:pt>
                <c:pt idx="28">
                  <c:v>279</c:v>
                </c:pt>
                <c:pt idx="29">
                  <c:v>265</c:v>
                </c:pt>
                <c:pt idx="30">
                  <c:v>234</c:v>
                </c:pt>
                <c:pt idx="31">
                  <c:v>234</c:v>
                </c:pt>
                <c:pt idx="32">
                  <c:v>226</c:v>
                </c:pt>
                <c:pt idx="33">
                  <c:v>209</c:v>
                </c:pt>
                <c:pt idx="34">
                  <c:v>198</c:v>
                </c:pt>
                <c:pt idx="35">
                  <c:v>196</c:v>
                </c:pt>
                <c:pt idx="36">
                  <c:v>185</c:v>
                </c:pt>
                <c:pt idx="37">
                  <c:v>166</c:v>
                </c:pt>
                <c:pt idx="38">
                  <c:v>166</c:v>
                </c:pt>
                <c:pt idx="39">
                  <c:v>153</c:v>
                </c:pt>
                <c:pt idx="40">
                  <c:v>152</c:v>
                </c:pt>
                <c:pt idx="41">
                  <c:v>146</c:v>
                </c:pt>
                <c:pt idx="42">
                  <c:v>132</c:v>
                </c:pt>
                <c:pt idx="43">
                  <c:v>116</c:v>
                </c:pt>
                <c:pt idx="44">
                  <c:v>113</c:v>
                </c:pt>
                <c:pt idx="45">
                  <c:v>112</c:v>
                </c:pt>
                <c:pt idx="46">
                  <c:v>112</c:v>
                </c:pt>
                <c:pt idx="47">
                  <c:v>111</c:v>
                </c:pt>
                <c:pt idx="48">
                  <c:v>100</c:v>
                </c:pt>
                <c:pt idx="49">
                  <c:v>84</c:v>
                </c:pt>
                <c:pt idx="50">
                  <c:v>81</c:v>
                </c:pt>
                <c:pt idx="51">
                  <c:v>79</c:v>
                </c:pt>
                <c:pt idx="52">
                  <c:v>71</c:v>
                </c:pt>
                <c:pt idx="53">
                  <c:v>69</c:v>
                </c:pt>
                <c:pt idx="54">
                  <c:v>69</c:v>
                </c:pt>
                <c:pt idx="55">
                  <c:v>58</c:v>
                </c:pt>
                <c:pt idx="56">
                  <c:v>58</c:v>
                </c:pt>
                <c:pt idx="57">
                  <c:v>39</c:v>
                </c:pt>
                <c:pt idx="58">
                  <c:v>38</c:v>
                </c:pt>
                <c:pt idx="59">
                  <c:v>34</c:v>
                </c:pt>
                <c:pt idx="60">
                  <c:v>27</c:v>
                </c:pt>
                <c:pt idx="61">
                  <c:v>25</c:v>
                </c:pt>
                <c:pt idx="62">
                  <c:v>14</c:v>
                </c:pt>
                <c:pt idx="63">
                  <c:v>354</c:v>
                </c:pt>
                <c:pt idx="64">
                  <c:v>350</c:v>
                </c:pt>
                <c:pt idx="65">
                  <c:v>333</c:v>
                </c:pt>
                <c:pt idx="66">
                  <c:v>331</c:v>
                </c:pt>
                <c:pt idx="67">
                  <c:v>331</c:v>
                </c:pt>
                <c:pt idx="68">
                  <c:v>326</c:v>
                </c:pt>
                <c:pt idx="69">
                  <c:v>326</c:v>
                </c:pt>
                <c:pt idx="70">
                  <c:v>314</c:v>
                </c:pt>
                <c:pt idx="71">
                  <c:v>297</c:v>
                </c:pt>
                <c:pt idx="72">
                  <c:v>297</c:v>
                </c:pt>
                <c:pt idx="73">
                  <c:v>294</c:v>
                </c:pt>
                <c:pt idx="74">
                  <c:v>292</c:v>
                </c:pt>
                <c:pt idx="75">
                  <c:v>287</c:v>
                </c:pt>
                <c:pt idx="76">
                  <c:v>283</c:v>
                </c:pt>
                <c:pt idx="77">
                  <c:v>282</c:v>
                </c:pt>
                <c:pt idx="78">
                  <c:v>279</c:v>
                </c:pt>
                <c:pt idx="79">
                  <c:v>265</c:v>
                </c:pt>
                <c:pt idx="80">
                  <c:v>234</c:v>
                </c:pt>
                <c:pt idx="81">
                  <c:v>234</c:v>
                </c:pt>
                <c:pt idx="82">
                  <c:v>226</c:v>
                </c:pt>
                <c:pt idx="83">
                  <c:v>209</c:v>
                </c:pt>
                <c:pt idx="84">
                  <c:v>198</c:v>
                </c:pt>
                <c:pt idx="85">
                  <c:v>196</c:v>
                </c:pt>
                <c:pt idx="86">
                  <c:v>185</c:v>
                </c:pt>
                <c:pt idx="87">
                  <c:v>166</c:v>
                </c:pt>
                <c:pt idx="88">
                  <c:v>166</c:v>
                </c:pt>
                <c:pt idx="89">
                  <c:v>153</c:v>
                </c:pt>
                <c:pt idx="90">
                  <c:v>152</c:v>
                </c:pt>
                <c:pt idx="91">
                  <c:v>146</c:v>
                </c:pt>
                <c:pt idx="92">
                  <c:v>132</c:v>
                </c:pt>
                <c:pt idx="93">
                  <c:v>116</c:v>
                </c:pt>
                <c:pt idx="94">
                  <c:v>113</c:v>
                </c:pt>
                <c:pt idx="95">
                  <c:v>112</c:v>
                </c:pt>
                <c:pt idx="96">
                  <c:v>112</c:v>
                </c:pt>
                <c:pt idx="97">
                  <c:v>111</c:v>
                </c:pt>
                <c:pt idx="98">
                  <c:v>100</c:v>
                </c:pt>
                <c:pt idx="99">
                  <c:v>84</c:v>
                </c:pt>
                <c:pt idx="100">
                  <c:v>81</c:v>
                </c:pt>
                <c:pt idx="101">
                  <c:v>79</c:v>
                </c:pt>
                <c:pt idx="102">
                  <c:v>71</c:v>
                </c:pt>
                <c:pt idx="103">
                  <c:v>69</c:v>
                </c:pt>
                <c:pt idx="104">
                  <c:v>69</c:v>
                </c:pt>
                <c:pt idx="105">
                  <c:v>58</c:v>
                </c:pt>
                <c:pt idx="106">
                  <c:v>58</c:v>
                </c:pt>
                <c:pt idx="107">
                  <c:v>39</c:v>
                </c:pt>
                <c:pt idx="108">
                  <c:v>38</c:v>
                </c:pt>
                <c:pt idx="109">
                  <c:v>34</c:v>
                </c:pt>
                <c:pt idx="110">
                  <c:v>27</c:v>
                </c:pt>
                <c:pt idx="111">
                  <c:v>25</c:v>
                </c:pt>
                <c:pt idx="112">
                  <c:v>14</c:v>
                </c:pt>
                <c:pt idx="113">
                  <c:v>415</c:v>
                </c:pt>
                <c:pt idx="114">
                  <c:v>404</c:v>
                </c:pt>
                <c:pt idx="115">
                  <c:v>404</c:v>
                </c:pt>
                <c:pt idx="116">
                  <c:v>386</c:v>
                </c:pt>
                <c:pt idx="117">
                  <c:v>386</c:v>
                </c:pt>
                <c:pt idx="118">
                  <c:v>386</c:v>
                </c:pt>
                <c:pt idx="119">
                  <c:v>386</c:v>
                </c:pt>
                <c:pt idx="120">
                  <c:v>386</c:v>
                </c:pt>
                <c:pt idx="121">
                  <c:v>380</c:v>
                </c:pt>
                <c:pt idx="122">
                  <c:v>374</c:v>
                </c:pt>
                <c:pt idx="123">
                  <c:v>359</c:v>
                </c:pt>
                <c:pt idx="124">
                  <c:v>357</c:v>
                </c:pt>
                <c:pt idx="125">
                  <c:v>357</c:v>
                </c:pt>
                <c:pt idx="126">
                  <c:v>354</c:v>
                </c:pt>
                <c:pt idx="127">
                  <c:v>350</c:v>
                </c:pt>
                <c:pt idx="128">
                  <c:v>333</c:v>
                </c:pt>
                <c:pt idx="129">
                  <c:v>331</c:v>
                </c:pt>
                <c:pt idx="130">
                  <c:v>331</c:v>
                </c:pt>
                <c:pt idx="131">
                  <c:v>326</c:v>
                </c:pt>
                <c:pt idx="132">
                  <c:v>326</c:v>
                </c:pt>
                <c:pt idx="133">
                  <c:v>314</c:v>
                </c:pt>
                <c:pt idx="134">
                  <c:v>297</c:v>
                </c:pt>
                <c:pt idx="135">
                  <c:v>297</c:v>
                </c:pt>
                <c:pt idx="136">
                  <c:v>294</c:v>
                </c:pt>
                <c:pt idx="137">
                  <c:v>292</c:v>
                </c:pt>
                <c:pt idx="138">
                  <c:v>287</c:v>
                </c:pt>
                <c:pt idx="139">
                  <c:v>283</c:v>
                </c:pt>
                <c:pt idx="140">
                  <c:v>282</c:v>
                </c:pt>
                <c:pt idx="141">
                  <c:v>279</c:v>
                </c:pt>
                <c:pt idx="142">
                  <c:v>265</c:v>
                </c:pt>
                <c:pt idx="143">
                  <c:v>234</c:v>
                </c:pt>
                <c:pt idx="144">
                  <c:v>234</c:v>
                </c:pt>
                <c:pt idx="145">
                  <c:v>226</c:v>
                </c:pt>
                <c:pt idx="146">
                  <c:v>209</c:v>
                </c:pt>
                <c:pt idx="147">
                  <c:v>198</c:v>
                </c:pt>
                <c:pt idx="148">
                  <c:v>196</c:v>
                </c:pt>
                <c:pt idx="149">
                  <c:v>185</c:v>
                </c:pt>
                <c:pt idx="150">
                  <c:v>166</c:v>
                </c:pt>
                <c:pt idx="151">
                  <c:v>166</c:v>
                </c:pt>
                <c:pt idx="152">
                  <c:v>153</c:v>
                </c:pt>
                <c:pt idx="153">
                  <c:v>152</c:v>
                </c:pt>
                <c:pt idx="154">
                  <c:v>146</c:v>
                </c:pt>
                <c:pt idx="155">
                  <c:v>132</c:v>
                </c:pt>
                <c:pt idx="156">
                  <c:v>116</c:v>
                </c:pt>
                <c:pt idx="157">
                  <c:v>113</c:v>
                </c:pt>
                <c:pt idx="158">
                  <c:v>112</c:v>
                </c:pt>
                <c:pt idx="159">
                  <c:v>112</c:v>
                </c:pt>
                <c:pt idx="160">
                  <c:v>111</c:v>
                </c:pt>
                <c:pt idx="161">
                  <c:v>100</c:v>
                </c:pt>
                <c:pt idx="162">
                  <c:v>84</c:v>
                </c:pt>
                <c:pt idx="163">
                  <c:v>81</c:v>
                </c:pt>
                <c:pt idx="164">
                  <c:v>79</c:v>
                </c:pt>
                <c:pt idx="165">
                  <c:v>71</c:v>
                </c:pt>
                <c:pt idx="166">
                  <c:v>69</c:v>
                </c:pt>
                <c:pt idx="167">
                  <c:v>69</c:v>
                </c:pt>
                <c:pt idx="168">
                  <c:v>58</c:v>
                </c:pt>
                <c:pt idx="169">
                  <c:v>58</c:v>
                </c:pt>
                <c:pt idx="170">
                  <c:v>39</c:v>
                </c:pt>
                <c:pt idx="171">
                  <c:v>38</c:v>
                </c:pt>
                <c:pt idx="172">
                  <c:v>34</c:v>
                </c:pt>
                <c:pt idx="173">
                  <c:v>27</c:v>
                </c:pt>
                <c:pt idx="174">
                  <c:v>25</c:v>
                </c:pt>
                <c:pt idx="175">
                  <c:v>14</c:v>
                </c:pt>
                <c:pt idx="176">
                  <c:v>415</c:v>
                </c:pt>
                <c:pt idx="177">
                  <c:v>404</c:v>
                </c:pt>
                <c:pt idx="178">
                  <c:v>404</c:v>
                </c:pt>
                <c:pt idx="179">
                  <c:v>386</c:v>
                </c:pt>
                <c:pt idx="180">
                  <c:v>386</c:v>
                </c:pt>
                <c:pt idx="181">
                  <c:v>386</c:v>
                </c:pt>
                <c:pt idx="182">
                  <c:v>386</c:v>
                </c:pt>
                <c:pt idx="183">
                  <c:v>386</c:v>
                </c:pt>
                <c:pt idx="184">
                  <c:v>380</c:v>
                </c:pt>
                <c:pt idx="185">
                  <c:v>374</c:v>
                </c:pt>
                <c:pt idx="186">
                  <c:v>359</c:v>
                </c:pt>
                <c:pt idx="187">
                  <c:v>357</c:v>
                </c:pt>
                <c:pt idx="188">
                  <c:v>357</c:v>
                </c:pt>
                <c:pt idx="189">
                  <c:v>354</c:v>
                </c:pt>
                <c:pt idx="190">
                  <c:v>350</c:v>
                </c:pt>
                <c:pt idx="191">
                  <c:v>333</c:v>
                </c:pt>
                <c:pt idx="192">
                  <c:v>331</c:v>
                </c:pt>
                <c:pt idx="193">
                  <c:v>331</c:v>
                </c:pt>
                <c:pt idx="194">
                  <c:v>326</c:v>
                </c:pt>
                <c:pt idx="195">
                  <c:v>326</c:v>
                </c:pt>
                <c:pt idx="196">
                  <c:v>314</c:v>
                </c:pt>
                <c:pt idx="197">
                  <c:v>297</c:v>
                </c:pt>
                <c:pt idx="198">
                  <c:v>297</c:v>
                </c:pt>
                <c:pt idx="199">
                  <c:v>294</c:v>
                </c:pt>
                <c:pt idx="200">
                  <c:v>292</c:v>
                </c:pt>
                <c:pt idx="201">
                  <c:v>287</c:v>
                </c:pt>
                <c:pt idx="202">
                  <c:v>283</c:v>
                </c:pt>
                <c:pt idx="203">
                  <c:v>282</c:v>
                </c:pt>
                <c:pt idx="204">
                  <c:v>279</c:v>
                </c:pt>
                <c:pt idx="205">
                  <c:v>265</c:v>
                </c:pt>
                <c:pt idx="206">
                  <c:v>234</c:v>
                </c:pt>
                <c:pt idx="207">
                  <c:v>234</c:v>
                </c:pt>
                <c:pt idx="208">
                  <c:v>226</c:v>
                </c:pt>
                <c:pt idx="209">
                  <c:v>209</c:v>
                </c:pt>
                <c:pt idx="210">
                  <c:v>198</c:v>
                </c:pt>
                <c:pt idx="211">
                  <c:v>196</c:v>
                </c:pt>
                <c:pt idx="212">
                  <c:v>185</c:v>
                </c:pt>
                <c:pt idx="213">
                  <c:v>166</c:v>
                </c:pt>
                <c:pt idx="214">
                  <c:v>166</c:v>
                </c:pt>
                <c:pt idx="215">
                  <c:v>153</c:v>
                </c:pt>
                <c:pt idx="216">
                  <c:v>152</c:v>
                </c:pt>
                <c:pt idx="217">
                  <c:v>146</c:v>
                </c:pt>
                <c:pt idx="218">
                  <c:v>132</c:v>
                </c:pt>
                <c:pt idx="219">
                  <c:v>116</c:v>
                </c:pt>
                <c:pt idx="220">
                  <c:v>113</c:v>
                </c:pt>
                <c:pt idx="221">
                  <c:v>112</c:v>
                </c:pt>
                <c:pt idx="222">
                  <c:v>112</c:v>
                </c:pt>
                <c:pt idx="223">
                  <c:v>111</c:v>
                </c:pt>
                <c:pt idx="224">
                  <c:v>100</c:v>
                </c:pt>
                <c:pt idx="225">
                  <c:v>84</c:v>
                </c:pt>
                <c:pt idx="226">
                  <c:v>81</c:v>
                </c:pt>
                <c:pt idx="227">
                  <c:v>79</c:v>
                </c:pt>
                <c:pt idx="228">
                  <c:v>71</c:v>
                </c:pt>
                <c:pt idx="229">
                  <c:v>69</c:v>
                </c:pt>
                <c:pt idx="230">
                  <c:v>69</c:v>
                </c:pt>
                <c:pt idx="231">
                  <c:v>58</c:v>
                </c:pt>
                <c:pt idx="232">
                  <c:v>58</c:v>
                </c:pt>
                <c:pt idx="233">
                  <c:v>39</c:v>
                </c:pt>
                <c:pt idx="234">
                  <c:v>38</c:v>
                </c:pt>
                <c:pt idx="235">
                  <c:v>34</c:v>
                </c:pt>
                <c:pt idx="236">
                  <c:v>27</c:v>
                </c:pt>
                <c:pt idx="237">
                  <c:v>25</c:v>
                </c:pt>
                <c:pt idx="238">
                  <c:v>14</c:v>
                </c:pt>
                <c:pt idx="239">
                  <c:v>411</c:v>
                </c:pt>
                <c:pt idx="240">
                  <c:v>400</c:v>
                </c:pt>
                <c:pt idx="241">
                  <c:v>400</c:v>
                </c:pt>
                <c:pt idx="242">
                  <c:v>382</c:v>
                </c:pt>
                <c:pt idx="243">
                  <c:v>382</c:v>
                </c:pt>
                <c:pt idx="244">
                  <c:v>382</c:v>
                </c:pt>
                <c:pt idx="245">
                  <c:v>382</c:v>
                </c:pt>
                <c:pt idx="246">
                  <c:v>382</c:v>
                </c:pt>
                <c:pt idx="247">
                  <c:v>376</c:v>
                </c:pt>
                <c:pt idx="248">
                  <c:v>370</c:v>
                </c:pt>
                <c:pt idx="249">
                  <c:v>354</c:v>
                </c:pt>
                <c:pt idx="250">
                  <c:v>350</c:v>
                </c:pt>
                <c:pt idx="251">
                  <c:v>333</c:v>
                </c:pt>
                <c:pt idx="252">
                  <c:v>331</c:v>
                </c:pt>
                <c:pt idx="253">
                  <c:v>331</c:v>
                </c:pt>
                <c:pt idx="254">
                  <c:v>326</c:v>
                </c:pt>
                <c:pt idx="255">
                  <c:v>326</c:v>
                </c:pt>
                <c:pt idx="256">
                  <c:v>314</c:v>
                </c:pt>
                <c:pt idx="257">
                  <c:v>297</c:v>
                </c:pt>
                <c:pt idx="258">
                  <c:v>297</c:v>
                </c:pt>
                <c:pt idx="259">
                  <c:v>294</c:v>
                </c:pt>
                <c:pt idx="260">
                  <c:v>292</c:v>
                </c:pt>
                <c:pt idx="261">
                  <c:v>287</c:v>
                </c:pt>
                <c:pt idx="262">
                  <c:v>283</c:v>
                </c:pt>
                <c:pt idx="263">
                  <c:v>282</c:v>
                </c:pt>
                <c:pt idx="264">
                  <c:v>279</c:v>
                </c:pt>
                <c:pt idx="265">
                  <c:v>265</c:v>
                </c:pt>
                <c:pt idx="266">
                  <c:v>234</c:v>
                </c:pt>
                <c:pt idx="267">
                  <c:v>234</c:v>
                </c:pt>
                <c:pt idx="268">
                  <c:v>226</c:v>
                </c:pt>
                <c:pt idx="269">
                  <c:v>209</c:v>
                </c:pt>
                <c:pt idx="270">
                  <c:v>198</c:v>
                </c:pt>
                <c:pt idx="271">
                  <c:v>196</c:v>
                </c:pt>
                <c:pt idx="272">
                  <c:v>185</c:v>
                </c:pt>
                <c:pt idx="273">
                  <c:v>166</c:v>
                </c:pt>
                <c:pt idx="274">
                  <c:v>166</c:v>
                </c:pt>
                <c:pt idx="275">
                  <c:v>153</c:v>
                </c:pt>
                <c:pt idx="276">
                  <c:v>152</c:v>
                </c:pt>
                <c:pt idx="277">
                  <c:v>146</c:v>
                </c:pt>
                <c:pt idx="278">
                  <c:v>132</c:v>
                </c:pt>
                <c:pt idx="279">
                  <c:v>116</c:v>
                </c:pt>
                <c:pt idx="280">
                  <c:v>113</c:v>
                </c:pt>
                <c:pt idx="281">
                  <c:v>112</c:v>
                </c:pt>
                <c:pt idx="282">
                  <c:v>112</c:v>
                </c:pt>
                <c:pt idx="283">
                  <c:v>111</c:v>
                </c:pt>
                <c:pt idx="284">
                  <c:v>100</c:v>
                </c:pt>
                <c:pt idx="285">
                  <c:v>84</c:v>
                </c:pt>
                <c:pt idx="286">
                  <c:v>81</c:v>
                </c:pt>
                <c:pt idx="287">
                  <c:v>79</c:v>
                </c:pt>
                <c:pt idx="288">
                  <c:v>71</c:v>
                </c:pt>
                <c:pt idx="289">
                  <c:v>69</c:v>
                </c:pt>
                <c:pt idx="290">
                  <c:v>69</c:v>
                </c:pt>
                <c:pt idx="291">
                  <c:v>58</c:v>
                </c:pt>
                <c:pt idx="292">
                  <c:v>58</c:v>
                </c:pt>
                <c:pt idx="293">
                  <c:v>39</c:v>
                </c:pt>
                <c:pt idx="294">
                  <c:v>38</c:v>
                </c:pt>
                <c:pt idx="295">
                  <c:v>34</c:v>
                </c:pt>
                <c:pt idx="296">
                  <c:v>27</c:v>
                </c:pt>
                <c:pt idx="297">
                  <c:v>25</c:v>
                </c:pt>
                <c:pt idx="298">
                  <c:v>14</c:v>
                </c:pt>
                <c:pt idx="299">
                  <c:v>224</c:v>
                </c:pt>
                <c:pt idx="300">
                  <c:v>213</c:v>
                </c:pt>
                <c:pt idx="301">
                  <c:v>213</c:v>
                </c:pt>
                <c:pt idx="302">
                  <c:v>196</c:v>
                </c:pt>
                <c:pt idx="303">
                  <c:v>185</c:v>
                </c:pt>
                <c:pt idx="304">
                  <c:v>166</c:v>
                </c:pt>
                <c:pt idx="305">
                  <c:v>166</c:v>
                </c:pt>
                <c:pt idx="306">
                  <c:v>153</c:v>
                </c:pt>
                <c:pt idx="307">
                  <c:v>152</c:v>
                </c:pt>
                <c:pt idx="308">
                  <c:v>146</c:v>
                </c:pt>
                <c:pt idx="309">
                  <c:v>132</c:v>
                </c:pt>
                <c:pt idx="310">
                  <c:v>116</c:v>
                </c:pt>
                <c:pt idx="311">
                  <c:v>113</c:v>
                </c:pt>
                <c:pt idx="312">
                  <c:v>112</c:v>
                </c:pt>
                <c:pt idx="313">
                  <c:v>112</c:v>
                </c:pt>
                <c:pt idx="314">
                  <c:v>111</c:v>
                </c:pt>
                <c:pt idx="315">
                  <c:v>100</c:v>
                </c:pt>
                <c:pt idx="316">
                  <c:v>84</c:v>
                </c:pt>
                <c:pt idx="317">
                  <c:v>81</c:v>
                </c:pt>
                <c:pt idx="318">
                  <c:v>79</c:v>
                </c:pt>
                <c:pt idx="319">
                  <c:v>71</c:v>
                </c:pt>
                <c:pt idx="320">
                  <c:v>69</c:v>
                </c:pt>
                <c:pt idx="321">
                  <c:v>69</c:v>
                </c:pt>
                <c:pt idx="322">
                  <c:v>58</c:v>
                </c:pt>
                <c:pt idx="323">
                  <c:v>58</c:v>
                </c:pt>
                <c:pt idx="324">
                  <c:v>39</c:v>
                </c:pt>
                <c:pt idx="325">
                  <c:v>38</c:v>
                </c:pt>
                <c:pt idx="326">
                  <c:v>34</c:v>
                </c:pt>
                <c:pt idx="327">
                  <c:v>27</c:v>
                </c:pt>
                <c:pt idx="328">
                  <c:v>25</c:v>
                </c:pt>
                <c:pt idx="329">
                  <c:v>14</c:v>
                </c:pt>
              </c:numCache>
            </c:numRef>
          </c:xVal>
          <c:yVal>
            <c:numRef>
              <c:f>'Position and CADD Score Table'!$C$486:$C$815</c:f>
              <c:numCache>
                <c:formatCode>General</c:formatCode>
                <c:ptCount val="330"/>
                <c:pt idx="0">
                  <c:v>28</c:v>
                </c:pt>
                <c:pt idx="1">
                  <c:v>7</c:v>
                </c:pt>
                <c:pt idx="2">
                  <c:v>15</c:v>
                </c:pt>
                <c:pt idx="3">
                  <c:v>12</c:v>
                </c:pt>
                <c:pt idx="4">
                  <c:v>16</c:v>
                </c:pt>
                <c:pt idx="5">
                  <c:v>16</c:v>
                </c:pt>
                <c:pt idx="6">
                  <c:v>17</c:v>
                </c:pt>
                <c:pt idx="7">
                  <c:v>16</c:v>
                </c:pt>
                <c:pt idx="8">
                  <c:v>1</c:v>
                </c:pt>
                <c:pt idx="9">
                  <c:v>3</c:v>
                </c:pt>
                <c:pt idx="10">
                  <c:v>24</c:v>
                </c:pt>
                <c:pt idx="11">
                  <c:v>0</c:v>
                </c:pt>
                <c:pt idx="12">
                  <c:v>0</c:v>
                </c:pt>
                <c:pt idx="13">
                  <c:v>25</c:v>
                </c:pt>
                <c:pt idx="14">
                  <c:v>15</c:v>
                </c:pt>
                <c:pt idx="15">
                  <c:v>20</c:v>
                </c:pt>
                <c:pt idx="16">
                  <c:v>26</c:v>
                </c:pt>
                <c:pt idx="17">
                  <c:v>25</c:v>
                </c:pt>
                <c:pt idx="18">
                  <c:v>0</c:v>
                </c:pt>
                <c:pt idx="19">
                  <c:v>0</c:v>
                </c:pt>
                <c:pt idx="20">
                  <c:v>24</c:v>
                </c:pt>
                <c:pt idx="21">
                  <c:v>1</c:v>
                </c:pt>
                <c:pt idx="22">
                  <c:v>0</c:v>
                </c:pt>
                <c:pt idx="23">
                  <c:v>14</c:v>
                </c:pt>
                <c:pt idx="24">
                  <c:v>4</c:v>
                </c:pt>
                <c:pt idx="25">
                  <c:v>24</c:v>
                </c:pt>
                <c:pt idx="26">
                  <c:v>22</c:v>
                </c:pt>
                <c:pt idx="27">
                  <c:v>22</c:v>
                </c:pt>
                <c:pt idx="28">
                  <c:v>24</c:v>
                </c:pt>
                <c:pt idx="29">
                  <c:v>1</c:v>
                </c:pt>
                <c:pt idx="30">
                  <c:v>23</c:v>
                </c:pt>
                <c:pt idx="31">
                  <c:v>20</c:v>
                </c:pt>
                <c:pt idx="32">
                  <c:v>0</c:v>
                </c:pt>
                <c:pt idx="33">
                  <c:v>23</c:v>
                </c:pt>
                <c:pt idx="34">
                  <c:v>3</c:v>
                </c:pt>
                <c:pt idx="35">
                  <c:v>22</c:v>
                </c:pt>
                <c:pt idx="36">
                  <c:v>19</c:v>
                </c:pt>
                <c:pt idx="37">
                  <c:v>17</c:v>
                </c:pt>
                <c:pt idx="38">
                  <c:v>21</c:v>
                </c:pt>
                <c:pt idx="39">
                  <c:v>18</c:v>
                </c:pt>
                <c:pt idx="40">
                  <c:v>14</c:v>
                </c:pt>
                <c:pt idx="41">
                  <c:v>0</c:v>
                </c:pt>
                <c:pt idx="42">
                  <c:v>14</c:v>
                </c:pt>
                <c:pt idx="43">
                  <c:v>21</c:v>
                </c:pt>
                <c:pt idx="44">
                  <c:v>18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25</c:v>
                </c:pt>
                <c:pt idx="49">
                  <c:v>24</c:v>
                </c:pt>
                <c:pt idx="50">
                  <c:v>17</c:v>
                </c:pt>
                <c:pt idx="51">
                  <c:v>25</c:v>
                </c:pt>
                <c:pt idx="52">
                  <c:v>13</c:v>
                </c:pt>
                <c:pt idx="53">
                  <c:v>23</c:v>
                </c:pt>
                <c:pt idx="54">
                  <c:v>23</c:v>
                </c:pt>
                <c:pt idx="55">
                  <c:v>3</c:v>
                </c:pt>
                <c:pt idx="56">
                  <c:v>13</c:v>
                </c:pt>
                <c:pt idx="57">
                  <c:v>0</c:v>
                </c:pt>
                <c:pt idx="58">
                  <c:v>16</c:v>
                </c:pt>
                <c:pt idx="59">
                  <c:v>11</c:v>
                </c:pt>
                <c:pt idx="60">
                  <c:v>3</c:v>
                </c:pt>
                <c:pt idx="61">
                  <c:v>2</c:v>
                </c:pt>
                <c:pt idx="62">
                  <c:v>21</c:v>
                </c:pt>
                <c:pt idx="63">
                  <c:v>25</c:v>
                </c:pt>
                <c:pt idx="64">
                  <c:v>15</c:v>
                </c:pt>
                <c:pt idx="65">
                  <c:v>20</c:v>
                </c:pt>
                <c:pt idx="66">
                  <c:v>26</c:v>
                </c:pt>
                <c:pt idx="67">
                  <c:v>25</c:v>
                </c:pt>
                <c:pt idx="68">
                  <c:v>0</c:v>
                </c:pt>
                <c:pt idx="69">
                  <c:v>0</c:v>
                </c:pt>
                <c:pt idx="70">
                  <c:v>24</c:v>
                </c:pt>
                <c:pt idx="71">
                  <c:v>1</c:v>
                </c:pt>
                <c:pt idx="72">
                  <c:v>0</c:v>
                </c:pt>
                <c:pt idx="73">
                  <c:v>14</c:v>
                </c:pt>
                <c:pt idx="74">
                  <c:v>4</c:v>
                </c:pt>
                <c:pt idx="75">
                  <c:v>24</c:v>
                </c:pt>
                <c:pt idx="76">
                  <c:v>22</c:v>
                </c:pt>
                <c:pt idx="77">
                  <c:v>22</c:v>
                </c:pt>
                <c:pt idx="78">
                  <c:v>24</c:v>
                </c:pt>
                <c:pt idx="79">
                  <c:v>1</c:v>
                </c:pt>
                <c:pt idx="80">
                  <c:v>23</c:v>
                </c:pt>
                <c:pt idx="81">
                  <c:v>20</c:v>
                </c:pt>
                <c:pt idx="82">
                  <c:v>0</c:v>
                </c:pt>
                <c:pt idx="83">
                  <c:v>23</c:v>
                </c:pt>
                <c:pt idx="84">
                  <c:v>3</c:v>
                </c:pt>
                <c:pt idx="85">
                  <c:v>22</c:v>
                </c:pt>
                <c:pt idx="86">
                  <c:v>19</c:v>
                </c:pt>
                <c:pt idx="87">
                  <c:v>17</c:v>
                </c:pt>
                <c:pt idx="88">
                  <c:v>21</c:v>
                </c:pt>
                <c:pt idx="89">
                  <c:v>18</c:v>
                </c:pt>
                <c:pt idx="90">
                  <c:v>14</c:v>
                </c:pt>
                <c:pt idx="91">
                  <c:v>0</c:v>
                </c:pt>
                <c:pt idx="92">
                  <c:v>14</c:v>
                </c:pt>
                <c:pt idx="93">
                  <c:v>21</c:v>
                </c:pt>
                <c:pt idx="94">
                  <c:v>18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25</c:v>
                </c:pt>
                <c:pt idx="99">
                  <c:v>24</c:v>
                </c:pt>
                <c:pt idx="100">
                  <c:v>17</c:v>
                </c:pt>
                <c:pt idx="101">
                  <c:v>25</c:v>
                </c:pt>
                <c:pt idx="102">
                  <c:v>13</c:v>
                </c:pt>
                <c:pt idx="103">
                  <c:v>23</c:v>
                </c:pt>
                <c:pt idx="104">
                  <c:v>23</c:v>
                </c:pt>
                <c:pt idx="105">
                  <c:v>3</c:v>
                </c:pt>
                <c:pt idx="106">
                  <c:v>13</c:v>
                </c:pt>
                <c:pt idx="107">
                  <c:v>0</c:v>
                </c:pt>
                <c:pt idx="108">
                  <c:v>16</c:v>
                </c:pt>
                <c:pt idx="109">
                  <c:v>11</c:v>
                </c:pt>
                <c:pt idx="110">
                  <c:v>3</c:v>
                </c:pt>
                <c:pt idx="111">
                  <c:v>2</c:v>
                </c:pt>
                <c:pt idx="112">
                  <c:v>21</c:v>
                </c:pt>
                <c:pt idx="113">
                  <c:v>28</c:v>
                </c:pt>
                <c:pt idx="114">
                  <c:v>7</c:v>
                </c:pt>
                <c:pt idx="115">
                  <c:v>15</c:v>
                </c:pt>
                <c:pt idx="116">
                  <c:v>12</c:v>
                </c:pt>
                <c:pt idx="117">
                  <c:v>16</c:v>
                </c:pt>
                <c:pt idx="118">
                  <c:v>16</c:v>
                </c:pt>
                <c:pt idx="119">
                  <c:v>17</c:v>
                </c:pt>
                <c:pt idx="120">
                  <c:v>16</c:v>
                </c:pt>
                <c:pt idx="121">
                  <c:v>1</c:v>
                </c:pt>
                <c:pt idx="122">
                  <c:v>3</c:v>
                </c:pt>
                <c:pt idx="123">
                  <c:v>24</c:v>
                </c:pt>
                <c:pt idx="124">
                  <c:v>0</c:v>
                </c:pt>
                <c:pt idx="125">
                  <c:v>0</c:v>
                </c:pt>
                <c:pt idx="126">
                  <c:v>25</c:v>
                </c:pt>
                <c:pt idx="127">
                  <c:v>15</c:v>
                </c:pt>
                <c:pt idx="128">
                  <c:v>20</c:v>
                </c:pt>
                <c:pt idx="129">
                  <c:v>26</c:v>
                </c:pt>
                <c:pt idx="130">
                  <c:v>25</c:v>
                </c:pt>
                <c:pt idx="131">
                  <c:v>0</c:v>
                </c:pt>
                <c:pt idx="132">
                  <c:v>0</c:v>
                </c:pt>
                <c:pt idx="133">
                  <c:v>24</c:v>
                </c:pt>
                <c:pt idx="134">
                  <c:v>1</c:v>
                </c:pt>
                <c:pt idx="135">
                  <c:v>0</c:v>
                </c:pt>
                <c:pt idx="136">
                  <c:v>14</c:v>
                </c:pt>
                <c:pt idx="137">
                  <c:v>4</c:v>
                </c:pt>
                <c:pt idx="138">
                  <c:v>24</c:v>
                </c:pt>
                <c:pt idx="139">
                  <c:v>22</c:v>
                </c:pt>
                <c:pt idx="140">
                  <c:v>22</c:v>
                </c:pt>
                <c:pt idx="141">
                  <c:v>24</c:v>
                </c:pt>
                <c:pt idx="142">
                  <c:v>1</c:v>
                </c:pt>
                <c:pt idx="143">
                  <c:v>23</c:v>
                </c:pt>
                <c:pt idx="144">
                  <c:v>20</c:v>
                </c:pt>
                <c:pt idx="145">
                  <c:v>0</c:v>
                </c:pt>
                <c:pt idx="146">
                  <c:v>23</c:v>
                </c:pt>
                <c:pt idx="147">
                  <c:v>3</c:v>
                </c:pt>
                <c:pt idx="148">
                  <c:v>22</c:v>
                </c:pt>
                <c:pt idx="149">
                  <c:v>19</c:v>
                </c:pt>
                <c:pt idx="150">
                  <c:v>17</c:v>
                </c:pt>
                <c:pt idx="151">
                  <c:v>21</c:v>
                </c:pt>
                <c:pt idx="152">
                  <c:v>18</c:v>
                </c:pt>
                <c:pt idx="153">
                  <c:v>14</c:v>
                </c:pt>
                <c:pt idx="154">
                  <c:v>0</c:v>
                </c:pt>
                <c:pt idx="155">
                  <c:v>14</c:v>
                </c:pt>
                <c:pt idx="156">
                  <c:v>21</c:v>
                </c:pt>
                <c:pt idx="157">
                  <c:v>18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25</c:v>
                </c:pt>
                <c:pt idx="162">
                  <c:v>24</c:v>
                </c:pt>
                <c:pt idx="163">
                  <c:v>17</c:v>
                </c:pt>
                <c:pt idx="164">
                  <c:v>25</c:v>
                </c:pt>
                <c:pt idx="165">
                  <c:v>13</c:v>
                </c:pt>
                <c:pt idx="166">
                  <c:v>23</c:v>
                </c:pt>
                <c:pt idx="167">
                  <c:v>23</c:v>
                </c:pt>
                <c:pt idx="168">
                  <c:v>3</c:v>
                </c:pt>
                <c:pt idx="169">
                  <c:v>13</c:v>
                </c:pt>
                <c:pt idx="170">
                  <c:v>0</c:v>
                </c:pt>
                <c:pt idx="171">
                  <c:v>16</c:v>
                </c:pt>
                <c:pt idx="172">
                  <c:v>11</c:v>
                </c:pt>
                <c:pt idx="173">
                  <c:v>3</c:v>
                </c:pt>
                <c:pt idx="174">
                  <c:v>2</c:v>
                </c:pt>
                <c:pt idx="175">
                  <c:v>21</c:v>
                </c:pt>
                <c:pt idx="176">
                  <c:v>28</c:v>
                </c:pt>
                <c:pt idx="177">
                  <c:v>7</c:v>
                </c:pt>
                <c:pt idx="178">
                  <c:v>15</c:v>
                </c:pt>
                <c:pt idx="179">
                  <c:v>12</c:v>
                </c:pt>
                <c:pt idx="180">
                  <c:v>16</c:v>
                </c:pt>
                <c:pt idx="181">
                  <c:v>16</c:v>
                </c:pt>
                <c:pt idx="182">
                  <c:v>17</c:v>
                </c:pt>
                <c:pt idx="183">
                  <c:v>16</c:v>
                </c:pt>
                <c:pt idx="184">
                  <c:v>1</c:v>
                </c:pt>
                <c:pt idx="185">
                  <c:v>3</c:v>
                </c:pt>
                <c:pt idx="186">
                  <c:v>24</c:v>
                </c:pt>
                <c:pt idx="187">
                  <c:v>0</c:v>
                </c:pt>
                <c:pt idx="188">
                  <c:v>0</c:v>
                </c:pt>
                <c:pt idx="189">
                  <c:v>25</c:v>
                </c:pt>
                <c:pt idx="190">
                  <c:v>15</c:v>
                </c:pt>
                <c:pt idx="191">
                  <c:v>20</c:v>
                </c:pt>
                <c:pt idx="192">
                  <c:v>26</c:v>
                </c:pt>
                <c:pt idx="193">
                  <c:v>25</c:v>
                </c:pt>
                <c:pt idx="194">
                  <c:v>0</c:v>
                </c:pt>
                <c:pt idx="195">
                  <c:v>0</c:v>
                </c:pt>
                <c:pt idx="196">
                  <c:v>24</c:v>
                </c:pt>
                <c:pt idx="197">
                  <c:v>1</c:v>
                </c:pt>
                <c:pt idx="198">
                  <c:v>0</c:v>
                </c:pt>
                <c:pt idx="199">
                  <c:v>14</c:v>
                </c:pt>
                <c:pt idx="200">
                  <c:v>4</c:v>
                </c:pt>
                <c:pt idx="201">
                  <c:v>24</c:v>
                </c:pt>
                <c:pt idx="202">
                  <c:v>22</c:v>
                </c:pt>
                <c:pt idx="203">
                  <c:v>22</c:v>
                </c:pt>
                <c:pt idx="204">
                  <c:v>24</c:v>
                </c:pt>
                <c:pt idx="205">
                  <c:v>1</c:v>
                </c:pt>
                <c:pt idx="206">
                  <c:v>23</c:v>
                </c:pt>
                <c:pt idx="207">
                  <c:v>20</c:v>
                </c:pt>
                <c:pt idx="208">
                  <c:v>0</c:v>
                </c:pt>
                <c:pt idx="209">
                  <c:v>23</c:v>
                </c:pt>
                <c:pt idx="210">
                  <c:v>3</c:v>
                </c:pt>
                <c:pt idx="211">
                  <c:v>22</c:v>
                </c:pt>
                <c:pt idx="212">
                  <c:v>19</c:v>
                </c:pt>
                <c:pt idx="213">
                  <c:v>17</c:v>
                </c:pt>
                <c:pt idx="214">
                  <c:v>21</c:v>
                </c:pt>
                <c:pt idx="215">
                  <c:v>18</c:v>
                </c:pt>
                <c:pt idx="216">
                  <c:v>14</c:v>
                </c:pt>
                <c:pt idx="217">
                  <c:v>0</c:v>
                </c:pt>
                <c:pt idx="218">
                  <c:v>14</c:v>
                </c:pt>
                <c:pt idx="219">
                  <c:v>21</c:v>
                </c:pt>
                <c:pt idx="220">
                  <c:v>18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25</c:v>
                </c:pt>
                <c:pt idx="225">
                  <c:v>24</c:v>
                </c:pt>
                <c:pt idx="226">
                  <c:v>17</c:v>
                </c:pt>
                <c:pt idx="227">
                  <c:v>25</c:v>
                </c:pt>
                <c:pt idx="228">
                  <c:v>13</c:v>
                </c:pt>
                <c:pt idx="229">
                  <c:v>23</c:v>
                </c:pt>
                <c:pt idx="230">
                  <c:v>23</c:v>
                </c:pt>
                <c:pt idx="231">
                  <c:v>3</c:v>
                </c:pt>
                <c:pt idx="232">
                  <c:v>13</c:v>
                </c:pt>
                <c:pt idx="233">
                  <c:v>0</c:v>
                </c:pt>
                <c:pt idx="234">
                  <c:v>16</c:v>
                </c:pt>
                <c:pt idx="235">
                  <c:v>11</c:v>
                </c:pt>
                <c:pt idx="236">
                  <c:v>3</c:v>
                </c:pt>
                <c:pt idx="237">
                  <c:v>2</c:v>
                </c:pt>
                <c:pt idx="238">
                  <c:v>21</c:v>
                </c:pt>
                <c:pt idx="239">
                  <c:v>28</c:v>
                </c:pt>
                <c:pt idx="240">
                  <c:v>7</c:v>
                </c:pt>
                <c:pt idx="241">
                  <c:v>15</c:v>
                </c:pt>
                <c:pt idx="242">
                  <c:v>12</c:v>
                </c:pt>
                <c:pt idx="243">
                  <c:v>16</c:v>
                </c:pt>
                <c:pt idx="244">
                  <c:v>16</c:v>
                </c:pt>
                <c:pt idx="245">
                  <c:v>17</c:v>
                </c:pt>
                <c:pt idx="246">
                  <c:v>16</c:v>
                </c:pt>
                <c:pt idx="247">
                  <c:v>1</c:v>
                </c:pt>
                <c:pt idx="248">
                  <c:v>3</c:v>
                </c:pt>
                <c:pt idx="249">
                  <c:v>25</c:v>
                </c:pt>
                <c:pt idx="250">
                  <c:v>15</c:v>
                </c:pt>
                <c:pt idx="251">
                  <c:v>20</c:v>
                </c:pt>
                <c:pt idx="252">
                  <c:v>26</c:v>
                </c:pt>
                <c:pt idx="253">
                  <c:v>25</c:v>
                </c:pt>
                <c:pt idx="254">
                  <c:v>0</c:v>
                </c:pt>
                <c:pt idx="255">
                  <c:v>0</c:v>
                </c:pt>
                <c:pt idx="256">
                  <c:v>24</c:v>
                </c:pt>
                <c:pt idx="257">
                  <c:v>1</c:v>
                </c:pt>
                <c:pt idx="258">
                  <c:v>0</c:v>
                </c:pt>
                <c:pt idx="259">
                  <c:v>14</c:v>
                </c:pt>
                <c:pt idx="260">
                  <c:v>4</c:v>
                </c:pt>
                <c:pt idx="261">
                  <c:v>24</c:v>
                </c:pt>
                <c:pt idx="262">
                  <c:v>22</c:v>
                </c:pt>
                <c:pt idx="263">
                  <c:v>22</c:v>
                </c:pt>
                <c:pt idx="264">
                  <c:v>24</c:v>
                </c:pt>
                <c:pt idx="265">
                  <c:v>1</c:v>
                </c:pt>
                <c:pt idx="266">
                  <c:v>23</c:v>
                </c:pt>
                <c:pt idx="267">
                  <c:v>20</c:v>
                </c:pt>
                <c:pt idx="268">
                  <c:v>0</c:v>
                </c:pt>
                <c:pt idx="269">
                  <c:v>23</c:v>
                </c:pt>
                <c:pt idx="270">
                  <c:v>3</c:v>
                </c:pt>
                <c:pt idx="271">
                  <c:v>22</c:v>
                </c:pt>
                <c:pt idx="272">
                  <c:v>19</c:v>
                </c:pt>
                <c:pt idx="273">
                  <c:v>17</c:v>
                </c:pt>
                <c:pt idx="274">
                  <c:v>21</c:v>
                </c:pt>
                <c:pt idx="275">
                  <c:v>18</c:v>
                </c:pt>
                <c:pt idx="276">
                  <c:v>14</c:v>
                </c:pt>
                <c:pt idx="277">
                  <c:v>0</c:v>
                </c:pt>
                <c:pt idx="278">
                  <c:v>14</c:v>
                </c:pt>
                <c:pt idx="279">
                  <c:v>21</c:v>
                </c:pt>
                <c:pt idx="280">
                  <c:v>18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25</c:v>
                </c:pt>
                <c:pt idx="285">
                  <c:v>24</c:v>
                </c:pt>
                <c:pt idx="286">
                  <c:v>17</c:v>
                </c:pt>
                <c:pt idx="287">
                  <c:v>25</c:v>
                </c:pt>
                <c:pt idx="288">
                  <c:v>13</c:v>
                </c:pt>
                <c:pt idx="289">
                  <c:v>23</c:v>
                </c:pt>
                <c:pt idx="290">
                  <c:v>23</c:v>
                </c:pt>
                <c:pt idx="291">
                  <c:v>3</c:v>
                </c:pt>
                <c:pt idx="292">
                  <c:v>13</c:v>
                </c:pt>
                <c:pt idx="293">
                  <c:v>0</c:v>
                </c:pt>
                <c:pt idx="294">
                  <c:v>16</c:v>
                </c:pt>
                <c:pt idx="295">
                  <c:v>11</c:v>
                </c:pt>
                <c:pt idx="296">
                  <c:v>3</c:v>
                </c:pt>
                <c:pt idx="297">
                  <c:v>2</c:v>
                </c:pt>
                <c:pt idx="298">
                  <c:v>21</c:v>
                </c:pt>
                <c:pt idx="299">
                  <c:v>28</c:v>
                </c:pt>
                <c:pt idx="300">
                  <c:v>7</c:v>
                </c:pt>
                <c:pt idx="301">
                  <c:v>15</c:v>
                </c:pt>
                <c:pt idx="302">
                  <c:v>22</c:v>
                </c:pt>
                <c:pt idx="303">
                  <c:v>19</c:v>
                </c:pt>
                <c:pt idx="304">
                  <c:v>17</c:v>
                </c:pt>
                <c:pt idx="305">
                  <c:v>21</c:v>
                </c:pt>
                <c:pt idx="306">
                  <c:v>18</c:v>
                </c:pt>
                <c:pt idx="307">
                  <c:v>14</c:v>
                </c:pt>
                <c:pt idx="308">
                  <c:v>0</c:v>
                </c:pt>
                <c:pt idx="309">
                  <c:v>14</c:v>
                </c:pt>
                <c:pt idx="310">
                  <c:v>21</c:v>
                </c:pt>
                <c:pt idx="311">
                  <c:v>18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25</c:v>
                </c:pt>
                <c:pt idx="316">
                  <c:v>24</c:v>
                </c:pt>
                <c:pt idx="317">
                  <c:v>17</c:v>
                </c:pt>
                <c:pt idx="318">
                  <c:v>25</c:v>
                </c:pt>
                <c:pt idx="319">
                  <c:v>13</c:v>
                </c:pt>
                <c:pt idx="320">
                  <c:v>23</c:v>
                </c:pt>
                <c:pt idx="321">
                  <c:v>23</c:v>
                </c:pt>
                <c:pt idx="322">
                  <c:v>3</c:v>
                </c:pt>
                <c:pt idx="323">
                  <c:v>13</c:v>
                </c:pt>
                <c:pt idx="324">
                  <c:v>0</c:v>
                </c:pt>
                <c:pt idx="325">
                  <c:v>16</c:v>
                </c:pt>
                <c:pt idx="326">
                  <c:v>11</c:v>
                </c:pt>
                <c:pt idx="327">
                  <c:v>3</c:v>
                </c:pt>
                <c:pt idx="328">
                  <c:v>2</c:v>
                </c:pt>
                <c:pt idx="329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21-45F8-B94D-92E2275C4EAC}"/>
            </c:ext>
          </c:extLst>
        </c:ser>
        <c:ser>
          <c:idx val="2"/>
          <c:order val="3"/>
          <c:tx>
            <c:v>pathogenic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'Position and CADD Score Table'!$B$342:$B$485</c:f>
              <c:numCache>
                <c:formatCode>General</c:formatCode>
                <c:ptCount val="144"/>
                <c:pt idx="0">
                  <c:v>358</c:v>
                </c:pt>
                <c:pt idx="1">
                  <c:v>320</c:v>
                </c:pt>
                <c:pt idx="2">
                  <c:v>320</c:v>
                </c:pt>
                <c:pt idx="3">
                  <c:v>249</c:v>
                </c:pt>
                <c:pt idx="4">
                  <c:v>249</c:v>
                </c:pt>
                <c:pt idx="5">
                  <c:v>216</c:v>
                </c:pt>
                <c:pt idx="6">
                  <c:v>74</c:v>
                </c:pt>
                <c:pt idx="7">
                  <c:v>57</c:v>
                </c:pt>
                <c:pt idx="8">
                  <c:v>52</c:v>
                </c:pt>
                <c:pt idx="9">
                  <c:v>52</c:v>
                </c:pt>
                <c:pt idx="10">
                  <c:v>7</c:v>
                </c:pt>
                <c:pt idx="11">
                  <c:v>320</c:v>
                </c:pt>
                <c:pt idx="12">
                  <c:v>320</c:v>
                </c:pt>
                <c:pt idx="13">
                  <c:v>249</c:v>
                </c:pt>
                <c:pt idx="14">
                  <c:v>249</c:v>
                </c:pt>
                <c:pt idx="15">
                  <c:v>216</c:v>
                </c:pt>
                <c:pt idx="16">
                  <c:v>74</c:v>
                </c:pt>
                <c:pt idx="17">
                  <c:v>57</c:v>
                </c:pt>
                <c:pt idx="18">
                  <c:v>52</c:v>
                </c:pt>
                <c:pt idx="19">
                  <c:v>52</c:v>
                </c:pt>
                <c:pt idx="20">
                  <c:v>7</c:v>
                </c:pt>
                <c:pt idx="21">
                  <c:v>358</c:v>
                </c:pt>
                <c:pt idx="22">
                  <c:v>320</c:v>
                </c:pt>
                <c:pt idx="23">
                  <c:v>320</c:v>
                </c:pt>
                <c:pt idx="24">
                  <c:v>249</c:v>
                </c:pt>
                <c:pt idx="25">
                  <c:v>249</c:v>
                </c:pt>
                <c:pt idx="26">
                  <c:v>216</c:v>
                </c:pt>
                <c:pt idx="27">
                  <c:v>74</c:v>
                </c:pt>
                <c:pt idx="28">
                  <c:v>57</c:v>
                </c:pt>
                <c:pt idx="29">
                  <c:v>52</c:v>
                </c:pt>
                <c:pt idx="30">
                  <c:v>52</c:v>
                </c:pt>
                <c:pt idx="31">
                  <c:v>7</c:v>
                </c:pt>
                <c:pt idx="32">
                  <c:v>358</c:v>
                </c:pt>
                <c:pt idx="33">
                  <c:v>320</c:v>
                </c:pt>
                <c:pt idx="34">
                  <c:v>320</c:v>
                </c:pt>
                <c:pt idx="35">
                  <c:v>249</c:v>
                </c:pt>
                <c:pt idx="36">
                  <c:v>249</c:v>
                </c:pt>
                <c:pt idx="37">
                  <c:v>216</c:v>
                </c:pt>
                <c:pt idx="38">
                  <c:v>74</c:v>
                </c:pt>
                <c:pt idx="39">
                  <c:v>57</c:v>
                </c:pt>
                <c:pt idx="40">
                  <c:v>52</c:v>
                </c:pt>
                <c:pt idx="41">
                  <c:v>52</c:v>
                </c:pt>
                <c:pt idx="42">
                  <c:v>7</c:v>
                </c:pt>
                <c:pt idx="43">
                  <c:v>320</c:v>
                </c:pt>
                <c:pt idx="44">
                  <c:v>320</c:v>
                </c:pt>
                <c:pt idx="45">
                  <c:v>249</c:v>
                </c:pt>
                <c:pt idx="46">
                  <c:v>249</c:v>
                </c:pt>
                <c:pt idx="47">
                  <c:v>216</c:v>
                </c:pt>
                <c:pt idx="48">
                  <c:v>74</c:v>
                </c:pt>
                <c:pt idx="49">
                  <c:v>57</c:v>
                </c:pt>
                <c:pt idx="50">
                  <c:v>52</c:v>
                </c:pt>
                <c:pt idx="51">
                  <c:v>52</c:v>
                </c:pt>
                <c:pt idx="52">
                  <c:v>7</c:v>
                </c:pt>
                <c:pt idx="53">
                  <c:v>74</c:v>
                </c:pt>
                <c:pt idx="54">
                  <c:v>57</c:v>
                </c:pt>
                <c:pt idx="55">
                  <c:v>52</c:v>
                </c:pt>
                <c:pt idx="56">
                  <c:v>52</c:v>
                </c:pt>
                <c:pt idx="57">
                  <c:v>7</c:v>
                </c:pt>
                <c:pt idx="58">
                  <c:v>409</c:v>
                </c:pt>
                <c:pt idx="59">
                  <c:v>409</c:v>
                </c:pt>
                <c:pt idx="60">
                  <c:v>409</c:v>
                </c:pt>
                <c:pt idx="61">
                  <c:v>405</c:v>
                </c:pt>
                <c:pt idx="62">
                  <c:v>218</c:v>
                </c:pt>
                <c:pt idx="63">
                  <c:v>280</c:v>
                </c:pt>
                <c:pt idx="64">
                  <c:v>65</c:v>
                </c:pt>
                <c:pt idx="65">
                  <c:v>280</c:v>
                </c:pt>
                <c:pt idx="66">
                  <c:v>65</c:v>
                </c:pt>
                <c:pt idx="67">
                  <c:v>280</c:v>
                </c:pt>
                <c:pt idx="68">
                  <c:v>65</c:v>
                </c:pt>
                <c:pt idx="69">
                  <c:v>280</c:v>
                </c:pt>
                <c:pt idx="70">
                  <c:v>65</c:v>
                </c:pt>
                <c:pt idx="71">
                  <c:v>280</c:v>
                </c:pt>
                <c:pt idx="72">
                  <c:v>65</c:v>
                </c:pt>
                <c:pt idx="73">
                  <c:v>65</c:v>
                </c:pt>
                <c:pt idx="74">
                  <c:v>382</c:v>
                </c:pt>
                <c:pt idx="75">
                  <c:v>382</c:v>
                </c:pt>
                <c:pt idx="76">
                  <c:v>281</c:v>
                </c:pt>
                <c:pt idx="77">
                  <c:v>278</c:v>
                </c:pt>
                <c:pt idx="78">
                  <c:v>201</c:v>
                </c:pt>
                <c:pt idx="79">
                  <c:v>76</c:v>
                </c:pt>
                <c:pt idx="80">
                  <c:v>64</c:v>
                </c:pt>
                <c:pt idx="81">
                  <c:v>12</c:v>
                </c:pt>
                <c:pt idx="82">
                  <c:v>281</c:v>
                </c:pt>
                <c:pt idx="83">
                  <c:v>278</c:v>
                </c:pt>
                <c:pt idx="84">
                  <c:v>201</c:v>
                </c:pt>
                <c:pt idx="85">
                  <c:v>76</c:v>
                </c:pt>
                <c:pt idx="86">
                  <c:v>64</c:v>
                </c:pt>
                <c:pt idx="87">
                  <c:v>12</c:v>
                </c:pt>
                <c:pt idx="88">
                  <c:v>382</c:v>
                </c:pt>
                <c:pt idx="89">
                  <c:v>382</c:v>
                </c:pt>
                <c:pt idx="90">
                  <c:v>281</c:v>
                </c:pt>
                <c:pt idx="91">
                  <c:v>278</c:v>
                </c:pt>
                <c:pt idx="92">
                  <c:v>201</c:v>
                </c:pt>
                <c:pt idx="93">
                  <c:v>76</c:v>
                </c:pt>
                <c:pt idx="94">
                  <c:v>64</c:v>
                </c:pt>
                <c:pt idx="95">
                  <c:v>12</c:v>
                </c:pt>
                <c:pt idx="96">
                  <c:v>382</c:v>
                </c:pt>
                <c:pt idx="97">
                  <c:v>382</c:v>
                </c:pt>
                <c:pt idx="98">
                  <c:v>281</c:v>
                </c:pt>
                <c:pt idx="99">
                  <c:v>278</c:v>
                </c:pt>
                <c:pt idx="100">
                  <c:v>201</c:v>
                </c:pt>
                <c:pt idx="101">
                  <c:v>76</c:v>
                </c:pt>
                <c:pt idx="102">
                  <c:v>64</c:v>
                </c:pt>
                <c:pt idx="103">
                  <c:v>12</c:v>
                </c:pt>
                <c:pt idx="104">
                  <c:v>378</c:v>
                </c:pt>
                <c:pt idx="105">
                  <c:v>378</c:v>
                </c:pt>
                <c:pt idx="106">
                  <c:v>281</c:v>
                </c:pt>
                <c:pt idx="107">
                  <c:v>278</c:v>
                </c:pt>
                <c:pt idx="108">
                  <c:v>201</c:v>
                </c:pt>
                <c:pt idx="109">
                  <c:v>76</c:v>
                </c:pt>
                <c:pt idx="110">
                  <c:v>64</c:v>
                </c:pt>
                <c:pt idx="111">
                  <c:v>12</c:v>
                </c:pt>
                <c:pt idx="112">
                  <c:v>76</c:v>
                </c:pt>
                <c:pt idx="113">
                  <c:v>64</c:v>
                </c:pt>
                <c:pt idx="114">
                  <c:v>12</c:v>
                </c:pt>
                <c:pt idx="115">
                  <c:v>139</c:v>
                </c:pt>
                <c:pt idx="116">
                  <c:v>116</c:v>
                </c:pt>
                <c:pt idx="117">
                  <c:v>91</c:v>
                </c:pt>
                <c:pt idx="118">
                  <c:v>77</c:v>
                </c:pt>
                <c:pt idx="119">
                  <c:v>139</c:v>
                </c:pt>
                <c:pt idx="120">
                  <c:v>116</c:v>
                </c:pt>
                <c:pt idx="121">
                  <c:v>91</c:v>
                </c:pt>
                <c:pt idx="122">
                  <c:v>77</c:v>
                </c:pt>
                <c:pt idx="123">
                  <c:v>139</c:v>
                </c:pt>
                <c:pt idx="124">
                  <c:v>116</c:v>
                </c:pt>
                <c:pt idx="125">
                  <c:v>91</c:v>
                </c:pt>
                <c:pt idx="126">
                  <c:v>77</c:v>
                </c:pt>
                <c:pt idx="127">
                  <c:v>139</c:v>
                </c:pt>
                <c:pt idx="128">
                  <c:v>116</c:v>
                </c:pt>
                <c:pt idx="129">
                  <c:v>91</c:v>
                </c:pt>
                <c:pt idx="130">
                  <c:v>77</c:v>
                </c:pt>
                <c:pt idx="131">
                  <c:v>139</c:v>
                </c:pt>
                <c:pt idx="132">
                  <c:v>116</c:v>
                </c:pt>
                <c:pt idx="133">
                  <c:v>91</c:v>
                </c:pt>
                <c:pt idx="134">
                  <c:v>77</c:v>
                </c:pt>
                <c:pt idx="135">
                  <c:v>139</c:v>
                </c:pt>
                <c:pt idx="136">
                  <c:v>116</c:v>
                </c:pt>
                <c:pt idx="137">
                  <c:v>91</c:v>
                </c:pt>
                <c:pt idx="138">
                  <c:v>77</c:v>
                </c:pt>
                <c:pt idx="139">
                  <c:v>288</c:v>
                </c:pt>
                <c:pt idx="140">
                  <c:v>288</c:v>
                </c:pt>
                <c:pt idx="141">
                  <c:v>288</c:v>
                </c:pt>
                <c:pt idx="142">
                  <c:v>288</c:v>
                </c:pt>
                <c:pt idx="143">
                  <c:v>288</c:v>
                </c:pt>
              </c:numCache>
            </c:numRef>
          </c:xVal>
          <c:yVal>
            <c:numRef>
              <c:f>'Position and CADD Score Table'!$C$342:$C$485</c:f>
              <c:numCache>
                <c:formatCode>General</c:formatCode>
                <c:ptCount val="144"/>
                <c:pt idx="0">
                  <c:v>26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31</c:v>
                </c:pt>
                <c:pt idx="6">
                  <c:v>26</c:v>
                </c:pt>
                <c:pt idx="7">
                  <c:v>21</c:v>
                </c:pt>
                <c:pt idx="8">
                  <c:v>9</c:v>
                </c:pt>
                <c:pt idx="9">
                  <c:v>12</c:v>
                </c:pt>
                <c:pt idx="10">
                  <c:v>17</c:v>
                </c:pt>
                <c:pt idx="11">
                  <c:v>22</c:v>
                </c:pt>
                <c:pt idx="12">
                  <c:v>23</c:v>
                </c:pt>
                <c:pt idx="13">
                  <c:v>22</c:v>
                </c:pt>
                <c:pt idx="14">
                  <c:v>21</c:v>
                </c:pt>
                <c:pt idx="15">
                  <c:v>31</c:v>
                </c:pt>
                <c:pt idx="16">
                  <c:v>26</c:v>
                </c:pt>
                <c:pt idx="17">
                  <c:v>21</c:v>
                </c:pt>
                <c:pt idx="18">
                  <c:v>9</c:v>
                </c:pt>
                <c:pt idx="19">
                  <c:v>12</c:v>
                </c:pt>
                <c:pt idx="20">
                  <c:v>17</c:v>
                </c:pt>
                <c:pt idx="21">
                  <c:v>26</c:v>
                </c:pt>
                <c:pt idx="22">
                  <c:v>22</c:v>
                </c:pt>
                <c:pt idx="23">
                  <c:v>23</c:v>
                </c:pt>
                <c:pt idx="24">
                  <c:v>22</c:v>
                </c:pt>
                <c:pt idx="25">
                  <c:v>21</c:v>
                </c:pt>
                <c:pt idx="26">
                  <c:v>31</c:v>
                </c:pt>
                <c:pt idx="27">
                  <c:v>26</c:v>
                </c:pt>
                <c:pt idx="28">
                  <c:v>21</c:v>
                </c:pt>
                <c:pt idx="29">
                  <c:v>9</c:v>
                </c:pt>
                <c:pt idx="30">
                  <c:v>12</c:v>
                </c:pt>
                <c:pt idx="31">
                  <c:v>17</c:v>
                </c:pt>
                <c:pt idx="32">
                  <c:v>26</c:v>
                </c:pt>
                <c:pt idx="33">
                  <c:v>22</c:v>
                </c:pt>
                <c:pt idx="34">
                  <c:v>23</c:v>
                </c:pt>
                <c:pt idx="35">
                  <c:v>22</c:v>
                </c:pt>
                <c:pt idx="36">
                  <c:v>21</c:v>
                </c:pt>
                <c:pt idx="37">
                  <c:v>31</c:v>
                </c:pt>
                <c:pt idx="38">
                  <c:v>26</c:v>
                </c:pt>
                <c:pt idx="39">
                  <c:v>21</c:v>
                </c:pt>
                <c:pt idx="40">
                  <c:v>9</c:v>
                </c:pt>
                <c:pt idx="41">
                  <c:v>12</c:v>
                </c:pt>
                <c:pt idx="42">
                  <c:v>17</c:v>
                </c:pt>
                <c:pt idx="43">
                  <c:v>22</c:v>
                </c:pt>
                <c:pt idx="44">
                  <c:v>23</c:v>
                </c:pt>
                <c:pt idx="45">
                  <c:v>22</c:v>
                </c:pt>
                <c:pt idx="46">
                  <c:v>21</c:v>
                </c:pt>
                <c:pt idx="47">
                  <c:v>31</c:v>
                </c:pt>
                <c:pt idx="48">
                  <c:v>26</c:v>
                </c:pt>
                <c:pt idx="49">
                  <c:v>21</c:v>
                </c:pt>
                <c:pt idx="50">
                  <c:v>9</c:v>
                </c:pt>
                <c:pt idx="51">
                  <c:v>12</c:v>
                </c:pt>
                <c:pt idx="52">
                  <c:v>17</c:v>
                </c:pt>
                <c:pt idx="53">
                  <c:v>26</c:v>
                </c:pt>
                <c:pt idx="54">
                  <c:v>21</c:v>
                </c:pt>
                <c:pt idx="55">
                  <c:v>9</c:v>
                </c:pt>
                <c:pt idx="56">
                  <c:v>12</c:v>
                </c:pt>
                <c:pt idx="57">
                  <c:v>17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19</c:v>
                </c:pt>
                <c:pt idx="62">
                  <c:v>19</c:v>
                </c:pt>
                <c:pt idx="63">
                  <c:v>21</c:v>
                </c:pt>
                <c:pt idx="64">
                  <c:v>23</c:v>
                </c:pt>
                <c:pt idx="65">
                  <c:v>21</c:v>
                </c:pt>
                <c:pt idx="66">
                  <c:v>23</c:v>
                </c:pt>
                <c:pt idx="67">
                  <c:v>21</c:v>
                </c:pt>
                <c:pt idx="68">
                  <c:v>23</c:v>
                </c:pt>
                <c:pt idx="69">
                  <c:v>21</c:v>
                </c:pt>
                <c:pt idx="70">
                  <c:v>23</c:v>
                </c:pt>
                <c:pt idx="71">
                  <c:v>21</c:v>
                </c:pt>
                <c:pt idx="72">
                  <c:v>23</c:v>
                </c:pt>
                <c:pt idx="73">
                  <c:v>23</c:v>
                </c:pt>
                <c:pt idx="74">
                  <c:v>8</c:v>
                </c:pt>
                <c:pt idx="75">
                  <c:v>6</c:v>
                </c:pt>
                <c:pt idx="76">
                  <c:v>1</c:v>
                </c:pt>
                <c:pt idx="77">
                  <c:v>25</c:v>
                </c:pt>
                <c:pt idx="78">
                  <c:v>20</c:v>
                </c:pt>
                <c:pt idx="79">
                  <c:v>28</c:v>
                </c:pt>
                <c:pt idx="80">
                  <c:v>7</c:v>
                </c:pt>
                <c:pt idx="81">
                  <c:v>25</c:v>
                </c:pt>
                <c:pt idx="82">
                  <c:v>1</c:v>
                </c:pt>
                <c:pt idx="83">
                  <c:v>25</c:v>
                </c:pt>
                <c:pt idx="84">
                  <c:v>20</c:v>
                </c:pt>
                <c:pt idx="85">
                  <c:v>28</c:v>
                </c:pt>
                <c:pt idx="86">
                  <c:v>7</c:v>
                </c:pt>
                <c:pt idx="87">
                  <c:v>25</c:v>
                </c:pt>
                <c:pt idx="88">
                  <c:v>8</c:v>
                </c:pt>
                <c:pt idx="89">
                  <c:v>6</c:v>
                </c:pt>
                <c:pt idx="90">
                  <c:v>1</c:v>
                </c:pt>
                <c:pt idx="91">
                  <c:v>25</c:v>
                </c:pt>
                <c:pt idx="92">
                  <c:v>20</c:v>
                </c:pt>
                <c:pt idx="93">
                  <c:v>28</c:v>
                </c:pt>
                <c:pt idx="94">
                  <c:v>7</c:v>
                </c:pt>
                <c:pt idx="95">
                  <c:v>25</c:v>
                </c:pt>
                <c:pt idx="96">
                  <c:v>8</c:v>
                </c:pt>
                <c:pt idx="97">
                  <c:v>6</c:v>
                </c:pt>
                <c:pt idx="98">
                  <c:v>1</c:v>
                </c:pt>
                <c:pt idx="99">
                  <c:v>25</c:v>
                </c:pt>
                <c:pt idx="100">
                  <c:v>20</c:v>
                </c:pt>
                <c:pt idx="101">
                  <c:v>28</c:v>
                </c:pt>
                <c:pt idx="102">
                  <c:v>7</c:v>
                </c:pt>
                <c:pt idx="103">
                  <c:v>25</c:v>
                </c:pt>
                <c:pt idx="104">
                  <c:v>8</c:v>
                </c:pt>
                <c:pt idx="105">
                  <c:v>6</c:v>
                </c:pt>
                <c:pt idx="106">
                  <c:v>1</c:v>
                </c:pt>
                <c:pt idx="107">
                  <c:v>25</c:v>
                </c:pt>
                <c:pt idx="108">
                  <c:v>20</c:v>
                </c:pt>
                <c:pt idx="109">
                  <c:v>28</c:v>
                </c:pt>
                <c:pt idx="110">
                  <c:v>7</c:v>
                </c:pt>
                <c:pt idx="111">
                  <c:v>25</c:v>
                </c:pt>
                <c:pt idx="112">
                  <c:v>28</c:v>
                </c:pt>
                <c:pt idx="113">
                  <c:v>7</c:v>
                </c:pt>
                <c:pt idx="114">
                  <c:v>25</c:v>
                </c:pt>
                <c:pt idx="115">
                  <c:v>22</c:v>
                </c:pt>
                <c:pt idx="116">
                  <c:v>24</c:v>
                </c:pt>
                <c:pt idx="117">
                  <c:v>27</c:v>
                </c:pt>
                <c:pt idx="118">
                  <c:v>29</c:v>
                </c:pt>
                <c:pt idx="119">
                  <c:v>22</c:v>
                </c:pt>
                <c:pt idx="120">
                  <c:v>24</c:v>
                </c:pt>
                <c:pt idx="121">
                  <c:v>27</c:v>
                </c:pt>
                <c:pt idx="122">
                  <c:v>29</c:v>
                </c:pt>
                <c:pt idx="123">
                  <c:v>22</c:v>
                </c:pt>
                <c:pt idx="124">
                  <c:v>24</c:v>
                </c:pt>
                <c:pt idx="125">
                  <c:v>27</c:v>
                </c:pt>
                <c:pt idx="126">
                  <c:v>29</c:v>
                </c:pt>
                <c:pt idx="127">
                  <c:v>22</c:v>
                </c:pt>
                <c:pt idx="128">
                  <c:v>24</c:v>
                </c:pt>
                <c:pt idx="129">
                  <c:v>27</c:v>
                </c:pt>
                <c:pt idx="130">
                  <c:v>29</c:v>
                </c:pt>
                <c:pt idx="131">
                  <c:v>22</c:v>
                </c:pt>
                <c:pt idx="132">
                  <c:v>24</c:v>
                </c:pt>
                <c:pt idx="133">
                  <c:v>27</c:v>
                </c:pt>
                <c:pt idx="134">
                  <c:v>29</c:v>
                </c:pt>
                <c:pt idx="135">
                  <c:v>22</c:v>
                </c:pt>
                <c:pt idx="136">
                  <c:v>24</c:v>
                </c:pt>
                <c:pt idx="137">
                  <c:v>27</c:v>
                </c:pt>
                <c:pt idx="138">
                  <c:v>29</c:v>
                </c:pt>
                <c:pt idx="139">
                  <c:v>33</c:v>
                </c:pt>
                <c:pt idx="140">
                  <c:v>33</c:v>
                </c:pt>
                <c:pt idx="141">
                  <c:v>33</c:v>
                </c:pt>
                <c:pt idx="142">
                  <c:v>33</c:v>
                </c:pt>
                <c:pt idx="14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21-45F8-B94D-92E2275C4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106559"/>
        <c:axId val="86610895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'Position and CADD Score Table'!$C$1</c15:sqref>
                        </c15:formulaRef>
                      </c:ext>
                    </c:extLst>
                    <c:strCache>
                      <c:ptCount val="1"/>
                      <c:pt idx="0">
                        <c:v>CADD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'Position and CADD Score Table'!$B$2:$B$1036</c15:sqref>
                        </c15:formulaRef>
                      </c:ext>
                    </c:extLst>
                    <c:numCache>
                      <c:formatCode>General</c:formatCode>
                      <c:ptCount val="1035"/>
                      <c:pt idx="0">
                        <c:v>359</c:v>
                      </c:pt>
                      <c:pt idx="1">
                        <c:v>322</c:v>
                      </c:pt>
                      <c:pt idx="2">
                        <c:v>322</c:v>
                      </c:pt>
                      <c:pt idx="3">
                        <c:v>322</c:v>
                      </c:pt>
                      <c:pt idx="4">
                        <c:v>308</c:v>
                      </c:pt>
                      <c:pt idx="5">
                        <c:v>322</c:v>
                      </c:pt>
                      <c:pt idx="6">
                        <c:v>322</c:v>
                      </c:pt>
                      <c:pt idx="7">
                        <c:v>322</c:v>
                      </c:pt>
                      <c:pt idx="8">
                        <c:v>308</c:v>
                      </c:pt>
                      <c:pt idx="9">
                        <c:v>359</c:v>
                      </c:pt>
                      <c:pt idx="10">
                        <c:v>322</c:v>
                      </c:pt>
                      <c:pt idx="11">
                        <c:v>322</c:v>
                      </c:pt>
                      <c:pt idx="12">
                        <c:v>322</c:v>
                      </c:pt>
                      <c:pt idx="13">
                        <c:v>308</c:v>
                      </c:pt>
                      <c:pt idx="14">
                        <c:v>359</c:v>
                      </c:pt>
                      <c:pt idx="15">
                        <c:v>322</c:v>
                      </c:pt>
                      <c:pt idx="16">
                        <c:v>322</c:v>
                      </c:pt>
                      <c:pt idx="17">
                        <c:v>322</c:v>
                      </c:pt>
                      <c:pt idx="18">
                        <c:v>308</c:v>
                      </c:pt>
                      <c:pt idx="19">
                        <c:v>322</c:v>
                      </c:pt>
                      <c:pt idx="20">
                        <c:v>322</c:v>
                      </c:pt>
                      <c:pt idx="21">
                        <c:v>322</c:v>
                      </c:pt>
                      <c:pt idx="22">
                        <c:v>308</c:v>
                      </c:pt>
                      <c:pt idx="23">
                        <c:v>325</c:v>
                      </c:pt>
                      <c:pt idx="24">
                        <c:v>280</c:v>
                      </c:pt>
                      <c:pt idx="25">
                        <c:v>280</c:v>
                      </c:pt>
                      <c:pt idx="26">
                        <c:v>237</c:v>
                      </c:pt>
                      <c:pt idx="27">
                        <c:v>325</c:v>
                      </c:pt>
                      <c:pt idx="28">
                        <c:v>280</c:v>
                      </c:pt>
                      <c:pt idx="29">
                        <c:v>280</c:v>
                      </c:pt>
                      <c:pt idx="30">
                        <c:v>237</c:v>
                      </c:pt>
                      <c:pt idx="31">
                        <c:v>325</c:v>
                      </c:pt>
                      <c:pt idx="32">
                        <c:v>280</c:v>
                      </c:pt>
                      <c:pt idx="33">
                        <c:v>280</c:v>
                      </c:pt>
                      <c:pt idx="34">
                        <c:v>237</c:v>
                      </c:pt>
                      <c:pt idx="35">
                        <c:v>325</c:v>
                      </c:pt>
                      <c:pt idx="36">
                        <c:v>280</c:v>
                      </c:pt>
                      <c:pt idx="37">
                        <c:v>280</c:v>
                      </c:pt>
                      <c:pt idx="38">
                        <c:v>237</c:v>
                      </c:pt>
                      <c:pt idx="39">
                        <c:v>325</c:v>
                      </c:pt>
                      <c:pt idx="40">
                        <c:v>280</c:v>
                      </c:pt>
                      <c:pt idx="41">
                        <c:v>280</c:v>
                      </c:pt>
                      <c:pt idx="42">
                        <c:v>237</c:v>
                      </c:pt>
                      <c:pt idx="43">
                        <c:v>400</c:v>
                      </c:pt>
                      <c:pt idx="44">
                        <c:v>400</c:v>
                      </c:pt>
                      <c:pt idx="45">
                        <c:v>400</c:v>
                      </c:pt>
                      <c:pt idx="46">
                        <c:v>396</c:v>
                      </c:pt>
                      <c:pt idx="47">
                        <c:v>209</c:v>
                      </c:pt>
                      <c:pt idx="48">
                        <c:v>125</c:v>
                      </c:pt>
                      <c:pt idx="49">
                        <c:v>26</c:v>
                      </c:pt>
                      <c:pt idx="50">
                        <c:v>26</c:v>
                      </c:pt>
                      <c:pt idx="51">
                        <c:v>125</c:v>
                      </c:pt>
                      <c:pt idx="52">
                        <c:v>26</c:v>
                      </c:pt>
                      <c:pt idx="53">
                        <c:v>26</c:v>
                      </c:pt>
                      <c:pt idx="54">
                        <c:v>125</c:v>
                      </c:pt>
                      <c:pt idx="55">
                        <c:v>26</c:v>
                      </c:pt>
                      <c:pt idx="56">
                        <c:v>26</c:v>
                      </c:pt>
                      <c:pt idx="57">
                        <c:v>125</c:v>
                      </c:pt>
                      <c:pt idx="58">
                        <c:v>26</c:v>
                      </c:pt>
                      <c:pt idx="59">
                        <c:v>26</c:v>
                      </c:pt>
                      <c:pt idx="60">
                        <c:v>125</c:v>
                      </c:pt>
                      <c:pt idx="61">
                        <c:v>26</c:v>
                      </c:pt>
                      <c:pt idx="62">
                        <c:v>26</c:v>
                      </c:pt>
                      <c:pt idx="63">
                        <c:v>125</c:v>
                      </c:pt>
                      <c:pt idx="64">
                        <c:v>26</c:v>
                      </c:pt>
                      <c:pt idx="65">
                        <c:v>26</c:v>
                      </c:pt>
                      <c:pt idx="66">
                        <c:v>409</c:v>
                      </c:pt>
                      <c:pt idx="67">
                        <c:v>409</c:v>
                      </c:pt>
                      <c:pt idx="68">
                        <c:v>403</c:v>
                      </c:pt>
                      <c:pt idx="69">
                        <c:v>403</c:v>
                      </c:pt>
                      <c:pt idx="70">
                        <c:v>403</c:v>
                      </c:pt>
                      <c:pt idx="71">
                        <c:v>384</c:v>
                      </c:pt>
                      <c:pt idx="72">
                        <c:v>379</c:v>
                      </c:pt>
                      <c:pt idx="73">
                        <c:v>379</c:v>
                      </c:pt>
                      <c:pt idx="74">
                        <c:v>378</c:v>
                      </c:pt>
                      <c:pt idx="75">
                        <c:v>375</c:v>
                      </c:pt>
                      <c:pt idx="76">
                        <c:v>374</c:v>
                      </c:pt>
                      <c:pt idx="77">
                        <c:v>364</c:v>
                      </c:pt>
                      <c:pt idx="78">
                        <c:v>355</c:v>
                      </c:pt>
                      <c:pt idx="79">
                        <c:v>343</c:v>
                      </c:pt>
                      <c:pt idx="80">
                        <c:v>338</c:v>
                      </c:pt>
                      <c:pt idx="81">
                        <c:v>334</c:v>
                      </c:pt>
                      <c:pt idx="82">
                        <c:v>306</c:v>
                      </c:pt>
                      <c:pt idx="83">
                        <c:v>303</c:v>
                      </c:pt>
                      <c:pt idx="84">
                        <c:v>298</c:v>
                      </c:pt>
                      <c:pt idx="85">
                        <c:v>293</c:v>
                      </c:pt>
                      <c:pt idx="86">
                        <c:v>286</c:v>
                      </c:pt>
                      <c:pt idx="87">
                        <c:v>276</c:v>
                      </c:pt>
                      <c:pt idx="88">
                        <c:v>260</c:v>
                      </c:pt>
                      <c:pt idx="89">
                        <c:v>256</c:v>
                      </c:pt>
                      <c:pt idx="90">
                        <c:v>254</c:v>
                      </c:pt>
                      <c:pt idx="91">
                        <c:v>246</c:v>
                      </c:pt>
                      <c:pt idx="92">
                        <c:v>245</c:v>
                      </c:pt>
                      <c:pt idx="93">
                        <c:v>243</c:v>
                      </c:pt>
                      <c:pt idx="94">
                        <c:v>236</c:v>
                      </c:pt>
                      <c:pt idx="95">
                        <c:v>222</c:v>
                      </c:pt>
                      <c:pt idx="96">
                        <c:v>211</c:v>
                      </c:pt>
                      <c:pt idx="97">
                        <c:v>161</c:v>
                      </c:pt>
                      <c:pt idx="98">
                        <c:v>157</c:v>
                      </c:pt>
                      <c:pt idx="99">
                        <c:v>145</c:v>
                      </c:pt>
                      <c:pt idx="100">
                        <c:v>119</c:v>
                      </c:pt>
                      <c:pt idx="101">
                        <c:v>119</c:v>
                      </c:pt>
                      <c:pt idx="102">
                        <c:v>119</c:v>
                      </c:pt>
                      <c:pt idx="103">
                        <c:v>106</c:v>
                      </c:pt>
                      <c:pt idx="104">
                        <c:v>99</c:v>
                      </c:pt>
                      <c:pt idx="105">
                        <c:v>99</c:v>
                      </c:pt>
                      <c:pt idx="106">
                        <c:v>97</c:v>
                      </c:pt>
                      <c:pt idx="107">
                        <c:v>97</c:v>
                      </c:pt>
                      <c:pt idx="108">
                        <c:v>67</c:v>
                      </c:pt>
                      <c:pt idx="109">
                        <c:v>67</c:v>
                      </c:pt>
                      <c:pt idx="110">
                        <c:v>63</c:v>
                      </c:pt>
                      <c:pt idx="111">
                        <c:v>63</c:v>
                      </c:pt>
                      <c:pt idx="112">
                        <c:v>60</c:v>
                      </c:pt>
                      <c:pt idx="113">
                        <c:v>46</c:v>
                      </c:pt>
                      <c:pt idx="114">
                        <c:v>34</c:v>
                      </c:pt>
                      <c:pt idx="115">
                        <c:v>30</c:v>
                      </c:pt>
                      <c:pt idx="116">
                        <c:v>358</c:v>
                      </c:pt>
                      <c:pt idx="117">
                        <c:v>355</c:v>
                      </c:pt>
                      <c:pt idx="118">
                        <c:v>343</c:v>
                      </c:pt>
                      <c:pt idx="119">
                        <c:v>338</c:v>
                      </c:pt>
                      <c:pt idx="120">
                        <c:v>334</c:v>
                      </c:pt>
                      <c:pt idx="121">
                        <c:v>306</c:v>
                      </c:pt>
                      <c:pt idx="122">
                        <c:v>303</c:v>
                      </c:pt>
                      <c:pt idx="123">
                        <c:v>298</c:v>
                      </c:pt>
                      <c:pt idx="124">
                        <c:v>293</c:v>
                      </c:pt>
                      <c:pt idx="125">
                        <c:v>286</c:v>
                      </c:pt>
                      <c:pt idx="126">
                        <c:v>276</c:v>
                      </c:pt>
                      <c:pt idx="127">
                        <c:v>260</c:v>
                      </c:pt>
                      <c:pt idx="128">
                        <c:v>256</c:v>
                      </c:pt>
                      <c:pt idx="129">
                        <c:v>254</c:v>
                      </c:pt>
                      <c:pt idx="130">
                        <c:v>246</c:v>
                      </c:pt>
                      <c:pt idx="131">
                        <c:v>245</c:v>
                      </c:pt>
                      <c:pt idx="132">
                        <c:v>243</c:v>
                      </c:pt>
                      <c:pt idx="133">
                        <c:v>236</c:v>
                      </c:pt>
                      <c:pt idx="134">
                        <c:v>222</c:v>
                      </c:pt>
                      <c:pt idx="135">
                        <c:v>211</c:v>
                      </c:pt>
                      <c:pt idx="136">
                        <c:v>161</c:v>
                      </c:pt>
                      <c:pt idx="137">
                        <c:v>157</c:v>
                      </c:pt>
                      <c:pt idx="138">
                        <c:v>145</c:v>
                      </c:pt>
                      <c:pt idx="139">
                        <c:v>119</c:v>
                      </c:pt>
                      <c:pt idx="140">
                        <c:v>119</c:v>
                      </c:pt>
                      <c:pt idx="141">
                        <c:v>119</c:v>
                      </c:pt>
                      <c:pt idx="142">
                        <c:v>106</c:v>
                      </c:pt>
                      <c:pt idx="143">
                        <c:v>99</c:v>
                      </c:pt>
                      <c:pt idx="144">
                        <c:v>99</c:v>
                      </c:pt>
                      <c:pt idx="145">
                        <c:v>97</c:v>
                      </c:pt>
                      <c:pt idx="146">
                        <c:v>97</c:v>
                      </c:pt>
                      <c:pt idx="147">
                        <c:v>67</c:v>
                      </c:pt>
                      <c:pt idx="148">
                        <c:v>67</c:v>
                      </c:pt>
                      <c:pt idx="149">
                        <c:v>63</c:v>
                      </c:pt>
                      <c:pt idx="150">
                        <c:v>63</c:v>
                      </c:pt>
                      <c:pt idx="151">
                        <c:v>60</c:v>
                      </c:pt>
                      <c:pt idx="152">
                        <c:v>46</c:v>
                      </c:pt>
                      <c:pt idx="153">
                        <c:v>34</c:v>
                      </c:pt>
                      <c:pt idx="154">
                        <c:v>30</c:v>
                      </c:pt>
                      <c:pt idx="155">
                        <c:v>409</c:v>
                      </c:pt>
                      <c:pt idx="156">
                        <c:v>409</c:v>
                      </c:pt>
                      <c:pt idx="157">
                        <c:v>403</c:v>
                      </c:pt>
                      <c:pt idx="158">
                        <c:v>403</c:v>
                      </c:pt>
                      <c:pt idx="159">
                        <c:v>403</c:v>
                      </c:pt>
                      <c:pt idx="160">
                        <c:v>384</c:v>
                      </c:pt>
                      <c:pt idx="161">
                        <c:v>379</c:v>
                      </c:pt>
                      <c:pt idx="162">
                        <c:v>379</c:v>
                      </c:pt>
                      <c:pt idx="163">
                        <c:v>378</c:v>
                      </c:pt>
                      <c:pt idx="164">
                        <c:v>375</c:v>
                      </c:pt>
                      <c:pt idx="165">
                        <c:v>374</c:v>
                      </c:pt>
                      <c:pt idx="166">
                        <c:v>364</c:v>
                      </c:pt>
                      <c:pt idx="167">
                        <c:v>355</c:v>
                      </c:pt>
                      <c:pt idx="168">
                        <c:v>343</c:v>
                      </c:pt>
                      <c:pt idx="169">
                        <c:v>338</c:v>
                      </c:pt>
                      <c:pt idx="170">
                        <c:v>334</c:v>
                      </c:pt>
                      <c:pt idx="171">
                        <c:v>306</c:v>
                      </c:pt>
                      <c:pt idx="172">
                        <c:v>303</c:v>
                      </c:pt>
                      <c:pt idx="173">
                        <c:v>298</c:v>
                      </c:pt>
                      <c:pt idx="174">
                        <c:v>293</c:v>
                      </c:pt>
                      <c:pt idx="175">
                        <c:v>286</c:v>
                      </c:pt>
                      <c:pt idx="176">
                        <c:v>276</c:v>
                      </c:pt>
                      <c:pt idx="177">
                        <c:v>260</c:v>
                      </c:pt>
                      <c:pt idx="178">
                        <c:v>256</c:v>
                      </c:pt>
                      <c:pt idx="179">
                        <c:v>254</c:v>
                      </c:pt>
                      <c:pt idx="180">
                        <c:v>246</c:v>
                      </c:pt>
                      <c:pt idx="181">
                        <c:v>245</c:v>
                      </c:pt>
                      <c:pt idx="182">
                        <c:v>243</c:v>
                      </c:pt>
                      <c:pt idx="183">
                        <c:v>236</c:v>
                      </c:pt>
                      <c:pt idx="184">
                        <c:v>222</c:v>
                      </c:pt>
                      <c:pt idx="185">
                        <c:v>211</c:v>
                      </c:pt>
                      <c:pt idx="186">
                        <c:v>161</c:v>
                      </c:pt>
                      <c:pt idx="187">
                        <c:v>157</c:v>
                      </c:pt>
                      <c:pt idx="188">
                        <c:v>145</c:v>
                      </c:pt>
                      <c:pt idx="189">
                        <c:v>119</c:v>
                      </c:pt>
                      <c:pt idx="190">
                        <c:v>119</c:v>
                      </c:pt>
                      <c:pt idx="191">
                        <c:v>119</c:v>
                      </c:pt>
                      <c:pt idx="192">
                        <c:v>106</c:v>
                      </c:pt>
                      <c:pt idx="193">
                        <c:v>99</c:v>
                      </c:pt>
                      <c:pt idx="194">
                        <c:v>99</c:v>
                      </c:pt>
                      <c:pt idx="195">
                        <c:v>97</c:v>
                      </c:pt>
                      <c:pt idx="196">
                        <c:v>97</c:v>
                      </c:pt>
                      <c:pt idx="197">
                        <c:v>67</c:v>
                      </c:pt>
                      <c:pt idx="198">
                        <c:v>67</c:v>
                      </c:pt>
                      <c:pt idx="199">
                        <c:v>63</c:v>
                      </c:pt>
                      <c:pt idx="200">
                        <c:v>63</c:v>
                      </c:pt>
                      <c:pt idx="201">
                        <c:v>60</c:v>
                      </c:pt>
                      <c:pt idx="202">
                        <c:v>46</c:v>
                      </c:pt>
                      <c:pt idx="203">
                        <c:v>34</c:v>
                      </c:pt>
                      <c:pt idx="204">
                        <c:v>30</c:v>
                      </c:pt>
                      <c:pt idx="205">
                        <c:v>409</c:v>
                      </c:pt>
                      <c:pt idx="206">
                        <c:v>409</c:v>
                      </c:pt>
                      <c:pt idx="207">
                        <c:v>403</c:v>
                      </c:pt>
                      <c:pt idx="208">
                        <c:v>403</c:v>
                      </c:pt>
                      <c:pt idx="209">
                        <c:v>403</c:v>
                      </c:pt>
                      <c:pt idx="210">
                        <c:v>384</c:v>
                      </c:pt>
                      <c:pt idx="211">
                        <c:v>379</c:v>
                      </c:pt>
                      <c:pt idx="212">
                        <c:v>379</c:v>
                      </c:pt>
                      <c:pt idx="213">
                        <c:v>378</c:v>
                      </c:pt>
                      <c:pt idx="214">
                        <c:v>375</c:v>
                      </c:pt>
                      <c:pt idx="215">
                        <c:v>374</c:v>
                      </c:pt>
                      <c:pt idx="216">
                        <c:v>364</c:v>
                      </c:pt>
                      <c:pt idx="217">
                        <c:v>355</c:v>
                      </c:pt>
                      <c:pt idx="218">
                        <c:v>343</c:v>
                      </c:pt>
                      <c:pt idx="219">
                        <c:v>338</c:v>
                      </c:pt>
                      <c:pt idx="220">
                        <c:v>334</c:v>
                      </c:pt>
                      <c:pt idx="221">
                        <c:v>306</c:v>
                      </c:pt>
                      <c:pt idx="222">
                        <c:v>303</c:v>
                      </c:pt>
                      <c:pt idx="223">
                        <c:v>298</c:v>
                      </c:pt>
                      <c:pt idx="224">
                        <c:v>293</c:v>
                      </c:pt>
                      <c:pt idx="225">
                        <c:v>286</c:v>
                      </c:pt>
                      <c:pt idx="226">
                        <c:v>276</c:v>
                      </c:pt>
                      <c:pt idx="227">
                        <c:v>260</c:v>
                      </c:pt>
                      <c:pt idx="228">
                        <c:v>256</c:v>
                      </c:pt>
                      <c:pt idx="229">
                        <c:v>254</c:v>
                      </c:pt>
                      <c:pt idx="230">
                        <c:v>246</c:v>
                      </c:pt>
                      <c:pt idx="231">
                        <c:v>245</c:v>
                      </c:pt>
                      <c:pt idx="232">
                        <c:v>243</c:v>
                      </c:pt>
                      <c:pt idx="233">
                        <c:v>236</c:v>
                      </c:pt>
                      <c:pt idx="234">
                        <c:v>222</c:v>
                      </c:pt>
                      <c:pt idx="235">
                        <c:v>211</c:v>
                      </c:pt>
                      <c:pt idx="236">
                        <c:v>161</c:v>
                      </c:pt>
                      <c:pt idx="237">
                        <c:v>157</c:v>
                      </c:pt>
                      <c:pt idx="238">
                        <c:v>145</c:v>
                      </c:pt>
                      <c:pt idx="239">
                        <c:v>119</c:v>
                      </c:pt>
                      <c:pt idx="240">
                        <c:v>119</c:v>
                      </c:pt>
                      <c:pt idx="241">
                        <c:v>119</c:v>
                      </c:pt>
                      <c:pt idx="242">
                        <c:v>106</c:v>
                      </c:pt>
                      <c:pt idx="243">
                        <c:v>99</c:v>
                      </c:pt>
                      <c:pt idx="244">
                        <c:v>99</c:v>
                      </c:pt>
                      <c:pt idx="245">
                        <c:v>97</c:v>
                      </c:pt>
                      <c:pt idx="246">
                        <c:v>97</c:v>
                      </c:pt>
                      <c:pt idx="247">
                        <c:v>67</c:v>
                      </c:pt>
                      <c:pt idx="248">
                        <c:v>67</c:v>
                      </c:pt>
                      <c:pt idx="249">
                        <c:v>63</c:v>
                      </c:pt>
                      <c:pt idx="250">
                        <c:v>63</c:v>
                      </c:pt>
                      <c:pt idx="251">
                        <c:v>60</c:v>
                      </c:pt>
                      <c:pt idx="252">
                        <c:v>46</c:v>
                      </c:pt>
                      <c:pt idx="253">
                        <c:v>34</c:v>
                      </c:pt>
                      <c:pt idx="254">
                        <c:v>30</c:v>
                      </c:pt>
                      <c:pt idx="255">
                        <c:v>405</c:v>
                      </c:pt>
                      <c:pt idx="256">
                        <c:v>405</c:v>
                      </c:pt>
                      <c:pt idx="257">
                        <c:v>399</c:v>
                      </c:pt>
                      <c:pt idx="258">
                        <c:v>399</c:v>
                      </c:pt>
                      <c:pt idx="259">
                        <c:v>399</c:v>
                      </c:pt>
                      <c:pt idx="260">
                        <c:v>380</c:v>
                      </c:pt>
                      <c:pt idx="261">
                        <c:v>375</c:v>
                      </c:pt>
                      <c:pt idx="262">
                        <c:v>375</c:v>
                      </c:pt>
                      <c:pt idx="263">
                        <c:v>374</c:v>
                      </c:pt>
                      <c:pt idx="264">
                        <c:v>371</c:v>
                      </c:pt>
                      <c:pt idx="265">
                        <c:v>370</c:v>
                      </c:pt>
                      <c:pt idx="266">
                        <c:v>360</c:v>
                      </c:pt>
                      <c:pt idx="267">
                        <c:v>355</c:v>
                      </c:pt>
                      <c:pt idx="268">
                        <c:v>343</c:v>
                      </c:pt>
                      <c:pt idx="269">
                        <c:v>338</c:v>
                      </c:pt>
                      <c:pt idx="270">
                        <c:v>334</c:v>
                      </c:pt>
                      <c:pt idx="271">
                        <c:v>306</c:v>
                      </c:pt>
                      <c:pt idx="272">
                        <c:v>303</c:v>
                      </c:pt>
                      <c:pt idx="273">
                        <c:v>298</c:v>
                      </c:pt>
                      <c:pt idx="274">
                        <c:v>293</c:v>
                      </c:pt>
                      <c:pt idx="275">
                        <c:v>286</c:v>
                      </c:pt>
                      <c:pt idx="276">
                        <c:v>276</c:v>
                      </c:pt>
                      <c:pt idx="277">
                        <c:v>260</c:v>
                      </c:pt>
                      <c:pt idx="278">
                        <c:v>256</c:v>
                      </c:pt>
                      <c:pt idx="279">
                        <c:v>254</c:v>
                      </c:pt>
                      <c:pt idx="280">
                        <c:v>246</c:v>
                      </c:pt>
                      <c:pt idx="281">
                        <c:v>245</c:v>
                      </c:pt>
                      <c:pt idx="282">
                        <c:v>243</c:v>
                      </c:pt>
                      <c:pt idx="283">
                        <c:v>236</c:v>
                      </c:pt>
                      <c:pt idx="284">
                        <c:v>222</c:v>
                      </c:pt>
                      <c:pt idx="285">
                        <c:v>211</c:v>
                      </c:pt>
                      <c:pt idx="286">
                        <c:v>161</c:v>
                      </c:pt>
                      <c:pt idx="287">
                        <c:v>157</c:v>
                      </c:pt>
                      <c:pt idx="288">
                        <c:v>145</c:v>
                      </c:pt>
                      <c:pt idx="289">
                        <c:v>119</c:v>
                      </c:pt>
                      <c:pt idx="290">
                        <c:v>119</c:v>
                      </c:pt>
                      <c:pt idx="291">
                        <c:v>119</c:v>
                      </c:pt>
                      <c:pt idx="292">
                        <c:v>106</c:v>
                      </c:pt>
                      <c:pt idx="293">
                        <c:v>99</c:v>
                      </c:pt>
                      <c:pt idx="294">
                        <c:v>99</c:v>
                      </c:pt>
                      <c:pt idx="295">
                        <c:v>97</c:v>
                      </c:pt>
                      <c:pt idx="296">
                        <c:v>97</c:v>
                      </c:pt>
                      <c:pt idx="297">
                        <c:v>67</c:v>
                      </c:pt>
                      <c:pt idx="298">
                        <c:v>67</c:v>
                      </c:pt>
                      <c:pt idx="299">
                        <c:v>63</c:v>
                      </c:pt>
                      <c:pt idx="300">
                        <c:v>63</c:v>
                      </c:pt>
                      <c:pt idx="301">
                        <c:v>60</c:v>
                      </c:pt>
                      <c:pt idx="302">
                        <c:v>46</c:v>
                      </c:pt>
                      <c:pt idx="303">
                        <c:v>34</c:v>
                      </c:pt>
                      <c:pt idx="304">
                        <c:v>30</c:v>
                      </c:pt>
                      <c:pt idx="305">
                        <c:v>218</c:v>
                      </c:pt>
                      <c:pt idx="306">
                        <c:v>218</c:v>
                      </c:pt>
                      <c:pt idx="307">
                        <c:v>212</c:v>
                      </c:pt>
                      <c:pt idx="308">
                        <c:v>212</c:v>
                      </c:pt>
                      <c:pt idx="309">
                        <c:v>212</c:v>
                      </c:pt>
                      <c:pt idx="310">
                        <c:v>161</c:v>
                      </c:pt>
                      <c:pt idx="311">
                        <c:v>157</c:v>
                      </c:pt>
                      <c:pt idx="312">
                        <c:v>145</c:v>
                      </c:pt>
                      <c:pt idx="313">
                        <c:v>119</c:v>
                      </c:pt>
                      <c:pt idx="314">
                        <c:v>119</c:v>
                      </c:pt>
                      <c:pt idx="315">
                        <c:v>119</c:v>
                      </c:pt>
                      <c:pt idx="316">
                        <c:v>106</c:v>
                      </c:pt>
                      <c:pt idx="317">
                        <c:v>99</c:v>
                      </c:pt>
                      <c:pt idx="318">
                        <c:v>99</c:v>
                      </c:pt>
                      <c:pt idx="319">
                        <c:v>97</c:v>
                      </c:pt>
                      <c:pt idx="320">
                        <c:v>97</c:v>
                      </c:pt>
                      <c:pt idx="321">
                        <c:v>67</c:v>
                      </c:pt>
                      <c:pt idx="322">
                        <c:v>67</c:v>
                      </c:pt>
                      <c:pt idx="323">
                        <c:v>63</c:v>
                      </c:pt>
                      <c:pt idx="324">
                        <c:v>63</c:v>
                      </c:pt>
                      <c:pt idx="325">
                        <c:v>60</c:v>
                      </c:pt>
                      <c:pt idx="326">
                        <c:v>46</c:v>
                      </c:pt>
                      <c:pt idx="327">
                        <c:v>34</c:v>
                      </c:pt>
                      <c:pt idx="328">
                        <c:v>30</c:v>
                      </c:pt>
                      <c:pt idx="329">
                        <c:v>218</c:v>
                      </c:pt>
                      <c:pt idx="330">
                        <c:v>218</c:v>
                      </c:pt>
                      <c:pt idx="331">
                        <c:v>218</c:v>
                      </c:pt>
                      <c:pt idx="332">
                        <c:v>218</c:v>
                      </c:pt>
                      <c:pt idx="333">
                        <c:v>218</c:v>
                      </c:pt>
                      <c:pt idx="334">
                        <c:v>180</c:v>
                      </c:pt>
                      <c:pt idx="335">
                        <c:v>180</c:v>
                      </c:pt>
                      <c:pt idx="336">
                        <c:v>180</c:v>
                      </c:pt>
                      <c:pt idx="337">
                        <c:v>180</c:v>
                      </c:pt>
                      <c:pt idx="338">
                        <c:v>180</c:v>
                      </c:pt>
                      <c:pt idx="339">
                        <c:v>180</c:v>
                      </c:pt>
                      <c:pt idx="340">
                        <c:v>358</c:v>
                      </c:pt>
                      <c:pt idx="341">
                        <c:v>320</c:v>
                      </c:pt>
                      <c:pt idx="342">
                        <c:v>320</c:v>
                      </c:pt>
                      <c:pt idx="343">
                        <c:v>249</c:v>
                      </c:pt>
                      <c:pt idx="344">
                        <c:v>249</c:v>
                      </c:pt>
                      <c:pt idx="345">
                        <c:v>216</c:v>
                      </c:pt>
                      <c:pt idx="346">
                        <c:v>74</c:v>
                      </c:pt>
                      <c:pt idx="347">
                        <c:v>57</c:v>
                      </c:pt>
                      <c:pt idx="348">
                        <c:v>52</c:v>
                      </c:pt>
                      <c:pt idx="349">
                        <c:v>52</c:v>
                      </c:pt>
                      <c:pt idx="350">
                        <c:v>7</c:v>
                      </c:pt>
                      <c:pt idx="351">
                        <c:v>320</c:v>
                      </c:pt>
                      <c:pt idx="352">
                        <c:v>320</c:v>
                      </c:pt>
                      <c:pt idx="353">
                        <c:v>249</c:v>
                      </c:pt>
                      <c:pt idx="354">
                        <c:v>249</c:v>
                      </c:pt>
                      <c:pt idx="355">
                        <c:v>216</c:v>
                      </c:pt>
                      <c:pt idx="356">
                        <c:v>74</c:v>
                      </c:pt>
                      <c:pt idx="357">
                        <c:v>57</c:v>
                      </c:pt>
                      <c:pt idx="358">
                        <c:v>52</c:v>
                      </c:pt>
                      <c:pt idx="359">
                        <c:v>52</c:v>
                      </c:pt>
                      <c:pt idx="360">
                        <c:v>7</c:v>
                      </c:pt>
                      <c:pt idx="361">
                        <c:v>358</c:v>
                      </c:pt>
                      <c:pt idx="362">
                        <c:v>320</c:v>
                      </c:pt>
                      <c:pt idx="363">
                        <c:v>320</c:v>
                      </c:pt>
                      <c:pt idx="364">
                        <c:v>249</c:v>
                      </c:pt>
                      <c:pt idx="365">
                        <c:v>249</c:v>
                      </c:pt>
                      <c:pt idx="366">
                        <c:v>216</c:v>
                      </c:pt>
                      <c:pt idx="367">
                        <c:v>74</c:v>
                      </c:pt>
                      <c:pt idx="368">
                        <c:v>57</c:v>
                      </c:pt>
                      <c:pt idx="369">
                        <c:v>52</c:v>
                      </c:pt>
                      <c:pt idx="370">
                        <c:v>52</c:v>
                      </c:pt>
                      <c:pt idx="371">
                        <c:v>7</c:v>
                      </c:pt>
                      <c:pt idx="372">
                        <c:v>358</c:v>
                      </c:pt>
                      <c:pt idx="373">
                        <c:v>320</c:v>
                      </c:pt>
                      <c:pt idx="374">
                        <c:v>320</c:v>
                      </c:pt>
                      <c:pt idx="375">
                        <c:v>249</c:v>
                      </c:pt>
                      <c:pt idx="376">
                        <c:v>249</c:v>
                      </c:pt>
                      <c:pt idx="377">
                        <c:v>216</c:v>
                      </c:pt>
                      <c:pt idx="378">
                        <c:v>74</c:v>
                      </c:pt>
                      <c:pt idx="379">
                        <c:v>57</c:v>
                      </c:pt>
                      <c:pt idx="380">
                        <c:v>52</c:v>
                      </c:pt>
                      <c:pt idx="381">
                        <c:v>52</c:v>
                      </c:pt>
                      <c:pt idx="382">
                        <c:v>7</c:v>
                      </c:pt>
                      <c:pt idx="383">
                        <c:v>320</c:v>
                      </c:pt>
                      <c:pt idx="384">
                        <c:v>320</c:v>
                      </c:pt>
                      <c:pt idx="385">
                        <c:v>249</c:v>
                      </c:pt>
                      <c:pt idx="386">
                        <c:v>249</c:v>
                      </c:pt>
                      <c:pt idx="387">
                        <c:v>216</c:v>
                      </c:pt>
                      <c:pt idx="388">
                        <c:v>74</c:v>
                      </c:pt>
                      <c:pt idx="389">
                        <c:v>57</c:v>
                      </c:pt>
                      <c:pt idx="390">
                        <c:v>52</c:v>
                      </c:pt>
                      <c:pt idx="391">
                        <c:v>52</c:v>
                      </c:pt>
                      <c:pt idx="392">
                        <c:v>7</c:v>
                      </c:pt>
                      <c:pt idx="393">
                        <c:v>74</c:v>
                      </c:pt>
                      <c:pt idx="394">
                        <c:v>57</c:v>
                      </c:pt>
                      <c:pt idx="395">
                        <c:v>52</c:v>
                      </c:pt>
                      <c:pt idx="396">
                        <c:v>52</c:v>
                      </c:pt>
                      <c:pt idx="397">
                        <c:v>7</c:v>
                      </c:pt>
                      <c:pt idx="398">
                        <c:v>409</c:v>
                      </c:pt>
                      <c:pt idx="399">
                        <c:v>409</c:v>
                      </c:pt>
                      <c:pt idx="400">
                        <c:v>409</c:v>
                      </c:pt>
                      <c:pt idx="401">
                        <c:v>405</c:v>
                      </c:pt>
                      <c:pt idx="402">
                        <c:v>218</c:v>
                      </c:pt>
                      <c:pt idx="403">
                        <c:v>280</c:v>
                      </c:pt>
                      <c:pt idx="404">
                        <c:v>65</c:v>
                      </c:pt>
                      <c:pt idx="405">
                        <c:v>280</c:v>
                      </c:pt>
                      <c:pt idx="406">
                        <c:v>65</c:v>
                      </c:pt>
                      <c:pt idx="407">
                        <c:v>280</c:v>
                      </c:pt>
                      <c:pt idx="408">
                        <c:v>65</c:v>
                      </c:pt>
                      <c:pt idx="409">
                        <c:v>280</c:v>
                      </c:pt>
                      <c:pt idx="410">
                        <c:v>65</c:v>
                      </c:pt>
                      <c:pt idx="411">
                        <c:v>280</c:v>
                      </c:pt>
                      <c:pt idx="412">
                        <c:v>65</c:v>
                      </c:pt>
                      <c:pt idx="413">
                        <c:v>65</c:v>
                      </c:pt>
                      <c:pt idx="414">
                        <c:v>382</c:v>
                      </c:pt>
                      <c:pt idx="415">
                        <c:v>382</c:v>
                      </c:pt>
                      <c:pt idx="416">
                        <c:v>281</c:v>
                      </c:pt>
                      <c:pt idx="417">
                        <c:v>278</c:v>
                      </c:pt>
                      <c:pt idx="418">
                        <c:v>201</c:v>
                      </c:pt>
                      <c:pt idx="419">
                        <c:v>76</c:v>
                      </c:pt>
                      <c:pt idx="420">
                        <c:v>64</c:v>
                      </c:pt>
                      <c:pt idx="421">
                        <c:v>12</c:v>
                      </c:pt>
                      <c:pt idx="422">
                        <c:v>281</c:v>
                      </c:pt>
                      <c:pt idx="423">
                        <c:v>278</c:v>
                      </c:pt>
                      <c:pt idx="424">
                        <c:v>201</c:v>
                      </c:pt>
                      <c:pt idx="425">
                        <c:v>76</c:v>
                      </c:pt>
                      <c:pt idx="426">
                        <c:v>64</c:v>
                      </c:pt>
                      <c:pt idx="427">
                        <c:v>12</c:v>
                      </c:pt>
                      <c:pt idx="428">
                        <c:v>382</c:v>
                      </c:pt>
                      <c:pt idx="429">
                        <c:v>382</c:v>
                      </c:pt>
                      <c:pt idx="430">
                        <c:v>281</c:v>
                      </c:pt>
                      <c:pt idx="431">
                        <c:v>278</c:v>
                      </c:pt>
                      <c:pt idx="432">
                        <c:v>201</c:v>
                      </c:pt>
                      <c:pt idx="433">
                        <c:v>76</c:v>
                      </c:pt>
                      <c:pt idx="434">
                        <c:v>64</c:v>
                      </c:pt>
                      <c:pt idx="435">
                        <c:v>12</c:v>
                      </c:pt>
                      <c:pt idx="436">
                        <c:v>382</c:v>
                      </c:pt>
                      <c:pt idx="437">
                        <c:v>382</c:v>
                      </c:pt>
                      <c:pt idx="438">
                        <c:v>281</c:v>
                      </c:pt>
                      <c:pt idx="439">
                        <c:v>278</c:v>
                      </c:pt>
                      <c:pt idx="440">
                        <c:v>201</c:v>
                      </c:pt>
                      <c:pt idx="441">
                        <c:v>76</c:v>
                      </c:pt>
                      <c:pt idx="442">
                        <c:v>64</c:v>
                      </c:pt>
                      <c:pt idx="443">
                        <c:v>12</c:v>
                      </c:pt>
                      <c:pt idx="444">
                        <c:v>378</c:v>
                      </c:pt>
                      <c:pt idx="445">
                        <c:v>378</c:v>
                      </c:pt>
                      <c:pt idx="446">
                        <c:v>281</c:v>
                      </c:pt>
                      <c:pt idx="447">
                        <c:v>278</c:v>
                      </c:pt>
                      <c:pt idx="448">
                        <c:v>201</c:v>
                      </c:pt>
                      <c:pt idx="449">
                        <c:v>76</c:v>
                      </c:pt>
                      <c:pt idx="450">
                        <c:v>64</c:v>
                      </c:pt>
                      <c:pt idx="451">
                        <c:v>12</c:v>
                      </c:pt>
                      <c:pt idx="452">
                        <c:v>76</c:v>
                      </c:pt>
                      <c:pt idx="453">
                        <c:v>64</c:v>
                      </c:pt>
                      <c:pt idx="454">
                        <c:v>12</c:v>
                      </c:pt>
                      <c:pt idx="455">
                        <c:v>139</c:v>
                      </c:pt>
                      <c:pt idx="456">
                        <c:v>116</c:v>
                      </c:pt>
                      <c:pt idx="457">
                        <c:v>91</c:v>
                      </c:pt>
                      <c:pt idx="458">
                        <c:v>77</c:v>
                      </c:pt>
                      <c:pt idx="459">
                        <c:v>139</c:v>
                      </c:pt>
                      <c:pt idx="460">
                        <c:v>116</c:v>
                      </c:pt>
                      <c:pt idx="461">
                        <c:v>91</c:v>
                      </c:pt>
                      <c:pt idx="462">
                        <c:v>77</c:v>
                      </c:pt>
                      <c:pt idx="463">
                        <c:v>139</c:v>
                      </c:pt>
                      <c:pt idx="464">
                        <c:v>116</c:v>
                      </c:pt>
                      <c:pt idx="465">
                        <c:v>91</c:v>
                      </c:pt>
                      <c:pt idx="466">
                        <c:v>77</c:v>
                      </c:pt>
                      <c:pt idx="467">
                        <c:v>139</c:v>
                      </c:pt>
                      <c:pt idx="468">
                        <c:v>116</c:v>
                      </c:pt>
                      <c:pt idx="469">
                        <c:v>91</c:v>
                      </c:pt>
                      <c:pt idx="470">
                        <c:v>77</c:v>
                      </c:pt>
                      <c:pt idx="471">
                        <c:v>139</c:v>
                      </c:pt>
                      <c:pt idx="472">
                        <c:v>116</c:v>
                      </c:pt>
                      <c:pt idx="473">
                        <c:v>91</c:v>
                      </c:pt>
                      <c:pt idx="474">
                        <c:v>77</c:v>
                      </c:pt>
                      <c:pt idx="475">
                        <c:v>139</c:v>
                      </c:pt>
                      <c:pt idx="476">
                        <c:v>116</c:v>
                      </c:pt>
                      <c:pt idx="477">
                        <c:v>91</c:v>
                      </c:pt>
                      <c:pt idx="478">
                        <c:v>77</c:v>
                      </c:pt>
                      <c:pt idx="479">
                        <c:v>288</c:v>
                      </c:pt>
                      <c:pt idx="480">
                        <c:v>288</c:v>
                      </c:pt>
                      <c:pt idx="481">
                        <c:v>288</c:v>
                      </c:pt>
                      <c:pt idx="482">
                        <c:v>288</c:v>
                      </c:pt>
                      <c:pt idx="483">
                        <c:v>288</c:v>
                      </c:pt>
                      <c:pt idx="484">
                        <c:v>415</c:v>
                      </c:pt>
                      <c:pt idx="485">
                        <c:v>404</c:v>
                      </c:pt>
                      <c:pt idx="486">
                        <c:v>404</c:v>
                      </c:pt>
                      <c:pt idx="487">
                        <c:v>386</c:v>
                      </c:pt>
                      <c:pt idx="488">
                        <c:v>386</c:v>
                      </c:pt>
                      <c:pt idx="489">
                        <c:v>386</c:v>
                      </c:pt>
                      <c:pt idx="490">
                        <c:v>386</c:v>
                      </c:pt>
                      <c:pt idx="491">
                        <c:v>386</c:v>
                      </c:pt>
                      <c:pt idx="492">
                        <c:v>380</c:v>
                      </c:pt>
                      <c:pt idx="493">
                        <c:v>374</c:v>
                      </c:pt>
                      <c:pt idx="494">
                        <c:v>359</c:v>
                      </c:pt>
                      <c:pt idx="495">
                        <c:v>357</c:v>
                      </c:pt>
                      <c:pt idx="496">
                        <c:v>357</c:v>
                      </c:pt>
                      <c:pt idx="497">
                        <c:v>354</c:v>
                      </c:pt>
                      <c:pt idx="498">
                        <c:v>350</c:v>
                      </c:pt>
                      <c:pt idx="499">
                        <c:v>333</c:v>
                      </c:pt>
                      <c:pt idx="500">
                        <c:v>331</c:v>
                      </c:pt>
                      <c:pt idx="501">
                        <c:v>331</c:v>
                      </c:pt>
                      <c:pt idx="502">
                        <c:v>326</c:v>
                      </c:pt>
                      <c:pt idx="503">
                        <c:v>326</c:v>
                      </c:pt>
                      <c:pt idx="504">
                        <c:v>314</c:v>
                      </c:pt>
                      <c:pt idx="505">
                        <c:v>297</c:v>
                      </c:pt>
                      <c:pt idx="506">
                        <c:v>297</c:v>
                      </c:pt>
                      <c:pt idx="507">
                        <c:v>294</c:v>
                      </c:pt>
                      <c:pt idx="508">
                        <c:v>292</c:v>
                      </c:pt>
                      <c:pt idx="509">
                        <c:v>287</c:v>
                      </c:pt>
                      <c:pt idx="510">
                        <c:v>283</c:v>
                      </c:pt>
                      <c:pt idx="511">
                        <c:v>282</c:v>
                      </c:pt>
                      <c:pt idx="512">
                        <c:v>279</c:v>
                      </c:pt>
                      <c:pt idx="513">
                        <c:v>265</c:v>
                      </c:pt>
                      <c:pt idx="514">
                        <c:v>234</c:v>
                      </c:pt>
                      <c:pt idx="515">
                        <c:v>234</c:v>
                      </c:pt>
                      <c:pt idx="516">
                        <c:v>226</c:v>
                      </c:pt>
                      <c:pt idx="517">
                        <c:v>209</c:v>
                      </c:pt>
                      <c:pt idx="518">
                        <c:v>198</c:v>
                      </c:pt>
                      <c:pt idx="519">
                        <c:v>196</c:v>
                      </c:pt>
                      <c:pt idx="520">
                        <c:v>185</c:v>
                      </c:pt>
                      <c:pt idx="521">
                        <c:v>166</c:v>
                      </c:pt>
                      <c:pt idx="522">
                        <c:v>166</c:v>
                      </c:pt>
                      <c:pt idx="523">
                        <c:v>153</c:v>
                      </c:pt>
                      <c:pt idx="524">
                        <c:v>152</c:v>
                      </c:pt>
                      <c:pt idx="525">
                        <c:v>146</c:v>
                      </c:pt>
                      <c:pt idx="526">
                        <c:v>132</c:v>
                      </c:pt>
                      <c:pt idx="527">
                        <c:v>116</c:v>
                      </c:pt>
                      <c:pt idx="528">
                        <c:v>113</c:v>
                      </c:pt>
                      <c:pt idx="529">
                        <c:v>112</c:v>
                      </c:pt>
                      <c:pt idx="530">
                        <c:v>112</c:v>
                      </c:pt>
                      <c:pt idx="531">
                        <c:v>111</c:v>
                      </c:pt>
                      <c:pt idx="532">
                        <c:v>100</c:v>
                      </c:pt>
                      <c:pt idx="533">
                        <c:v>84</c:v>
                      </c:pt>
                      <c:pt idx="534">
                        <c:v>81</c:v>
                      </c:pt>
                      <c:pt idx="535">
                        <c:v>79</c:v>
                      </c:pt>
                      <c:pt idx="536">
                        <c:v>71</c:v>
                      </c:pt>
                      <c:pt idx="537">
                        <c:v>69</c:v>
                      </c:pt>
                      <c:pt idx="538">
                        <c:v>69</c:v>
                      </c:pt>
                      <c:pt idx="539">
                        <c:v>58</c:v>
                      </c:pt>
                      <c:pt idx="540">
                        <c:v>58</c:v>
                      </c:pt>
                      <c:pt idx="541">
                        <c:v>39</c:v>
                      </c:pt>
                      <c:pt idx="542">
                        <c:v>38</c:v>
                      </c:pt>
                      <c:pt idx="543">
                        <c:v>34</c:v>
                      </c:pt>
                      <c:pt idx="544">
                        <c:v>27</c:v>
                      </c:pt>
                      <c:pt idx="545">
                        <c:v>25</c:v>
                      </c:pt>
                      <c:pt idx="546">
                        <c:v>14</c:v>
                      </c:pt>
                      <c:pt idx="547">
                        <c:v>354</c:v>
                      </c:pt>
                      <c:pt idx="548">
                        <c:v>350</c:v>
                      </c:pt>
                      <c:pt idx="549">
                        <c:v>333</c:v>
                      </c:pt>
                      <c:pt idx="550">
                        <c:v>331</c:v>
                      </c:pt>
                      <c:pt idx="551">
                        <c:v>331</c:v>
                      </c:pt>
                      <c:pt idx="552">
                        <c:v>326</c:v>
                      </c:pt>
                      <c:pt idx="553">
                        <c:v>326</c:v>
                      </c:pt>
                      <c:pt idx="554">
                        <c:v>314</c:v>
                      </c:pt>
                      <c:pt idx="555">
                        <c:v>297</c:v>
                      </c:pt>
                      <c:pt idx="556">
                        <c:v>297</c:v>
                      </c:pt>
                      <c:pt idx="557">
                        <c:v>294</c:v>
                      </c:pt>
                      <c:pt idx="558">
                        <c:v>292</c:v>
                      </c:pt>
                      <c:pt idx="559">
                        <c:v>287</c:v>
                      </c:pt>
                      <c:pt idx="560">
                        <c:v>283</c:v>
                      </c:pt>
                      <c:pt idx="561">
                        <c:v>282</c:v>
                      </c:pt>
                      <c:pt idx="562">
                        <c:v>279</c:v>
                      </c:pt>
                      <c:pt idx="563">
                        <c:v>265</c:v>
                      </c:pt>
                      <c:pt idx="564">
                        <c:v>234</c:v>
                      </c:pt>
                      <c:pt idx="565">
                        <c:v>234</c:v>
                      </c:pt>
                      <c:pt idx="566">
                        <c:v>226</c:v>
                      </c:pt>
                      <c:pt idx="567">
                        <c:v>209</c:v>
                      </c:pt>
                      <c:pt idx="568">
                        <c:v>198</c:v>
                      </c:pt>
                      <c:pt idx="569">
                        <c:v>196</c:v>
                      </c:pt>
                      <c:pt idx="570">
                        <c:v>185</c:v>
                      </c:pt>
                      <c:pt idx="571">
                        <c:v>166</c:v>
                      </c:pt>
                      <c:pt idx="572">
                        <c:v>166</c:v>
                      </c:pt>
                      <c:pt idx="573">
                        <c:v>153</c:v>
                      </c:pt>
                      <c:pt idx="574">
                        <c:v>152</c:v>
                      </c:pt>
                      <c:pt idx="575">
                        <c:v>146</c:v>
                      </c:pt>
                      <c:pt idx="576">
                        <c:v>132</c:v>
                      </c:pt>
                      <c:pt idx="577">
                        <c:v>116</c:v>
                      </c:pt>
                      <c:pt idx="578">
                        <c:v>113</c:v>
                      </c:pt>
                      <c:pt idx="579">
                        <c:v>112</c:v>
                      </c:pt>
                      <c:pt idx="580">
                        <c:v>112</c:v>
                      </c:pt>
                      <c:pt idx="581">
                        <c:v>111</c:v>
                      </c:pt>
                      <c:pt idx="582">
                        <c:v>100</c:v>
                      </c:pt>
                      <c:pt idx="583">
                        <c:v>84</c:v>
                      </c:pt>
                      <c:pt idx="584">
                        <c:v>81</c:v>
                      </c:pt>
                      <c:pt idx="585">
                        <c:v>79</c:v>
                      </c:pt>
                      <c:pt idx="586">
                        <c:v>71</c:v>
                      </c:pt>
                      <c:pt idx="587">
                        <c:v>69</c:v>
                      </c:pt>
                      <c:pt idx="588">
                        <c:v>69</c:v>
                      </c:pt>
                      <c:pt idx="589">
                        <c:v>58</c:v>
                      </c:pt>
                      <c:pt idx="590">
                        <c:v>58</c:v>
                      </c:pt>
                      <c:pt idx="591">
                        <c:v>39</c:v>
                      </c:pt>
                      <c:pt idx="592">
                        <c:v>38</c:v>
                      </c:pt>
                      <c:pt idx="593">
                        <c:v>34</c:v>
                      </c:pt>
                      <c:pt idx="594">
                        <c:v>27</c:v>
                      </c:pt>
                      <c:pt idx="595">
                        <c:v>25</c:v>
                      </c:pt>
                      <c:pt idx="596">
                        <c:v>14</c:v>
                      </c:pt>
                      <c:pt idx="597">
                        <c:v>415</c:v>
                      </c:pt>
                      <c:pt idx="598">
                        <c:v>404</c:v>
                      </c:pt>
                      <c:pt idx="599">
                        <c:v>404</c:v>
                      </c:pt>
                      <c:pt idx="600">
                        <c:v>386</c:v>
                      </c:pt>
                      <c:pt idx="601">
                        <c:v>386</c:v>
                      </c:pt>
                      <c:pt idx="602">
                        <c:v>386</c:v>
                      </c:pt>
                      <c:pt idx="603">
                        <c:v>386</c:v>
                      </c:pt>
                      <c:pt idx="604">
                        <c:v>386</c:v>
                      </c:pt>
                      <c:pt idx="605">
                        <c:v>380</c:v>
                      </c:pt>
                      <c:pt idx="606">
                        <c:v>374</c:v>
                      </c:pt>
                      <c:pt idx="607">
                        <c:v>359</c:v>
                      </c:pt>
                      <c:pt idx="608">
                        <c:v>357</c:v>
                      </c:pt>
                      <c:pt idx="609">
                        <c:v>357</c:v>
                      </c:pt>
                      <c:pt idx="610">
                        <c:v>354</c:v>
                      </c:pt>
                      <c:pt idx="611">
                        <c:v>350</c:v>
                      </c:pt>
                      <c:pt idx="612">
                        <c:v>333</c:v>
                      </c:pt>
                      <c:pt idx="613">
                        <c:v>331</c:v>
                      </c:pt>
                      <c:pt idx="614">
                        <c:v>331</c:v>
                      </c:pt>
                      <c:pt idx="615">
                        <c:v>326</c:v>
                      </c:pt>
                      <c:pt idx="616">
                        <c:v>326</c:v>
                      </c:pt>
                      <c:pt idx="617">
                        <c:v>314</c:v>
                      </c:pt>
                      <c:pt idx="618">
                        <c:v>297</c:v>
                      </c:pt>
                      <c:pt idx="619">
                        <c:v>297</c:v>
                      </c:pt>
                      <c:pt idx="620">
                        <c:v>294</c:v>
                      </c:pt>
                      <c:pt idx="621">
                        <c:v>292</c:v>
                      </c:pt>
                      <c:pt idx="622">
                        <c:v>287</c:v>
                      </c:pt>
                      <c:pt idx="623">
                        <c:v>283</c:v>
                      </c:pt>
                      <c:pt idx="624">
                        <c:v>282</c:v>
                      </c:pt>
                      <c:pt idx="625">
                        <c:v>279</c:v>
                      </c:pt>
                      <c:pt idx="626">
                        <c:v>265</c:v>
                      </c:pt>
                      <c:pt idx="627">
                        <c:v>234</c:v>
                      </c:pt>
                      <c:pt idx="628">
                        <c:v>234</c:v>
                      </c:pt>
                      <c:pt idx="629">
                        <c:v>226</c:v>
                      </c:pt>
                      <c:pt idx="630">
                        <c:v>209</c:v>
                      </c:pt>
                      <c:pt idx="631">
                        <c:v>198</c:v>
                      </c:pt>
                      <c:pt idx="632">
                        <c:v>196</c:v>
                      </c:pt>
                      <c:pt idx="633">
                        <c:v>185</c:v>
                      </c:pt>
                      <c:pt idx="634">
                        <c:v>166</c:v>
                      </c:pt>
                      <c:pt idx="635">
                        <c:v>166</c:v>
                      </c:pt>
                      <c:pt idx="636">
                        <c:v>153</c:v>
                      </c:pt>
                      <c:pt idx="637">
                        <c:v>152</c:v>
                      </c:pt>
                      <c:pt idx="638">
                        <c:v>146</c:v>
                      </c:pt>
                      <c:pt idx="639">
                        <c:v>132</c:v>
                      </c:pt>
                      <c:pt idx="640">
                        <c:v>116</c:v>
                      </c:pt>
                      <c:pt idx="641">
                        <c:v>113</c:v>
                      </c:pt>
                      <c:pt idx="642">
                        <c:v>112</c:v>
                      </c:pt>
                      <c:pt idx="643">
                        <c:v>112</c:v>
                      </c:pt>
                      <c:pt idx="644">
                        <c:v>111</c:v>
                      </c:pt>
                      <c:pt idx="645">
                        <c:v>100</c:v>
                      </c:pt>
                      <c:pt idx="646">
                        <c:v>84</c:v>
                      </c:pt>
                      <c:pt idx="647">
                        <c:v>81</c:v>
                      </c:pt>
                      <c:pt idx="648">
                        <c:v>79</c:v>
                      </c:pt>
                      <c:pt idx="649">
                        <c:v>71</c:v>
                      </c:pt>
                      <c:pt idx="650">
                        <c:v>69</c:v>
                      </c:pt>
                      <c:pt idx="651">
                        <c:v>69</c:v>
                      </c:pt>
                      <c:pt idx="652">
                        <c:v>58</c:v>
                      </c:pt>
                      <c:pt idx="653">
                        <c:v>58</c:v>
                      </c:pt>
                      <c:pt idx="654">
                        <c:v>39</c:v>
                      </c:pt>
                      <c:pt idx="655">
                        <c:v>38</c:v>
                      </c:pt>
                      <c:pt idx="656">
                        <c:v>34</c:v>
                      </c:pt>
                      <c:pt idx="657">
                        <c:v>27</c:v>
                      </c:pt>
                      <c:pt idx="658">
                        <c:v>25</c:v>
                      </c:pt>
                      <c:pt idx="659">
                        <c:v>14</c:v>
                      </c:pt>
                      <c:pt idx="660">
                        <c:v>415</c:v>
                      </c:pt>
                      <c:pt idx="661">
                        <c:v>404</c:v>
                      </c:pt>
                      <c:pt idx="662">
                        <c:v>404</c:v>
                      </c:pt>
                      <c:pt idx="663">
                        <c:v>386</c:v>
                      </c:pt>
                      <c:pt idx="664">
                        <c:v>386</c:v>
                      </c:pt>
                      <c:pt idx="665">
                        <c:v>386</c:v>
                      </c:pt>
                      <c:pt idx="666">
                        <c:v>386</c:v>
                      </c:pt>
                      <c:pt idx="667">
                        <c:v>386</c:v>
                      </c:pt>
                      <c:pt idx="668">
                        <c:v>380</c:v>
                      </c:pt>
                      <c:pt idx="669">
                        <c:v>374</c:v>
                      </c:pt>
                      <c:pt idx="670">
                        <c:v>359</c:v>
                      </c:pt>
                      <c:pt idx="671">
                        <c:v>357</c:v>
                      </c:pt>
                      <c:pt idx="672">
                        <c:v>357</c:v>
                      </c:pt>
                      <c:pt idx="673">
                        <c:v>354</c:v>
                      </c:pt>
                      <c:pt idx="674">
                        <c:v>350</c:v>
                      </c:pt>
                      <c:pt idx="675">
                        <c:v>333</c:v>
                      </c:pt>
                      <c:pt idx="676">
                        <c:v>331</c:v>
                      </c:pt>
                      <c:pt idx="677">
                        <c:v>331</c:v>
                      </c:pt>
                      <c:pt idx="678">
                        <c:v>326</c:v>
                      </c:pt>
                      <c:pt idx="679">
                        <c:v>326</c:v>
                      </c:pt>
                      <c:pt idx="680">
                        <c:v>314</c:v>
                      </c:pt>
                      <c:pt idx="681">
                        <c:v>297</c:v>
                      </c:pt>
                      <c:pt idx="682">
                        <c:v>297</c:v>
                      </c:pt>
                      <c:pt idx="683">
                        <c:v>294</c:v>
                      </c:pt>
                      <c:pt idx="684">
                        <c:v>292</c:v>
                      </c:pt>
                      <c:pt idx="685">
                        <c:v>287</c:v>
                      </c:pt>
                      <c:pt idx="686">
                        <c:v>283</c:v>
                      </c:pt>
                      <c:pt idx="687">
                        <c:v>282</c:v>
                      </c:pt>
                      <c:pt idx="688">
                        <c:v>279</c:v>
                      </c:pt>
                      <c:pt idx="689">
                        <c:v>265</c:v>
                      </c:pt>
                      <c:pt idx="690">
                        <c:v>234</c:v>
                      </c:pt>
                      <c:pt idx="691">
                        <c:v>234</c:v>
                      </c:pt>
                      <c:pt idx="692">
                        <c:v>226</c:v>
                      </c:pt>
                      <c:pt idx="693">
                        <c:v>209</c:v>
                      </c:pt>
                      <c:pt idx="694">
                        <c:v>198</c:v>
                      </c:pt>
                      <c:pt idx="695">
                        <c:v>196</c:v>
                      </c:pt>
                      <c:pt idx="696">
                        <c:v>185</c:v>
                      </c:pt>
                      <c:pt idx="697">
                        <c:v>166</c:v>
                      </c:pt>
                      <c:pt idx="698">
                        <c:v>166</c:v>
                      </c:pt>
                      <c:pt idx="699">
                        <c:v>153</c:v>
                      </c:pt>
                      <c:pt idx="700">
                        <c:v>152</c:v>
                      </c:pt>
                      <c:pt idx="701">
                        <c:v>146</c:v>
                      </c:pt>
                      <c:pt idx="702">
                        <c:v>132</c:v>
                      </c:pt>
                      <c:pt idx="703">
                        <c:v>116</c:v>
                      </c:pt>
                      <c:pt idx="704">
                        <c:v>113</c:v>
                      </c:pt>
                      <c:pt idx="705">
                        <c:v>112</c:v>
                      </c:pt>
                      <c:pt idx="706">
                        <c:v>112</c:v>
                      </c:pt>
                      <c:pt idx="707">
                        <c:v>111</c:v>
                      </c:pt>
                      <c:pt idx="708">
                        <c:v>100</c:v>
                      </c:pt>
                      <c:pt idx="709">
                        <c:v>84</c:v>
                      </c:pt>
                      <c:pt idx="710">
                        <c:v>81</c:v>
                      </c:pt>
                      <c:pt idx="711">
                        <c:v>79</c:v>
                      </c:pt>
                      <c:pt idx="712">
                        <c:v>71</c:v>
                      </c:pt>
                      <c:pt idx="713">
                        <c:v>69</c:v>
                      </c:pt>
                      <c:pt idx="714">
                        <c:v>69</c:v>
                      </c:pt>
                      <c:pt idx="715">
                        <c:v>58</c:v>
                      </c:pt>
                      <c:pt idx="716">
                        <c:v>58</c:v>
                      </c:pt>
                      <c:pt idx="717">
                        <c:v>39</c:v>
                      </c:pt>
                      <c:pt idx="718">
                        <c:v>38</c:v>
                      </c:pt>
                      <c:pt idx="719">
                        <c:v>34</c:v>
                      </c:pt>
                      <c:pt idx="720">
                        <c:v>27</c:v>
                      </c:pt>
                      <c:pt idx="721">
                        <c:v>25</c:v>
                      </c:pt>
                      <c:pt idx="722">
                        <c:v>14</c:v>
                      </c:pt>
                      <c:pt idx="723">
                        <c:v>411</c:v>
                      </c:pt>
                      <c:pt idx="724">
                        <c:v>400</c:v>
                      </c:pt>
                      <c:pt idx="725">
                        <c:v>400</c:v>
                      </c:pt>
                      <c:pt idx="726">
                        <c:v>382</c:v>
                      </c:pt>
                      <c:pt idx="727">
                        <c:v>382</c:v>
                      </c:pt>
                      <c:pt idx="728">
                        <c:v>382</c:v>
                      </c:pt>
                      <c:pt idx="729">
                        <c:v>382</c:v>
                      </c:pt>
                      <c:pt idx="730">
                        <c:v>382</c:v>
                      </c:pt>
                      <c:pt idx="731">
                        <c:v>376</c:v>
                      </c:pt>
                      <c:pt idx="732">
                        <c:v>370</c:v>
                      </c:pt>
                      <c:pt idx="733">
                        <c:v>354</c:v>
                      </c:pt>
                      <c:pt idx="734">
                        <c:v>350</c:v>
                      </c:pt>
                      <c:pt idx="735">
                        <c:v>333</c:v>
                      </c:pt>
                      <c:pt idx="736">
                        <c:v>331</c:v>
                      </c:pt>
                      <c:pt idx="737">
                        <c:v>331</c:v>
                      </c:pt>
                      <c:pt idx="738">
                        <c:v>326</c:v>
                      </c:pt>
                      <c:pt idx="739">
                        <c:v>326</c:v>
                      </c:pt>
                      <c:pt idx="740">
                        <c:v>314</c:v>
                      </c:pt>
                      <c:pt idx="741">
                        <c:v>297</c:v>
                      </c:pt>
                      <c:pt idx="742">
                        <c:v>297</c:v>
                      </c:pt>
                      <c:pt idx="743">
                        <c:v>294</c:v>
                      </c:pt>
                      <c:pt idx="744">
                        <c:v>292</c:v>
                      </c:pt>
                      <c:pt idx="745">
                        <c:v>287</c:v>
                      </c:pt>
                      <c:pt idx="746">
                        <c:v>283</c:v>
                      </c:pt>
                      <c:pt idx="747">
                        <c:v>282</c:v>
                      </c:pt>
                      <c:pt idx="748">
                        <c:v>279</c:v>
                      </c:pt>
                      <c:pt idx="749">
                        <c:v>265</c:v>
                      </c:pt>
                      <c:pt idx="750">
                        <c:v>234</c:v>
                      </c:pt>
                      <c:pt idx="751">
                        <c:v>234</c:v>
                      </c:pt>
                      <c:pt idx="752">
                        <c:v>226</c:v>
                      </c:pt>
                      <c:pt idx="753">
                        <c:v>209</c:v>
                      </c:pt>
                      <c:pt idx="754">
                        <c:v>198</c:v>
                      </c:pt>
                      <c:pt idx="755">
                        <c:v>196</c:v>
                      </c:pt>
                      <c:pt idx="756">
                        <c:v>185</c:v>
                      </c:pt>
                      <c:pt idx="757">
                        <c:v>166</c:v>
                      </c:pt>
                      <c:pt idx="758">
                        <c:v>166</c:v>
                      </c:pt>
                      <c:pt idx="759">
                        <c:v>153</c:v>
                      </c:pt>
                      <c:pt idx="760">
                        <c:v>152</c:v>
                      </c:pt>
                      <c:pt idx="761">
                        <c:v>146</c:v>
                      </c:pt>
                      <c:pt idx="762">
                        <c:v>132</c:v>
                      </c:pt>
                      <c:pt idx="763">
                        <c:v>116</c:v>
                      </c:pt>
                      <c:pt idx="764">
                        <c:v>113</c:v>
                      </c:pt>
                      <c:pt idx="765">
                        <c:v>112</c:v>
                      </c:pt>
                      <c:pt idx="766">
                        <c:v>112</c:v>
                      </c:pt>
                      <c:pt idx="767">
                        <c:v>111</c:v>
                      </c:pt>
                      <c:pt idx="768">
                        <c:v>100</c:v>
                      </c:pt>
                      <c:pt idx="769">
                        <c:v>84</c:v>
                      </c:pt>
                      <c:pt idx="770">
                        <c:v>81</c:v>
                      </c:pt>
                      <c:pt idx="771">
                        <c:v>79</c:v>
                      </c:pt>
                      <c:pt idx="772">
                        <c:v>71</c:v>
                      </c:pt>
                      <c:pt idx="773">
                        <c:v>69</c:v>
                      </c:pt>
                      <c:pt idx="774">
                        <c:v>69</c:v>
                      </c:pt>
                      <c:pt idx="775">
                        <c:v>58</c:v>
                      </c:pt>
                      <c:pt idx="776">
                        <c:v>58</c:v>
                      </c:pt>
                      <c:pt idx="777">
                        <c:v>39</c:v>
                      </c:pt>
                      <c:pt idx="778">
                        <c:v>38</c:v>
                      </c:pt>
                      <c:pt idx="779">
                        <c:v>34</c:v>
                      </c:pt>
                      <c:pt idx="780">
                        <c:v>27</c:v>
                      </c:pt>
                      <c:pt idx="781">
                        <c:v>25</c:v>
                      </c:pt>
                      <c:pt idx="782">
                        <c:v>14</c:v>
                      </c:pt>
                      <c:pt idx="783">
                        <c:v>224</c:v>
                      </c:pt>
                      <c:pt idx="784">
                        <c:v>213</c:v>
                      </c:pt>
                      <c:pt idx="785">
                        <c:v>213</c:v>
                      </c:pt>
                      <c:pt idx="786">
                        <c:v>196</c:v>
                      </c:pt>
                      <c:pt idx="787">
                        <c:v>185</c:v>
                      </c:pt>
                      <c:pt idx="788">
                        <c:v>166</c:v>
                      </c:pt>
                      <c:pt idx="789">
                        <c:v>166</c:v>
                      </c:pt>
                      <c:pt idx="790">
                        <c:v>153</c:v>
                      </c:pt>
                      <c:pt idx="791">
                        <c:v>152</c:v>
                      </c:pt>
                      <c:pt idx="792">
                        <c:v>146</c:v>
                      </c:pt>
                      <c:pt idx="793">
                        <c:v>132</c:v>
                      </c:pt>
                      <c:pt idx="794">
                        <c:v>116</c:v>
                      </c:pt>
                      <c:pt idx="795">
                        <c:v>113</c:v>
                      </c:pt>
                      <c:pt idx="796">
                        <c:v>112</c:v>
                      </c:pt>
                      <c:pt idx="797">
                        <c:v>112</c:v>
                      </c:pt>
                      <c:pt idx="798">
                        <c:v>111</c:v>
                      </c:pt>
                      <c:pt idx="799">
                        <c:v>100</c:v>
                      </c:pt>
                      <c:pt idx="800">
                        <c:v>84</c:v>
                      </c:pt>
                      <c:pt idx="801">
                        <c:v>81</c:v>
                      </c:pt>
                      <c:pt idx="802">
                        <c:v>79</c:v>
                      </c:pt>
                      <c:pt idx="803">
                        <c:v>71</c:v>
                      </c:pt>
                      <c:pt idx="804">
                        <c:v>69</c:v>
                      </c:pt>
                      <c:pt idx="805">
                        <c:v>69</c:v>
                      </c:pt>
                      <c:pt idx="806">
                        <c:v>58</c:v>
                      </c:pt>
                      <c:pt idx="807">
                        <c:v>58</c:v>
                      </c:pt>
                      <c:pt idx="808">
                        <c:v>39</c:v>
                      </c:pt>
                      <c:pt idx="809">
                        <c:v>38</c:v>
                      </c:pt>
                      <c:pt idx="810">
                        <c:v>34</c:v>
                      </c:pt>
                      <c:pt idx="811">
                        <c:v>27</c:v>
                      </c:pt>
                      <c:pt idx="812">
                        <c:v>25</c:v>
                      </c:pt>
                      <c:pt idx="813">
                        <c:v>14</c:v>
                      </c:pt>
                      <c:pt idx="814">
                        <c:v>308</c:v>
                      </c:pt>
                      <c:pt idx="815">
                        <c:v>308</c:v>
                      </c:pt>
                      <c:pt idx="816">
                        <c:v>308</c:v>
                      </c:pt>
                      <c:pt idx="817">
                        <c:v>308</c:v>
                      </c:pt>
                      <c:pt idx="818">
                        <c:v>308</c:v>
                      </c:pt>
                      <c:pt idx="819">
                        <c:v>308</c:v>
                      </c:pt>
                      <c:pt idx="820">
                        <c:v>308</c:v>
                      </c:pt>
                      <c:pt idx="821">
                        <c:v>308</c:v>
                      </c:pt>
                      <c:pt idx="822">
                        <c:v>308</c:v>
                      </c:pt>
                      <c:pt idx="823">
                        <c:v>308</c:v>
                      </c:pt>
                      <c:pt idx="824">
                        <c:v>365</c:v>
                      </c:pt>
                      <c:pt idx="825">
                        <c:v>365</c:v>
                      </c:pt>
                      <c:pt idx="826">
                        <c:v>365</c:v>
                      </c:pt>
                      <c:pt idx="827">
                        <c:v>365</c:v>
                      </c:pt>
                      <c:pt idx="828">
                        <c:v>365</c:v>
                      </c:pt>
                      <c:pt idx="829">
                        <c:v>365</c:v>
                      </c:pt>
                      <c:pt idx="830">
                        <c:v>365</c:v>
                      </c:pt>
                      <c:pt idx="831">
                        <c:v>365</c:v>
                      </c:pt>
                      <c:pt idx="832">
                        <c:v>365</c:v>
                      </c:pt>
                      <c:pt idx="833">
                        <c:v>361</c:v>
                      </c:pt>
                      <c:pt idx="834">
                        <c:v>361</c:v>
                      </c:pt>
                      <c:pt idx="835">
                        <c:v>361</c:v>
                      </c:pt>
                      <c:pt idx="836">
                        <c:v>365</c:v>
                      </c:pt>
                      <c:pt idx="837">
                        <c:v>365</c:v>
                      </c:pt>
                      <c:pt idx="838">
                        <c:v>365</c:v>
                      </c:pt>
                      <c:pt idx="839">
                        <c:v>344</c:v>
                      </c:pt>
                      <c:pt idx="840">
                        <c:v>309</c:v>
                      </c:pt>
                      <c:pt idx="841">
                        <c:v>300</c:v>
                      </c:pt>
                      <c:pt idx="842">
                        <c:v>300</c:v>
                      </c:pt>
                      <c:pt idx="843">
                        <c:v>293</c:v>
                      </c:pt>
                      <c:pt idx="844">
                        <c:v>293</c:v>
                      </c:pt>
                      <c:pt idx="845">
                        <c:v>247</c:v>
                      </c:pt>
                      <c:pt idx="846">
                        <c:v>247</c:v>
                      </c:pt>
                      <c:pt idx="847">
                        <c:v>240</c:v>
                      </c:pt>
                      <c:pt idx="848">
                        <c:v>240</c:v>
                      </c:pt>
                      <c:pt idx="849">
                        <c:v>240</c:v>
                      </c:pt>
                      <c:pt idx="850">
                        <c:v>157</c:v>
                      </c:pt>
                      <c:pt idx="851">
                        <c:v>157</c:v>
                      </c:pt>
                      <c:pt idx="852">
                        <c:v>57</c:v>
                      </c:pt>
                      <c:pt idx="853">
                        <c:v>359</c:v>
                      </c:pt>
                      <c:pt idx="854">
                        <c:v>357</c:v>
                      </c:pt>
                      <c:pt idx="855">
                        <c:v>344</c:v>
                      </c:pt>
                      <c:pt idx="856">
                        <c:v>309</c:v>
                      </c:pt>
                      <c:pt idx="857">
                        <c:v>300</c:v>
                      </c:pt>
                      <c:pt idx="858">
                        <c:v>300</c:v>
                      </c:pt>
                      <c:pt idx="859">
                        <c:v>293</c:v>
                      </c:pt>
                      <c:pt idx="860">
                        <c:v>293</c:v>
                      </c:pt>
                      <c:pt idx="861">
                        <c:v>247</c:v>
                      </c:pt>
                      <c:pt idx="862">
                        <c:v>247</c:v>
                      </c:pt>
                      <c:pt idx="863">
                        <c:v>240</c:v>
                      </c:pt>
                      <c:pt idx="864">
                        <c:v>240</c:v>
                      </c:pt>
                      <c:pt idx="865">
                        <c:v>240</c:v>
                      </c:pt>
                      <c:pt idx="866">
                        <c:v>157</c:v>
                      </c:pt>
                      <c:pt idx="867">
                        <c:v>157</c:v>
                      </c:pt>
                      <c:pt idx="868">
                        <c:v>57</c:v>
                      </c:pt>
                      <c:pt idx="869">
                        <c:v>365</c:v>
                      </c:pt>
                      <c:pt idx="870">
                        <c:v>365</c:v>
                      </c:pt>
                      <c:pt idx="871">
                        <c:v>365</c:v>
                      </c:pt>
                      <c:pt idx="872">
                        <c:v>344</c:v>
                      </c:pt>
                      <c:pt idx="873">
                        <c:v>309</c:v>
                      </c:pt>
                      <c:pt idx="874">
                        <c:v>300</c:v>
                      </c:pt>
                      <c:pt idx="875">
                        <c:v>300</c:v>
                      </c:pt>
                      <c:pt idx="876">
                        <c:v>293</c:v>
                      </c:pt>
                      <c:pt idx="877">
                        <c:v>293</c:v>
                      </c:pt>
                      <c:pt idx="878">
                        <c:v>247</c:v>
                      </c:pt>
                      <c:pt idx="879">
                        <c:v>247</c:v>
                      </c:pt>
                      <c:pt idx="880">
                        <c:v>240</c:v>
                      </c:pt>
                      <c:pt idx="881">
                        <c:v>240</c:v>
                      </c:pt>
                      <c:pt idx="882">
                        <c:v>240</c:v>
                      </c:pt>
                      <c:pt idx="883">
                        <c:v>157</c:v>
                      </c:pt>
                      <c:pt idx="884">
                        <c:v>157</c:v>
                      </c:pt>
                      <c:pt idx="885">
                        <c:v>57</c:v>
                      </c:pt>
                      <c:pt idx="886">
                        <c:v>365</c:v>
                      </c:pt>
                      <c:pt idx="887">
                        <c:v>365</c:v>
                      </c:pt>
                      <c:pt idx="888">
                        <c:v>365</c:v>
                      </c:pt>
                      <c:pt idx="889">
                        <c:v>344</c:v>
                      </c:pt>
                      <c:pt idx="890">
                        <c:v>309</c:v>
                      </c:pt>
                      <c:pt idx="891">
                        <c:v>300</c:v>
                      </c:pt>
                      <c:pt idx="892">
                        <c:v>300</c:v>
                      </c:pt>
                      <c:pt idx="893">
                        <c:v>293</c:v>
                      </c:pt>
                      <c:pt idx="894">
                        <c:v>293</c:v>
                      </c:pt>
                      <c:pt idx="895">
                        <c:v>247</c:v>
                      </c:pt>
                      <c:pt idx="896">
                        <c:v>247</c:v>
                      </c:pt>
                      <c:pt idx="897">
                        <c:v>240</c:v>
                      </c:pt>
                      <c:pt idx="898">
                        <c:v>240</c:v>
                      </c:pt>
                      <c:pt idx="899">
                        <c:v>240</c:v>
                      </c:pt>
                      <c:pt idx="900">
                        <c:v>157</c:v>
                      </c:pt>
                      <c:pt idx="901">
                        <c:v>157</c:v>
                      </c:pt>
                      <c:pt idx="902">
                        <c:v>57</c:v>
                      </c:pt>
                      <c:pt idx="903">
                        <c:v>361</c:v>
                      </c:pt>
                      <c:pt idx="904">
                        <c:v>361</c:v>
                      </c:pt>
                      <c:pt idx="905">
                        <c:v>361</c:v>
                      </c:pt>
                      <c:pt idx="906">
                        <c:v>344</c:v>
                      </c:pt>
                      <c:pt idx="907">
                        <c:v>309</c:v>
                      </c:pt>
                      <c:pt idx="908">
                        <c:v>300</c:v>
                      </c:pt>
                      <c:pt idx="909">
                        <c:v>300</c:v>
                      </c:pt>
                      <c:pt idx="910">
                        <c:v>293</c:v>
                      </c:pt>
                      <c:pt idx="911">
                        <c:v>293</c:v>
                      </c:pt>
                      <c:pt idx="912">
                        <c:v>247</c:v>
                      </c:pt>
                      <c:pt idx="913">
                        <c:v>247</c:v>
                      </c:pt>
                      <c:pt idx="914">
                        <c:v>240</c:v>
                      </c:pt>
                      <c:pt idx="915">
                        <c:v>240</c:v>
                      </c:pt>
                      <c:pt idx="916">
                        <c:v>240</c:v>
                      </c:pt>
                      <c:pt idx="917">
                        <c:v>157</c:v>
                      </c:pt>
                      <c:pt idx="918">
                        <c:v>157</c:v>
                      </c:pt>
                      <c:pt idx="919">
                        <c:v>57</c:v>
                      </c:pt>
                      <c:pt idx="920">
                        <c:v>157</c:v>
                      </c:pt>
                      <c:pt idx="921">
                        <c:v>157</c:v>
                      </c:pt>
                      <c:pt idx="922">
                        <c:v>57</c:v>
                      </c:pt>
                      <c:pt idx="923">
                        <c:v>387</c:v>
                      </c:pt>
                      <c:pt idx="924">
                        <c:v>172</c:v>
                      </c:pt>
                      <c:pt idx="925">
                        <c:v>172</c:v>
                      </c:pt>
                      <c:pt idx="926">
                        <c:v>172</c:v>
                      </c:pt>
                      <c:pt idx="927">
                        <c:v>172</c:v>
                      </c:pt>
                      <c:pt idx="928">
                        <c:v>387</c:v>
                      </c:pt>
                      <c:pt idx="929">
                        <c:v>172</c:v>
                      </c:pt>
                      <c:pt idx="930">
                        <c:v>172</c:v>
                      </c:pt>
                      <c:pt idx="931">
                        <c:v>387</c:v>
                      </c:pt>
                      <c:pt idx="932">
                        <c:v>172</c:v>
                      </c:pt>
                      <c:pt idx="933">
                        <c:v>172</c:v>
                      </c:pt>
                      <c:pt idx="934">
                        <c:v>383</c:v>
                      </c:pt>
                      <c:pt idx="935">
                        <c:v>172</c:v>
                      </c:pt>
                      <c:pt idx="936">
                        <c:v>172</c:v>
                      </c:pt>
                      <c:pt idx="937">
                        <c:v>172</c:v>
                      </c:pt>
                      <c:pt idx="938">
                        <c:v>172</c:v>
                      </c:pt>
                      <c:pt idx="939">
                        <c:v>82</c:v>
                      </c:pt>
                      <c:pt idx="940">
                        <c:v>82</c:v>
                      </c:pt>
                      <c:pt idx="941">
                        <c:v>82</c:v>
                      </c:pt>
                      <c:pt idx="942">
                        <c:v>82</c:v>
                      </c:pt>
                      <c:pt idx="943">
                        <c:v>82</c:v>
                      </c:pt>
                      <c:pt idx="944">
                        <c:v>82</c:v>
                      </c:pt>
                      <c:pt idx="945">
                        <c:v>82</c:v>
                      </c:pt>
                      <c:pt idx="946">
                        <c:v>82</c:v>
                      </c:pt>
                      <c:pt idx="947">
                        <c:v>82</c:v>
                      </c:pt>
                      <c:pt idx="948">
                        <c:v>82</c:v>
                      </c:pt>
                      <c:pt idx="949">
                        <c:v>82</c:v>
                      </c:pt>
                      <c:pt idx="950">
                        <c:v>82</c:v>
                      </c:pt>
                      <c:pt idx="951">
                        <c:v>393</c:v>
                      </c:pt>
                      <c:pt idx="952">
                        <c:v>393</c:v>
                      </c:pt>
                      <c:pt idx="953">
                        <c:v>393</c:v>
                      </c:pt>
                      <c:pt idx="954">
                        <c:v>63</c:v>
                      </c:pt>
                      <c:pt idx="955">
                        <c:v>63</c:v>
                      </c:pt>
                      <c:pt idx="956">
                        <c:v>63</c:v>
                      </c:pt>
                      <c:pt idx="957">
                        <c:v>63</c:v>
                      </c:pt>
                      <c:pt idx="958">
                        <c:v>393</c:v>
                      </c:pt>
                      <c:pt idx="959">
                        <c:v>393</c:v>
                      </c:pt>
                      <c:pt idx="960">
                        <c:v>393</c:v>
                      </c:pt>
                      <c:pt idx="961">
                        <c:v>63</c:v>
                      </c:pt>
                      <c:pt idx="962">
                        <c:v>63</c:v>
                      </c:pt>
                      <c:pt idx="963">
                        <c:v>393</c:v>
                      </c:pt>
                      <c:pt idx="964">
                        <c:v>393</c:v>
                      </c:pt>
                      <c:pt idx="965">
                        <c:v>393</c:v>
                      </c:pt>
                      <c:pt idx="966">
                        <c:v>63</c:v>
                      </c:pt>
                      <c:pt idx="967">
                        <c:v>63</c:v>
                      </c:pt>
                      <c:pt idx="968">
                        <c:v>389</c:v>
                      </c:pt>
                      <c:pt idx="969">
                        <c:v>389</c:v>
                      </c:pt>
                      <c:pt idx="970">
                        <c:v>389</c:v>
                      </c:pt>
                      <c:pt idx="971">
                        <c:v>63</c:v>
                      </c:pt>
                      <c:pt idx="972">
                        <c:v>63</c:v>
                      </c:pt>
                      <c:pt idx="973">
                        <c:v>202</c:v>
                      </c:pt>
                      <c:pt idx="974">
                        <c:v>202</c:v>
                      </c:pt>
                      <c:pt idx="975">
                        <c:v>202</c:v>
                      </c:pt>
                      <c:pt idx="976">
                        <c:v>63</c:v>
                      </c:pt>
                      <c:pt idx="977">
                        <c:v>63</c:v>
                      </c:pt>
                      <c:pt idx="978">
                        <c:v>366</c:v>
                      </c:pt>
                      <c:pt idx="979">
                        <c:v>366</c:v>
                      </c:pt>
                      <c:pt idx="980">
                        <c:v>366</c:v>
                      </c:pt>
                      <c:pt idx="981">
                        <c:v>366</c:v>
                      </c:pt>
                      <c:pt idx="982">
                        <c:v>366</c:v>
                      </c:pt>
                      <c:pt idx="983">
                        <c:v>366</c:v>
                      </c:pt>
                      <c:pt idx="984">
                        <c:v>362</c:v>
                      </c:pt>
                      <c:pt idx="985">
                        <c:v>362</c:v>
                      </c:pt>
                      <c:pt idx="986">
                        <c:v>228</c:v>
                      </c:pt>
                      <c:pt idx="987">
                        <c:v>109</c:v>
                      </c:pt>
                      <c:pt idx="988">
                        <c:v>6</c:v>
                      </c:pt>
                      <c:pt idx="989">
                        <c:v>228</c:v>
                      </c:pt>
                      <c:pt idx="990">
                        <c:v>109</c:v>
                      </c:pt>
                      <c:pt idx="991">
                        <c:v>6</c:v>
                      </c:pt>
                      <c:pt idx="992">
                        <c:v>228</c:v>
                      </c:pt>
                      <c:pt idx="993">
                        <c:v>109</c:v>
                      </c:pt>
                      <c:pt idx="994">
                        <c:v>6</c:v>
                      </c:pt>
                      <c:pt idx="995">
                        <c:v>228</c:v>
                      </c:pt>
                      <c:pt idx="996">
                        <c:v>109</c:v>
                      </c:pt>
                      <c:pt idx="997">
                        <c:v>6</c:v>
                      </c:pt>
                      <c:pt idx="998">
                        <c:v>228</c:v>
                      </c:pt>
                      <c:pt idx="999">
                        <c:v>109</c:v>
                      </c:pt>
                      <c:pt idx="1000">
                        <c:v>6</c:v>
                      </c:pt>
                      <c:pt idx="1001">
                        <c:v>109</c:v>
                      </c:pt>
                      <c:pt idx="1002">
                        <c:v>6</c:v>
                      </c:pt>
                      <c:pt idx="1003">
                        <c:v>393</c:v>
                      </c:pt>
                      <c:pt idx="1004">
                        <c:v>393</c:v>
                      </c:pt>
                      <c:pt idx="1005">
                        <c:v>393</c:v>
                      </c:pt>
                      <c:pt idx="1006">
                        <c:v>393</c:v>
                      </c:pt>
                      <c:pt idx="1007">
                        <c:v>393</c:v>
                      </c:pt>
                      <c:pt idx="1008">
                        <c:v>393</c:v>
                      </c:pt>
                      <c:pt idx="1009">
                        <c:v>389</c:v>
                      </c:pt>
                      <c:pt idx="1010">
                        <c:v>389</c:v>
                      </c:pt>
                      <c:pt idx="1011">
                        <c:v>202</c:v>
                      </c:pt>
                      <c:pt idx="1012">
                        <c:v>202</c:v>
                      </c:pt>
                      <c:pt idx="1013">
                        <c:v>360</c:v>
                      </c:pt>
                      <c:pt idx="1014">
                        <c:v>360</c:v>
                      </c:pt>
                      <c:pt idx="1015">
                        <c:v>360</c:v>
                      </c:pt>
                      <c:pt idx="1016">
                        <c:v>247</c:v>
                      </c:pt>
                      <c:pt idx="1017">
                        <c:v>247</c:v>
                      </c:pt>
                      <c:pt idx="1018">
                        <c:v>247</c:v>
                      </c:pt>
                      <c:pt idx="1019">
                        <c:v>247</c:v>
                      </c:pt>
                      <c:pt idx="1020">
                        <c:v>360</c:v>
                      </c:pt>
                      <c:pt idx="1021">
                        <c:v>360</c:v>
                      </c:pt>
                      <c:pt idx="1022">
                        <c:v>360</c:v>
                      </c:pt>
                      <c:pt idx="1023">
                        <c:v>247</c:v>
                      </c:pt>
                      <c:pt idx="1024">
                        <c:v>247</c:v>
                      </c:pt>
                      <c:pt idx="1025">
                        <c:v>360</c:v>
                      </c:pt>
                      <c:pt idx="1026">
                        <c:v>360</c:v>
                      </c:pt>
                      <c:pt idx="1027">
                        <c:v>360</c:v>
                      </c:pt>
                      <c:pt idx="1028">
                        <c:v>247</c:v>
                      </c:pt>
                      <c:pt idx="1029">
                        <c:v>247</c:v>
                      </c:pt>
                      <c:pt idx="1030">
                        <c:v>356</c:v>
                      </c:pt>
                      <c:pt idx="1031">
                        <c:v>356</c:v>
                      </c:pt>
                      <c:pt idx="1032">
                        <c:v>356</c:v>
                      </c:pt>
                      <c:pt idx="1033">
                        <c:v>247</c:v>
                      </c:pt>
                      <c:pt idx="1034">
                        <c:v>247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'Position and CADD Score Table'!$C$2:$C$1036</c15:sqref>
                        </c15:formulaRef>
                      </c:ext>
                    </c:extLst>
                    <c:numCache>
                      <c:formatCode>General</c:formatCode>
                      <c:ptCount val="1035"/>
                      <c:pt idx="0">
                        <c:v>24</c:v>
                      </c:pt>
                      <c:pt idx="1">
                        <c:v>7</c:v>
                      </c:pt>
                      <c:pt idx="2">
                        <c:v>19</c:v>
                      </c:pt>
                      <c:pt idx="3">
                        <c:v>12</c:v>
                      </c:pt>
                      <c:pt idx="4">
                        <c:v>4</c:v>
                      </c:pt>
                      <c:pt idx="5">
                        <c:v>7</c:v>
                      </c:pt>
                      <c:pt idx="6">
                        <c:v>19</c:v>
                      </c:pt>
                      <c:pt idx="7">
                        <c:v>12</c:v>
                      </c:pt>
                      <c:pt idx="8">
                        <c:v>4</c:v>
                      </c:pt>
                      <c:pt idx="9">
                        <c:v>24</c:v>
                      </c:pt>
                      <c:pt idx="10">
                        <c:v>7</c:v>
                      </c:pt>
                      <c:pt idx="11">
                        <c:v>19</c:v>
                      </c:pt>
                      <c:pt idx="12">
                        <c:v>12</c:v>
                      </c:pt>
                      <c:pt idx="13">
                        <c:v>4</c:v>
                      </c:pt>
                      <c:pt idx="14">
                        <c:v>24</c:v>
                      </c:pt>
                      <c:pt idx="15">
                        <c:v>7</c:v>
                      </c:pt>
                      <c:pt idx="16">
                        <c:v>19</c:v>
                      </c:pt>
                      <c:pt idx="17">
                        <c:v>12</c:v>
                      </c:pt>
                      <c:pt idx="18">
                        <c:v>4</c:v>
                      </c:pt>
                      <c:pt idx="19">
                        <c:v>7</c:v>
                      </c:pt>
                      <c:pt idx="20">
                        <c:v>19</c:v>
                      </c:pt>
                      <c:pt idx="21">
                        <c:v>12</c:v>
                      </c:pt>
                      <c:pt idx="22">
                        <c:v>4</c:v>
                      </c:pt>
                      <c:pt idx="23">
                        <c:v>0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6</c:v>
                      </c:pt>
                      <c:pt idx="37">
                        <c:v>6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6</c:v>
                      </c:pt>
                      <c:pt idx="41">
                        <c:v>6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13</c:v>
                      </c:pt>
                      <c:pt idx="50">
                        <c:v>9</c:v>
                      </c:pt>
                      <c:pt idx="51">
                        <c:v>0</c:v>
                      </c:pt>
                      <c:pt idx="52">
                        <c:v>13</c:v>
                      </c:pt>
                      <c:pt idx="53">
                        <c:v>9</c:v>
                      </c:pt>
                      <c:pt idx="54">
                        <c:v>0</c:v>
                      </c:pt>
                      <c:pt idx="55">
                        <c:v>13</c:v>
                      </c:pt>
                      <c:pt idx="56">
                        <c:v>9</c:v>
                      </c:pt>
                      <c:pt idx="57">
                        <c:v>0</c:v>
                      </c:pt>
                      <c:pt idx="58">
                        <c:v>13</c:v>
                      </c:pt>
                      <c:pt idx="59">
                        <c:v>9</c:v>
                      </c:pt>
                      <c:pt idx="60">
                        <c:v>0</c:v>
                      </c:pt>
                      <c:pt idx="61">
                        <c:v>13</c:v>
                      </c:pt>
                      <c:pt idx="62">
                        <c:v>9</c:v>
                      </c:pt>
                      <c:pt idx="63">
                        <c:v>0</c:v>
                      </c:pt>
                      <c:pt idx="64">
                        <c:v>13</c:v>
                      </c:pt>
                      <c:pt idx="65">
                        <c:v>9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14</c:v>
                      </c:pt>
                      <c:pt idx="69">
                        <c:v>18</c:v>
                      </c:pt>
                      <c:pt idx="70">
                        <c:v>19</c:v>
                      </c:pt>
                      <c:pt idx="71">
                        <c:v>0</c:v>
                      </c:pt>
                      <c:pt idx="72">
                        <c:v>1</c:v>
                      </c:pt>
                      <c:pt idx="73">
                        <c:v>3</c:v>
                      </c:pt>
                      <c:pt idx="74">
                        <c:v>19</c:v>
                      </c:pt>
                      <c:pt idx="75">
                        <c:v>1</c:v>
                      </c:pt>
                      <c:pt idx="76">
                        <c:v>13</c:v>
                      </c:pt>
                      <c:pt idx="77">
                        <c:v>0</c:v>
                      </c:pt>
                      <c:pt idx="78">
                        <c:v>23</c:v>
                      </c:pt>
                      <c:pt idx="79">
                        <c:v>23</c:v>
                      </c:pt>
                      <c:pt idx="80">
                        <c:v>0</c:v>
                      </c:pt>
                      <c:pt idx="81">
                        <c:v>5</c:v>
                      </c:pt>
                      <c:pt idx="83">
                        <c:v>2</c:v>
                      </c:pt>
                      <c:pt idx="84">
                        <c:v>1</c:v>
                      </c:pt>
                      <c:pt idx="85">
                        <c:v>2</c:v>
                      </c:pt>
                      <c:pt idx="86">
                        <c:v>20</c:v>
                      </c:pt>
                      <c:pt idx="87">
                        <c:v>21</c:v>
                      </c:pt>
                      <c:pt idx="88">
                        <c:v>19</c:v>
                      </c:pt>
                      <c:pt idx="89">
                        <c:v>5</c:v>
                      </c:pt>
                      <c:pt idx="90">
                        <c:v>12</c:v>
                      </c:pt>
                      <c:pt idx="91">
                        <c:v>0</c:v>
                      </c:pt>
                      <c:pt idx="92">
                        <c:v>15</c:v>
                      </c:pt>
                      <c:pt idx="93">
                        <c:v>23</c:v>
                      </c:pt>
                      <c:pt idx="94">
                        <c:v>7</c:v>
                      </c:pt>
                      <c:pt idx="95">
                        <c:v>23</c:v>
                      </c:pt>
                      <c:pt idx="96">
                        <c:v>25</c:v>
                      </c:pt>
                      <c:pt idx="97">
                        <c:v>4</c:v>
                      </c:pt>
                      <c:pt idx="98">
                        <c:v>20</c:v>
                      </c:pt>
                      <c:pt idx="99">
                        <c:v>0</c:v>
                      </c:pt>
                      <c:pt idx="100">
                        <c:v>22</c:v>
                      </c:pt>
                      <c:pt idx="101">
                        <c:v>17</c:v>
                      </c:pt>
                      <c:pt idx="102">
                        <c:v>22</c:v>
                      </c:pt>
                      <c:pt idx="103">
                        <c:v>22</c:v>
                      </c:pt>
                      <c:pt idx="104">
                        <c:v>20</c:v>
                      </c:pt>
                      <c:pt idx="105">
                        <c:v>20</c:v>
                      </c:pt>
                      <c:pt idx="106">
                        <c:v>9</c:v>
                      </c:pt>
                      <c:pt idx="107">
                        <c:v>9</c:v>
                      </c:pt>
                      <c:pt idx="108">
                        <c:v>0</c:v>
                      </c:pt>
                      <c:pt idx="109">
                        <c:v>5</c:v>
                      </c:pt>
                      <c:pt idx="110">
                        <c:v>19</c:v>
                      </c:pt>
                      <c:pt idx="111">
                        <c:v>15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4</c:v>
                      </c:pt>
                      <c:pt idx="115">
                        <c:v>8</c:v>
                      </c:pt>
                      <c:pt idx="116">
                        <c:v>3</c:v>
                      </c:pt>
                      <c:pt idx="117">
                        <c:v>23</c:v>
                      </c:pt>
                      <c:pt idx="118">
                        <c:v>23</c:v>
                      </c:pt>
                      <c:pt idx="119">
                        <c:v>0</c:v>
                      </c:pt>
                      <c:pt idx="120">
                        <c:v>5</c:v>
                      </c:pt>
                      <c:pt idx="122">
                        <c:v>2</c:v>
                      </c:pt>
                      <c:pt idx="123">
                        <c:v>1</c:v>
                      </c:pt>
                      <c:pt idx="124">
                        <c:v>2</c:v>
                      </c:pt>
                      <c:pt idx="125">
                        <c:v>20</c:v>
                      </c:pt>
                      <c:pt idx="126">
                        <c:v>21</c:v>
                      </c:pt>
                      <c:pt idx="127">
                        <c:v>19</c:v>
                      </c:pt>
                      <c:pt idx="128">
                        <c:v>5</c:v>
                      </c:pt>
                      <c:pt idx="129">
                        <c:v>12</c:v>
                      </c:pt>
                      <c:pt idx="130">
                        <c:v>0</c:v>
                      </c:pt>
                      <c:pt idx="131">
                        <c:v>15</c:v>
                      </c:pt>
                      <c:pt idx="132">
                        <c:v>23</c:v>
                      </c:pt>
                      <c:pt idx="133">
                        <c:v>7</c:v>
                      </c:pt>
                      <c:pt idx="134">
                        <c:v>23</c:v>
                      </c:pt>
                      <c:pt idx="135">
                        <c:v>25</c:v>
                      </c:pt>
                      <c:pt idx="136">
                        <c:v>4</c:v>
                      </c:pt>
                      <c:pt idx="137">
                        <c:v>20</c:v>
                      </c:pt>
                      <c:pt idx="138">
                        <c:v>0</c:v>
                      </c:pt>
                      <c:pt idx="139">
                        <c:v>22</c:v>
                      </c:pt>
                      <c:pt idx="140">
                        <c:v>17</c:v>
                      </c:pt>
                      <c:pt idx="141">
                        <c:v>22</c:v>
                      </c:pt>
                      <c:pt idx="142">
                        <c:v>22</c:v>
                      </c:pt>
                      <c:pt idx="143">
                        <c:v>20</c:v>
                      </c:pt>
                      <c:pt idx="144">
                        <c:v>20</c:v>
                      </c:pt>
                      <c:pt idx="145">
                        <c:v>9</c:v>
                      </c:pt>
                      <c:pt idx="146">
                        <c:v>9</c:v>
                      </c:pt>
                      <c:pt idx="147">
                        <c:v>0</c:v>
                      </c:pt>
                      <c:pt idx="148">
                        <c:v>5</c:v>
                      </c:pt>
                      <c:pt idx="149">
                        <c:v>19</c:v>
                      </c:pt>
                      <c:pt idx="150">
                        <c:v>15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4</c:v>
                      </c:pt>
                      <c:pt idx="154">
                        <c:v>8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14</c:v>
                      </c:pt>
                      <c:pt idx="158">
                        <c:v>18</c:v>
                      </c:pt>
                      <c:pt idx="159">
                        <c:v>19</c:v>
                      </c:pt>
                      <c:pt idx="160">
                        <c:v>0</c:v>
                      </c:pt>
                      <c:pt idx="161">
                        <c:v>1</c:v>
                      </c:pt>
                      <c:pt idx="162">
                        <c:v>3</c:v>
                      </c:pt>
                      <c:pt idx="163">
                        <c:v>19</c:v>
                      </c:pt>
                      <c:pt idx="164">
                        <c:v>1</c:v>
                      </c:pt>
                      <c:pt idx="165">
                        <c:v>13</c:v>
                      </c:pt>
                      <c:pt idx="166">
                        <c:v>0</c:v>
                      </c:pt>
                      <c:pt idx="167">
                        <c:v>23</c:v>
                      </c:pt>
                      <c:pt idx="168">
                        <c:v>23</c:v>
                      </c:pt>
                      <c:pt idx="169">
                        <c:v>0</c:v>
                      </c:pt>
                      <c:pt idx="170">
                        <c:v>5</c:v>
                      </c:pt>
                      <c:pt idx="172">
                        <c:v>2</c:v>
                      </c:pt>
                      <c:pt idx="173">
                        <c:v>1</c:v>
                      </c:pt>
                      <c:pt idx="174">
                        <c:v>2</c:v>
                      </c:pt>
                      <c:pt idx="175">
                        <c:v>20</c:v>
                      </c:pt>
                      <c:pt idx="176">
                        <c:v>21</c:v>
                      </c:pt>
                      <c:pt idx="177">
                        <c:v>19</c:v>
                      </c:pt>
                      <c:pt idx="178">
                        <c:v>5</c:v>
                      </c:pt>
                      <c:pt idx="179">
                        <c:v>12</c:v>
                      </c:pt>
                      <c:pt idx="180">
                        <c:v>0</c:v>
                      </c:pt>
                      <c:pt idx="181">
                        <c:v>15</c:v>
                      </c:pt>
                      <c:pt idx="182">
                        <c:v>23</c:v>
                      </c:pt>
                      <c:pt idx="183">
                        <c:v>7</c:v>
                      </c:pt>
                      <c:pt idx="184">
                        <c:v>23</c:v>
                      </c:pt>
                      <c:pt idx="185">
                        <c:v>25</c:v>
                      </c:pt>
                      <c:pt idx="186">
                        <c:v>4</c:v>
                      </c:pt>
                      <c:pt idx="187">
                        <c:v>20</c:v>
                      </c:pt>
                      <c:pt idx="188">
                        <c:v>0</c:v>
                      </c:pt>
                      <c:pt idx="189">
                        <c:v>22</c:v>
                      </c:pt>
                      <c:pt idx="190">
                        <c:v>17</c:v>
                      </c:pt>
                      <c:pt idx="191">
                        <c:v>22</c:v>
                      </c:pt>
                      <c:pt idx="192">
                        <c:v>22</c:v>
                      </c:pt>
                      <c:pt idx="193">
                        <c:v>20</c:v>
                      </c:pt>
                      <c:pt idx="194">
                        <c:v>20</c:v>
                      </c:pt>
                      <c:pt idx="195">
                        <c:v>9</c:v>
                      </c:pt>
                      <c:pt idx="196">
                        <c:v>9</c:v>
                      </c:pt>
                      <c:pt idx="197">
                        <c:v>0</c:v>
                      </c:pt>
                      <c:pt idx="198">
                        <c:v>5</c:v>
                      </c:pt>
                      <c:pt idx="199">
                        <c:v>19</c:v>
                      </c:pt>
                      <c:pt idx="200">
                        <c:v>15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4</c:v>
                      </c:pt>
                      <c:pt idx="204">
                        <c:v>8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14</c:v>
                      </c:pt>
                      <c:pt idx="208">
                        <c:v>18</c:v>
                      </c:pt>
                      <c:pt idx="209">
                        <c:v>19</c:v>
                      </c:pt>
                      <c:pt idx="210">
                        <c:v>0</c:v>
                      </c:pt>
                      <c:pt idx="211">
                        <c:v>1</c:v>
                      </c:pt>
                      <c:pt idx="212">
                        <c:v>3</c:v>
                      </c:pt>
                      <c:pt idx="213">
                        <c:v>19</c:v>
                      </c:pt>
                      <c:pt idx="214">
                        <c:v>1</c:v>
                      </c:pt>
                      <c:pt idx="215">
                        <c:v>13</c:v>
                      </c:pt>
                      <c:pt idx="216">
                        <c:v>0</c:v>
                      </c:pt>
                      <c:pt idx="217">
                        <c:v>23</c:v>
                      </c:pt>
                      <c:pt idx="218">
                        <c:v>23</c:v>
                      </c:pt>
                      <c:pt idx="219">
                        <c:v>0</c:v>
                      </c:pt>
                      <c:pt idx="220">
                        <c:v>5</c:v>
                      </c:pt>
                      <c:pt idx="222">
                        <c:v>2</c:v>
                      </c:pt>
                      <c:pt idx="223">
                        <c:v>1</c:v>
                      </c:pt>
                      <c:pt idx="224">
                        <c:v>2</c:v>
                      </c:pt>
                      <c:pt idx="225">
                        <c:v>20</c:v>
                      </c:pt>
                      <c:pt idx="226">
                        <c:v>21</c:v>
                      </c:pt>
                      <c:pt idx="227">
                        <c:v>19</c:v>
                      </c:pt>
                      <c:pt idx="228">
                        <c:v>5</c:v>
                      </c:pt>
                      <c:pt idx="229">
                        <c:v>12</c:v>
                      </c:pt>
                      <c:pt idx="230">
                        <c:v>0</c:v>
                      </c:pt>
                      <c:pt idx="231">
                        <c:v>15</c:v>
                      </c:pt>
                      <c:pt idx="232">
                        <c:v>23</c:v>
                      </c:pt>
                      <c:pt idx="233">
                        <c:v>7</c:v>
                      </c:pt>
                      <c:pt idx="234">
                        <c:v>23</c:v>
                      </c:pt>
                      <c:pt idx="235">
                        <c:v>25</c:v>
                      </c:pt>
                      <c:pt idx="236">
                        <c:v>4</c:v>
                      </c:pt>
                      <c:pt idx="237">
                        <c:v>20</c:v>
                      </c:pt>
                      <c:pt idx="238">
                        <c:v>0</c:v>
                      </c:pt>
                      <c:pt idx="239">
                        <c:v>22</c:v>
                      </c:pt>
                      <c:pt idx="240">
                        <c:v>17</c:v>
                      </c:pt>
                      <c:pt idx="241">
                        <c:v>22</c:v>
                      </c:pt>
                      <c:pt idx="242">
                        <c:v>22</c:v>
                      </c:pt>
                      <c:pt idx="243">
                        <c:v>20</c:v>
                      </c:pt>
                      <c:pt idx="244">
                        <c:v>20</c:v>
                      </c:pt>
                      <c:pt idx="245">
                        <c:v>9</c:v>
                      </c:pt>
                      <c:pt idx="246">
                        <c:v>9</c:v>
                      </c:pt>
                      <c:pt idx="247">
                        <c:v>0</c:v>
                      </c:pt>
                      <c:pt idx="248">
                        <c:v>5</c:v>
                      </c:pt>
                      <c:pt idx="249">
                        <c:v>19</c:v>
                      </c:pt>
                      <c:pt idx="250">
                        <c:v>15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4</c:v>
                      </c:pt>
                      <c:pt idx="254">
                        <c:v>8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14</c:v>
                      </c:pt>
                      <c:pt idx="258">
                        <c:v>18</c:v>
                      </c:pt>
                      <c:pt idx="259">
                        <c:v>19</c:v>
                      </c:pt>
                      <c:pt idx="260">
                        <c:v>0</c:v>
                      </c:pt>
                      <c:pt idx="261">
                        <c:v>1</c:v>
                      </c:pt>
                      <c:pt idx="262">
                        <c:v>3</c:v>
                      </c:pt>
                      <c:pt idx="263">
                        <c:v>19</c:v>
                      </c:pt>
                      <c:pt idx="264">
                        <c:v>1</c:v>
                      </c:pt>
                      <c:pt idx="265">
                        <c:v>13</c:v>
                      </c:pt>
                      <c:pt idx="266">
                        <c:v>0</c:v>
                      </c:pt>
                      <c:pt idx="267">
                        <c:v>23</c:v>
                      </c:pt>
                      <c:pt idx="268">
                        <c:v>23</c:v>
                      </c:pt>
                      <c:pt idx="269">
                        <c:v>0</c:v>
                      </c:pt>
                      <c:pt idx="270">
                        <c:v>5</c:v>
                      </c:pt>
                      <c:pt idx="272">
                        <c:v>2</c:v>
                      </c:pt>
                      <c:pt idx="273">
                        <c:v>1</c:v>
                      </c:pt>
                      <c:pt idx="274">
                        <c:v>2</c:v>
                      </c:pt>
                      <c:pt idx="275">
                        <c:v>20</c:v>
                      </c:pt>
                      <c:pt idx="276">
                        <c:v>21</c:v>
                      </c:pt>
                      <c:pt idx="277">
                        <c:v>19</c:v>
                      </c:pt>
                      <c:pt idx="278">
                        <c:v>5</c:v>
                      </c:pt>
                      <c:pt idx="279">
                        <c:v>12</c:v>
                      </c:pt>
                      <c:pt idx="280">
                        <c:v>0</c:v>
                      </c:pt>
                      <c:pt idx="281">
                        <c:v>15</c:v>
                      </c:pt>
                      <c:pt idx="282">
                        <c:v>23</c:v>
                      </c:pt>
                      <c:pt idx="283">
                        <c:v>7</c:v>
                      </c:pt>
                      <c:pt idx="284">
                        <c:v>23</c:v>
                      </c:pt>
                      <c:pt idx="285">
                        <c:v>25</c:v>
                      </c:pt>
                      <c:pt idx="286">
                        <c:v>4</c:v>
                      </c:pt>
                      <c:pt idx="287">
                        <c:v>20</c:v>
                      </c:pt>
                      <c:pt idx="288">
                        <c:v>0</c:v>
                      </c:pt>
                      <c:pt idx="289">
                        <c:v>22</c:v>
                      </c:pt>
                      <c:pt idx="290">
                        <c:v>17</c:v>
                      </c:pt>
                      <c:pt idx="291">
                        <c:v>22</c:v>
                      </c:pt>
                      <c:pt idx="292">
                        <c:v>22</c:v>
                      </c:pt>
                      <c:pt idx="293">
                        <c:v>20</c:v>
                      </c:pt>
                      <c:pt idx="294">
                        <c:v>20</c:v>
                      </c:pt>
                      <c:pt idx="295">
                        <c:v>9</c:v>
                      </c:pt>
                      <c:pt idx="296">
                        <c:v>9</c:v>
                      </c:pt>
                      <c:pt idx="297">
                        <c:v>0</c:v>
                      </c:pt>
                      <c:pt idx="298">
                        <c:v>5</c:v>
                      </c:pt>
                      <c:pt idx="299">
                        <c:v>19</c:v>
                      </c:pt>
                      <c:pt idx="300">
                        <c:v>15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4</c:v>
                      </c:pt>
                      <c:pt idx="304">
                        <c:v>8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14</c:v>
                      </c:pt>
                      <c:pt idx="308">
                        <c:v>18</c:v>
                      </c:pt>
                      <c:pt idx="309">
                        <c:v>19</c:v>
                      </c:pt>
                      <c:pt idx="310">
                        <c:v>4</c:v>
                      </c:pt>
                      <c:pt idx="311">
                        <c:v>20</c:v>
                      </c:pt>
                      <c:pt idx="312">
                        <c:v>0</c:v>
                      </c:pt>
                      <c:pt idx="313">
                        <c:v>22</c:v>
                      </c:pt>
                      <c:pt idx="314">
                        <c:v>17</c:v>
                      </c:pt>
                      <c:pt idx="315">
                        <c:v>22</c:v>
                      </c:pt>
                      <c:pt idx="316">
                        <c:v>22</c:v>
                      </c:pt>
                      <c:pt idx="317">
                        <c:v>20</c:v>
                      </c:pt>
                      <c:pt idx="318">
                        <c:v>20</c:v>
                      </c:pt>
                      <c:pt idx="319">
                        <c:v>9</c:v>
                      </c:pt>
                      <c:pt idx="320">
                        <c:v>9</c:v>
                      </c:pt>
                      <c:pt idx="321">
                        <c:v>0</c:v>
                      </c:pt>
                      <c:pt idx="322">
                        <c:v>5</c:v>
                      </c:pt>
                      <c:pt idx="323">
                        <c:v>19</c:v>
                      </c:pt>
                      <c:pt idx="324">
                        <c:v>15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4</c:v>
                      </c:pt>
                      <c:pt idx="328">
                        <c:v>8</c:v>
                      </c:pt>
                      <c:pt idx="329">
                        <c:v>26</c:v>
                      </c:pt>
                      <c:pt idx="330">
                        <c:v>26</c:v>
                      </c:pt>
                      <c:pt idx="331">
                        <c:v>26</c:v>
                      </c:pt>
                      <c:pt idx="332">
                        <c:v>26</c:v>
                      </c:pt>
                      <c:pt idx="333">
                        <c:v>26</c:v>
                      </c:pt>
                      <c:pt idx="334">
                        <c:v>12</c:v>
                      </c:pt>
                      <c:pt idx="335">
                        <c:v>12</c:v>
                      </c:pt>
                      <c:pt idx="336">
                        <c:v>12</c:v>
                      </c:pt>
                      <c:pt idx="337">
                        <c:v>12</c:v>
                      </c:pt>
                      <c:pt idx="338">
                        <c:v>12</c:v>
                      </c:pt>
                      <c:pt idx="339">
                        <c:v>12</c:v>
                      </c:pt>
                      <c:pt idx="340">
                        <c:v>26</c:v>
                      </c:pt>
                      <c:pt idx="341">
                        <c:v>22</c:v>
                      </c:pt>
                      <c:pt idx="342">
                        <c:v>23</c:v>
                      </c:pt>
                      <c:pt idx="343">
                        <c:v>22</c:v>
                      </c:pt>
                      <c:pt idx="344">
                        <c:v>21</c:v>
                      </c:pt>
                      <c:pt idx="345">
                        <c:v>31</c:v>
                      </c:pt>
                      <c:pt idx="346">
                        <c:v>26</c:v>
                      </c:pt>
                      <c:pt idx="347">
                        <c:v>21</c:v>
                      </c:pt>
                      <c:pt idx="348">
                        <c:v>9</c:v>
                      </c:pt>
                      <c:pt idx="349">
                        <c:v>12</c:v>
                      </c:pt>
                      <c:pt idx="350">
                        <c:v>17</c:v>
                      </c:pt>
                      <c:pt idx="351">
                        <c:v>22</c:v>
                      </c:pt>
                      <c:pt idx="352">
                        <c:v>23</c:v>
                      </c:pt>
                      <c:pt idx="353">
                        <c:v>22</c:v>
                      </c:pt>
                      <c:pt idx="354">
                        <c:v>21</c:v>
                      </c:pt>
                      <c:pt idx="355">
                        <c:v>31</c:v>
                      </c:pt>
                      <c:pt idx="356">
                        <c:v>26</c:v>
                      </c:pt>
                      <c:pt idx="357">
                        <c:v>21</c:v>
                      </c:pt>
                      <c:pt idx="358">
                        <c:v>9</c:v>
                      </c:pt>
                      <c:pt idx="359">
                        <c:v>12</c:v>
                      </c:pt>
                      <c:pt idx="360">
                        <c:v>17</c:v>
                      </c:pt>
                      <c:pt idx="361">
                        <c:v>26</c:v>
                      </c:pt>
                      <c:pt idx="362">
                        <c:v>22</c:v>
                      </c:pt>
                      <c:pt idx="363">
                        <c:v>23</c:v>
                      </c:pt>
                      <c:pt idx="364">
                        <c:v>22</c:v>
                      </c:pt>
                      <c:pt idx="365">
                        <c:v>21</c:v>
                      </c:pt>
                      <c:pt idx="366">
                        <c:v>31</c:v>
                      </c:pt>
                      <c:pt idx="367">
                        <c:v>26</c:v>
                      </c:pt>
                      <c:pt idx="368">
                        <c:v>21</c:v>
                      </c:pt>
                      <c:pt idx="369">
                        <c:v>9</c:v>
                      </c:pt>
                      <c:pt idx="370">
                        <c:v>12</c:v>
                      </c:pt>
                      <c:pt idx="371">
                        <c:v>17</c:v>
                      </c:pt>
                      <c:pt idx="372">
                        <c:v>26</c:v>
                      </c:pt>
                      <c:pt idx="373">
                        <c:v>22</c:v>
                      </c:pt>
                      <c:pt idx="374">
                        <c:v>23</c:v>
                      </c:pt>
                      <c:pt idx="375">
                        <c:v>22</c:v>
                      </c:pt>
                      <c:pt idx="376">
                        <c:v>21</c:v>
                      </c:pt>
                      <c:pt idx="377">
                        <c:v>31</c:v>
                      </c:pt>
                      <c:pt idx="378">
                        <c:v>26</c:v>
                      </c:pt>
                      <c:pt idx="379">
                        <c:v>21</c:v>
                      </c:pt>
                      <c:pt idx="380">
                        <c:v>9</c:v>
                      </c:pt>
                      <c:pt idx="381">
                        <c:v>12</c:v>
                      </c:pt>
                      <c:pt idx="382">
                        <c:v>17</c:v>
                      </c:pt>
                      <c:pt idx="383">
                        <c:v>22</c:v>
                      </c:pt>
                      <c:pt idx="384">
                        <c:v>23</c:v>
                      </c:pt>
                      <c:pt idx="385">
                        <c:v>22</c:v>
                      </c:pt>
                      <c:pt idx="386">
                        <c:v>21</c:v>
                      </c:pt>
                      <c:pt idx="387">
                        <c:v>31</c:v>
                      </c:pt>
                      <c:pt idx="388">
                        <c:v>26</c:v>
                      </c:pt>
                      <c:pt idx="389">
                        <c:v>21</c:v>
                      </c:pt>
                      <c:pt idx="390">
                        <c:v>9</c:v>
                      </c:pt>
                      <c:pt idx="391">
                        <c:v>12</c:v>
                      </c:pt>
                      <c:pt idx="392">
                        <c:v>17</c:v>
                      </c:pt>
                      <c:pt idx="393">
                        <c:v>26</c:v>
                      </c:pt>
                      <c:pt idx="394">
                        <c:v>21</c:v>
                      </c:pt>
                      <c:pt idx="395">
                        <c:v>9</c:v>
                      </c:pt>
                      <c:pt idx="396">
                        <c:v>12</c:v>
                      </c:pt>
                      <c:pt idx="397">
                        <c:v>17</c:v>
                      </c:pt>
                      <c:pt idx="398">
                        <c:v>19</c:v>
                      </c:pt>
                      <c:pt idx="399">
                        <c:v>19</c:v>
                      </c:pt>
                      <c:pt idx="400">
                        <c:v>19</c:v>
                      </c:pt>
                      <c:pt idx="401">
                        <c:v>19</c:v>
                      </c:pt>
                      <c:pt idx="402">
                        <c:v>19</c:v>
                      </c:pt>
                      <c:pt idx="403">
                        <c:v>21</c:v>
                      </c:pt>
                      <c:pt idx="404">
                        <c:v>23</c:v>
                      </c:pt>
                      <c:pt idx="405">
                        <c:v>21</c:v>
                      </c:pt>
                      <c:pt idx="406">
                        <c:v>23</c:v>
                      </c:pt>
                      <c:pt idx="407">
                        <c:v>21</c:v>
                      </c:pt>
                      <c:pt idx="408">
                        <c:v>23</c:v>
                      </c:pt>
                      <c:pt idx="409">
                        <c:v>21</c:v>
                      </c:pt>
                      <c:pt idx="410">
                        <c:v>23</c:v>
                      </c:pt>
                      <c:pt idx="411">
                        <c:v>21</c:v>
                      </c:pt>
                      <c:pt idx="412">
                        <c:v>23</c:v>
                      </c:pt>
                      <c:pt idx="413">
                        <c:v>23</c:v>
                      </c:pt>
                      <c:pt idx="414">
                        <c:v>8</c:v>
                      </c:pt>
                      <c:pt idx="415">
                        <c:v>6</c:v>
                      </c:pt>
                      <c:pt idx="416">
                        <c:v>1</c:v>
                      </c:pt>
                      <c:pt idx="417">
                        <c:v>25</c:v>
                      </c:pt>
                      <c:pt idx="418">
                        <c:v>20</c:v>
                      </c:pt>
                      <c:pt idx="419">
                        <c:v>28</c:v>
                      </c:pt>
                      <c:pt idx="420">
                        <c:v>7</c:v>
                      </c:pt>
                      <c:pt idx="421">
                        <c:v>25</c:v>
                      </c:pt>
                      <c:pt idx="422">
                        <c:v>1</c:v>
                      </c:pt>
                      <c:pt idx="423">
                        <c:v>25</c:v>
                      </c:pt>
                      <c:pt idx="424">
                        <c:v>20</c:v>
                      </c:pt>
                      <c:pt idx="425">
                        <c:v>28</c:v>
                      </c:pt>
                      <c:pt idx="426">
                        <c:v>7</c:v>
                      </c:pt>
                      <c:pt idx="427">
                        <c:v>25</c:v>
                      </c:pt>
                      <c:pt idx="428">
                        <c:v>8</c:v>
                      </c:pt>
                      <c:pt idx="429">
                        <c:v>6</c:v>
                      </c:pt>
                      <c:pt idx="430">
                        <c:v>1</c:v>
                      </c:pt>
                      <c:pt idx="431">
                        <c:v>25</c:v>
                      </c:pt>
                      <c:pt idx="432">
                        <c:v>20</c:v>
                      </c:pt>
                      <c:pt idx="433">
                        <c:v>28</c:v>
                      </c:pt>
                      <c:pt idx="434">
                        <c:v>7</c:v>
                      </c:pt>
                      <c:pt idx="435">
                        <c:v>25</c:v>
                      </c:pt>
                      <c:pt idx="436">
                        <c:v>8</c:v>
                      </c:pt>
                      <c:pt idx="437">
                        <c:v>6</c:v>
                      </c:pt>
                      <c:pt idx="438">
                        <c:v>1</c:v>
                      </c:pt>
                      <c:pt idx="439">
                        <c:v>25</c:v>
                      </c:pt>
                      <c:pt idx="440">
                        <c:v>20</c:v>
                      </c:pt>
                      <c:pt idx="441">
                        <c:v>28</c:v>
                      </c:pt>
                      <c:pt idx="442">
                        <c:v>7</c:v>
                      </c:pt>
                      <c:pt idx="443">
                        <c:v>25</c:v>
                      </c:pt>
                      <c:pt idx="444">
                        <c:v>8</c:v>
                      </c:pt>
                      <c:pt idx="445">
                        <c:v>6</c:v>
                      </c:pt>
                      <c:pt idx="446">
                        <c:v>1</c:v>
                      </c:pt>
                      <c:pt idx="447">
                        <c:v>25</c:v>
                      </c:pt>
                      <c:pt idx="448">
                        <c:v>20</c:v>
                      </c:pt>
                      <c:pt idx="449">
                        <c:v>28</c:v>
                      </c:pt>
                      <c:pt idx="450">
                        <c:v>7</c:v>
                      </c:pt>
                      <c:pt idx="451">
                        <c:v>25</c:v>
                      </c:pt>
                      <c:pt idx="452">
                        <c:v>28</c:v>
                      </c:pt>
                      <c:pt idx="453">
                        <c:v>7</c:v>
                      </c:pt>
                      <c:pt idx="454">
                        <c:v>25</c:v>
                      </c:pt>
                      <c:pt idx="455">
                        <c:v>22</c:v>
                      </c:pt>
                      <c:pt idx="456">
                        <c:v>24</c:v>
                      </c:pt>
                      <c:pt idx="457">
                        <c:v>27</c:v>
                      </c:pt>
                      <c:pt idx="458">
                        <c:v>29</c:v>
                      </c:pt>
                      <c:pt idx="459">
                        <c:v>22</c:v>
                      </c:pt>
                      <c:pt idx="460">
                        <c:v>24</c:v>
                      </c:pt>
                      <c:pt idx="461">
                        <c:v>27</c:v>
                      </c:pt>
                      <c:pt idx="462">
                        <c:v>29</c:v>
                      </c:pt>
                      <c:pt idx="463">
                        <c:v>22</c:v>
                      </c:pt>
                      <c:pt idx="464">
                        <c:v>24</c:v>
                      </c:pt>
                      <c:pt idx="465">
                        <c:v>27</c:v>
                      </c:pt>
                      <c:pt idx="466">
                        <c:v>29</c:v>
                      </c:pt>
                      <c:pt idx="467">
                        <c:v>22</c:v>
                      </c:pt>
                      <c:pt idx="468">
                        <c:v>24</c:v>
                      </c:pt>
                      <c:pt idx="469">
                        <c:v>27</c:v>
                      </c:pt>
                      <c:pt idx="470">
                        <c:v>29</c:v>
                      </c:pt>
                      <c:pt idx="471">
                        <c:v>22</c:v>
                      </c:pt>
                      <c:pt idx="472">
                        <c:v>24</c:v>
                      </c:pt>
                      <c:pt idx="473">
                        <c:v>27</c:v>
                      </c:pt>
                      <c:pt idx="474">
                        <c:v>29</c:v>
                      </c:pt>
                      <c:pt idx="475">
                        <c:v>22</c:v>
                      </c:pt>
                      <c:pt idx="476">
                        <c:v>24</c:v>
                      </c:pt>
                      <c:pt idx="477">
                        <c:v>27</c:v>
                      </c:pt>
                      <c:pt idx="478">
                        <c:v>29</c:v>
                      </c:pt>
                      <c:pt idx="479">
                        <c:v>33</c:v>
                      </c:pt>
                      <c:pt idx="480">
                        <c:v>33</c:v>
                      </c:pt>
                      <c:pt idx="481">
                        <c:v>33</c:v>
                      </c:pt>
                      <c:pt idx="482">
                        <c:v>33</c:v>
                      </c:pt>
                      <c:pt idx="483">
                        <c:v>33</c:v>
                      </c:pt>
                      <c:pt idx="484">
                        <c:v>28</c:v>
                      </c:pt>
                      <c:pt idx="485">
                        <c:v>7</c:v>
                      </c:pt>
                      <c:pt idx="486">
                        <c:v>15</c:v>
                      </c:pt>
                      <c:pt idx="487">
                        <c:v>12</c:v>
                      </c:pt>
                      <c:pt idx="488">
                        <c:v>16</c:v>
                      </c:pt>
                      <c:pt idx="489">
                        <c:v>16</c:v>
                      </c:pt>
                      <c:pt idx="490">
                        <c:v>17</c:v>
                      </c:pt>
                      <c:pt idx="491">
                        <c:v>16</c:v>
                      </c:pt>
                      <c:pt idx="492">
                        <c:v>1</c:v>
                      </c:pt>
                      <c:pt idx="493">
                        <c:v>3</c:v>
                      </c:pt>
                      <c:pt idx="494">
                        <c:v>24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25</c:v>
                      </c:pt>
                      <c:pt idx="498">
                        <c:v>15</c:v>
                      </c:pt>
                      <c:pt idx="499">
                        <c:v>20</c:v>
                      </c:pt>
                      <c:pt idx="500">
                        <c:v>26</c:v>
                      </c:pt>
                      <c:pt idx="501">
                        <c:v>25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24</c:v>
                      </c:pt>
                      <c:pt idx="505">
                        <c:v>1</c:v>
                      </c:pt>
                      <c:pt idx="506">
                        <c:v>0</c:v>
                      </c:pt>
                      <c:pt idx="507">
                        <c:v>14</c:v>
                      </c:pt>
                      <c:pt idx="508">
                        <c:v>4</c:v>
                      </c:pt>
                      <c:pt idx="509">
                        <c:v>24</c:v>
                      </c:pt>
                      <c:pt idx="510">
                        <c:v>22</c:v>
                      </c:pt>
                      <c:pt idx="511">
                        <c:v>22</c:v>
                      </c:pt>
                      <c:pt idx="512">
                        <c:v>24</c:v>
                      </c:pt>
                      <c:pt idx="513">
                        <c:v>1</c:v>
                      </c:pt>
                      <c:pt idx="514">
                        <c:v>23</c:v>
                      </c:pt>
                      <c:pt idx="515">
                        <c:v>20</c:v>
                      </c:pt>
                      <c:pt idx="516">
                        <c:v>0</c:v>
                      </c:pt>
                      <c:pt idx="517">
                        <c:v>23</c:v>
                      </c:pt>
                      <c:pt idx="518">
                        <c:v>3</c:v>
                      </c:pt>
                      <c:pt idx="519">
                        <c:v>22</c:v>
                      </c:pt>
                      <c:pt idx="520">
                        <c:v>19</c:v>
                      </c:pt>
                      <c:pt idx="521">
                        <c:v>17</c:v>
                      </c:pt>
                      <c:pt idx="522">
                        <c:v>21</c:v>
                      </c:pt>
                      <c:pt idx="523">
                        <c:v>18</c:v>
                      </c:pt>
                      <c:pt idx="524">
                        <c:v>14</c:v>
                      </c:pt>
                      <c:pt idx="525">
                        <c:v>0</c:v>
                      </c:pt>
                      <c:pt idx="526">
                        <c:v>14</c:v>
                      </c:pt>
                      <c:pt idx="527">
                        <c:v>21</c:v>
                      </c:pt>
                      <c:pt idx="528">
                        <c:v>18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25</c:v>
                      </c:pt>
                      <c:pt idx="533">
                        <c:v>24</c:v>
                      </c:pt>
                      <c:pt idx="534">
                        <c:v>17</c:v>
                      </c:pt>
                      <c:pt idx="535">
                        <c:v>25</c:v>
                      </c:pt>
                      <c:pt idx="536">
                        <c:v>13</c:v>
                      </c:pt>
                      <c:pt idx="537">
                        <c:v>23</c:v>
                      </c:pt>
                      <c:pt idx="538">
                        <c:v>23</c:v>
                      </c:pt>
                      <c:pt idx="539">
                        <c:v>3</c:v>
                      </c:pt>
                      <c:pt idx="540">
                        <c:v>13</c:v>
                      </c:pt>
                      <c:pt idx="541">
                        <c:v>0</c:v>
                      </c:pt>
                      <c:pt idx="542">
                        <c:v>16</c:v>
                      </c:pt>
                      <c:pt idx="543">
                        <c:v>11</c:v>
                      </c:pt>
                      <c:pt idx="544">
                        <c:v>3</c:v>
                      </c:pt>
                      <c:pt idx="545">
                        <c:v>2</c:v>
                      </c:pt>
                      <c:pt idx="546">
                        <c:v>21</c:v>
                      </c:pt>
                      <c:pt idx="547">
                        <c:v>25</c:v>
                      </c:pt>
                      <c:pt idx="548">
                        <c:v>15</c:v>
                      </c:pt>
                      <c:pt idx="549">
                        <c:v>20</c:v>
                      </c:pt>
                      <c:pt idx="550">
                        <c:v>26</c:v>
                      </c:pt>
                      <c:pt idx="551">
                        <c:v>25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24</c:v>
                      </c:pt>
                      <c:pt idx="555">
                        <c:v>1</c:v>
                      </c:pt>
                      <c:pt idx="556">
                        <c:v>0</c:v>
                      </c:pt>
                      <c:pt idx="557">
                        <c:v>14</c:v>
                      </c:pt>
                      <c:pt idx="558">
                        <c:v>4</c:v>
                      </c:pt>
                      <c:pt idx="559">
                        <c:v>24</c:v>
                      </c:pt>
                      <c:pt idx="560">
                        <c:v>22</c:v>
                      </c:pt>
                      <c:pt idx="561">
                        <c:v>22</c:v>
                      </c:pt>
                      <c:pt idx="562">
                        <c:v>24</c:v>
                      </c:pt>
                      <c:pt idx="563">
                        <c:v>1</c:v>
                      </c:pt>
                      <c:pt idx="564">
                        <c:v>23</c:v>
                      </c:pt>
                      <c:pt idx="565">
                        <c:v>20</c:v>
                      </c:pt>
                      <c:pt idx="566">
                        <c:v>0</c:v>
                      </c:pt>
                      <c:pt idx="567">
                        <c:v>23</c:v>
                      </c:pt>
                      <c:pt idx="568">
                        <c:v>3</c:v>
                      </c:pt>
                      <c:pt idx="569">
                        <c:v>22</c:v>
                      </c:pt>
                      <c:pt idx="570">
                        <c:v>19</c:v>
                      </c:pt>
                      <c:pt idx="571">
                        <c:v>17</c:v>
                      </c:pt>
                      <c:pt idx="572">
                        <c:v>21</c:v>
                      </c:pt>
                      <c:pt idx="573">
                        <c:v>18</c:v>
                      </c:pt>
                      <c:pt idx="574">
                        <c:v>14</c:v>
                      </c:pt>
                      <c:pt idx="575">
                        <c:v>0</c:v>
                      </c:pt>
                      <c:pt idx="576">
                        <c:v>14</c:v>
                      </c:pt>
                      <c:pt idx="577">
                        <c:v>21</c:v>
                      </c:pt>
                      <c:pt idx="578">
                        <c:v>18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25</c:v>
                      </c:pt>
                      <c:pt idx="583">
                        <c:v>24</c:v>
                      </c:pt>
                      <c:pt idx="584">
                        <c:v>17</c:v>
                      </c:pt>
                      <c:pt idx="585">
                        <c:v>25</c:v>
                      </c:pt>
                      <c:pt idx="586">
                        <c:v>13</c:v>
                      </c:pt>
                      <c:pt idx="587">
                        <c:v>23</c:v>
                      </c:pt>
                      <c:pt idx="588">
                        <c:v>23</c:v>
                      </c:pt>
                      <c:pt idx="589">
                        <c:v>3</c:v>
                      </c:pt>
                      <c:pt idx="590">
                        <c:v>13</c:v>
                      </c:pt>
                      <c:pt idx="591">
                        <c:v>0</c:v>
                      </c:pt>
                      <c:pt idx="592">
                        <c:v>16</c:v>
                      </c:pt>
                      <c:pt idx="593">
                        <c:v>11</c:v>
                      </c:pt>
                      <c:pt idx="594">
                        <c:v>3</c:v>
                      </c:pt>
                      <c:pt idx="595">
                        <c:v>2</c:v>
                      </c:pt>
                      <c:pt idx="596">
                        <c:v>21</c:v>
                      </c:pt>
                      <c:pt idx="597">
                        <c:v>28</c:v>
                      </c:pt>
                      <c:pt idx="598">
                        <c:v>7</c:v>
                      </c:pt>
                      <c:pt idx="599">
                        <c:v>15</c:v>
                      </c:pt>
                      <c:pt idx="600">
                        <c:v>12</c:v>
                      </c:pt>
                      <c:pt idx="601">
                        <c:v>16</c:v>
                      </c:pt>
                      <c:pt idx="602">
                        <c:v>16</c:v>
                      </c:pt>
                      <c:pt idx="603">
                        <c:v>17</c:v>
                      </c:pt>
                      <c:pt idx="604">
                        <c:v>16</c:v>
                      </c:pt>
                      <c:pt idx="605">
                        <c:v>1</c:v>
                      </c:pt>
                      <c:pt idx="606">
                        <c:v>3</c:v>
                      </c:pt>
                      <c:pt idx="607">
                        <c:v>24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25</c:v>
                      </c:pt>
                      <c:pt idx="611">
                        <c:v>15</c:v>
                      </c:pt>
                      <c:pt idx="612">
                        <c:v>20</c:v>
                      </c:pt>
                      <c:pt idx="613">
                        <c:v>26</c:v>
                      </c:pt>
                      <c:pt idx="614">
                        <c:v>25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24</c:v>
                      </c:pt>
                      <c:pt idx="618">
                        <c:v>1</c:v>
                      </c:pt>
                      <c:pt idx="619">
                        <c:v>0</c:v>
                      </c:pt>
                      <c:pt idx="620">
                        <c:v>14</c:v>
                      </c:pt>
                      <c:pt idx="621">
                        <c:v>4</c:v>
                      </c:pt>
                      <c:pt idx="622">
                        <c:v>24</c:v>
                      </c:pt>
                      <c:pt idx="623">
                        <c:v>22</c:v>
                      </c:pt>
                      <c:pt idx="624">
                        <c:v>22</c:v>
                      </c:pt>
                      <c:pt idx="625">
                        <c:v>24</c:v>
                      </c:pt>
                      <c:pt idx="626">
                        <c:v>1</c:v>
                      </c:pt>
                      <c:pt idx="627">
                        <c:v>23</c:v>
                      </c:pt>
                      <c:pt idx="628">
                        <c:v>20</c:v>
                      </c:pt>
                      <c:pt idx="629">
                        <c:v>0</c:v>
                      </c:pt>
                      <c:pt idx="630">
                        <c:v>23</c:v>
                      </c:pt>
                      <c:pt idx="631">
                        <c:v>3</c:v>
                      </c:pt>
                      <c:pt idx="632">
                        <c:v>22</c:v>
                      </c:pt>
                      <c:pt idx="633">
                        <c:v>19</c:v>
                      </c:pt>
                      <c:pt idx="634">
                        <c:v>17</c:v>
                      </c:pt>
                      <c:pt idx="635">
                        <c:v>21</c:v>
                      </c:pt>
                      <c:pt idx="636">
                        <c:v>18</c:v>
                      </c:pt>
                      <c:pt idx="637">
                        <c:v>14</c:v>
                      </c:pt>
                      <c:pt idx="638">
                        <c:v>0</c:v>
                      </c:pt>
                      <c:pt idx="639">
                        <c:v>14</c:v>
                      </c:pt>
                      <c:pt idx="640">
                        <c:v>21</c:v>
                      </c:pt>
                      <c:pt idx="641">
                        <c:v>18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25</c:v>
                      </c:pt>
                      <c:pt idx="646">
                        <c:v>24</c:v>
                      </c:pt>
                      <c:pt idx="647">
                        <c:v>17</c:v>
                      </c:pt>
                      <c:pt idx="648">
                        <c:v>25</c:v>
                      </c:pt>
                      <c:pt idx="649">
                        <c:v>13</c:v>
                      </c:pt>
                      <c:pt idx="650">
                        <c:v>23</c:v>
                      </c:pt>
                      <c:pt idx="651">
                        <c:v>23</c:v>
                      </c:pt>
                      <c:pt idx="652">
                        <c:v>3</c:v>
                      </c:pt>
                      <c:pt idx="653">
                        <c:v>13</c:v>
                      </c:pt>
                      <c:pt idx="654">
                        <c:v>0</c:v>
                      </c:pt>
                      <c:pt idx="655">
                        <c:v>16</c:v>
                      </c:pt>
                      <c:pt idx="656">
                        <c:v>11</c:v>
                      </c:pt>
                      <c:pt idx="657">
                        <c:v>3</c:v>
                      </c:pt>
                      <c:pt idx="658">
                        <c:v>2</c:v>
                      </c:pt>
                      <c:pt idx="659">
                        <c:v>21</c:v>
                      </c:pt>
                      <c:pt idx="660">
                        <c:v>28</c:v>
                      </c:pt>
                      <c:pt idx="661">
                        <c:v>7</c:v>
                      </c:pt>
                      <c:pt idx="662">
                        <c:v>15</c:v>
                      </c:pt>
                      <c:pt idx="663">
                        <c:v>12</c:v>
                      </c:pt>
                      <c:pt idx="664">
                        <c:v>16</c:v>
                      </c:pt>
                      <c:pt idx="665">
                        <c:v>16</c:v>
                      </c:pt>
                      <c:pt idx="666">
                        <c:v>17</c:v>
                      </c:pt>
                      <c:pt idx="667">
                        <c:v>16</c:v>
                      </c:pt>
                      <c:pt idx="668">
                        <c:v>1</c:v>
                      </c:pt>
                      <c:pt idx="669">
                        <c:v>3</c:v>
                      </c:pt>
                      <c:pt idx="670">
                        <c:v>24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25</c:v>
                      </c:pt>
                      <c:pt idx="674">
                        <c:v>15</c:v>
                      </c:pt>
                      <c:pt idx="675">
                        <c:v>20</c:v>
                      </c:pt>
                      <c:pt idx="676">
                        <c:v>26</c:v>
                      </c:pt>
                      <c:pt idx="677">
                        <c:v>25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24</c:v>
                      </c:pt>
                      <c:pt idx="681">
                        <c:v>1</c:v>
                      </c:pt>
                      <c:pt idx="682">
                        <c:v>0</c:v>
                      </c:pt>
                      <c:pt idx="683">
                        <c:v>14</c:v>
                      </c:pt>
                      <c:pt idx="684">
                        <c:v>4</c:v>
                      </c:pt>
                      <c:pt idx="685">
                        <c:v>24</c:v>
                      </c:pt>
                      <c:pt idx="686">
                        <c:v>22</c:v>
                      </c:pt>
                      <c:pt idx="687">
                        <c:v>22</c:v>
                      </c:pt>
                      <c:pt idx="688">
                        <c:v>24</c:v>
                      </c:pt>
                      <c:pt idx="689">
                        <c:v>1</c:v>
                      </c:pt>
                      <c:pt idx="690">
                        <c:v>23</c:v>
                      </c:pt>
                      <c:pt idx="691">
                        <c:v>20</c:v>
                      </c:pt>
                      <c:pt idx="692">
                        <c:v>0</c:v>
                      </c:pt>
                      <c:pt idx="693">
                        <c:v>23</c:v>
                      </c:pt>
                      <c:pt idx="694">
                        <c:v>3</c:v>
                      </c:pt>
                      <c:pt idx="695">
                        <c:v>22</c:v>
                      </c:pt>
                      <c:pt idx="696">
                        <c:v>19</c:v>
                      </c:pt>
                      <c:pt idx="697">
                        <c:v>17</c:v>
                      </c:pt>
                      <c:pt idx="698">
                        <c:v>21</c:v>
                      </c:pt>
                      <c:pt idx="699">
                        <c:v>18</c:v>
                      </c:pt>
                      <c:pt idx="700">
                        <c:v>14</c:v>
                      </c:pt>
                      <c:pt idx="701">
                        <c:v>0</c:v>
                      </c:pt>
                      <c:pt idx="702">
                        <c:v>14</c:v>
                      </c:pt>
                      <c:pt idx="703">
                        <c:v>21</c:v>
                      </c:pt>
                      <c:pt idx="704">
                        <c:v>18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25</c:v>
                      </c:pt>
                      <c:pt idx="709">
                        <c:v>24</c:v>
                      </c:pt>
                      <c:pt idx="710">
                        <c:v>17</c:v>
                      </c:pt>
                      <c:pt idx="711">
                        <c:v>25</c:v>
                      </c:pt>
                      <c:pt idx="712">
                        <c:v>13</c:v>
                      </c:pt>
                      <c:pt idx="713">
                        <c:v>23</c:v>
                      </c:pt>
                      <c:pt idx="714">
                        <c:v>23</c:v>
                      </c:pt>
                      <c:pt idx="715">
                        <c:v>3</c:v>
                      </c:pt>
                      <c:pt idx="716">
                        <c:v>13</c:v>
                      </c:pt>
                      <c:pt idx="717">
                        <c:v>0</c:v>
                      </c:pt>
                      <c:pt idx="718">
                        <c:v>16</c:v>
                      </c:pt>
                      <c:pt idx="719">
                        <c:v>11</c:v>
                      </c:pt>
                      <c:pt idx="720">
                        <c:v>3</c:v>
                      </c:pt>
                      <c:pt idx="721">
                        <c:v>2</c:v>
                      </c:pt>
                      <c:pt idx="722">
                        <c:v>21</c:v>
                      </c:pt>
                      <c:pt idx="723">
                        <c:v>28</c:v>
                      </c:pt>
                      <c:pt idx="724">
                        <c:v>7</c:v>
                      </c:pt>
                      <c:pt idx="725">
                        <c:v>15</c:v>
                      </c:pt>
                      <c:pt idx="726">
                        <c:v>12</c:v>
                      </c:pt>
                      <c:pt idx="727">
                        <c:v>16</c:v>
                      </c:pt>
                      <c:pt idx="728">
                        <c:v>16</c:v>
                      </c:pt>
                      <c:pt idx="729">
                        <c:v>17</c:v>
                      </c:pt>
                      <c:pt idx="730">
                        <c:v>16</c:v>
                      </c:pt>
                      <c:pt idx="731">
                        <c:v>1</c:v>
                      </c:pt>
                      <c:pt idx="732">
                        <c:v>3</c:v>
                      </c:pt>
                      <c:pt idx="733">
                        <c:v>25</c:v>
                      </c:pt>
                      <c:pt idx="734">
                        <c:v>15</c:v>
                      </c:pt>
                      <c:pt idx="735">
                        <c:v>20</c:v>
                      </c:pt>
                      <c:pt idx="736">
                        <c:v>26</c:v>
                      </c:pt>
                      <c:pt idx="737">
                        <c:v>25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24</c:v>
                      </c:pt>
                      <c:pt idx="741">
                        <c:v>1</c:v>
                      </c:pt>
                      <c:pt idx="742">
                        <c:v>0</c:v>
                      </c:pt>
                      <c:pt idx="743">
                        <c:v>14</c:v>
                      </c:pt>
                      <c:pt idx="744">
                        <c:v>4</c:v>
                      </c:pt>
                      <c:pt idx="745">
                        <c:v>24</c:v>
                      </c:pt>
                      <c:pt idx="746">
                        <c:v>22</c:v>
                      </c:pt>
                      <c:pt idx="747">
                        <c:v>22</c:v>
                      </c:pt>
                      <c:pt idx="748">
                        <c:v>24</c:v>
                      </c:pt>
                      <c:pt idx="749">
                        <c:v>1</c:v>
                      </c:pt>
                      <c:pt idx="750">
                        <c:v>23</c:v>
                      </c:pt>
                      <c:pt idx="751">
                        <c:v>20</c:v>
                      </c:pt>
                      <c:pt idx="752">
                        <c:v>0</c:v>
                      </c:pt>
                      <c:pt idx="753">
                        <c:v>23</c:v>
                      </c:pt>
                      <c:pt idx="754">
                        <c:v>3</c:v>
                      </c:pt>
                      <c:pt idx="755">
                        <c:v>22</c:v>
                      </c:pt>
                      <c:pt idx="756">
                        <c:v>19</c:v>
                      </c:pt>
                      <c:pt idx="757">
                        <c:v>17</c:v>
                      </c:pt>
                      <c:pt idx="758">
                        <c:v>21</c:v>
                      </c:pt>
                      <c:pt idx="759">
                        <c:v>18</c:v>
                      </c:pt>
                      <c:pt idx="760">
                        <c:v>14</c:v>
                      </c:pt>
                      <c:pt idx="761">
                        <c:v>0</c:v>
                      </c:pt>
                      <c:pt idx="762">
                        <c:v>14</c:v>
                      </c:pt>
                      <c:pt idx="763">
                        <c:v>21</c:v>
                      </c:pt>
                      <c:pt idx="764">
                        <c:v>18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25</c:v>
                      </c:pt>
                      <c:pt idx="769">
                        <c:v>24</c:v>
                      </c:pt>
                      <c:pt idx="770">
                        <c:v>17</c:v>
                      </c:pt>
                      <c:pt idx="771">
                        <c:v>25</c:v>
                      </c:pt>
                      <c:pt idx="772">
                        <c:v>13</c:v>
                      </c:pt>
                      <c:pt idx="773">
                        <c:v>23</c:v>
                      </c:pt>
                      <c:pt idx="774">
                        <c:v>23</c:v>
                      </c:pt>
                      <c:pt idx="775">
                        <c:v>3</c:v>
                      </c:pt>
                      <c:pt idx="776">
                        <c:v>13</c:v>
                      </c:pt>
                      <c:pt idx="777">
                        <c:v>0</c:v>
                      </c:pt>
                      <c:pt idx="778">
                        <c:v>16</c:v>
                      </c:pt>
                      <c:pt idx="779">
                        <c:v>11</c:v>
                      </c:pt>
                      <c:pt idx="780">
                        <c:v>3</c:v>
                      </c:pt>
                      <c:pt idx="781">
                        <c:v>2</c:v>
                      </c:pt>
                      <c:pt idx="782">
                        <c:v>21</c:v>
                      </c:pt>
                      <c:pt idx="783">
                        <c:v>28</c:v>
                      </c:pt>
                      <c:pt idx="784">
                        <c:v>7</c:v>
                      </c:pt>
                      <c:pt idx="785">
                        <c:v>15</c:v>
                      </c:pt>
                      <c:pt idx="786">
                        <c:v>22</c:v>
                      </c:pt>
                      <c:pt idx="787">
                        <c:v>19</c:v>
                      </c:pt>
                      <c:pt idx="788">
                        <c:v>17</c:v>
                      </c:pt>
                      <c:pt idx="789">
                        <c:v>21</c:v>
                      </c:pt>
                      <c:pt idx="790">
                        <c:v>18</c:v>
                      </c:pt>
                      <c:pt idx="791">
                        <c:v>14</c:v>
                      </c:pt>
                      <c:pt idx="792">
                        <c:v>0</c:v>
                      </c:pt>
                      <c:pt idx="793">
                        <c:v>14</c:v>
                      </c:pt>
                      <c:pt idx="794">
                        <c:v>21</c:v>
                      </c:pt>
                      <c:pt idx="795">
                        <c:v>18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25</c:v>
                      </c:pt>
                      <c:pt idx="800">
                        <c:v>24</c:v>
                      </c:pt>
                      <c:pt idx="801">
                        <c:v>17</c:v>
                      </c:pt>
                      <c:pt idx="802">
                        <c:v>25</c:v>
                      </c:pt>
                      <c:pt idx="803">
                        <c:v>13</c:v>
                      </c:pt>
                      <c:pt idx="804">
                        <c:v>23</c:v>
                      </c:pt>
                      <c:pt idx="805">
                        <c:v>23</c:v>
                      </c:pt>
                      <c:pt idx="806">
                        <c:v>3</c:v>
                      </c:pt>
                      <c:pt idx="807">
                        <c:v>13</c:v>
                      </c:pt>
                      <c:pt idx="808">
                        <c:v>0</c:v>
                      </c:pt>
                      <c:pt idx="809">
                        <c:v>16</c:v>
                      </c:pt>
                      <c:pt idx="810">
                        <c:v>11</c:v>
                      </c:pt>
                      <c:pt idx="811">
                        <c:v>3</c:v>
                      </c:pt>
                      <c:pt idx="812">
                        <c:v>2</c:v>
                      </c:pt>
                      <c:pt idx="813">
                        <c:v>21</c:v>
                      </c:pt>
                      <c:pt idx="814">
                        <c:v>16</c:v>
                      </c:pt>
                      <c:pt idx="815">
                        <c:v>14</c:v>
                      </c:pt>
                      <c:pt idx="816">
                        <c:v>16</c:v>
                      </c:pt>
                      <c:pt idx="817">
                        <c:v>14</c:v>
                      </c:pt>
                      <c:pt idx="818">
                        <c:v>16</c:v>
                      </c:pt>
                      <c:pt idx="819">
                        <c:v>14</c:v>
                      </c:pt>
                      <c:pt idx="820">
                        <c:v>16</c:v>
                      </c:pt>
                      <c:pt idx="821">
                        <c:v>14</c:v>
                      </c:pt>
                      <c:pt idx="822">
                        <c:v>16</c:v>
                      </c:pt>
                      <c:pt idx="823">
                        <c:v>14</c:v>
                      </c:pt>
                      <c:pt idx="824">
                        <c:v>22</c:v>
                      </c:pt>
                      <c:pt idx="825">
                        <c:v>16</c:v>
                      </c:pt>
                      <c:pt idx="826">
                        <c:v>17</c:v>
                      </c:pt>
                      <c:pt idx="827">
                        <c:v>22</c:v>
                      </c:pt>
                      <c:pt idx="828">
                        <c:v>16</c:v>
                      </c:pt>
                      <c:pt idx="829">
                        <c:v>17</c:v>
                      </c:pt>
                      <c:pt idx="830">
                        <c:v>22</c:v>
                      </c:pt>
                      <c:pt idx="831">
                        <c:v>16</c:v>
                      </c:pt>
                      <c:pt idx="832">
                        <c:v>17</c:v>
                      </c:pt>
                      <c:pt idx="833">
                        <c:v>22</c:v>
                      </c:pt>
                      <c:pt idx="834">
                        <c:v>16</c:v>
                      </c:pt>
                      <c:pt idx="835">
                        <c:v>17</c:v>
                      </c:pt>
                      <c:pt idx="836">
                        <c:v>0</c:v>
                      </c:pt>
                      <c:pt idx="837">
                        <c:v>22</c:v>
                      </c:pt>
                      <c:pt idx="838">
                        <c:v>22</c:v>
                      </c:pt>
                      <c:pt idx="839">
                        <c:v>23</c:v>
                      </c:pt>
                      <c:pt idx="840">
                        <c:v>0</c:v>
                      </c:pt>
                      <c:pt idx="841">
                        <c:v>14</c:v>
                      </c:pt>
                      <c:pt idx="842">
                        <c:v>19</c:v>
                      </c:pt>
                      <c:pt idx="843">
                        <c:v>1</c:v>
                      </c:pt>
                      <c:pt idx="844">
                        <c:v>1</c:v>
                      </c:pt>
                      <c:pt idx="845">
                        <c:v>14</c:v>
                      </c:pt>
                      <c:pt idx="846">
                        <c:v>13</c:v>
                      </c:pt>
                      <c:pt idx="847">
                        <c:v>18</c:v>
                      </c:pt>
                      <c:pt idx="848">
                        <c:v>18</c:v>
                      </c:pt>
                      <c:pt idx="849">
                        <c:v>22</c:v>
                      </c:pt>
                      <c:pt idx="850">
                        <c:v>22</c:v>
                      </c:pt>
                      <c:pt idx="851">
                        <c:v>21</c:v>
                      </c:pt>
                      <c:pt idx="852">
                        <c:v>21</c:v>
                      </c:pt>
                      <c:pt idx="853">
                        <c:v>7</c:v>
                      </c:pt>
                      <c:pt idx="854">
                        <c:v>7</c:v>
                      </c:pt>
                      <c:pt idx="855">
                        <c:v>23</c:v>
                      </c:pt>
                      <c:pt idx="856">
                        <c:v>0</c:v>
                      </c:pt>
                      <c:pt idx="857">
                        <c:v>14</c:v>
                      </c:pt>
                      <c:pt idx="858">
                        <c:v>19</c:v>
                      </c:pt>
                      <c:pt idx="859">
                        <c:v>1</c:v>
                      </c:pt>
                      <c:pt idx="860">
                        <c:v>1</c:v>
                      </c:pt>
                      <c:pt idx="861">
                        <c:v>14</c:v>
                      </c:pt>
                      <c:pt idx="862">
                        <c:v>13</c:v>
                      </c:pt>
                      <c:pt idx="863">
                        <c:v>18</c:v>
                      </c:pt>
                      <c:pt idx="864">
                        <c:v>18</c:v>
                      </c:pt>
                      <c:pt idx="865">
                        <c:v>22</c:v>
                      </c:pt>
                      <c:pt idx="866">
                        <c:v>22</c:v>
                      </c:pt>
                      <c:pt idx="867">
                        <c:v>21</c:v>
                      </c:pt>
                      <c:pt idx="868">
                        <c:v>21</c:v>
                      </c:pt>
                      <c:pt idx="869">
                        <c:v>0</c:v>
                      </c:pt>
                      <c:pt idx="870">
                        <c:v>22</c:v>
                      </c:pt>
                      <c:pt idx="871">
                        <c:v>22</c:v>
                      </c:pt>
                      <c:pt idx="872">
                        <c:v>23</c:v>
                      </c:pt>
                      <c:pt idx="873">
                        <c:v>0</c:v>
                      </c:pt>
                      <c:pt idx="874">
                        <c:v>14</c:v>
                      </c:pt>
                      <c:pt idx="875">
                        <c:v>19</c:v>
                      </c:pt>
                      <c:pt idx="876">
                        <c:v>1</c:v>
                      </c:pt>
                      <c:pt idx="877">
                        <c:v>1</c:v>
                      </c:pt>
                      <c:pt idx="878">
                        <c:v>14</c:v>
                      </c:pt>
                      <c:pt idx="879">
                        <c:v>13</c:v>
                      </c:pt>
                      <c:pt idx="880">
                        <c:v>18</c:v>
                      </c:pt>
                      <c:pt idx="881">
                        <c:v>18</c:v>
                      </c:pt>
                      <c:pt idx="882">
                        <c:v>22</c:v>
                      </c:pt>
                      <c:pt idx="883">
                        <c:v>22</c:v>
                      </c:pt>
                      <c:pt idx="884">
                        <c:v>21</c:v>
                      </c:pt>
                      <c:pt idx="885">
                        <c:v>21</c:v>
                      </c:pt>
                      <c:pt idx="886">
                        <c:v>0</c:v>
                      </c:pt>
                      <c:pt idx="887">
                        <c:v>22</c:v>
                      </c:pt>
                      <c:pt idx="888">
                        <c:v>22</c:v>
                      </c:pt>
                      <c:pt idx="889">
                        <c:v>23</c:v>
                      </c:pt>
                      <c:pt idx="890">
                        <c:v>0</c:v>
                      </c:pt>
                      <c:pt idx="891">
                        <c:v>14</c:v>
                      </c:pt>
                      <c:pt idx="892">
                        <c:v>19</c:v>
                      </c:pt>
                      <c:pt idx="893">
                        <c:v>1</c:v>
                      </c:pt>
                      <c:pt idx="894">
                        <c:v>1</c:v>
                      </c:pt>
                      <c:pt idx="895">
                        <c:v>14</c:v>
                      </c:pt>
                      <c:pt idx="896">
                        <c:v>13</c:v>
                      </c:pt>
                      <c:pt idx="897">
                        <c:v>18</c:v>
                      </c:pt>
                      <c:pt idx="898">
                        <c:v>18</c:v>
                      </c:pt>
                      <c:pt idx="899">
                        <c:v>22</c:v>
                      </c:pt>
                      <c:pt idx="900">
                        <c:v>22</c:v>
                      </c:pt>
                      <c:pt idx="901">
                        <c:v>21</c:v>
                      </c:pt>
                      <c:pt idx="902">
                        <c:v>21</c:v>
                      </c:pt>
                      <c:pt idx="903">
                        <c:v>0</c:v>
                      </c:pt>
                      <c:pt idx="904">
                        <c:v>22</c:v>
                      </c:pt>
                      <c:pt idx="905">
                        <c:v>22</c:v>
                      </c:pt>
                      <c:pt idx="906">
                        <c:v>23</c:v>
                      </c:pt>
                      <c:pt idx="907">
                        <c:v>0</c:v>
                      </c:pt>
                      <c:pt idx="908">
                        <c:v>14</c:v>
                      </c:pt>
                      <c:pt idx="909">
                        <c:v>19</c:v>
                      </c:pt>
                      <c:pt idx="910">
                        <c:v>1</c:v>
                      </c:pt>
                      <c:pt idx="911">
                        <c:v>1</c:v>
                      </c:pt>
                      <c:pt idx="912">
                        <c:v>14</c:v>
                      </c:pt>
                      <c:pt idx="913">
                        <c:v>13</c:v>
                      </c:pt>
                      <c:pt idx="914">
                        <c:v>18</c:v>
                      </c:pt>
                      <c:pt idx="915">
                        <c:v>18</c:v>
                      </c:pt>
                      <c:pt idx="916">
                        <c:v>22</c:v>
                      </c:pt>
                      <c:pt idx="917">
                        <c:v>22</c:v>
                      </c:pt>
                      <c:pt idx="918">
                        <c:v>21</c:v>
                      </c:pt>
                      <c:pt idx="919">
                        <c:v>21</c:v>
                      </c:pt>
                      <c:pt idx="920">
                        <c:v>22</c:v>
                      </c:pt>
                      <c:pt idx="921">
                        <c:v>21</c:v>
                      </c:pt>
                      <c:pt idx="922">
                        <c:v>21</c:v>
                      </c:pt>
                      <c:pt idx="923">
                        <c:v>0</c:v>
                      </c:pt>
                      <c:pt idx="924">
                        <c:v>3</c:v>
                      </c:pt>
                      <c:pt idx="925">
                        <c:v>0</c:v>
                      </c:pt>
                      <c:pt idx="926">
                        <c:v>3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3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3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3</c:v>
                      </c:pt>
                      <c:pt idx="936">
                        <c:v>0</c:v>
                      </c:pt>
                      <c:pt idx="937">
                        <c:v>3</c:v>
                      </c:pt>
                      <c:pt idx="938">
                        <c:v>0</c:v>
                      </c:pt>
                      <c:pt idx="939">
                        <c:v>21</c:v>
                      </c:pt>
                      <c:pt idx="940">
                        <c:v>19</c:v>
                      </c:pt>
                      <c:pt idx="941">
                        <c:v>21</c:v>
                      </c:pt>
                      <c:pt idx="942">
                        <c:v>19</c:v>
                      </c:pt>
                      <c:pt idx="943">
                        <c:v>21</c:v>
                      </c:pt>
                      <c:pt idx="944">
                        <c:v>19</c:v>
                      </c:pt>
                      <c:pt idx="945">
                        <c:v>21</c:v>
                      </c:pt>
                      <c:pt idx="946">
                        <c:v>19</c:v>
                      </c:pt>
                      <c:pt idx="947">
                        <c:v>21</c:v>
                      </c:pt>
                      <c:pt idx="948">
                        <c:v>19</c:v>
                      </c:pt>
                      <c:pt idx="949">
                        <c:v>21</c:v>
                      </c:pt>
                      <c:pt idx="950">
                        <c:v>19</c:v>
                      </c:pt>
                      <c:pt idx="951">
                        <c:v>23</c:v>
                      </c:pt>
                      <c:pt idx="952">
                        <c:v>23</c:v>
                      </c:pt>
                      <c:pt idx="953">
                        <c:v>23</c:v>
                      </c:pt>
                      <c:pt idx="954">
                        <c:v>25</c:v>
                      </c:pt>
                      <c:pt idx="955">
                        <c:v>23</c:v>
                      </c:pt>
                      <c:pt idx="956">
                        <c:v>25</c:v>
                      </c:pt>
                      <c:pt idx="957">
                        <c:v>23</c:v>
                      </c:pt>
                      <c:pt idx="958">
                        <c:v>23</c:v>
                      </c:pt>
                      <c:pt idx="959">
                        <c:v>23</c:v>
                      </c:pt>
                      <c:pt idx="960">
                        <c:v>23</c:v>
                      </c:pt>
                      <c:pt idx="961">
                        <c:v>25</c:v>
                      </c:pt>
                      <c:pt idx="962">
                        <c:v>23</c:v>
                      </c:pt>
                      <c:pt idx="963">
                        <c:v>23</c:v>
                      </c:pt>
                      <c:pt idx="964">
                        <c:v>23</c:v>
                      </c:pt>
                      <c:pt idx="965">
                        <c:v>23</c:v>
                      </c:pt>
                      <c:pt idx="966">
                        <c:v>25</c:v>
                      </c:pt>
                      <c:pt idx="967">
                        <c:v>23</c:v>
                      </c:pt>
                      <c:pt idx="968">
                        <c:v>23</c:v>
                      </c:pt>
                      <c:pt idx="969">
                        <c:v>23</c:v>
                      </c:pt>
                      <c:pt idx="970">
                        <c:v>23</c:v>
                      </c:pt>
                      <c:pt idx="971">
                        <c:v>25</c:v>
                      </c:pt>
                      <c:pt idx="972">
                        <c:v>23</c:v>
                      </c:pt>
                      <c:pt idx="973">
                        <c:v>23</c:v>
                      </c:pt>
                      <c:pt idx="974">
                        <c:v>23</c:v>
                      </c:pt>
                      <c:pt idx="975">
                        <c:v>23</c:v>
                      </c:pt>
                      <c:pt idx="976">
                        <c:v>25</c:v>
                      </c:pt>
                      <c:pt idx="977">
                        <c:v>23</c:v>
                      </c:pt>
                      <c:pt idx="978">
                        <c:v>24</c:v>
                      </c:pt>
                      <c:pt idx="979">
                        <c:v>25</c:v>
                      </c:pt>
                      <c:pt idx="980">
                        <c:v>24</c:v>
                      </c:pt>
                      <c:pt idx="981">
                        <c:v>25</c:v>
                      </c:pt>
                      <c:pt idx="982">
                        <c:v>24</c:v>
                      </c:pt>
                      <c:pt idx="983">
                        <c:v>25</c:v>
                      </c:pt>
                      <c:pt idx="984">
                        <c:v>24</c:v>
                      </c:pt>
                      <c:pt idx="985">
                        <c:v>25</c:v>
                      </c:pt>
                      <c:pt idx="986">
                        <c:v>0</c:v>
                      </c:pt>
                      <c:pt idx="987">
                        <c:v>22</c:v>
                      </c:pt>
                      <c:pt idx="988">
                        <c:v>17</c:v>
                      </c:pt>
                      <c:pt idx="989">
                        <c:v>0</c:v>
                      </c:pt>
                      <c:pt idx="990">
                        <c:v>22</c:v>
                      </c:pt>
                      <c:pt idx="991">
                        <c:v>17</c:v>
                      </c:pt>
                      <c:pt idx="992">
                        <c:v>0</c:v>
                      </c:pt>
                      <c:pt idx="993">
                        <c:v>22</c:v>
                      </c:pt>
                      <c:pt idx="994">
                        <c:v>17</c:v>
                      </c:pt>
                      <c:pt idx="995">
                        <c:v>0</c:v>
                      </c:pt>
                      <c:pt idx="996">
                        <c:v>22</c:v>
                      </c:pt>
                      <c:pt idx="997">
                        <c:v>17</c:v>
                      </c:pt>
                      <c:pt idx="998">
                        <c:v>0</c:v>
                      </c:pt>
                      <c:pt idx="999">
                        <c:v>22</c:v>
                      </c:pt>
                      <c:pt idx="1000">
                        <c:v>17</c:v>
                      </c:pt>
                      <c:pt idx="1001">
                        <c:v>22</c:v>
                      </c:pt>
                      <c:pt idx="1002">
                        <c:v>17</c:v>
                      </c:pt>
                      <c:pt idx="1003">
                        <c:v>22</c:v>
                      </c:pt>
                      <c:pt idx="1004">
                        <c:v>22</c:v>
                      </c:pt>
                      <c:pt idx="1005">
                        <c:v>22</c:v>
                      </c:pt>
                      <c:pt idx="1006">
                        <c:v>22</c:v>
                      </c:pt>
                      <c:pt idx="1007">
                        <c:v>22</c:v>
                      </c:pt>
                      <c:pt idx="1008">
                        <c:v>22</c:v>
                      </c:pt>
                      <c:pt idx="1009">
                        <c:v>22</c:v>
                      </c:pt>
                      <c:pt idx="1010">
                        <c:v>22</c:v>
                      </c:pt>
                      <c:pt idx="1011">
                        <c:v>22</c:v>
                      </c:pt>
                      <c:pt idx="1012">
                        <c:v>22</c:v>
                      </c:pt>
                      <c:pt idx="1013">
                        <c:v>26</c:v>
                      </c:pt>
                      <c:pt idx="1014">
                        <c:v>28</c:v>
                      </c:pt>
                      <c:pt idx="1015">
                        <c:v>26</c:v>
                      </c:pt>
                      <c:pt idx="1016">
                        <c:v>22</c:v>
                      </c:pt>
                      <c:pt idx="1017">
                        <c:v>19</c:v>
                      </c:pt>
                      <c:pt idx="1018">
                        <c:v>22</c:v>
                      </c:pt>
                      <c:pt idx="1019">
                        <c:v>19</c:v>
                      </c:pt>
                      <c:pt idx="1020">
                        <c:v>26</c:v>
                      </c:pt>
                      <c:pt idx="1021">
                        <c:v>28</c:v>
                      </c:pt>
                      <c:pt idx="1022">
                        <c:v>26</c:v>
                      </c:pt>
                      <c:pt idx="1023">
                        <c:v>22</c:v>
                      </c:pt>
                      <c:pt idx="1024">
                        <c:v>19</c:v>
                      </c:pt>
                      <c:pt idx="1025">
                        <c:v>26</c:v>
                      </c:pt>
                      <c:pt idx="1026">
                        <c:v>28</c:v>
                      </c:pt>
                      <c:pt idx="1027">
                        <c:v>26</c:v>
                      </c:pt>
                      <c:pt idx="1028">
                        <c:v>22</c:v>
                      </c:pt>
                      <c:pt idx="1029">
                        <c:v>19</c:v>
                      </c:pt>
                      <c:pt idx="1030">
                        <c:v>26</c:v>
                      </c:pt>
                      <c:pt idx="1031">
                        <c:v>28</c:v>
                      </c:pt>
                      <c:pt idx="1032">
                        <c:v>26</c:v>
                      </c:pt>
                      <c:pt idx="1033">
                        <c:v>22</c:v>
                      </c:pt>
                      <c:pt idx="1034">
                        <c:v>19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CA21-45F8-B94D-92E2275C4EAC}"/>
                  </c:ext>
                </c:extLst>
              </c15:ser>
            </c15:filteredScatterSeries>
          </c:ext>
        </c:extLst>
      </c:scatterChart>
      <c:valAx>
        <c:axId val="86610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Amino Acid Position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08959"/>
        <c:crosses val="autoZero"/>
        <c:crossBetween val="midCat"/>
      </c:valAx>
      <c:valAx>
        <c:axId val="86610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CADD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06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01DFFD8-E1AF-4569-8EED-F1945A41B2AB}">
  <sheetPr/>
  <sheetViews>
    <sheetView zoomScale="114" workbookViewId="0" zoomToFit="1"/>
  </sheetViews>
  <customSheetViews>
    <customSheetView guid="{13E00259-D325-4D27-B6D0-F1F28B665E89}" scale="114" zoomToFit="1">
      <pageMargins left="0.25" right="0.25" top="0.75" bottom="0.75" header="0.3" footer="0.3"/>
      <pageSetup orientation="landscape" r:id="rId1"/>
    </customSheetView>
  </customSheetViews>
  <pageMargins left="0.25" right="0.25" top="0.75" bottom="0.75" header="0.3" footer="0.3"/>
  <pageSetup orientation="landscape" r:id="rId2"/>
  <drawing r:id="rId3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1F55167-4E38-446C-9074-47BAF4FF6821}">
  <sheetPr/>
  <sheetViews>
    <sheetView zoomScale="113" workbookViewId="0" zoomToFit="1"/>
  </sheetViews>
  <customSheetViews>
    <customSheetView guid="{13E00259-D325-4D27-B6D0-F1F28B665E89}" scale="113" zoomToFit="1">
      <pageMargins left="0.7" right="0.7" top="0.75" bottom="0.75" header="0.3" footer="0.3"/>
    </customSheetView>
  </custom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AF75E51-E7C7-4DEE-B9A6-0DC8E6637618}">
  <sheetPr/>
  <sheetViews>
    <sheetView zoomScale="113" workbookViewId="0" zoomToFit="1"/>
  </sheetViews>
  <customSheetViews>
    <customSheetView guid="{13E00259-D325-4D27-B6D0-F1F28B665E89}" scale="113" zoomToFit="1">
      <pageMargins left="0" right="0" top="0" bottom="0" header="0" footer="0"/>
      <pageSetup orientation="landscape" r:id="rId1"/>
    </customSheetView>
  </customSheetViews>
  <pageMargins left="0" right="0" top="0" bottom="0" header="0" footer="0"/>
  <pageSetup orientation="landscape" r:id="rId2"/>
  <drawing r:id="rId3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DFD6FED-1366-4409-8448-719D44D00547}">
  <sheetPr/>
  <sheetViews>
    <sheetView zoomScale="113" workbookViewId="0" zoomToFit="1"/>
  </sheetViews>
  <customSheetViews>
    <customSheetView guid="{13E00259-D325-4D27-B6D0-F1F28B665E89}" scale="113" zoomToFit="1">
      <pageMargins left="0.7" right="0.7" top="0.75" bottom="0.75" header="0.3" footer="0.3"/>
    </customSheetView>
  </custom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485312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D99F38-E97D-2259-4227-20DAB6AE26A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2163</xdr:row>
      <xdr:rowOff>4762</xdr:rowOff>
    </xdr:from>
    <xdr:to>
      <xdr:col>15</xdr:col>
      <xdr:colOff>66675</xdr:colOff>
      <xdr:row>2177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423A22-2DD8-2A63-A7C6-B4E15DFA5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7DF368-48EC-A931-BB09-586C747FF2B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557DD5-2D97-9D07-5C16-92C3066EF70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C706D3EE-6F52-459A-5277-F7BB7D57F37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0.16829</cdr:x>
      <cdr:y>0.19169</cdr:y>
    </cdr:from>
    <cdr:to>
      <cdr:x>0.25</cdr:x>
      <cdr:y>0.36461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6D46399-7AC4-2CB6-D432-48AE885D941C}"/>
            </a:ext>
          </a:extLst>
        </cdr:cNvPr>
        <cdr:cNvSpPr txBox="1"/>
      </cdr:nvSpPr>
      <cdr:spPr>
        <a:xfrm xmlns:a="http://schemas.openxmlformats.org/drawingml/2006/main">
          <a:off x="1458253" y="1205376"/>
          <a:ext cx="708053" cy="1087368"/>
        </a:xfrm>
        <a:prstGeom xmlns:a="http://schemas.openxmlformats.org/drawingml/2006/main" prst="rect">
          <a:avLst/>
        </a:prstGeom>
        <a:solidFill xmlns:a="http://schemas.openxmlformats.org/drawingml/2006/main">
          <a:srgbClr val="FFFF00">
            <a:alpha val="0"/>
          </a:srgb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0.74613</cdr:x>
      <cdr:y>0.43301</cdr:y>
    </cdr:from>
    <cdr:to>
      <cdr:x>0.82784</cdr:x>
      <cdr:y>0.60593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AA42F60-AECC-6002-F4D4-B6250A8A8736}"/>
            </a:ext>
          </a:extLst>
        </cdr:cNvPr>
        <cdr:cNvSpPr txBox="1"/>
      </cdr:nvSpPr>
      <cdr:spPr>
        <a:xfrm xmlns:a="http://schemas.openxmlformats.org/drawingml/2006/main">
          <a:off x="6465421" y="2722862"/>
          <a:ext cx="708035" cy="1087353"/>
        </a:xfrm>
        <a:prstGeom xmlns:a="http://schemas.openxmlformats.org/drawingml/2006/main" prst="rect">
          <a:avLst/>
        </a:prstGeom>
        <a:solidFill xmlns:a="http://schemas.openxmlformats.org/drawingml/2006/main">
          <a:srgbClr val="FFFF00">
            <a:alpha val="0"/>
          </a:srgbClr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0.59827</cdr:x>
      <cdr:y>0.25737</cdr:y>
    </cdr:from>
    <cdr:to>
      <cdr:x>0.65467</cdr:x>
      <cdr:y>0.43435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6AA42F60-AECC-6002-F4D4-B6250A8A8736}"/>
            </a:ext>
          </a:extLst>
        </cdr:cNvPr>
        <cdr:cNvSpPr txBox="1"/>
      </cdr:nvSpPr>
      <cdr:spPr>
        <a:xfrm xmlns:a="http://schemas.openxmlformats.org/drawingml/2006/main">
          <a:off x="5184174" y="1618378"/>
          <a:ext cx="488718" cy="1112883"/>
        </a:xfrm>
        <a:prstGeom xmlns:a="http://schemas.openxmlformats.org/drawingml/2006/main" prst="rect">
          <a:avLst/>
        </a:prstGeom>
        <a:solidFill xmlns:a="http://schemas.openxmlformats.org/drawingml/2006/main">
          <a:srgbClr val="FFFF00">
            <a:alpha val="0"/>
          </a:srgbClr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7E8B-AB50-4D59-9AA2-D6C905159BE8}">
  <dimension ref="A1:AJ2769"/>
  <sheetViews>
    <sheetView zoomScaleNormal="100" workbookViewId="0">
      <pane ySplit="1" topLeftCell="A624" activePane="bottomLeft" state="frozen"/>
      <selection pane="bottomLeft" activeCell="O633" sqref="O633"/>
    </sheetView>
  </sheetViews>
  <sheetFormatPr defaultRowHeight="15" x14ac:dyDescent="0.25"/>
  <cols>
    <col min="1" max="1" width="12.7109375" bestFit="1" customWidth="1"/>
    <col min="2" max="2" width="10" bestFit="1" customWidth="1"/>
    <col min="3" max="4" width="11.5703125" bestFit="1" customWidth="1"/>
    <col min="5" max="5" width="8.140625" bestFit="1" customWidth="1"/>
    <col min="6" max="6" width="7.7109375" bestFit="1" customWidth="1"/>
    <col min="7" max="7" width="11.140625" bestFit="1" customWidth="1"/>
    <col min="8" max="8" width="12" bestFit="1" customWidth="1"/>
    <col min="9" max="9" width="11" bestFit="1" customWidth="1"/>
    <col min="10" max="10" width="5.85546875" bestFit="1" customWidth="1"/>
    <col min="11" max="11" width="7" bestFit="1" customWidth="1"/>
    <col min="12" max="12" width="77.7109375" bestFit="1" customWidth="1"/>
    <col min="13" max="13" width="64.5703125" bestFit="1" customWidth="1"/>
    <col min="14" max="14" width="35.7109375" bestFit="1" customWidth="1"/>
    <col min="15" max="15" width="4.7109375" bestFit="1" customWidth="1"/>
    <col min="16" max="17" width="8.85546875" bestFit="1" customWidth="1"/>
    <col min="18" max="18" width="8" bestFit="1" customWidth="1"/>
    <col min="19" max="19" width="26.28515625" bestFit="1" customWidth="1"/>
    <col min="20" max="20" width="5" bestFit="1" customWidth="1"/>
    <col min="21" max="21" width="13.5703125" bestFit="1" customWidth="1"/>
    <col min="22" max="22" width="18.42578125" bestFit="1" customWidth="1"/>
    <col min="24" max="24" width="9.7109375" bestFit="1" customWidth="1"/>
    <col min="25" max="25" width="16" bestFit="1" customWidth="1"/>
    <col min="26" max="26" width="5.85546875" bestFit="1" customWidth="1"/>
    <col min="27" max="27" width="9.42578125" bestFit="1" customWidth="1"/>
    <col min="28" max="28" width="20.5703125" bestFit="1" customWidth="1"/>
    <col min="29" max="29" width="6.140625" bestFit="1" customWidth="1"/>
    <col min="30" max="30" width="11.85546875" bestFit="1" customWidth="1"/>
    <col min="31" max="31" width="13.28515625" bestFit="1" customWidth="1"/>
    <col min="32" max="32" width="7.28515625" bestFit="1" customWidth="1"/>
    <col min="33" max="33" width="22.5703125" bestFit="1" customWidth="1"/>
    <col min="34" max="34" width="23.85546875" bestFit="1" customWidth="1"/>
    <col min="35" max="35" width="17.5703125" bestFit="1" customWidth="1"/>
    <col min="36" max="36" width="18.285156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 t="s">
        <v>1133</v>
      </c>
      <c r="B2">
        <v>852542169</v>
      </c>
      <c r="C2" t="s">
        <v>1134</v>
      </c>
      <c r="D2" t="s">
        <v>1134</v>
      </c>
      <c r="E2" t="s">
        <v>37</v>
      </c>
      <c r="F2" t="s">
        <v>71</v>
      </c>
      <c r="I2" t="s">
        <v>39</v>
      </c>
      <c r="J2" t="s">
        <v>40</v>
      </c>
      <c r="K2" t="s">
        <v>41</v>
      </c>
      <c r="L2" t="s">
        <v>211</v>
      </c>
      <c r="N2" t="s">
        <v>43</v>
      </c>
      <c r="O2" t="s">
        <v>74</v>
      </c>
      <c r="P2">
        <v>2</v>
      </c>
      <c r="Q2">
        <v>2</v>
      </c>
      <c r="R2">
        <v>31</v>
      </c>
      <c r="S2" t="s">
        <v>45</v>
      </c>
      <c r="T2">
        <v>0.03</v>
      </c>
      <c r="U2">
        <v>594</v>
      </c>
      <c r="V2" t="s">
        <v>113</v>
      </c>
      <c r="W2">
        <v>0.59299999999999997</v>
      </c>
      <c r="X2">
        <v>18001</v>
      </c>
      <c r="Y2" t="s">
        <v>47</v>
      </c>
      <c r="Z2">
        <v>18</v>
      </c>
      <c r="AA2">
        <v>261</v>
      </c>
      <c r="AB2" t="s">
        <v>47</v>
      </c>
      <c r="AC2">
        <v>0.26</v>
      </c>
      <c r="AD2">
        <v>606</v>
      </c>
      <c r="AE2" t="s">
        <v>48</v>
      </c>
      <c r="AF2">
        <v>0.60499999999999998</v>
      </c>
      <c r="AG2">
        <v>502</v>
      </c>
      <c r="AH2" t="s">
        <v>57</v>
      </c>
      <c r="AI2">
        <v>0.501</v>
      </c>
      <c r="AJ2" t="s">
        <v>50</v>
      </c>
    </row>
    <row r="3" spans="1:36" x14ac:dyDescent="0.25">
      <c r="A3" t="s">
        <v>1133</v>
      </c>
      <c r="B3">
        <v>852542169</v>
      </c>
      <c r="C3" t="s">
        <v>1134</v>
      </c>
      <c r="D3" t="s">
        <v>1134</v>
      </c>
      <c r="E3" t="s">
        <v>37</v>
      </c>
      <c r="F3" t="s">
        <v>71</v>
      </c>
      <c r="I3" t="s">
        <v>39</v>
      </c>
      <c r="J3" t="s">
        <v>40</v>
      </c>
      <c r="K3" t="s">
        <v>41</v>
      </c>
      <c r="L3" t="s">
        <v>211</v>
      </c>
      <c r="N3" t="s">
        <v>43</v>
      </c>
      <c r="O3" t="s">
        <v>74</v>
      </c>
      <c r="P3">
        <v>2</v>
      </c>
      <c r="Q3">
        <v>2</v>
      </c>
      <c r="R3">
        <v>21</v>
      </c>
      <c r="S3" t="s">
        <v>45</v>
      </c>
      <c r="T3">
        <v>0.02</v>
      </c>
      <c r="U3">
        <v>184</v>
      </c>
      <c r="V3" t="s">
        <v>55</v>
      </c>
      <c r="W3">
        <v>0.183</v>
      </c>
      <c r="X3">
        <v>18001</v>
      </c>
      <c r="Y3" t="s">
        <v>47</v>
      </c>
      <c r="Z3">
        <v>18</v>
      </c>
      <c r="AA3">
        <v>261</v>
      </c>
      <c r="AB3" t="s">
        <v>47</v>
      </c>
      <c r="AC3">
        <v>0.26</v>
      </c>
      <c r="AD3">
        <v>606</v>
      </c>
      <c r="AE3" t="s">
        <v>48</v>
      </c>
      <c r="AF3">
        <v>0.60499999999999998</v>
      </c>
      <c r="AG3">
        <v>502</v>
      </c>
      <c r="AH3" t="s">
        <v>57</v>
      </c>
      <c r="AI3">
        <v>0.501</v>
      </c>
      <c r="AJ3" t="s">
        <v>1141</v>
      </c>
    </row>
    <row r="4" spans="1:36" x14ac:dyDescent="0.25">
      <c r="A4" t="s">
        <v>1133</v>
      </c>
      <c r="B4">
        <v>852542169</v>
      </c>
      <c r="C4" t="s">
        <v>1134</v>
      </c>
      <c r="D4" t="s">
        <v>1134</v>
      </c>
      <c r="E4" t="s">
        <v>37</v>
      </c>
      <c r="F4" t="s">
        <v>71</v>
      </c>
      <c r="I4" t="s">
        <v>39</v>
      </c>
      <c r="J4" t="s">
        <v>40</v>
      </c>
      <c r="K4" t="s">
        <v>41</v>
      </c>
      <c r="L4" t="s">
        <v>211</v>
      </c>
      <c r="N4" t="s">
        <v>43</v>
      </c>
      <c r="O4" t="s">
        <v>74</v>
      </c>
      <c r="P4">
        <v>2</v>
      </c>
      <c r="Q4">
        <v>2</v>
      </c>
      <c r="R4">
        <v>31</v>
      </c>
      <c r="S4" t="s">
        <v>45</v>
      </c>
      <c r="T4">
        <v>0.03</v>
      </c>
      <c r="U4">
        <v>594</v>
      </c>
      <c r="V4" t="s">
        <v>113</v>
      </c>
      <c r="W4">
        <v>0.59299999999999997</v>
      </c>
      <c r="X4">
        <v>18001</v>
      </c>
      <c r="Y4" t="s">
        <v>47</v>
      </c>
      <c r="Z4">
        <v>18</v>
      </c>
      <c r="AA4">
        <v>261</v>
      </c>
      <c r="AB4" t="s">
        <v>47</v>
      </c>
      <c r="AC4">
        <v>0.26</v>
      </c>
      <c r="AD4">
        <v>606</v>
      </c>
      <c r="AE4" t="s">
        <v>48</v>
      </c>
      <c r="AF4">
        <v>0.60499999999999998</v>
      </c>
      <c r="AG4">
        <v>502</v>
      </c>
      <c r="AH4" t="s">
        <v>57</v>
      </c>
      <c r="AI4">
        <v>0.501</v>
      </c>
      <c r="AJ4" t="s">
        <v>1153</v>
      </c>
    </row>
    <row r="5" spans="1:36" x14ac:dyDescent="0.25">
      <c r="A5" t="s">
        <v>1133</v>
      </c>
      <c r="B5">
        <v>852542169</v>
      </c>
      <c r="C5" t="s">
        <v>1134</v>
      </c>
      <c r="D5" t="s">
        <v>1134</v>
      </c>
      <c r="E5" t="s">
        <v>37</v>
      </c>
      <c r="F5" t="s">
        <v>71</v>
      </c>
      <c r="I5" t="s">
        <v>39</v>
      </c>
      <c r="J5" t="s">
        <v>40</v>
      </c>
      <c r="K5" t="s">
        <v>41</v>
      </c>
      <c r="L5" t="s">
        <v>211</v>
      </c>
      <c r="N5" t="s">
        <v>43</v>
      </c>
      <c r="O5" t="s">
        <v>74</v>
      </c>
      <c r="P5">
        <v>2</v>
      </c>
      <c r="Q5">
        <v>2</v>
      </c>
      <c r="R5">
        <v>31</v>
      </c>
      <c r="S5" t="s">
        <v>45</v>
      </c>
      <c r="T5">
        <v>0.03</v>
      </c>
      <c r="U5">
        <v>594</v>
      </c>
      <c r="V5" t="s">
        <v>113</v>
      </c>
      <c r="W5">
        <v>0.59299999999999997</v>
      </c>
      <c r="X5">
        <v>18001</v>
      </c>
      <c r="Y5" t="s">
        <v>47</v>
      </c>
      <c r="Z5">
        <v>18</v>
      </c>
      <c r="AA5">
        <v>261</v>
      </c>
      <c r="AB5" t="s">
        <v>47</v>
      </c>
      <c r="AC5">
        <v>0.26</v>
      </c>
      <c r="AD5">
        <v>606</v>
      </c>
      <c r="AE5" t="s">
        <v>48</v>
      </c>
      <c r="AF5">
        <v>0.60499999999999998</v>
      </c>
      <c r="AG5">
        <v>502</v>
      </c>
      <c r="AH5" t="s">
        <v>57</v>
      </c>
      <c r="AI5">
        <v>0.501</v>
      </c>
      <c r="AJ5" t="s">
        <v>1154</v>
      </c>
    </row>
    <row r="6" spans="1:36" x14ac:dyDescent="0.25">
      <c r="A6" t="s">
        <v>1133</v>
      </c>
      <c r="B6">
        <v>852542169</v>
      </c>
      <c r="C6" t="s">
        <v>1134</v>
      </c>
      <c r="D6" t="s">
        <v>1134</v>
      </c>
      <c r="E6" t="s">
        <v>37</v>
      </c>
      <c r="F6" t="s">
        <v>71</v>
      </c>
      <c r="I6" t="s">
        <v>39</v>
      </c>
      <c r="J6" t="s">
        <v>40</v>
      </c>
      <c r="K6" t="s">
        <v>41</v>
      </c>
      <c r="L6" t="s">
        <v>211</v>
      </c>
      <c r="N6" t="s">
        <v>43</v>
      </c>
      <c r="O6" t="s">
        <v>74</v>
      </c>
      <c r="P6">
        <v>2</v>
      </c>
      <c r="Q6">
        <v>2</v>
      </c>
      <c r="S6" t="s">
        <v>39</v>
      </c>
      <c r="V6" t="s">
        <v>39</v>
      </c>
      <c r="X6">
        <v>18001</v>
      </c>
      <c r="Y6" t="s">
        <v>47</v>
      </c>
      <c r="Z6">
        <v>18</v>
      </c>
      <c r="AA6">
        <v>261</v>
      </c>
      <c r="AB6" t="s">
        <v>47</v>
      </c>
      <c r="AC6">
        <v>0.26</v>
      </c>
      <c r="AD6">
        <v>606</v>
      </c>
      <c r="AE6" t="s">
        <v>48</v>
      </c>
      <c r="AF6">
        <v>0.60499999999999998</v>
      </c>
      <c r="AG6">
        <v>502</v>
      </c>
      <c r="AH6" t="s">
        <v>57</v>
      </c>
      <c r="AI6">
        <v>0.501</v>
      </c>
      <c r="AJ6" t="s">
        <v>1155</v>
      </c>
    </row>
    <row r="7" spans="1:36" x14ac:dyDescent="0.25">
      <c r="A7" t="s">
        <v>1133</v>
      </c>
      <c r="B7">
        <v>852542169</v>
      </c>
      <c r="C7" t="s">
        <v>1134</v>
      </c>
      <c r="D7" t="s">
        <v>1134</v>
      </c>
      <c r="E7" t="s">
        <v>37</v>
      </c>
      <c r="F7" t="s">
        <v>71</v>
      </c>
      <c r="I7" t="s">
        <v>39</v>
      </c>
      <c r="J7" t="s">
        <v>40</v>
      </c>
      <c r="K7" t="s">
        <v>41</v>
      </c>
      <c r="L7" t="s">
        <v>211</v>
      </c>
      <c r="N7" t="s">
        <v>43</v>
      </c>
      <c r="O7" t="s">
        <v>74</v>
      </c>
      <c r="P7">
        <v>2</v>
      </c>
      <c r="Q7">
        <v>2</v>
      </c>
      <c r="S7" t="s">
        <v>39</v>
      </c>
      <c r="V7" t="s">
        <v>39</v>
      </c>
      <c r="X7">
        <v>18001</v>
      </c>
      <c r="Y7" t="s">
        <v>47</v>
      </c>
      <c r="Z7">
        <v>18</v>
      </c>
      <c r="AA7">
        <v>261</v>
      </c>
      <c r="AB7" t="s">
        <v>47</v>
      </c>
      <c r="AC7">
        <v>0.26</v>
      </c>
      <c r="AD7">
        <v>606</v>
      </c>
      <c r="AE7" t="s">
        <v>48</v>
      </c>
      <c r="AF7">
        <v>0.60499999999999998</v>
      </c>
      <c r="AG7">
        <v>502</v>
      </c>
      <c r="AH7" t="s">
        <v>57</v>
      </c>
      <c r="AI7">
        <v>0.501</v>
      </c>
      <c r="AJ7" t="s">
        <v>1156</v>
      </c>
    </row>
    <row r="8" spans="1:36" x14ac:dyDescent="0.25">
      <c r="A8" t="s">
        <v>1135</v>
      </c>
      <c r="B8">
        <v>855676905</v>
      </c>
      <c r="C8" t="s">
        <v>1136</v>
      </c>
      <c r="D8" t="s">
        <v>1136</v>
      </c>
      <c r="E8" t="s">
        <v>37</v>
      </c>
      <c r="F8" t="s">
        <v>71</v>
      </c>
      <c r="I8" t="s">
        <v>39</v>
      </c>
      <c r="J8" t="s">
        <v>40</v>
      </c>
      <c r="K8" t="s">
        <v>41</v>
      </c>
      <c r="L8" t="s">
        <v>118</v>
      </c>
      <c r="N8" t="s">
        <v>43</v>
      </c>
      <c r="O8" t="s">
        <v>184</v>
      </c>
      <c r="P8">
        <v>2</v>
      </c>
      <c r="Q8">
        <v>2</v>
      </c>
      <c r="R8">
        <v>111</v>
      </c>
      <c r="S8" t="s">
        <v>56</v>
      </c>
      <c r="T8">
        <v>0.11</v>
      </c>
      <c r="U8">
        <v>204</v>
      </c>
      <c r="V8" t="s">
        <v>55</v>
      </c>
      <c r="W8">
        <v>0.20300000000000001</v>
      </c>
      <c r="X8">
        <v>1</v>
      </c>
      <c r="Y8" t="s">
        <v>47</v>
      </c>
      <c r="Z8">
        <v>0</v>
      </c>
      <c r="AA8">
        <v>360</v>
      </c>
      <c r="AB8" t="s">
        <v>47</v>
      </c>
      <c r="AC8">
        <v>0.35899999999999999</v>
      </c>
      <c r="AD8">
        <v>510</v>
      </c>
      <c r="AE8" t="s">
        <v>48</v>
      </c>
      <c r="AF8">
        <v>0.50900000000000001</v>
      </c>
      <c r="AG8">
        <v>302</v>
      </c>
      <c r="AH8" t="s">
        <v>57</v>
      </c>
      <c r="AI8">
        <v>0.30099999999999999</v>
      </c>
      <c r="AJ8" t="s">
        <v>50</v>
      </c>
    </row>
    <row r="9" spans="1:36" x14ac:dyDescent="0.25">
      <c r="A9" t="s">
        <v>1135</v>
      </c>
      <c r="B9">
        <v>855676905</v>
      </c>
      <c r="C9" t="s">
        <v>1136</v>
      </c>
      <c r="D9" t="s">
        <v>1136</v>
      </c>
      <c r="E9" t="s">
        <v>37</v>
      </c>
      <c r="F9" t="s">
        <v>71</v>
      </c>
      <c r="I9" t="s">
        <v>39</v>
      </c>
      <c r="J9" t="s">
        <v>40</v>
      </c>
      <c r="K9" t="s">
        <v>41</v>
      </c>
      <c r="L9" t="s">
        <v>118</v>
      </c>
      <c r="N9" t="s">
        <v>43</v>
      </c>
      <c r="O9" t="s">
        <v>184</v>
      </c>
      <c r="P9">
        <v>2</v>
      </c>
      <c r="Q9">
        <v>2</v>
      </c>
      <c r="R9">
        <v>181</v>
      </c>
      <c r="S9" t="s">
        <v>56</v>
      </c>
      <c r="T9">
        <v>0.18</v>
      </c>
      <c r="U9">
        <v>132</v>
      </c>
      <c r="V9" t="s">
        <v>55</v>
      </c>
      <c r="W9">
        <v>0.13100000000000001</v>
      </c>
      <c r="X9">
        <v>1</v>
      </c>
      <c r="Y9" t="s">
        <v>47</v>
      </c>
      <c r="Z9">
        <v>0</v>
      </c>
      <c r="AA9">
        <v>360</v>
      </c>
      <c r="AB9" t="s">
        <v>47</v>
      </c>
      <c r="AC9">
        <v>0.35899999999999999</v>
      </c>
      <c r="AD9">
        <v>510</v>
      </c>
      <c r="AE9" t="s">
        <v>48</v>
      </c>
      <c r="AF9">
        <v>0.50900000000000001</v>
      </c>
      <c r="AG9">
        <v>302</v>
      </c>
      <c r="AH9" t="s">
        <v>57</v>
      </c>
      <c r="AI9">
        <v>0.30099999999999999</v>
      </c>
      <c r="AJ9" t="s">
        <v>1141</v>
      </c>
    </row>
    <row r="10" spans="1:36" x14ac:dyDescent="0.25">
      <c r="A10" t="s">
        <v>1135</v>
      </c>
      <c r="B10">
        <v>855676905</v>
      </c>
      <c r="C10" t="s">
        <v>1136</v>
      </c>
      <c r="D10" t="s">
        <v>1136</v>
      </c>
      <c r="E10" t="s">
        <v>37</v>
      </c>
      <c r="F10" t="s">
        <v>71</v>
      </c>
      <c r="I10" t="s">
        <v>39</v>
      </c>
      <c r="J10" t="s">
        <v>40</v>
      </c>
      <c r="K10" t="s">
        <v>41</v>
      </c>
      <c r="L10" t="s">
        <v>118</v>
      </c>
      <c r="N10" t="s">
        <v>43</v>
      </c>
      <c r="O10" t="s">
        <v>184</v>
      </c>
      <c r="P10">
        <v>2</v>
      </c>
      <c r="Q10">
        <v>2</v>
      </c>
      <c r="R10">
        <v>111</v>
      </c>
      <c r="S10" t="s">
        <v>56</v>
      </c>
      <c r="T10">
        <v>0.11</v>
      </c>
      <c r="U10">
        <v>204</v>
      </c>
      <c r="V10" t="s">
        <v>55</v>
      </c>
      <c r="W10">
        <v>0.20300000000000001</v>
      </c>
      <c r="X10">
        <v>1</v>
      </c>
      <c r="Y10" t="s">
        <v>47</v>
      </c>
      <c r="Z10">
        <v>0</v>
      </c>
      <c r="AA10">
        <v>360</v>
      </c>
      <c r="AB10" t="s">
        <v>47</v>
      </c>
      <c r="AC10">
        <v>0.35899999999999999</v>
      </c>
      <c r="AD10">
        <v>510</v>
      </c>
      <c r="AE10" t="s">
        <v>48</v>
      </c>
      <c r="AF10">
        <v>0.50900000000000001</v>
      </c>
      <c r="AG10">
        <v>302</v>
      </c>
      <c r="AH10" t="s">
        <v>57</v>
      </c>
      <c r="AI10">
        <v>0.30099999999999999</v>
      </c>
      <c r="AJ10" t="s">
        <v>1153</v>
      </c>
    </row>
    <row r="11" spans="1:36" x14ac:dyDescent="0.25">
      <c r="A11" t="s">
        <v>1135</v>
      </c>
      <c r="B11">
        <v>855676905</v>
      </c>
      <c r="C11" t="s">
        <v>1136</v>
      </c>
      <c r="D11" t="s">
        <v>1136</v>
      </c>
      <c r="E11" t="s">
        <v>37</v>
      </c>
      <c r="F11" t="s">
        <v>71</v>
      </c>
      <c r="I11" t="s">
        <v>39</v>
      </c>
      <c r="J11" t="s">
        <v>40</v>
      </c>
      <c r="K11" t="s">
        <v>41</v>
      </c>
      <c r="L11" t="s">
        <v>118</v>
      </c>
      <c r="N11" t="s">
        <v>43</v>
      </c>
      <c r="O11" t="s">
        <v>184</v>
      </c>
      <c r="P11">
        <v>2</v>
      </c>
      <c r="Q11">
        <v>2</v>
      </c>
      <c r="R11">
        <v>111</v>
      </c>
      <c r="S11" t="s">
        <v>56</v>
      </c>
      <c r="T11">
        <v>0.11</v>
      </c>
      <c r="U11">
        <v>204</v>
      </c>
      <c r="V11" t="s">
        <v>55</v>
      </c>
      <c r="W11">
        <v>0.20300000000000001</v>
      </c>
      <c r="X11">
        <v>1</v>
      </c>
      <c r="Y11" t="s">
        <v>47</v>
      </c>
      <c r="Z11">
        <v>0</v>
      </c>
      <c r="AA11">
        <v>360</v>
      </c>
      <c r="AB11" t="s">
        <v>47</v>
      </c>
      <c r="AC11">
        <v>0.35899999999999999</v>
      </c>
      <c r="AD11">
        <v>510</v>
      </c>
      <c r="AE11" t="s">
        <v>48</v>
      </c>
      <c r="AF11">
        <v>0.50900000000000001</v>
      </c>
      <c r="AG11">
        <v>302</v>
      </c>
      <c r="AH11" t="s">
        <v>57</v>
      </c>
      <c r="AI11">
        <v>0.30099999999999999</v>
      </c>
      <c r="AJ11" t="s">
        <v>1154</v>
      </c>
    </row>
    <row r="12" spans="1:36" x14ac:dyDescent="0.25">
      <c r="A12" t="s">
        <v>1135</v>
      </c>
      <c r="B12">
        <v>855676905</v>
      </c>
      <c r="C12" t="s">
        <v>1136</v>
      </c>
      <c r="D12" t="s">
        <v>1136</v>
      </c>
      <c r="E12" t="s">
        <v>37</v>
      </c>
      <c r="F12" t="s">
        <v>71</v>
      </c>
      <c r="I12" t="s">
        <v>39</v>
      </c>
      <c r="J12" t="s">
        <v>40</v>
      </c>
      <c r="K12" t="s">
        <v>41</v>
      </c>
      <c r="L12" t="s">
        <v>118</v>
      </c>
      <c r="N12" t="s">
        <v>43</v>
      </c>
      <c r="O12" t="s">
        <v>184</v>
      </c>
      <c r="P12">
        <v>2</v>
      </c>
      <c r="Q12">
        <v>2</v>
      </c>
      <c r="S12" t="s">
        <v>39</v>
      </c>
      <c r="V12" t="s">
        <v>39</v>
      </c>
      <c r="X12">
        <v>1</v>
      </c>
      <c r="Y12" t="s">
        <v>47</v>
      </c>
      <c r="Z12">
        <v>0</v>
      </c>
      <c r="AA12">
        <v>360</v>
      </c>
      <c r="AB12" t="s">
        <v>47</v>
      </c>
      <c r="AC12">
        <v>0.35899999999999999</v>
      </c>
      <c r="AD12">
        <v>510</v>
      </c>
      <c r="AE12" t="s">
        <v>48</v>
      </c>
      <c r="AF12">
        <v>0.50900000000000001</v>
      </c>
      <c r="AG12">
        <v>302</v>
      </c>
      <c r="AH12" t="s">
        <v>57</v>
      </c>
      <c r="AI12">
        <v>0.30099999999999999</v>
      </c>
      <c r="AJ12" t="s">
        <v>1155</v>
      </c>
    </row>
    <row r="13" spans="1:36" x14ac:dyDescent="0.25">
      <c r="A13" t="s">
        <v>1135</v>
      </c>
      <c r="B13">
        <v>855676905</v>
      </c>
      <c r="C13" t="s">
        <v>1136</v>
      </c>
      <c r="D13" t="s">
        <v>1136</v>
      </c>
      <c r="E13" t="s">
        <v>37</v>
      </c>
      <c r="F13" t="s">
        <v>71</v>
      </c>
      <c r="I13" t="s">
        <v>39</v>
      </c>
      <c r="J13" t="s">
        <v>40</v>
      </c>
      <c r="K13" t="s">
        <v>41</v>
      </c>
      <c r="L13" t="s">
        <v>118</v>
      </c>
      <c r="N13" t="s">
        <v>43</v>
      </c>
      <c r="O13" t="s">
        <v>184</v>
      </c>
      <c r="P13">
        <v>2</v>
      </c>
      <c r="Q13">
        <v>2</v>
      </c>
      <c r="S13" t="s">
        <v>39</v>
      </c>
      <c r="V13" t="s">
        <v>39</v>
      </c>
      <c r="X13">
        <v>1</v>
      </c>
      <c r="Y13" t="s">
        <v>47</v>
      </c>
      <c r="Z13">
        <v>0</v>
      </c>
      <c r="AA13">
        <v>360</v>
      </c>
      <c r="AB13" t="s">
        <v>47</v>
      </c>
      <c r="AC13">
        <v>0.35899999999999999</v>
      </c>
      <c r="AD13">
        <v>510</v>
      </c>
      <c r="AE13" t="s">
        <v>48</v>
      </c>
      <c r="AF13">
        <v>0.50900000000000001</v>
      </c>
      <c r="AG13">
        <v>302</v>
      </c>
      <c r="AH13" t="s">
        <v>57</v>
      </c>
      <c r="AI13">
        <v>0.30099999999999999</v>
      </c>
      <c r="AJ13" t="s">
        <v>1156</v>
      </c>
    </row>
    <row r="14" spans="1:36" x14ac:dyDescent="0.25">
      <c r="A14" t="s">
        <v>1131</v>
      </c>
      <c r="B14">
        <v>855753636</v>
      </c>
      <c r="C14" t="s">
        <v>1132</v>
      </c>
      <c r="D14" t="s">
        <v>1132</v>
      </c>
      <c r="E14" t="s">
        <v>37</v>
      </c>
      <c r="F14" t="s">
        <v>136</v>
      </c>
      <c r="G14" t="s">
        <v>37</v>
      </c>
      <c r="H14">
        <v>1.9623199999999999E-4</v>
      </c>
      <c r="I14" t="s">
        <v>268</v>
      </c>
      <c r="J14" t="s">
        <v>40</v>
      </c>
      <c r="K14" t="s">
        <v>41</v>
      </c>
      <c r="L14" t="s">
        <v>53</v>
      </c>
      <c r="N14" t="s">
        <v>43</v>
      </c>
      <c r="O14" t="s">
        <v>123</v>
      </c>
      <c r="P14">
        <v>3</v>
      </c>
      <c r="Q14">
        <v>3</v>
      </c>
      <c r="R14">
        <v>91</v>
      </c>
      <c r="S14" t="s">
        <v>56</v>
      </c>
      <c r="T14">
        <v>0.09</v>
      </c>
      <c r="U14">
        <v>66</v>
      </c>
      <c r="V14" t="s">
        <v>55</v>
      </c>
      <c r="W14">
        <v>6.5000000000000002E-2</v>
      </c>
      <c r="X14">
        <v>16001</v>
      </c>
      <c r="Y14" t="s">
        <v>47</v>
      </c>
      <c r="Z14">
        <v>16</v>
      </c>
      <c r="AA14">
        <v>357</v>
      </c>
      <c r="AB14" t="s">
        <v>47</v>
      </c>
      <c r="AC14">
        <v>0.35599999999999998</v>
      </c>
      <c r="AD14">
        <v>442</v>
      </c>
      <c r="AE14" t="s">
        <v>56</v>
      </c>
      <c r="AF14">
        <v>0.441</v>
      </c>
      <c r="AG14">
        <v>103</v>
      </c>
      <c r="AH14" t="s">
        <v>103</v>
      </c>
      <c r="AI14">
        <v>0.10199999999999999</v>
      </c>
      <c r="AJ14" t="s">
        <v>50</v>
      </c>
    </row>
    <row r="15" spans="1:36" x14ac:dyDescent="0.25">
      <c r="A15" t="s">
        <v>1131</v>
      </c>
      <c r="B15">
        <v>855753636</v>
      </c>
      <c r="C15" t="s">
        <v>1132</v>
      </c>
      <c r="D15" t="s">
        <v>1132</v>
      </c>
      <c r="E15" t="s">
        <v>99</v>
      </c>
      <c r="F15" t="s">
        <v>136</v>
      </c>
      <c r="G15" t="s">
        <v>37</v>
      </c>
      <c r="H15">
        <v>1.9623199999999999E-4</v>
      </c>
      <c r="I15" t="s">
        <v>268</v>
      </c>
      <c r="J15" t="s">
        <v>40</v>
      </c>
      <c r="K15" t="s">
        <v>41</v>
      </c>
      <c r="L15" t="s">
        <v>53</v>
      </c>
      <c r="N15" t="s">
        <v>43</v>
      </c>
      <c r="O15" t="s">
        <v>426</v>
      </c>
      <c r="P15">
        <v>3</v>
      </c>
      <c r="Q15">
        <v>3</v>
      </c>
      <c r="R15">
        <v>11</v>
      </c>
      <c r="S15" t="s">
        <v>45</v>
      </c>
      <c r="T15">
        <v>0.01</v>
      </c>
      <c r="U15">
        <v>914</v>
      </c>
      <c r="V15" t="s">
        <v>46</v>
      </c>
      <c r="W15">
        <v>0.91300000000000003</v>
      </c>
      <c r="X15">
        <v>21001</v>
      </c>
      <c r="Y15" t="s">
        <v>47</v>
      </c>
      <c r="Z15">
        <v>21</v>
      </c>
      <c r="AA15">
        <v>316</v>
      </c>
      <c r="AB15" t="s">
        <v>47</v>
      </c>
      <c r="AC15">
        <v>0.315</v>
      </c>
      <c r="AD15">
        <v>696</v>
      </c>
      <c r="AE15" t="s">
        <v>48</v>
      </c>
      <c r="AF15">
        <v>0.69499999999999995</v>
      </c>
      <c r="AG15">
        <v>437</v>
      </c>
      <c r="AH15" t="s">
        <v>57</v>
      </c>
      <c r="AI15">
        <v>0.436</v>
      </c>
      <c r="AJ15" t="s">
        <v>50</v>
      </c>
    </row>
    <row r="16" spans="1:36" x14ac:dyDescent="0.25">
      <c r="A16" t="s">
        <v>1131</v>
      </c>
      <c r="B16">
        <v>855753636</v>
      </c>
      <c r="C16" t="s">
        <v>1132</v>
      </c>
      <c r="D16" t="s">
        <v>1132</v>
      </c>
      <c r="E16" t="s">
        <v>60</v>
      </c>
      <c r="F16" t="s">
        <v>136</v>
      </c>
      <c r="G16" t="s">
        <v>37</v>
      </c>
      <c r="H16">
        <v>1.9623199999999999E-4</v>
      </c>
      <c r="I16" t="s">
        <v>268</v>
      </c>
      <c r="J16" t="s">
        <v>40</v>
      </c>
      <c r="K16" t="s">
        <v>41</v>
      </c>
      <c r="L16" t="s">
        <v>53</v>
      </c>
      <c r="N16" t="s">
        <v>43</v>
      </c>
      <c r="O16" t="s">
        <v>124</v>
      </c>
      <c r="P16">
        <v>3</v>
      </c>
      <c r="Q16">
        <v>3</v>
      </c>
      <c r="R16">
        <v>31</v>
      </c>
      <c r="S16" t="s">
        <v>45</v>
      </c>
      <c r="T16">
        <v>0.03</v>
      </c>
      <c r="U16">
        <v>666</v>
      </c>
      <c r="V16" t="s">
        <v>113</v>
      </c>
      <c r="W16">
        <v>0.66500000000000004</v>
      </c>
      <c r="X16">
        <v>20001</v>
      </c>
      <c r="Y16" t="s">
        <v>47</v>
      </c>
      <c r="Z16">
        <v>20</v>
      </c>
      <c r="AA16">
        <v>337</v>
      </c>
      <c r="AB16" t="s">
        <v>47</v>
      </c>
      <c r="AC16">
        <v>0.33600000000000002</v>
      </c>
      <c r="AD16">
        <v>659</v>
      </c>
      <c r="AE16" t="s">
        <v>48</v>
      </c>
      <c r="AF16">
        <v>0.65800000000000003</v>
      </c>
      <c r="AG16">
        <v>437</v>
      </c>
      <c r="AH16" t="s">
        <v>57</v>
      </c>
      <c r="AI16">
        <v>0.436</v>
      </c>
      <c r="AJ16" t="s">
        <v>50</v>
      </c>
    </row>
    <row r="17" spans="1:36" x14ac:dyDescent="0.25">
      <c r="A17" t="s">
        <v>1131</v>
      </c>
      <c r="B17">
        <v>855753636</v>
      </c>
      <c r="C17" t="s">
        <v>1132</v>
      </c>
      <c r="D17" t="s">
        <v>1132</v>
      </c>
      <c r="E17" t="s">
        <v>37</v>
      </c>
      <c r="F17" t="s">
        <v>136</v>
      </c>
      <c r="G17" t="s">
        <v>37</v>
      </c>
      <c r="H17">
        <v>1.9623199999999999E-4</v>
      </c>
      <c r="I17" t="s">
        <v>268</v>
      </c>
      <c r="J17" t="s">
        <v>40</v>
      </c>
      <c r="K17" t="s">
        <v>41</v>
      </c>
      <c r="L17" t="s">
        <v>53</v>
      </c>
      <c r="N17" t="s">
        <v>43</v>
      </c>
      <c r="O17" t="s">
        <v>123</v>
      </c>
      <c r="P17">
        <v>3</v>
      </c>
      <c r="Q17">
        <v>3</v>
      </c>
      <c r="R17">
        <v>171</v>
      </c>
      <c r="S17" t="s">
        <v>56</v>
      </c>
      <c r="T17">
        <v>0.17</v>
      </c>
      <c r="U17">
        <v>104</v>
      </c>
      <c r="V17" t="s">
        <v>55</v>
      </c>
      <c r="W17">
        <v>0.10299999999999999</v>
      </c>
      <c r="X17">
        <v>16001</v>
      </c>
      <c r="Y17" t="s">
        <v>47</v>
      </c>
      <c r="Z17">
        <v>16</v>
      </c>
      <c r="AA17">
        <v>357</v>
      </c>
      <c r="AB17" t="s">
        <v>47</v>
      </c>
      <c r="AC17">
        <v>0.35599999999999998</v>
      </c>
      <c r="AD17">
        <v>442</v>
      </c>
      <c r="AE17" t="s">
        <v>56</v>
      </c>
      <c r="AF17">
        <v>0.441</v>
      </c>
      <c r="AG17">
        <v>103</v>
      </c>
      <c r="AH17" t="s">
        <v>103</v>
      </c>
      <c r="AI17">
        <v>0.10199999999999999</v>
      </c>
      <c r="AJ17" t="s">
        <v>1141</v>
      </c>
    </row>
    <row r="18" spans="1:36" x14ac:dyDescent="0.25">
      <c r="A18" t="s">
        <v>1131</v>
      </c>
      <c r="B18">
        <v>855753636</v>
      </c>
      <c r="C18" t="s">
        <v>1132</v>
      </c>
      <c r="D18" t="s">
        <v>1132</v>
      </c>
      <c r="E18" t="s">
        <v>99</v>
      </c>
      <c r="F18" t="s">
        <v>136</v>
      </c>
      <c r="G18" t="s">
        <v>37</v>
      </c>
      <c r="H18">
        <v>1.9623199999999999E-4</v>
      </c>
      <c r="I18" t="s">
        <v>268</v>
      </c>
      <c r="J18" t="s">
        <v>40</v>
      </c>
      <c r="K18" t="s">
        <v>41</v>
      </c>
      <c r="L18" t="s">
        <v>53</v>
      </c>
      <c r="N18" t="s">
        <v>43</v>
      </c>
      <c r="O18" t="s">
        <v>426</v>
      </c>
      <c r="P18">
        <v>3</v>
      </c>
      <c r="Q18">
        <v>3</v>
      </c>
      <c r="R18">
        <v>11</v>
      </c>
      <c r="S18" t="s">
        <v>45</v>
      </c>
      <c r="T18">
        <v>0.01</v>
      </c>
      <c r="U18">
        <v>947</v>
      </c>
      <c r="V18" t="s">
        <v>46</v>
      </c>
      <c r="W18">
        <v>0.94599999999999995</v>
      </c>
      <c r="X18">
        <v>21001</v>
      </c>
      <c r="Y18" t="s">
        <v>47</v>
      </c>
      <c r="Z18">
        <v>21</v>
      </c>
      <c r="AA18">
        <v>316</v>
      </c>
      <c r="AB18" t="s">
        <v>47</v>
      </c>
      <c r="AC18">
        <v>0.315</v>
      </c>
      <c r="AD18">
        <v>696</v>
      </c>
      <c r="AE18" t="s">
        <v>48</v>
      </c>
      <c r="AF18">
        <v>0.69499999999999995</v>
      </c>
      <c r="AG18">
        <v>437</v>
      </c>
      <c r="AH18" t="s">
        <v>57</v>
      </c>
      <c r="AI18">
        <v>0.436</v>
      </c>
      <c r="AJ18" t="s">
        <v>1141</v>
      </c>
    </row>
    <row r="19" spans="1:36" x14ac:dyDescent="0.25">
      <c r="A19" t="s">
        <v>1131</v>
      </c>
      <c r="B19">
        <v>855753636</v>
      </c>
      <c r="C19" t="s">
        <v>1132</v>
      </c>
      <c r="D19" t="s">
        <v>1132</v>
      </c>
      <c r="E19" t="s">
        <v>60</v>
      </c>
      <c r="F19" t="s">
        <v>136</v>
      </c>
      <c r="G19" t="s">
        <v>37</v>
      </c>
      <c r="H19">
        <v>1.9623199999999999E-4</v>
      </c>
      <c r="I19" t="s">
        <v>268</v>
      </c>
      <c r="J19" t="s">
        <v>40</v>
      </c>
      <c r="K19" t="s">
        <v>41</v>
      </c>
      <c r="L19" t="s">
        <v>53</v>
      </c>
      <c r="N19" t="s">
        <v>43</v>
      </c>
      <c r="O19" t="s">
        <v>124</v>
      </c>
      <c r="P19">
        <v>3</v>
      </c>
      <c r="Q19">
        <v>3</v>
      </c>
      <c r="R19">
        <v>71</v>
      </c>
      <c r="S19" t="s">
        <v>56</v>
      </c>
      <c r="T19">
        <v>7.0000000000000007E-2</v>
      </c>
      <c r="U19">
        <v>767</v>
      </c>
      <c r="V19" t="s">
        <v>113</v>
      </c>
      <c r="W19">
        <v>0.76600000000000001</v>
      </c>
      <c r="X19">
        <v>20001</v>
      </c>
      <c r="Y19" t="s">
        <v>47</v>
      </c>
      <c r="Z19">
        <v>20</v>
      </c>
      <c r="AA19">
        <v>337</v>
      </c>
      <c r="AB19" t="s">
        <v>47</v>
      </c>
      <c r="AC19">
        <v>0.33600000000000002</v>
      </c>
      <c r="AD19">
        <v>659</v>
      </c>
      <c r="AE19" t="s">
        <v>48</v>
      </c>
      <c r="AF19">
        <v>0.65800000000000003</v>
      </c>
      <c r="AG19">
        <v>437</v>
      </c>
      <c r="AH19" t="s">
        <v>57</v>
      </c>
      <c r="AI19">
        <v>0.436</v>
      </c>
      <c r="AJ19" t="s">
        <v>1141</v>
      </c>
    </row>
    <row r="20" spans="1:36" x14ac:dyDescent="0.25">
      <c r="A20" t="s">
        <v>1131</v>
      </c>
      <c r="B20">
        <v>855753636</v>
      </c>
      <c r="C20" t="s">
        <v>1132</v>
      </c>
      <c r="D20" t="s">
        <v>1132</v>
      </c>
      <c r="E20" t="s">
        <v>37</v>
      </c>
      <c r="F20" t="s">
        <v>136</v>
      </c>
      <c r="G20" t="s">
        <v>37</v>
      </c>
      <c r="H20">
        <v>1.9623199999999999E-4</v>
      </c>
      <c r="I20" t="s">
        <v>268</v>
      </c>
      <c r="J20" t="s">
        <v>40</v>
      </c>
      <c r="K20" t="s">
        <v>41</v>
      </c>
      <c r="L20" t="s">
        <v>53</v>
      </c>
      <c r="N20" t="s">
        <v>43</v>
      </c>
      <c r="O20" t="s">
        <v>123</v>
      </c>
      <c r="P20">
        <v>3</v>
      </c>
      <c r="Q20">
        <v>3</v>
      </c>
      <c r="R20">
        <v>91</v>
      </c>
      <c r="S20" t="s">
        <v>56</v>
      </c>
      <c r="T20">
        <v>0.09</v>
      </c>
      <c r="U20">
        <v>66</v>
      </c>
      <c r="V20" t="s">
        <v>55</v>
      </c>
      <c r="W20">
        <v>6.5000000000000002E-2</v>
      </c>
      <c r="X20">
        <v>16001</v>
      </c>
      <c r="Y20" t="s">
        <v>47</v>
      </c>
      <c r="Z20">
        <v>16</v>
      </c>
      <c r="AA20">
        <v>357</v>
      </c>
      <c r="AB20" t="s">
        <v>47</v>
      </c>
      <c r="AC20">
        <v>0.35599999999999998</v>
      </c>
      <c r="AD20">
        <v>442</v>
      </c>
      <c r="AE20" t="s">
        <v>56</v>
      </c>
      <c r="AF20">
        <v>0.441</v>
      </c>
      <c r="AG20">
        <v>103</v>
      </c>
      <c r="AH20" t="s">
        <v>103</v>
      </c>
      <c r="AI20">
        <v>0.10199999999999999</v>
      </c>
      <c r="AJ20" t="s">
        <v>1153</v>
      </c>
    </row>
    <row r="21" spans="1:36" x14ac:dyDescent="0.25">
      <c r="A21" t="s">
        <v>1131</v>
      </c>
      <c r="B21">
        <v>855753636</v>
      </c>
      <c r="C21" t="s">
        <v>1132</v>
      </c>
      <c r="D21" t="s">
        <v>1132</v>
      </c>
      <c r="E21" t="s">
        <v>99</v>
      </c>
      <c r="F21" t="s">
        <v>136</v>
      </c>
      <c r="G21" t="s">
        <v>37</v>
      </c>
      <c r="H21">
        <v>1.9623199999999999E-4</v>
      </c>
      <c r="I21" t="s">
        <v>268</v>
      </c>
      <c r="J21" t="s">
        <v>40</v>
      </c>
      <c r="K21" t="s">
        <v>41</v>
      </c>
      <c r="L21" t="s">
        <v>53</v>
      </c>
      <c r="N21" t="s">
        <v>43</v>
      </c>
      <c r="O21" t="s">
        <v>426</v>
      </c>
      <c r="P21">
        <v>3</v>
      </c>
      <c r="Q21">
        <v>3</v>
      </c>
      <c r="R21">
        <v>11</v>
      </c>
      <c r="S21" t="s">
        <v>45</v>
      </c>
      <c r="T21">
        <v>0.01</v>
      </c>
      <c r="U21">
        <v>914</v>
      </c>
      <c r="V21" t="s">
        <v>46</v>
      </c>
      <c r="W21">
        <v>0.91300000000000003</v>
      </c>
      <c r="X21">
        <v>21001</v>
      </c>
      <c r="Y21" t="s">
        <v>47</v>
      </c>
      <c r="Z21">
        <v>21</v>
      </c>
      <c r="AA21">
        <v>316</v>
      </c>
      <c r="AB21" t="s">
        <v>47</v>
      </c>
      <c r="AC21">
        <v>0.315</v>
      </c>
      <c r="AD21">
        <v>696</v>
      </c>
      <c r="AE21" t="s">
        <v>48</v>
      </c>
      <c r="AF21">
        <v>0.69499999999999995</v>
      </c>
      <c r="AG21">
        <v>437</v>
      </c>
      <c r="AH21" t="s">
        <v>57</v>
      </c>
      <c r="AI21">
        <v>0.436</v>
      </c>
      <c r="AJ21" t="s">
        <v>1153</v>
      </c>
    </row>
    <row r="22" spans="1:36" x14ac:dyDescent="0.25">
      <c r="A22" t="s">
        <v>1131</v>
      </c>
      <c r="B22">
        <v>855753636</v>
      </c>
      <c r="C22" t="s">
        <v>1132</v>
      </c>
      <c r="D22" t="s">
        <v>1132</v>
      </c>
      <c r="E22" t="s">
        <v>60</v>
      </c>
      <c r="F22" t="s">
        <v>136</v>
      </c>
      <c r="G22" t="s">
        <v>37</v>
      </c>
      <c r="H22">
        <v>1.9623199999999999E-4</v>
      </c>
      <c r="I22" t="s">
        <v>268</v>
      </c>
      <c r="J22" t="s">
        <v>40</v>
      </c>
      <c r="K22" t="s">
        <v>41</v>
      </c>
      <c r="L22" t="s">
        <v>53</v>
      </c>
      <c r="N22" t="s">
        <v>43</v>
      </c>
      <c r="O22" t="s">
        <v>124</v>
      </c>
      <c r="P22">
        <v>3</v>
      </c>
      <c r="Q22">
        <v>3</v>
      </c>
      <c r="R22">
        <v>31</v>
      </c>
      <c r="S22" t="s">
        <v>45</v>
      </c>
      <c r="T22">
        <v>0.03</v>
      </c>
      <c r="U22">
        <v>666</v>
      </c>
      <c r="V22" t="s">
        <v>113</v>
      </c>
      <c r="W22">
        <v>0.66500000000000004</v>
      </c>
      <c r="X22">
        <v>20001</v>
      </c>
      <c r="Y22" t="s">
        <v>47</v>
      </c>
      <c r="Z22">
        <v>20</v>
      </c>
      <c r="AA22">
        <v>337</v>
      </c>
      <c r="AB22" t="s">
        <v>47</v>
      </c>
      <c r="AC22">
        <v>0.33600000000000002</v>
      </c>
      <c r="AD22">
        <v>659</v>
      </c>
      <c r="AE22" t="s">
        <v>48</v>
      </c>
      <c r="AF22">
        <v>0.65800000000000003</v>
      </c>
      <c r="AG22">
        <v>437</v>
      </c>
      <c r="AH22" t="s">
        <v>57</v>
      </c>
      <c r="AI22">
        <v>0.436</v>
      </c>
      <c r="AJ22" t="s">
        <v>1153</v>
      </c>
    </row>
    <row r="23" spans="1:36" x14ac:dyDescent="0.25">
      <c r="A23" t="s">
        <v>1131</v>
      </c>
      <c r="B23">
        <v>855753636</v>
      </c>
      <c r="C23" t="s">
        <v>1132</v>
      </c>
      <c r="D23" t="s">
        <v>1132</v>
      </c>
      <c r="E23" t="s">
        <v>37</v>
      </c>
      <c r="F23" t="s">
        <v>136</v>
      </c>
      <c r="G23" t="s">
        <v>37</v>
      </c>
      <c r="H23">
        <v>1.9623199999999999E-4</v>
      </c>
      <c r="I23" t="s">
        <v>268</v>
      </c>
      <c r="J23" t="s">
        <v>40</v>
      </c>
      <c r="K23" t="s">
        <v>41</v>
      </c>
      <c r="L23" t="s">
        <v>53</v>
      </c>
      <c r="N23" t="s">
        <v>43</v>
      </c>
      <c r="O23" t="s">
        <v>123</v>
      </c>
      <c r="P23">
        <v>3</v>
      </c>
      <c r="Q23">
        <v>3</v>
      </c>
      <c r="R23">
        <v>91</v>
      </c>
      <c r="S23" t="s">
        <v>56</v>
      </c>
      <c r="T23">
        <v>0.09</v>
      </c>
      <c r="U23">
        <v>66</v>
      </c>
      <c r="V23" t="s">
        <v>55</v>
      </c>
      <c r="W23">
        <v>6.5000000000000002E-2</v>
      </c>
      <c r="X23">
        <v>16001</v>
      </c>
      <c r="Y23" t="s">
        <v>47</v>
      </c>
      <c r="Z23">
        <v>16</v>
      </c>
      <c r="AA23">
        <v>357</v>
      </c>
      <c r="AB23" t="s">
        <v>47</v>
      </c>
      <c r="AC23">
        <v>0.35599999999999998</v>
      </c>
      <c r="AD23">
        <v>442</v>
      </c>
      <c r="AE23" t="s">
        <v>56</v>
      </c>
      <c r="AF23">
        <v>0.441</v>
      </c>
      <c r="AG23">
        <v>103</v>
      </c>
      <c r="AH23" t="s">
        <v>103</v>
      </c>
      <c r="AI23">
        <v>0.10199999999999999</v>
      </c>
      <c r="AJ23" t="s">
        <v>1154</v>
      </c>
    </row>
    <row r="24" spans="1:36" x14ac:dyDescent="0.25">
      <c r="A24" t="s">
        <v>1131</v>
      </c>
      <c r="B24">
        <v>855753636</v>
      </c>
      <c r="C24" t="s">
        <v>1132</v>
      </c>
      <c r="D24" t="s">
        <v>1132</v>
      </c>
      <c r="E24" t="s">
        <v>99</v>
      </c>
      <c r="F24" t="s">
        <v>136</v>
      </c>
      <c r="G24" t="s">
        <v>37</v>
      </c>
      <c r="H24">
        <v>1.9623199999999999E-4</v>
      </c>
      <c r="I24" t="s">
        <v>268</v>
      </c>
      <c r="J24" t="s">
        <v>40</v>
      </c>
      <c r="K24" t="s">
        <v>41</v>
      </c>
      <c r="L24" t="s">
        <v>53</v>
      </c>
      <c r="N24" t="s">
        <v>43</v>
      </c>
      <c r="O24" t="s">
        <v>426</v>
      </c>
      <c r="P24">
        <v>3</v>
      </c>
      <c r="Q24">
        <v>3</v>
      </c>
      <c r="R24">
        <v>11</v>
      </c>
      <c r="S24" t="s">
        <v>45</v>
      </c>
      <c r="T24">
        <v>0.01</v>
      </c>
      <c r="U24">
        <v>914</v>
      </c>
      <c r="V24" t="s">
        <v>46</v>
      </c>
      <c r="W24">
        <v>0.91300000000000003</v>
      </c>
      <c r="X24">
        <v>21001</v>
      </c>
      <c r="Y24" t="s">
        <v>47</v>
      </c>
      <c r="Z24">
        <v>21</v>
      </c>
      <c r="AA24">
        <v>316</v>
      </c>
      <c r="AB24" t="s">
        <v>47</v>
      </c>
      <c r="AC24">
        <v>0.315</v>
      </c>
      <c r="AD24">
        <v>696</v>
      </c>
      <c r="AE24" t="s">
        <v>48</v>
      </c>
      <c r="AF24">
        <v>0.69499999999999995</v>
      </c>
      <c r="AG24">
        <v>437</v>
      </c>
      <c r="AH24" t="s">
        <v>57</v>
      </c>
      <c r="AI24">
        <v>0.436</v>
      </c>
      <c r="AJ24" t="s">
        <v>1154</v>
      </c>
    </row>
    <row r="25" spans="1:36" x14ac:dyDescent="0.25">
      <c r="A25" t="s">
        <v>1131</v>
      </c>
      <c r="B25">
        <v>855753636</v>
      </c>
      <c r="C25" t="s">
        <v>1132</v>
      </c>
      <c r="D25" t="s">
        <v>1132</v>
      </c>
      <c r="E25" t="s">
        <v>60</v>
      </c>
      <c r="F25" t="s">
        <v>136</v>
      </c>
      <c r="G25" t="s">
        <v>37</v>
      </c>
      <c r="H25">
        <v>1.9623199999999999E-4</v>
      </c>
      <c r="I25" t="s">
        <v>268</v>
      </c>
      <c r="J25" t="s">
        <v>40</v>
      </c>
      <c r="K25" t="s">
        <v>41</v>
      </c>
      <c r="L25" t="s">
        <v>53</v>
      </c>
      <c r="N25" t="s">
        <v>43</v>
      </c>
      <c r="O25" t="s">
        <v>124</v>
      </c>
      <c r="P25">
        <v>3</v>
      </c>
      <c r="Q25">
        <v>3</v>
      </c>
      <c r="R25">
        <v>31</v>
      </c>
      <c r="S25" t="s">
        <v>45</v>
      </c>
      <c r="T25">
        <v>0.03</v>
      </c>
      <c r="U25">
        <v>666</v>
      </c>
      <c r="V25" t="s">
        <v>113</v>
      </c>
      <c r="W25">
        <v>0.66500000000000004</v>
      </c>
      <c r="X25">
        <v>20001</v>
      </c>
      <c r="Y25" t="s">
        <v>47</v>
      </c>
      <c r="Z25">
        <v>20</v>
      </c>
      <c r="AA25">
        <v>337</v>
      </c>
      <c r="AB25" t="s">
        <v>47</v>
      </c>
      <c r="AC25">
        <v>0.33600000000000002</v>
      </c>
      <c r="AD25">
        <v>659</v>
      </c>
      <c r="AE25" t="s">
        <v>48</v>
      </c>
      <c r="AF25">
        <v>0.65800000000000003</v>
      </c>
      <c r="AG25">
        <v>437</v>
      </c>
      <c r="AH25" t="s">
        <v>57</v>
      </c>
      <c r="AI25">
        <v>0.436</v>
      </c>
      <c r="AJ25" t="s">
        <v>1154</v>
      </c>
    </row>
    <row r="26" spans="1:36" x14ac:dyDescent="0.25">
      <c r="A26" t="s">
        <v>1131</v>
      </c>
      <c r="B26">
        <v>855753636</v>
      </c>
      <c r="C26" t="s">
        <v>1132</v>
      </c>
      <c r="D26" t="s">
        <v>1132</v>
      </c>
      <c r="E26" t="s">
        <v>37</v>
      </c>
      <c r="F26" t="s">
        <v>136</v>
      </c>
      <c r="G26" t="s">
        <v>37</v>
      </c>
      <c r="H26">
        <v>1.9623199999999999E-4</v>
      </c>
      <c r="I26" t="s">
        <v>268</v>
      </c>
      <c r="J26" t="s">
        <v>40</v>
      </c>
      <c r="K26" t="s">
        <v>41</v>
      </c>
      <c r="L26" t="s">
        <v>53</v>
      </c>
      <c r="N26" t="s">
        <v>43</v>
      </c>
      <c r="O26" t="s">
        <v>123</v>
      </c>
      <c r="P26">
        <v>3</v>
      </c>
      <c r="Q26">
        <v>3</v>
      </c>
      <c r="S26" t="s">
        <v>39</v>
      </c>
      <c r="V26" t="s">
        <v>39</v>
      </c>
      <c r="X26">
        <v>16001</v>
      </c>
      <c r="Y26" t="s">
        <v>47</v>
      </c>
      <c r="Z26">
        <v>16</v>
      </c>
      <c r="AA26">
        <v>357</v>
      </c>
      <c r="AB26" t="s">
        <v>47</v>
      </c>
      <c r="AC26">
        <v>0.35599999999999998</v>
      </c>
      <c r="AD26">
        <v>442</v>
      </c>
      <c r="AE26" t="s">
        <v>56</v>
      </c>
      <c r="AF26">
        <v>0.441</v>
      </c>
      <c r="AG26">
        <v>103</v>
      </c>
      <c r="AH26" t="s">
        <v>103</v>
      </c>
      <c r="AI26">
        <v>0.10199999999999999</v>
      </c>
      <c r="AJ26" t="s">
        <v>1155</v>
      </c>
    </row>
    <row r="27" spans="1:36" x14ac:dyDescent="0.25">
      <c r="A27" t="s">
        <v>1131</v>
      </c>
      <c r="B27">
        <v>855753636</v>
      </c>
      <c r="C27" t="s">
        <v>1132</v>
      </c>
      <c r="D27" t="s">
        <v>1132</v>
      </c>
      <c r="E27" t="s">
        <v>99</v>
      </c>
      <c r="F27" t="s">
        <v>136</v>
      </c>
      <c r="G27" t="s">
        <v>37</v>
      </c>
      <c r="H27">
        <v>1.9623199999999999E-4</v>
      </c>
      <c r="I27" t="s">
        <v>268</v>
      </c>
      <c r="J27" t="s">
        <v>40</v>
      </c>
      <c r="K27" t="s">
        <v>41</v>
      </c>
      <c r="L27" t="s">
        <v>53</v>
      </c>
      <c r="N27" t="s">
        <v>43</v>
      </c>
      <c r="O27" t="s">
        <v>426</v>
      </c>
      <c r="P27">
        <v>3</v>
      </c>
      <c r="Q27">
        <v>3</v>
      </c>
      <c r="S27" t="s">
        <v>39</v>
      </c>
      <c r="V27" t="s">
        <v>39</v>
      </c>
      <c r="X27">
        <v>21001</v>
      </c>
      <c r="Y27" t="s">
        <v>47</v>
      </c>
      <c r="Z27">
        <v>21</v>
      </c>
      <c r="AA27">
        <v>316</v>
      </c>
      <c r="AB27" t="s">
        <v>47</v>
      </c>
      <c r="AC27">
        <v>0.315</v>
      </c>
      <c r="AD27">
        <v>696</v>
      </c>
      <c r="AE27" t="s">
        <v>48</v>
      </c>
      <c r="AF27">
        <v>0.69499999999999995</v>
      </c>
      <c r="AG27">
        <v>437</v>
      </c>
      <c r="AH27" t="s">
        <v>57</v>
      </c>
      <c r="AI27">
        <v>0.436</v>
      </c>
      <c r="AJ27" t="s">
        <v>1155</v>
      </c>
    </row>
    <row r="28" spans="1:36" x14ac:dyDescent="0.25">
      <c r="A28" t="s">
        <v>1131</v>
      </c>
      <c r="B28">
        <v>855753636</v>
      </c>
      <c r="C28" t="s">
        <v>1132</v>
      </c>
      <c r="D28" t="s">
        <v>1132</v>
      </c>
      <c r="E28" t="s">
        <v>60</v>
      </c>
      <c r="F28" t="s">
        <v>136</v>
      </c>
      <c r="G28" t="s">
        <v>37</v>
      </c>
      <c r="H28">
        <v>1.9623199999999999E-4</v>
      </c>
      <c r="I28" t="s">
        <v>268</v>
      </c>
      <c r="J28" t="s">
        <v>40</v>
      </c>
      <c r="K28" t="s">
        <v>41</v>
      </c>
      <c r="L28" t="s">
        <v>53</v>
      </c>
      <c r="N28" t="s">
        <v>43</v>
      </c>
      <c r="O28" t="s">
        <v>124</v>
      </c>
      <c r="P28">
        <v>3</v>
      </c>
      <c r="Q28">
        <v>3</v>
      </c>
      <c r="S28" t="s">
        <v>39</v>
      </c>
      <c r="V28" t="s">
        <v>39</v>
      </c>
      <c r="X28">
        <v>20001</v>
      </c>
      <c r="Y28" t="s">
        <v>47</v>
      </c>
      <c r="Z28">
        <v>20</v>
      </c>
      <c r="AA28">
        <v>337</v>
      </c>
      <c r="AB28" t="s">
        <v>47</v>
      </c>
      <c r="AC28">
        <v>0.33600000000000002</v>
      </c>
      <c r="AD28">
        <v>659</v>
      </c>
      <c r="AE28" t="s">
        <v>48</v>
      </c>
      <c r="AF28">
        <v>0.65800000000000003</v>
      </c>
      <c r="AG28">
        <v>437</v>
      </c>
      <c r="AH28" t="s">
        <v>57</v>
      </c>
      <c r="AI28">
        <v>0.436</v>
      </c>
      <c r="AJ28" t="s">
        <v>1155</v>
      </c>
    </row>
    <row r="29" spans="1:36" x14ac:dyDescent="0.25">
      <c r="A29" t="s">
        <v>1131</v>
      </c>
      <c r="B29">
        <v>855753636</v>
      </c>
      <c r="C29" t="s">
        <v>1132</v>
      </c>
      <c r="D29" t="s">
        <v>1132</v>
      </c>
      <c r="E29" t="s">
        <v>37</v>
      </c>
      <c r="F29" t="s">
        <v>136</v>
      </c>
      <c r="G29" t="s">
        <v>37</v>
      </c>
      <c r="H29">
        <v>1.9623199999999999E-4</v>
      </c>
      <c r="I29" t="s">
        <v>268</v>
      </c>
      <c r="J29" t="s">
        <v>40</v>
      </c>
      <c r="K29" t="s">
        <v>41</v>
      </c>
      <c r="L29" t="s">
        <v>53</v>
      </c>
      <c r="N29" t="s">
        <v>43</v>
      </c>
      <c r="O29" t="s">
        <v>123</v>
      </c>
      <c r="P29">
        <v>3</v>
      </c>
      <c r="Q29">
        <v>3</v>
      </c>
      <c r="S29" t="s">
        <v>39</v>
      </c>
      <c r="V29" t="s">
        <v>39</v>
      </c>
      <c r="X29">
        <v>16001</v>
      </c>
      <c r="Y29" t="s">
        <v>47</v>
      </c>
      <c r="Z29">
        <v>16</v>
      </c>
      <c r="AA29">
        <v>357</v>
      </c>
      <c r="AB29" t="s">
        <v>47</v>
      </c>
      <c r="AC29">
        <v>0.35599999999999998</v>
      </c>
      <c r="AD29">
        <v>442</v>
      </c>
      <c r="AE29" t="s">
        <v>56</v>
      </c>
      <c r="AF29">
        <v>0.441</v>
      </c>
      <c r="AG29">
        <v>103</v>
      </c>
      <c r="AH29" t="s">
        <v>103</v>
      </c>
      <c r="AI29">
        <v>0.10199999999999999</v>
      </c>
      <c r="AJ29" t="s">
        <v>1156</v>
      </c>
    </row>
    <row r="30" spans="1:36" x14ac:dyDescent="0.25">
      <c r="A30" t="s">
        <v>1131</v>
      </c>
      <c r="B30">
        <v>855753636</v>
      </c>
      <c r="C30" t="s">
        <v>1132</v>
      </c>
      <c r="D30" t="s">
        <v>1132</v>
      </c>
      <c r="E30" t="s">
        <v>99</v>
      </c>
      <c r="F30" t="s">
        <v>136</v>
      </c>
      <c r="G30" t="s">
        <v>37</v>
      </c>
      <c r="H30">
        <v>1.9623199999999999E-4</v>
      </c>
      <c r="I30" t="s">
        <v>268</v>
      </c>
      <c r="J30" t="s">
        <v>40</v>
      </c>
      <c r="K30" t="s">
        <v>41</v>
      </c>
      <c r="L30" t="s">
        <v>53</v>
      </c>
      <c r="N30" t="s">
        <v>43</v>
      </c>
      <c r="O30" t="s">
        <v>426</v>
      </c>
      <c r="P30">
        <v>3</v>
      </c>
      <c r="Q30">
        <v>3</v>
      </c>
      <c r="S30" t="s">
        <v>39</v>
      </c>
      <c r="V30" t="s">
        <v>39</v>
      </c>
      <c r="X30">
        <v>21001</v>
      </c>
      <c r="Y30" t="s">
        <v>47</v>
      </c>
      <c r="Z30">
        <v>21</v>
      </c>
      <c r="AA30">
        <v>316</v>
      </c>
      <c r="AB30" t="s">
        <v>47</v>
      </c>
      <c r="AC30">
        <v>0.315</v>
      </c>
      <c r="AD30">
        <v>696</v>
      </c>
      <c r="AE30" t="s">
        <v>48</v>
      </c>
      <c r="AF30">
        <v>0.69499999999999995</v>
      </c>
      <c r="AG30">
        <v>437</v>
      </c>
      <c r="AH30" t="s">
        <v>57</v>
      </c>
      <c r="AI30">
        <v>0.436</v>
      </c>
      <c r="AJ30" t="s">
        <v>1156</v>
      </c>
    </row>
    <row r="31" spans="1:36" x14ac:dyDescent="0.25">
      <c r="A31" t="s">
        <v>1131</v>
      </c>
      <c r="B31">
        <v>855753636</v>
      </c>
      <c r="C31" t="s">
        <v>1132</v>
      </c>
      <c r="D31" t="s">
        <v>1132</v>
      </c>
      <c r="E31" t="s">
        <v>60</v>
      </c>
      <c r="F31" t="s">
        <v>136</v>
      </c>
      <c r="G31" t="s">
        <v>37</v>
      </c>
      <c r="H31">
        <v>1.9623199999999999E-4</v>
      </c>
      <c r="I31" t="s">
        <v>268</v>
      </c>
      <c r="J31" t="s">
        <v>40</v>
      </c>
      <c r="K31" t="s">
        <v>41</v>
      </c>
      <c r="L31" t="s">
        <v>53</v>
      </c>
      <c r="N31" t="s">
        <v>43</v>
      </c>
      <c r="O31" t="s">
        <v>124</v>
      </c>
      <c r="P31">
        <v>3</v>
      </c>
      <c r="Q31">
        <v>3</v>
      </c>
      <c r="S31" t="s">
        <v>39</v>
      </c>
      <c r="V31" t="s">
        <v>39</v>
      </c>
      <c r="X31">
        <v>20001</v>
      </c>
      <c r="Y31" t="s">
        <v>47</v>
      </c>
      <c r="Z31">
        <v>20</v>
      </c>
      <c r="AA31">
        <v>337</v>
      </c>
      <c r="AB31" t="s">
        <v>47</v>
      </c>
      <c r="AC31">
        <v>0.33600000000000002</v>
      </c>
      <c r="AD31">
        <v>659</v>
      </c>
      <c r="AE31" t="s">
        <v>48</v>
      </c>
      <c r="AF31">
        <v>0.65800000000000003</v>
      </c>
      <c r="AG31">
        <v>437</v>
      </c>
      <c r="AH31" t="s">
        <v>57</v>
      </c>
      <c r="AI31">
        <v>0.436</v>
      </c>
      <c r="AJ31" t="s">
        <v>1156</v>
      </c>
    </row>
    <row r="32" spans="1:36" x14ac:dyDescent="0.25">
      <c r="A32" t="s">
        <v>1129</v>
      </c>
      <c r="B32">
        <v>865454192</v>
      </c>
      <c r="C32" t="s">
        <v>1130</v>
      </c>
      <c r="D32" t="s">
        <v>1130</v>
      </c>
      <c r="E32" t="s">
        <v>65</v>
      </c>
      <c r="F32" t="s">
        <v>93</v>
      </c>
      <c r="I32" t="s">
        <v>39</v>
      </c>
      <c r="J32" t="s">
        <v>40</v>
      </c>
      <c r="K32" t="s">
        <v>41</v>
      </c>
      <c r="L32" t="s">
        <v>42</v>
      </c>
      <c r="N32" t="s">
        <v>43</v>
      </c>
      <c r="O32" t="s">
        <v>773</v>
      </c>
      <c r="P32">
        <v>4</v>
      </c>
      <c r="Q32">
        <v>4</v>
      </c>
      <c r="R32">
        <v>1</v>
      </c>
      <c r="S32" t="s">
        <v>45</v>
      </c>
      <c r="T32">
        <v>0</v>
      </c>
      <c r="U32">
        <v>270</v>
      </c>
      <c r="V32" t="s">
        <v>55</v>
      </c>
      <c r="W32">
        <v>0.26900000000000002</v>
      </c>
      <c r="X32">
        <v>19001</v>
      </c>
      <c r="Y32" t="s">
        <v>47</v>
      </c>
      <c r="Z32">
        <v>19</v>
      </c>
      <c r="AA32">
        <v>467</v>
      </c>
      <c r="AB32" t="s">
        <v>47</v>
      </c>
      <c r="AC32">
        <v>0.46600000000000003</v>
      </c>
      <c r="AD32">
        <v>769</v>
      </c>
      <c r="AE32" t="s">
        <v>48</v>
      </c>
      <c r="AF32">
        <v>0.76800000000000002</v>
      </c>
      <c r="AG32">
        <v>645</v>
      </c>
      <c r="AH32" t="s">
        <v>49</v>
      </c>
      <c r="AI32">
        <v>0.64400000000000002</v>
      </c>
      <c r="AJ32" t="s">
        <v>50</v>
      </c>
    </row>
    <row r="33" spans="1:36" x14ac:dyDescent="0.25">
      <c r="A33" t="s">
        <v>1129</v>
      </c>
      <c r="B33">
        <v>865454192</v>
      </c>
      <c r="C33" t="s">
        <v>1130</v>
      </c>
      <c r="D33" t="s">
        <v>1130</v>
      </c>
      <c r="E33" t="s">
        <v>65</v>
      </c>
      <c r="F33" t="s">
        <v>93</v>
      </c>
      <c r="I33" t="s">
        <v>39</v>
      </c>
      <c r="J33" t="s">
        <v>40</v>
      </c>
      <c r="K33" t="s">
        <v>41</v>
      </c>
      <c r="L33" t="s">
        <v>42</v>
      </c>
      <c r="N33" t="s">
        <v>43</v>
      </c>
      <c r="O33" t="s">
        <v>773</v>
      </c>
      <c r="P33">
        <v>4</v>
      </c>
      <c r="Q33">
        <v>4</v>
      </c>
      <c r="R33">
        <v>1</v>
      </c>
      <c r="S33" t="s">
        <v>45</v>
      </c>
      <c r="T33">
        <v>0</v>
      </c>
      <c r="U33">
        <v>458</v>
      </c>
      <c r="V33" t="s">
        <v>113</v>
      </c>
      <c r="W33">
        <v>0.45700000000000002</v>
      </c>
      <c r="X33">
        <v>19001</v>
      </c>
      <c r="Y33" t="s">
        <v>47</v>
      </c>
      <c r="Z33">
        <v>19</v>
      </c>
      <c r="AA33">
        <v>467</v>
      </c>
      <c r="AB33" t="s">
        <v>47</v>
      </c>
      <c r="AC33">
        <v>0.46600000000000003</v>
      </c>
      <c r="AD33">
        <v>769</v>
      </c>
      <c r="AE33" t="s">
        <v>48</v>
      </c>
      <c r="AF33">
        <v>0.76800000000000002</v>
      </c>
      <c r="AG33">
        <v>645</v>
      </c>
      <c r="AH33" t="s">
        <v>49</v>
      </c>
      <c r="AI33">
        <v>0.64400000000000002</v>
      </c>
      <c r="AJ33" t="s">
        <v>1141</v>
      </c>
    </row>
    <row r="34" spans="1:36" x14ac:dyDescent="0.25">
      <c r="A34" t="s">
        <v>1129</v>
      </c>
      <c r="B34">
        <v>865454192</v>
      </c>
      <c r="C34" t="s">
        <v>1130</v>
      </c>
      <c r="D34" t="s">
        <v>1130</v>
      </c>
      <c r="E34" t="s">
        <v>65</v>
      </c>
      <c r="F34" t="s">
        <v>93</v>
      </c>
      <c r="I34" t="s">
        <v>39</v>
      </c>
      <c r="J34" t="s">
        <v>40</v>
      </c>
      <c r="K34" t="s">
        <v>41</v>
      </c>
      <c r="L34" t="s">
        <v>42</v>
      </c>
      <c r="N34" t="s">
        <v>43</v>
      </c>
      <c r="O34" t="s">
        <v>773</v>
      </c>
      <c r="P34">
        <v>4</v>
      </c>
      <c r="Q34">
        <v>4</v>
      </c>
      <c r="R34">
        <v>1</v>
      </c>
      <c r="S34" t="s">
        <v>45</v>
      </c>
      <c r="T34">
        <v>0</v>
      </c>
      <c r="U34">
        <v>270</v>
      </c>
      <c r="V34" t="s">
        <v>55</v>
      </c>
      <c r="W34">
        <v>0.26900000000000002</v>
      </c>
      <c r="X34">
        <v>19001</v>
      </c>
      <c r="Y34" t="s">
        <v>47</v>
      </c>
      <c r="Z34">
        <v>19</v>
      </c>
      <c r="AA34">
        <v>467</v>
      </c>
      <c r="AB34" t="s">
        <v>47</v>
      </c>
      <c r="AC34">
        <v>0.46600000000000003</v>
      </c>
      <c r="AD34">
        <v>769</v>
      </c>
      <c r="AE34" t="s">
        <v>48</v>
      </c>
      <c r="AF34">
        <v>0.76800000000000002</v>
      </c>
      <c r="AG34">
        <v>645</v>
      </c>
      <c r="AH34" t="s">
        <v>49</v>
      </c>
      <c r="AI34">
        <v>0.64400000000000002</v>
      </c>
      <c r="AJ34" t="s">
        <v>1153</v>
      </c>
    </row>
    <row r="35" spans="1:36" x14ac:dyDescent="0.25">
      <c r="A35" t="s">
        <v>1129</v>
      </c>
      <c r="B35">
        <v>865454192</v>
      </c>
      <c r="C35" t="s">
        <v>1130</v>
      </c>
      <c r="D35" t="s">
        <v>1130</v>
      </c>
      <c r="E35" t="s">
        <v>65</v>
      </c>
      <c r="F35" t="s">
        <v>93</v>
      </c>
      <c r="I35" t="s">
        <v>39</v>
      </c>
      <c r="J35" t="s">
        <v>40</v>
      </c>
      <c r="K35" t="s">
        <v>41</v>
      </c>
      <c r="L35" t="s">
        <v>42</v>
      </c>
      <c r="N35" t="s">
        <v>43</v>
      </c>
      <c r="O35" t="s">
        <v>773</v>
      </c>
      <c r="P35">
        <v>4</v>
      </c>
      <c r="Q35">
        <v>4</v>
      </c>
      <c r="R35">
        <v>1</v>
      </c>
      <c r="S35" t="s">
        <v>45</v>
      </c>
      <c r="T35">
        <v>0</v>
      </c>
      <c r="U35">
        <v>270</v>
      </c>
      <c r="V35" t="s">
        <v>55</v>
      </c>
      <c r="W35">
        <v>0.26900000000000002</v>
      </c>
      <c r="X35">
        <v>19001</v>
      </c>
      <c r="Y35" t="s">
        <v>47</v>
      </c>
      <c r="Z35">
        <v>19</v>
      </c>
      <c r="AA35">
        <v>467</v>
      </c>
      <c r="AB35" t="s">
        <v>47</v>
      </c>
      <c r="AC35">
        <v>0.46600000000000003</v>
      </c>
      <c r="AD35">
        <v>769</v>
      </c>
      <c r="AE35" t="s">
        <v>48</v>
      </c>
      <c r="AF35">
        <v>0.76800000000000002</v>
      </c>
      <c r="AG35">
        <v>645</v>
      </c>
      <c r="AH35" t="s">
        <v>49</v>
      </c>
      <c r="AI35">
        <v>0.64400000000000002</v>
      </c>
      <c r="AJ35" t="s">
        <v>1154</v>
      </c>
    </row>
    <row r="36" spans="1:36" x14ac:dyDescent="0.25">
      <c r="A36" t="s">
        <v>1129</v>
      </c>
      <c r="B36">
        <v>865454192</v>
      </c>
      <c r="C36" t="s">
        <v>1130</v>
      </c>
      <c r="D36" t="s">
        <v>1130</v>
      </c>
      <c r="E36" t="s">
        <v>65</v>
      </c>
      <c r="F36" t="s">
        <v>93</v>
      </c>
      <c r="I36" t="s">
        <v>39</v>
      </c>
      <c r="J36" t="s">
        <v>40</v>
      </c>
      <c r="K36" t="s">
        <v>41</v>
      </c>
      <c r="L36" t="s">
        <v>42</v>
      </c>
      <c r="N36" t="s">
        <v>43</v>
      </c>
      <c r="O36" t="s">
        <v>773</v>
      </c>
      <c r="P36">
        <v>4</v>
      </c>
      <c r="Q36">
        <v>4</v>
      </c>
      <c r="S36" t="s">
        <v>39</v>
      </c>
      <c r="V36" t="s">
        <v>39</v>
      </c>
      <c r="X36">
        <v>19001</v>
      </c>
      <c r="Y36" t="s">
        <v>47</v>
      </c>
      <c r="Z36">
        <v>19</v>
      </c>
      <c r="AA36">
        <v>467</v>
      </c>
      <c r="AB36" t="s">
        <v>47</v>
      </c>
      <c r="AC36">
        <v>0.46600000000000003</v>
      </c>
      <c r="AD36">
        <v>769</v>
      </c>
      <c r="AE36" t="s">
        <v>48</v>
      </c>
      <c r="AF36">
        <v>0.76800000000000002</v>
      </c>
      <c r="AG36">
        <v>645</v>
      </c>
      <c r="AH36" t="s">
        <v>49</v>
      </c>
      <c r="AI36">
        <v>0.64400000000000002</v>
      </c>
      <c r="AJ36" t="s">
        <v>1155</v>
      </c>
    </row>
    <row r="37" spans="1:36" x14ac:dyDescent="0.25">
      <c r="A37" t="s">
        <v>1129</v>
      </c>
      <c r="B37">
        <v>865454192</v>
      </c>
      <c r="C37" t="s">
        <v>1130</v>
      </c>
      <c r="D37" t="s">
        <v>1130</v>
      </c>
      <c r="E37" t="s">
        <v>65</v>
      </c>
      <c r="F37" t="s">
        <v>93</v>
      </c>
      <c r="I37" t="s">
        <v>39</v>
      </c>
      <c r="J37" t="s">
        <v>40</v>
      </c>
      <c r="K37" t="s">
        <v>41</v>
      </c>
      <c r="L37" t="s">
        <v>42</v>
      </c>
      <c r="N37" t="s">
        <v>43</v>
      </c>
      <c r="O37" t="s">
        <v>773</v>
      </c>
      <c r="P37">
        <v>4</v>
      </c>
      <c r="Q37">
        <v>4</v>
      </c>
      <c r="S37" t="s">
        <v>39</v>
      </c>
      <c r="V37" t="s">
        <v>39</v>
      </c>
      <c r="X37">
        <v>19001</v>
      </c>
      <c r="Y37" t="s">
        <v>47</v>
      </c>
      <c r="Z37">
        <v>19</v>
      </c>
      <c r="AA37">
        <v>467</v>
      </c>
      <c r="AB37" t="s">
        <v>47</v>
      </c>
      <c r="AC37">
        <v>0.46600000000000003</v>
      </c>
      <c r="AD37">
        <v>769</v>
      </c>
      <c r="AE37" t="s">
        <v>48</v>
      </c>
      <c r="AF37">
        <v>0.76800000000000002</v>
      </c>
      <c r="AG37">
        <v>645</v>
      </c>
      <c r="AH37" t="s">
        <v>49</v>
      </c>
      <c r="AI37">
        <v>0.64400000000000002</v>
      </c>
      <c r="AJ37" t="s">
        <v>1156</v>
      </c>
    </row>
    <row r="38" spans="1:36" x14ac:dyDescent="0.25">
      <c r="A38" t="s">
        <v>1127</v>
      </c>
      <c r="B38">
        <v>872431855</v>
      </c>
      <c r="C38" t="s">
        <v>1128</v>
      </c>
      <c r="D38" t="s">
        <v>1128</v>
      </c>
      <c r="E38" t="s">
        <v>37</v>
      </c>
      <c r="F38" t="s">
        <v>71</v>
      </c>
      <c r="I38" t="s">
        <v>39</v>
      </c>
      <c r="J38" t="s">
        <v>40</v>
      </c>
      <c r="K38" t="s">
        <v>41</v>
      </c>
      <c r="L38" t="s">
        <v>89</v>
      </c>
      <c r="N38" t="s">
        <v>43</v>
      </c>
      <c r="O38" t="s">
        <v>123</v>
      </c>
      <c r="P38">
        <v>4</v>
      </c>
      <c r="Q38">
        <v>4</v>
      </c>
      <c r="R38">
        <v>41</v>
      </c>
      <c r="S38" t="s">
        <v>45</v>
      </c>
      <c r="T38">
        <v>0.04</v>
      </c>
      <c r="U38">
        <v>935</v>
      </c>
      <c r="V38" t="s">
        <v>46</v>
      </c>
      <c r="W38">
        <v>0.93400000000000005</v>
      </c>
      <c r="X38">
        <v>24001</v>
      </c>
      <c r="Y38" t="s">
        <v>47</v>
      </c>
      <c r="Z38">
        <v>24</v>
      </c>
      <c r="AA38">
        <v>288</v>
      </c>
      <c r="AB38" t="s">
        <v>47</v>
      </c>
      <c r="AC38">
        <v>0.28699999999999998</v>
      </c>
      <c r="AD38">
        <v>844</v>
      </c>
      <c r="AE38" t="s">
        <v>48</v>
      </c>
      <c r="AF38">
        <v>0.84299999999999997</v>
      </c>
      <c r="AG38">
        <v>645</v>
      </c>
      <c r="AH38" t="s">
        <v>49</v>
      </c>
      <c r="AI38">
        <v>0.64400000000000002</v>
      </c>
      <c r="AJ38" t="s">
        <v>50</v>
      </c>
    </row>
    <row r="39" spans="1:36" x14ac:dyDescent="0.25">
      <c r="A39" t="s">
        <v>1127</v>
      </c>
      <c r="B39">
        <v>872431855</v>
      </c>
      <c r="C39" t="s">
        <v>1128</v>
      </c>
      <c r="D39" t="s">
        <v>1128</v>
      </c>
      <c r="E39" t="s">
        <v>37</v>
      </c>
      <c r="F39" t="s">
        <v>71</v>
      </c>
      <c r="I39" t="s">
        <v>39</v>
      </c>
      <c r="J39" t="s">
        <v>40</v>
      </c>
      <c r="K39" t="s">
        <v>41</v>
      </c>
      <c r="L39" t="s">
        <v>89</v>
      </c>
      <c r="N39" t="s">
        <v>43</v>
      </c>
      <c r="O39" t="s">
        <v>123</v>
      </c>
      <c r="P39">
        <v>4</v>
      </c>
      <c r="Q39">
        <v>4</v>
      </c>
      <c r="R39">
        <v>31</v>
      </c>
      <c r="S39" t="s">
        <v>45</v>
      </c>
      <c r="T39">
        <v>0.03</v>
      </c>
      <c r="U39">
        <v>993</v>
      </c>
      <c r="V39" t="s">
        <v>46</v>
      </c>
      <c r="W39">
        <v>0.99199999999999999</v>
      </c>
      <c r="X39">
        <v>24001</v>
      </c>
      <c r="Y39" t="s">
        <v>47</v>
      </c>
      <c r="Z39">
        <v>24</v>
      </c>
      <c r="AA39">
        <v>288</v>
      </c>
      <c r="AB39" t="s">
        <v>47</v>
      </c>
      <c r="AC39">
        <v>0.28699999999999998</v>
      </c>
      <c r="AD39">
        <v>844</v>
      </c>
      <c r="AE39" t="s">
        <v>48</v>
      </c>
      <c r="AF39">
        <v>0.84299999999999997</v>
      </c>
      <c r="AG39">
        <v>645</v>
      </c>
      <c r="AH39" t="s">
        <v>49</v>
      </c>
      <c r="AI39">
        <v>0.64400000000000002</v>
      </c>
      <c r="AJ39" t="s">
        <v>1141</v>
      </c>
    </row>
    <row r="40" spans="1:36" x14ac:dyDescent="0.25">
      <c r="A40" t="s">
        <v>1127</v>
      </c>
      <c r="B40">
        <v>872431855</v>
      </c>
      <c r="C40" t="s">
        <v>1128</v>
      </c>
      <c r="D40" t="s">
        <v>1128</v>
      </c>
      <c r="E40" t="s">
        <v>37</v>
      </c>
      <c r="F40" t="s">
        <v>71</v>
      </c>
      <c r="I40" t="s">
        <v>39</v>
      </c>
      <c r="J40" t="s">
        <v>40</v>
      </c>
      <c r="K40" t="s">
        <v>41</v>
      </c>
      <c r="L40" t="s">
        <v>89</v>
      </c>
      <c r="N40" t="s">
        <v>43</v>
      </c>
      <c r="O40" t="s">
        <v>123</v>
      </c>
      <c r="P40">
        <v>4</v>
      </c>
      <c r="Q40">
        <v>4</v>
      </c>
      <c r="R40">
        <v>41</v>
      </c>
      <c r="S40" t="s">
        <v>45</v>
      </c>
      <c r="T40">
        <v>0.04</v>
      </c>
      <c r="U40">
        <v>935</v>
      </c>
      <c r="V40" t="s">
        <v>46</v>
      </c>
      <c r="W40">
        <v>0.93400000000000005</v>
      </c>
      <c r="X40">
        <v>24001</v>
      </c>
      <c r="Y40" t="s">
        <v>47</v>
      </c>
      <c r="Z40">
        <v>24</v>
      </c>
      <c r="AA40">
        <v>288</v>
      </c>
      <c r="AB40" t="s">
        <v>47</v>
      </c>
      <c r="AC40">
        <v>0.28699999999999998</v>
      </c>
      <c r="AD40">
        <v>844</v>
      </c>
      <c r="AE40" t="s">
        <v>48</v>
      </c>
      <c r="AF40">
        <v>0.84299999999999997</v>
      </c>
      <c r="AG40">
        <v>645</v>
      </c>
      <c r="AH40" t="s">
        <v>49</v>
      </c>
      <c r="AI40">
        <v>0.64400000000000002</v>
      </c>
      <c r="AJ40" t="s">
        <v>1153</v>
      </c>
    </row>
    <row r="41" spans="1:36" x14ac:dyDescent="0.25">
      <c r="A41" t="s">
        <v>1127</v>
      </c>
      <c r="B41">
        <v>872431855</v>
      </c>
      <c r="C41" t="s">
        <v>1128</v>
      </c>
      <c r="D41" t="s">
        <v>1128</v>
      </c>
      <c r="E41" t="s">
        <v>37</v>
      </c>
      <c r="F41" t="s">
        <v>71</v>
      </c>
      <c r="I41" t="s">
        <v>39</v>
      </c>
      <c r="J41" t="s">
        <v>40</v>
      </c>
      <c r="K41" t="s">
        <v>41</v>
      </c>
      <c r="L41" t="s">
        <v>89</v>
      </c>
      <c r="N41" t="s">
        <v>43</v>
      </c>
      <c r="O41" t="s">
        <v>123</v>
      </c>
      <c r="P41">
        <v>4</v>
      </c>
      <c r="Q41">
        <v>4</v>
      </c>
      <c r="R41">
        <v>41</v>
      </c>
      <c r="S41" t="s">
        <v>45</v>
      </c>
      <c r="T41">
        <v>0.04</v>
      </c>
      <c r="U41">
        <v>935</v>
      </c>
      <c r="V41" t="s">
        <v>46</v>
      </c>
      <c r="W41">
        <v>0.93400000000000005</v>
      </c>
      <c r="X41">
        <v>24001</v>
      </c>
      <c r="Y41" t="s">
        <v>47</v>
      </c>
      <c r="Z41">
        <v>24</v>
      </c>
      <c r="AA41">
        <v>288</v>
      </c>
      <c r="AB41" t="s">
        <v>47</v>
      </c>
      <c r="AC41">
        <v>0.28699999999999998</v>
      </c>
      <c r="AD41">
        <v>844</v>
      </c>
      <c r="AE41" t="s">
        <v>48</v>
      </c>
      <c r="AF41">
        <v>0.84299999999999997</v>
      </c>
      <c r="AG41">
        <v>645</v>
      </c>
      <c r="AH41" t="s">
        <v>49</v>
      </c>
      <c r="AI41">
        <v>0.64400000000000002</v>
      </c>
      <c r="AJ41" t="s">
        <v>1154</v>
      </c>
    </row>
    <row r="42" spans="1:36" x14ac:dyDescent="0.25">
      <c r="A42" t="s">
        <v>1127</v>
      </c>
      <c r="B42">
        <v>872431855</v>
      </c>
      <c r="C42" t="s">
        <v>1128</v>
      </c>
      <c r="D42" t="s">
        <v>1128</v>
      </c>
      <c r="E42" t="s">
        <v>37</v>
      </c>
      <c r="F42" t="s">
        <v>71</v>
      </c>
      <c r="I42" t="s">
        <v>39</v>
      </c>
      <c r="J42" t="s">
        <v>40</v>
      </c>
      <c r="K42" t="s">
        <v>41</v>
      </c>
      <c r="L42" t="s">
        <v>89</v>
      </c>
      <c r="N42" t="s">
        <v>43</v>
      </c>
      <c r="O42" t="s">
        <v>123</v>
      </c>
      <c r="P42">
        <v>4</v>
      </c>
      <c r="Q42">
        <v>4</v>
      </c>
      <c r="S42" t="s">
        <v>39</v>
      </c>
      <c r="V42" t="s">
        <v>39</v>
      </c>
      <c r="X42">
        <v>24001</v>
      </c>
      <c r="Y42" t="s">
        <v>47</v>
      </c>
      <c r="Z42">
        <v>24</v>
      </c>
      <c r="AA42">
        <v>288</v>
      </c>
      <c r="AB42" t="s">
        <v>47</v>
      </c>
      <c r="AC42">
        <v>0.28699999999999998</v>
      </c>
      <c r="AD42">
        <v>844</v>
      </c>
      <c r="AE42" t="s">
        <v>48</v>
      </c>
      <c r="AF42">
        <v>0.84299999999999997</v>
      </c>
      <c r="AG42">
        <v>645</v>
      </c>
      <c r="AH42" t="s">
        <v>49</v>
      </c>
      <c r="AI42">
        <v>0.64400000000000002</v>
      </c>
      <c r="AJ42" t="s">
        <v>1155</v>
      </c>
    </row>
    <row r="43" spans="1:36" x14ac:dyDescent="0.25">
      <c r="A43" t="s">
        <v>1127</v>
      </c>
      <c r="B43">
        <v>872431855</v>
      </c>
      <c r="C43" t="s">
        <v>1128</v>
      </c>
      <c r="D43" t="s">
        <v>1128</v>
      </c>
      <c r="E43" t="s">
        <v>37</v>
      </c>
      <c r="F43" t="s">
        <v>71</v>
      </c>
      <c r="I43" t="s">
        <v>39</v>
      </c>
      <c r="J43" t="s">
        <v>40</v>
      </c>
      <c r="K43" t="s">
        <v>41</v>
      </c>
      <c r="L43" t="s">
        <v>89</v>
      </c>
      <c r="N43" t="s">
        <v>43</v>
      </c>
      <c r="O43" t="s">
        <v>123</v>
      </c>
      <c r="P43">
        <v>4</v>
      </c>
      <c r="Q43">
        <v>4</v>
      </c>
      <c r="S43" t="s">
        <v>39</v>
      </c>
      <c r="V43" t="s">
        <v>39</v>
      </c>
      <c r="X43">
        <v>24001</v>
      </c>
      <c r="Y43" t="s">
        <v>47</v>
      </c>
      <c r="Z43">
        <v>24</v>
      </c>
      <c r="AA43">
        <v>288</v>
      </c>
      <c r="AB43" t="s">
        <v>47</v>
      </c>
      <c r="AC43">
        <v>0.28699999999999998</v>
      </c>
      <c r="AD43">
        <v>844</v>
      </c>
      <c r="AE43" t="s">
        <v>48</v>
      </c>
      <c r="AF43">
        <v>0.84299999999999997</v>
      </c>
      <c r="AG43">
        <v>645</v>
      </c>
      <c r="AH43" t="s">
        <v>49</v>
      </c>
      <c r="AI43">
        <v>0.64400000000000002</v>
      </c>
      <c r="AJ43" t="s">
        <v>1156</v>
      </c>
    </row>
    <row r="44" spans="1:36" x14ac:dyDescent="0.25">
      <c r="A44" t="s">
        <v>1123</v>
      </c>
      <c r="B44">
        <v>881534822</v>
      </c>
      <c r="C44" t="s">
        <v>1124</v>
      </c>
      <c r="D44" t="s">
        <v>1124</v>
      </c>
      <c r="E44" t="s">
        <v>65</v>
      </c>
      <c r="F44" t="s">
        <v>93</v>
      </c>
      <c r="I44" t="s">
        <v>39</v>
      </c>
      <c r="J44" t="s">
        <v>40</v>
      </c>
      <c r="K44" t="s">
        <v>41</v>
      </c>
      <c r="L44" t="s">
        <v>42</v>
      </c>
      <c r="N44" t="s">
        <v>43</v>
      </c>
      <c r="O44" t="s">
        <v>315</v>
      </c>
      <c r="P44">
        <v>5</v>
      </c>
      <c r="Q44">
        <v>5</v>
      </c>
      <c r="R44">
        <v>41</v>
      </c>
      <c r="S44" t="s">
        <v>45</v>
      </c>
      <c r="T44">
        <v>0.04</v>
      </c>
      <c r="U44">
        <v>63</v>
      </c>
      <c r="V44" t="s">
        <v>55</v>
      </c>
      <c r="W44">
        <v>6.2E-2</v>
      </c>
      <c r="X44">
        <v>14001</v>
      </c>
      <c r="Y44" t="s">
        <v>47</v>
      </c>
      <c r="Z44">
        <v>14</v>
      </c>
      <c r="AA44">
        <v>205</v>
      </c>
      <c r="AB44" t="s">
        <v>47</v>
      </c>
      <c r="AC44">
        <v>0.20399999999999999</v>
      </c>
      <c r="AD44">
        <v>598</v>
      </c>
      <c r="AE44" t="s">
        <v>48</v>
      </c>
      <c r="AF44">
        <v>0.59699999999999998</v>
      </c>
      <c r="AG44">
        <v>544</v>
      </c>
      <c r="AH44" t="s">
        <v>49</v>
      </c>
      <c r="AI44">
        <v>0.54300000000000004</v>
      </c>
      <c r="AJ44" t="s">
        <v>50</v>
      </c>
    </row>
    <row r="45" spans="1:36" x14ac:dyDescent="0.25">
      <c r="A45" t="s">
        <v>1123</v>
      </c>
      <c r="B45">
        <v>881534822</v>
      </c>
      <c r="C45" t="s">
        <v>1124</v>
      </c>
      <c r="D45" t="s">
        <v>1124</v>
      </c>
      <c r="E45" t="s">
        <v>65</v>
      </c>
      <c r="F45" t="s">
        <v>93</v>
      </c>
      <c r="I45" t="s">
        <v>39</v>
      </c>
      <c r="J45" t="s">
        <v>40</v>
      </c>
      <c r="K45" t="s">
        <v>41</v>
      </c>
      <c r="L45" t="s">
        <v>42</v>
      </c>
      <c r="N45" t="s">
        <v>43</v>
      </c>
      <c r="O45" t="s">
        <v>315</v>
      </c>
      <c r="P45">
        <v>5</v>
      </c>
      <c r="Q45">
        <v>5</v>
      </c>
      <c r="R45">
        <v>1</v>
      </c>
      <c r="S45" t="s">
        <v>45</v>
      </c>
      <c r="T45">
        <v>0</v>
      </c>
      <c r="U45">
        <v>384</v>
      </c>
      <c r="V45" t="s">
        <v>55</v>
      </c>
      <c r="W45">
        <v>0.38300000000000001</v>
      </c>
      <c r="X45">
        <v>14001</v>
      </c>
      <c r="Y45" t="s">
        <v>47</v>
      </c>
      <c r="Z45">
        <v>14</v>
      </c>
      <c r="AA45">
        <v>205</v>
      </c>
      <c r="AB45" t="s">
        <v>47</v>
      </c>
      <c r="AC45">
        <v>0.20399999999999999</v>
      </c>
      <c r="AD45">
        <v>598</v>
      </c>
      <c r="AE45" t="s">
        <v>48</v>
      </c>
      <c r="AF45">
        <v>0.59699999999999998</v>
      </c>
      <c r="AG45">
        <v>544</v>
      </c>
      <c r="AH45" t="s">
        <v>49</v>
      </c>
      <c r="AI45">
        <v>0.54300000000000004</v>
      </c>
      <c r="AJ45" t="s">
        <v>1141</v>
      </c>
    </row>
    <row r="46" spans="1:36" x14ac:dyDescent="0.25">
      <c r="A46" t="s">
        <v>1123</v>
      </c>
      <c r="B46">
        <v>881534822</v>
      </c>
      <c r="C46" t="s">
        <v>1124</v>
      </c>
      <c r="D46" t="s">
        <v>1124</v>
      </c>
      <c r="E46" t="s">
        <v>65</v>
      </c>
      <c r="F46" t="s">
        <v>93</v>
      </c>
      <c r="I46" t="s">
        <v>39</v>
      </c>
      <c r="J46" t="s">
        <v>40</v>
      </c>
      <c r="K46" t="s">
        <v>41</v>
      </c>
      <c r="L46" t="s">
        <v>42</v>
      </c>
      <c r="N46" t="s">
        <v>43</v>
      </c>
      <c r="O46" t="s">
        <v>315</v>
      </c>
      <c r="P46">
        <v>5</v>
      </c>
      <c r="Q46">
        <v>5</v>
      </c>
      <c r="R46">
        <v>41</v>
      </c>
      <c r="S46" t="s">
        <v>45</v>
      </c>
      <c r="T46">
        <v>0.04</v>
      </c>
      <c r="U46">
        <v>63</v>
      </c>
      <c r="V46" t="s">
        <v>55</v>
      </c>
      <c r="W46">
        <v>6.2E-2</v>
      </c>
      <c r="X46">
        <v>14001</v>
      </c>
      <c r="Y46" t="s">
        <v>47</v>
      </c>
      <c r="Z46">
        <v>14</v>
      </c>
      <c r="AA46">
        <v>205</v>
      </c>
      <c r="AB46" t="s">
        <v>47</v>
      </c>
      <c r="AC46">
        <v>0.20399999999999999</v>
      </c>
      <c r="AD46">
        <v>598</v>
      </c>
      <c r="AE46" t="s">
        <v>48</v>
      </c>
      <c r="AF46">
        <v>0.59699999999999998</v>
      </c>
      <c r="AG46">
        <v>544</v>
      </c>
      <c r="AH46" t="s">
        <v>49</v>
      </c>
      <c r="AI46">
        <v>0.54300000000000004</v>
      </c>
      <c r="AJ46" t="s">
        <v>1153</v>
      </c>
    </row>
    <row r="47" spans="1:36" x14ac:dyDescent="0.25">
      <c r="A47" t="s">
        <v>1123</v>
      </c>
      <c r="B47">
        <v>881534822</v>
      </c>
      <c r="C47" t="s">
        <v>1124</v>
      </c>
      <c r="D47" t="s">
        <v>1124</v>
      </c>
      <c r="E47" t="s">
        <v>65</v>
      </c>
      <c r="F47" t="s">
        <v>93</v>
      </c>
      <c r="I47" t="s">
        <v>39</v>
      </c>
      <c r="J47" t="s">
        <v>40</v>
      </c>
      <c r="K47" t="s">
        <v>41</v>
      </c>
      <c r="L47" t="s">
        <v>42</v>
      </c>
      <c r="N47" t="s">
        <v>43</v>
      </c>
      <c r="O47" t="s">
        <v>315</v>
      </c>
      <c r="P47">
        <v>5</v>
      </c>
      <c r="Q47">
        <v>5</v>
      </c>
      <c r="R47">
        <v>41</v>
      </c>
      <c r="S47" t="s">
        <v>45</v>
      </c>
      <c r="T47">
        <v>0.04</v>
      </c>
      <c r="U47">
        <v>63</v>
      </c>
      <c r="V47" t="s">
        <v>55</v>
      </c>
      <c r="W47">
        <v>6.2E-2</v>
      </c>
      <c r="X47">
        <v>14001</v>
      </c>
      <c r="Y47" t="s">
        <v>47</v>
      </c>
      <c r="Z47">
        <v>14</v>
      </c>
      <c r="AA47">
        <v>205</v>
      </c>
      <c r="AB47" t="s">
        <v>47</v>
      </c>
      <c r="AC47">
        <v>0.20399999999999999</v>
      </c>
      <c r="AD47">
        <v>598</v>
      </c>
      <c r="AE47" t="s">
        <v>48</v>
      </c>
      <c r="AF47">
        <v>0.59699999999999998</v>
      </c>
      <c r="AG47">
        <v>544</v>
      </c>
      <c r="AH47" t="s">
        <v>49</v>
      </c>
      <c r="AI47">
        <v>0.54300000000000004</v>
      </c>
      <c r="AJ47" t="s">
        <v>1154</v>
      </c>
    </row>
    <row r="48" spans="1:36" x14ac:dyDescent="0.25">
      <c r="A48" t="s">
        <v>1123</v>
      </c>
      <c r="B48">
        <v>881534822</v>
      </c>
      <c r="C48" t="s">
        <v>1124</v>
      </c>
      <c r="D48" t="s">
        <v>1124</v>
      </c>
      <c r="E48" t="s">
        <v>65</v>
      </c>
      <c r="F48" t="s">
        <v>93</v>
      </c>
      <c r="I48" t="s">
        <v>39</v>
      </c>
      <c r="J48" t="s">
        <v>40</v>
      </c>
      <c r="K48" t="s">
        <v>41</v>
      </c>
      <c r="L48" t="s">
        <v>42</v>
      </c>
      <c r="N48" t="s">
        <v>43</v>
      </c>
      <c r="O48" t="s">
        <v>315</v>
      </c>
      <c r="P48">
        <v>5</v>
      </c>
      <c r="Q48">
        <v>5</v>
      </c>
      <c r="S48" t="s">
        <v>39</v>
      </c>
      <c r="V48" t="s">
        <v>39</v>
      </c>
      <c r="X48">
        <v>14001</v>
      </c>
      <c r="Y48" t="s">
        <v>47</v>
      </c>
      <c r="Z48">
        <v>14</v>
      </c>
      <c r="AA48">
        <v>205</v>
      </c>
      <c r="AB48" t="s">
        <v>47</v>
      </c>
      <c r="AC48">
        <v>0.20399999999999999</v>
      </c>
      <c r="AD48">
        <v>598</v>
      </c>
      <c r="AE48" t="s">
        <v>48</v>
      </c>
      <c r="AF48">
        <v>0.59699999999999998</v>
      </c>
      <c r="AG48">
        <v>544</v>
      </c>
      <c r="AH48" t="s">
        <v>49</v>
      </c>
      <c r="AI48">
        <v>0.54300000000000004</v>
      </c>
      <c r="AJ48" t="s">
        <v>1155</v>
      </c>
    </row>
    <row r="49" spans="1:36" x14ac:dyDescent="0.25">
      <c r="A49" t="s">
        <v>1123</v>
      </c>
      <c r="B49">
        <v>881534822</v>
      </c>
      <c r="C49" t="s">
        <v>1124</v>
      </c>
      <c r="D49" t="s">
        <v>1124</v>
      </c>
      <c r="E49" t="s">
        <v>65</v>
      </c>
      <c r="F49" t="s">
        <v>93</v>
      </c>
      <c r="I49" t="s">
        <v>39</v>
      </c>
      <c r="J49" t="s">
        <v>40</v>
      </c>
      <c r="K49" t="s">
        <v>41</v>
      </c>
      <c r="L49" t="s">
        <v>42</v>
      </c>
      <c r="N49" t="s">
        <v>43</v>
      </c>
      <c r="O49" t="s">
        <v>315</v>
      </c>
      <c r="P49">
        <v>5</v>
      </c>
      <c r="Q49">
        <v>5</v>
      </c>
      <c r="S49" t="s">
        <v>39</v>
      </c>
      <c r="V49" t="s">
        <v>39</v>
      </c>
      <c r="X49">
        <v>14001</v>
      </c>
      <c r="Y49" t="s">
        <v>47</v>
      </c>
      <c r="Z49">
        <v>14</v>
      </c>
      <c r="AA49">
        <v>205</v>
      </c>
      <c r="AB49" t="s">
        <v>47</v>
      </c>
      <c r="AC49">
        <v>0.20399999999999999</v>
      </c>
      <c r="AD49">
        <v>598</v>
      </c>
      <c r="AE49" t="s">
        <v>48</v>
      </c>
      <c r="AF49">
        <v>0.59699999999999998</v>
      </c>
      <c r="AG49">
        <v>544</v>
      </c>
      <c r="AH49" t="s">
        <v>49</v>
      </c>
      <c r="AI49">
        <v>0.54300000000000004</v>
      </c>
      <c r="AJ49" t="s">
        <v>1156</v>
      </c>
    </row>
    <row r="50" spans="1:36" x14ac:dyDescent="0.25">
      <c r="A50" t="s">
        <v>1125</v>
      </c>
      <c r="B50">
        <v>856299648</v>
      </c>
      <c r="C50" t="s">
        <v>1126</v>
      </c>
      <c r="D50" t="s">
        <v>1126</v>
      </c>
      <c r="E50" t="s">
        <v>37</v>
      </c>
      <c r="F50" t="s">
        <v>191</v>
      </c>
      <c r="I50" t="s">
        <v>39</v>
      </c>
      <c r="J50" t="s">
        <v>40</v>
      </c>
      <c r="K50" t="s">
        <v>41</v>
      </c>
      <c r="L50" t="s">
        <v>53</v>
      </c>
      <c r="N50" t="s">
        <v>43</v>
      </c>
      <c r="O50" t="s">
        <v>174</v>
      </c>
      <c r="P50">
        <v>5</v>
      </c>
      <c r="Q50">
        <v>5</v>
      </c>
      <c r="R50">
        <v>111</v>
      </c>
      <c r="S50" t="s">
        <v>56</v>
      </c>
      <c r="T50">
        <v>0.11</v>
      </c>
      <c r="U50">
        <v>52</v>
      </c>
      <c r="V50" t="s">
        <v>55</v>
      </c>
      <c r="W50">
        <v>5.0999999999999997E-2</v>
      </c>
      <c r="X50">
        <v>1</v>
      </c>
      <c r="Y50" t="s">
        <v>47</v>
      </c>
      <c r="Z50">
        <v>0</v>
      </c>
      <c r="AA50">
        <v>450</v>
      </c>
      <c r="AB50" t="s">
        <v>47</v>
      </c>
      <c r="AC50">
        <v>0.44900000000000001</v>
      </c>
      <c r="AD50">
        <v>533</v>
      </c>
      <c r="AE50" t="s">
        <v>48</v>
      </c>
      <c r="AF50">
        <v>0.53200000000000003</v>
      </c>
      <c r="AG50">
        <v>544</v>
      </c>
      <c r="AH50" t="s">
        <v>49</v>
      </c>
      <c r="AI50">
        <v>0.54300000000000004</v>
      </c>
      <c r="AJ50" t="s">
        <v>50</v>
      </c>
    </row>
    <row r="51" spans="1:36" x14ac:dyDescent="0.25">
      <c r="A51" t="s">
        <v>1125</v>
      </c>
      <c r="B51">
        <v>856299648</v>
      </c>
      <c r="C51" t="s">
        <v>1126</v>
      </c>
      <c r="D51" t="s">
        <v>1126</v>
      </c>
      <c r="E51" t="s">
        <v>60</v>
      </c>
      <c r="F51" t="s">
        <v>191</v>
      </c>
      <c r="I51" t="s">
        <v>39</v>
      </c>
      <c r="J51" t="s">
        <v>40</v>
      </c>
      <c r="K51" t="s">
        <v>41</v>
      </c>
      <c r="L51" t="s">
        <v>53</v>
      </c>
      <c r="N51" t="s">
        <v>43</v>
      </c>
      <c r="O51" t="s">
        <v>375</v>
      </c>
      <c r="P51">
        <v>5</v>
      </c>
      <c r="Q51">
        <v>5</v>
      </c>
      <c r="R51">
        <v>1001</v>
      </c>
      <c r="S51" t="s">
        <v>56</v>
      </c>
      <c r="T51">
        <v>1</v>
      </c>
      <c r="U51">
        <v>6</v>
      </c>
      <c r="V51" t="s">
        <v>55</v>
      </c>
      <c r="W51">
        <v>5.0000000000000001E-3</v>
      </c>
      <c r="X51">
        <v>1</v>
      </c>
      <c r="Y51" t="s">
        <v>47</v>
      </c>
      <c r="Z51">
        <v>0</v>
      </c>
      <c r="AA51">
        <v>241</v>
      </c>
      <c r="AB51" t="s">
        <v>47</v>
      </c>
      <c r="AC51">
        <v>0.24</v>
      </c>
      <c r="AD51">
        <v>365</v>
      </c>
      <c r="AE51" t="s">
        <v>56</v>
      </c>
      <c r="AF51">
        <v>0.36399999999999999</v>
      </c>
      <c r="AG51">
        <v>255</v>
      </c>
      <c r="AH51" t="s">
        <v>57</v>
      </c>
      <c r="AI51">
        <v>0.254</v>
      </c>
      <c r="AJ51" t="s">
        <v>50</v>
      </c>
    </row>
    <row r="52" spans="1:36" x14ac:dyDescent="0.25">
      <c r="A52" t="s">
        <v>1125</v>
      </c>
      <c r="B52">
        <v>856299648</v>
      </c>
      <c r="C52" t="s">
        <v>1126</v>
      </c>
      <c r="D52" t="s">
        <v>1126</v>
      </c>
      <c r="E52" t="s">
        <v>37</v>
      </c>
      <c r="F52" t="s">
        <v>191</v>
      </c>
      <c r="I52" t="s">
        <v>39</v>
      </c>
      <c r="J52" t="s">
        <v>40</v>
      </c>
      <c r="K52" t="s">
        <v>41</v>
      </c>
      <c r="L52" t="s">
        <v>53</v>
      </c>
      <c r="N52" t="s">
        <v>43</v>
      </c>
      <c r="O52" t="s">
        <v>174</v>
      </c>
      <c r="P52">
        <v>5</v>
      </c>
      <c r="Q52">
        <v>5</v>
      </c>
      <c r="R52">
        <v>81</v>
      </c>
      <c r="S52" t="s">
        <v>56</v>
      </c>
      <c r="T52">
        <v>0.08</v>
      </c>
      <c r="U52">
        <v>110</v>
      </c>
      <c r="V52" t="s">
        <v>55</v>
      </c>
      <c r="W52">
        <v>0.109</v>
      </c>
      <c r="X52">
        <v>1</v>
      </c>
      <c r="Y52" t="s">
        <v>47</v>
      </c>
      <c r="Z52">
        <v>0</v>
      </c>
      <c r="AA52">
        <v>450</v>
      </c>
      <c r="AB52" t="s">
        <v>47</v>
      </c>
      <c r="AC52">
        <v>0.44900000000000001</v>
      </c>
      <c r="AD52">
        <v>533</v>
      </c>
      <c r="AE52" t="s">
        <v>48</v>
      </c>
      <c r="AF52">
        <v>0.53200000000000003</v>
      </c>
      <c r="AG52">
        <v>544</v>
      </c>
      <c r="AH52" t="s">
        <v>49</v>
      </c>
      <c r="AI52">
        <v>0.54300000000000004</v>
      </c>
      <c r="AJ52" t="s">
        <v>1141</v>
      </c>
    </row>
    <row r="53" spans="1:36" x14ac:dyDescent="0.25">
      <c r="A53" t="s">
        <v>1125</v>
      </c>
      <c r="B53">
        <v>856299648</v>
      </c>
      <c r="C53" t="s">
        <v>1126</v>
      </c>
      <c r="D53" t="s">
        <v>1126</v>
      </c>
      <c r="E53" t="s">
        <v>60</v>
      </c>
      <c r="F53" t="s">
        <v>191</v>
      </c>
      <c r="I53" t="s">
        <v>39</v>
      </c>
      <c r="J53" t="s">
        <v>40</v>
      </c>
      <c r="K53" t="s">
        <v>41</v>
      </c>
      <c r="L53" t="s">
        <v>53</v>
      </c>
      <c r="N53" t="s">
        <v>43</v>
      </c>
      <c r="O53" t="s">
        <v>375</v>
      </c>
      <c r="P53">
        <v>5</v>
      </c>
      <c r="Q53">
        <v>5</v>
      </c>
      <c r="R53">
        <v>1001</v>
      </c>
      <c r="S53" t="s">
        <v>56</v>
      </c>
      <c r="T53">
        <v>1</v>
      </c>
      <c r="U53">
        <v>13</v>
      </c>
      <c r="V53" t="s">
        <v>55</v>
      </c>
      <c r="W53">
        <v>1.2E-2</v>
      </c>
      <c r="X53">
        <v>1</v>
      </c>
      <c r="Y53" t="s">
        <v>47</v>
      </c>
      <c r="Z53">
        <v>0</v>
      </c>
      <c r="AA53">
        <v>241</v>
      </c>
      <c r="AB53" t="s">
        <v>47</v>
      </c>
      <c r="AC53">
        <v>0.24</v>
      </c>
      <c r="AD53">
        <v>365</v>
      </c>
      <c r="AE53" t="s">
        <v>56</v>
      </c>
      <c r="AF53">
        <v>0.36399999999999999</v>
      </c>
      <c r="AG53">
        <v>255</v>
      </c>
      <c r="AH53" t="s">
        <v>57</v>
      </c>
      <c r="AI53">
        <v>0.254</v>
      </c>
      <c r="AJ53" t="s">
        <v>1141</v>
      </c>
    </row>
    <row r="54" spans="1:36" x14ac:dyDescent="0.25">
      <c r="A54" t="s">
        <v>1125</v>
      </c>
      <c r="B54">
        <v>856299648</v>
      </c>
      <c r="C54" t="s">
        <v>1126</v>
      </c>
      <c r="D54" t="s">
        <v>1126</v>
      </c>
      <c r="E54" t="s">
        <v>37</v>
      </c>
      <c r="F54" t="s">
        <v>191</v>
      </c>
      <c r="I54" t="s">
        <v>39</v>
      </c>
      <c r="J54" t="s">
        <v>40</v>
      </c>
      <c r="K54" t="s">
        <v>41</v>
      </c>
      <c r="L54" t="s">
        <v>53</v>
      </c>
      <c r="N54" t="s">
        <v>43</v>
      </c>
      <c r="O54" t="s">
        <v>174</v>
      </c>
      <c r="P54">
        <v>5</v>
      </c>
      <c r="Q54">
        <v>5</v>
      </c>
      <c r="R54">
        <v>111</v>
      </c>
      <c r="S54" t="s">
        <v>56</v>
      </c>
      <c r="T54">
        <v>0.11</v>
      </c>
      <c r="U54">
        <v>52</v>
      </c>
      <c r="V54" t="s">
        <v>55</v>
      </c>
      <c r="W54">
        <v>5.0999999999999997E-2</v>
      </c>
      <c r="X54">
        <v>1</v>
      </c>
      <c r="Y54" t="s">
        <v>47</v>
      </c>
      <c r="Z54">
        <v>0</v>
      </c>
      <c r="AA54">
        <v>450</v>
      </c>
      <c r="AB54" t="s">
        <v>47</v>
      </c>
      <c r="AC54">
        <v>0.44900000000000001</v>
      </c>
      <c r="AD54">
        <v>533</v>
      </c>
      <c r="AE54" t="s">
        <v>48</v>
      </c>
      <c r="AF54">
        <v>0.53200000000000003</v>
      </c>
      <c r="AG54">
        <v>544</v>
      </c>
      <c r="AH54" t="s">
        <v>49</v>
      </c>
      <c r="AI54">
        <v>0.54300000000000004</v>
      </c>
      <c r="AJ54" t="s">
        <v>1153</v>
      </c>
    </row>
    <row r="55" spans="1:36" x14ac:dyDescent="0.25">
      <c r="A55" t="s">
        <v>1125</v>
      </c>
      <c r="B55">
        <v>856299648</v>
      </c>
      <c r="C55" t="s">
        <v>1126</v>
      </c>
      <c r="D55" t="s">
        <v>1126</v>
      </c>
      <c r="E55" t="s">
        <v>60</v>
      </c>
      <c r="F55" t="s">
        <v>191</v>
      </c>
      <c r="I55" t="s">
        <v>39</v>
      </c>
      <c r="J55" t="s">
        <v>40</v>
      </c>
      <c r="K55" t="s">
        <v>41</v>
      </c>
      <c r="L55" t="s">
        <v>53</v>
      </c>
      <c r="N55" t="s">
        <v>43</v>
      </c>
      <c r="O55" t="s">
        <v>375</v>
      </c>
      <c r="P55">
        <v>5</v>
      </c>
      <c r="Q55">
        <v>5</v>
      </c>
      <c r="R55">
        <v>1001</v>
      </c>
      <c r="S55" t="s">
        <v>56</v>
      </c>
      <c r="T55">
        <v>1</v>
      </c>
      <c r="U55">
        <v>6</v>
      </c>
      <c r="V55" t="s">
        <v>55</v>
      </c>
      <c r="W55">
        <v>5.0000000000000001E-3</v>
      </c>
      <c r="X55">
        <v>1</v>
      </c>
      <c r="Y55" t="s">
        <v>47</v>
      </c>
      <c r="Z55">
        <v>0</v>
      </c>
      <c r="AA55">
        <v>241</v>
      </c>
      <c r="AB55" t="s">
        <v>47</v>
      </c>
      <c r="AC55">
        <v>0.24</v>
      </c>
      <c r="AD55">
        <v>365</v>
      </c>
      <c r="AE55" t="s">
        <v>56</v>
      </c>
      <c r="AF55">
        <v>0.36399999999999999</v>
      </c>
      <c r="AG55">
        <v>255</v>
      </c>
      <c r="AH55" t="s">
        <v>57</v>
      </c>
      <c r="AI55">
        <v>0.254</v>
      </c>
      <c r="AJ55" t="s">
        <v>1153</v>
      </c>
    </row>
    <row r="56" spans="1:36" x14ac:dyDescent="0.25">
      <c r="A56" t="s">
        <v>1125</v>
      </c>
      <c r="B56">
        <v>856299648</v>
      </c>
      <c r="C56" t="s">
        <v>1126</v>
      </c>
      <c r="D56" t="s">
        <v>1126</v>
      </c>
      <c r="E56" t="s">
        <v>37</v>
      </c>
      <c r="F56" t="s">
        <v>191</v>
      </c>
      <c r="I56" t="s">
        <v>39</v>
      </c>
      <c r="J56" t="s">
        <v>40</v>
      </c>
      <c r="K56" t="s">
        <v>41</v>
      </c>
      <c r="L56" t="s">
        <v>53</v>
      </c>
      <c r="N56" t="s">
        <v>43</v>
      </c>
      <c r="O56" t="s">
        <v>174</v>
      </c>
      <c r="P56">
        <v>5</v>
      </c>
      <c r="Q56">
        <v>5</v>
      </c>
      <c r="R56">
        <v>111</v>
      </c>
      <c r="S56" t="s">
        <v>56</v>
      </c>
      <c r="T56">
        <v>0.11</v>
      </c>
      <c r="U56">
        <v>52</v>
      </c>
      <c r="V56" t="s">
        <v>55</v>
      </c>
      <c r="W56">
        <v>5.0999999999999997E-2</v>
      </c>
      <c r="X56">
        <v>1</v>
      </c>
      <c r="Y56" t="s">
        <v>47</v>
      </c>
      <c r="Z56">
        <v>0</v>
      </c>
      <c r="AA56">
        <v>450</v>
      </c>
      <c r="AB56" t="s">
        <v>47</v>
      </c>
      <c r="AC56">
        <v>0.44900000000000001</v>
      </c>
      <c r="AD56">
        <v>533</v>
      </c>
      <c r="AE56" t="s">
        <v>48</v>
      </c>
      <c r="AF56">
        <v>0.53200000000000003</v>
      </c>
      <c r="AG56">
        <v>544</v>
      </c>
      <c r="AH56" t="s">
        <v>49</v>
      </c>
      <c r="AI56">
        <v>0.54300000000000004</v>
      </c>
      <c r="AJ56" t="s">
        <v>1154</v>
      </c>
    </row>
    <row r="57" spans="1:36" x14ac:dyDescent="0.25">
      <c r="A57" t="s">
        <v>1125</v>
      </c>
      <c r="B57">
        <v>856299648</v>
      </c>
      <c r="C57" t="s">
        <v>1126</v>
      </c>
      <c r="D57" t="s">
        <v>1126</v>
      </c>
      <c r="E57" t="s">
        <v>60</v>
      </c>
      <c r="F57" t="s">
        <v>191</v>
      </c>
      <c r="I57" t="s">
        <v>39</v>
      </c>
      <c r="J57" t="s">
        <v>40</v>
      </c>
      <c r="K57" t="s">
        <v>41</v>
      </c>
      <c r="L57" t="s">
        <v>53</v>
      </c>
      <c r="N57" t="s">
        <v>43</v>
      </c>
      <c r="O57" t="s">
        <v>375</v>
      </c>
      <c r="P57">
        <v>5</v>
      </c>
      <c r="Q57">
        <v>5</v>
      </c>
      <c r="R57">
        <v>1001</v>
      </c>
      <c r="S57" t="s">
        <v>56</v>
      </c>
      <c r="T57">
        <v>1</v>
      </c>
      <c r="U57">
        <v>6</v>
      </c>
      <c r="V57" t="s">
        <v>55</v>
      </c>
      <c r="W57">
        <v>5.0000000000000001E-3</v>
      </c>
      <c r="X57">
        <v>1</v>
      </c>
      <c r="Y57" t="s">
        <v>47</v>
      </c>
      <c r="Z57">
        <v>0</v>
      </c>
      <c r="AA57">
        <v>241</v>
      </c>
      <c r="AB57" t="s">
        <v>47</v>
      </c>
      <c r="AC57">
        <v>0.24</v>
      </c>
      <c r="AD57">
        <v>365</v>
      </c>
      <c r="AE57" t="s">
        <v>56</v>
      </c>
      <c r="AF57">
        <v>0.36399999999999999</v>
      </c>
      <c r="AG57">
        <v>255</v>
      </c>
      <c r="AH57" t="s">
        <v>57</v>
      </c>
      <c r="AI57">
        <v>0.254</v>
      </c>
      <c r="AJ57" t="s">
        <v>1154</v>
      </c>
    </row>
    <row r="58" spans="1:36" x14ac:dyDescent="0.25">
      <c r="A58" t="s">
        <v>1125</v>
      </c>
      <c r="B58">
        <v>856299648</v>
      </c>
      <c r="C58" t="s">
        <v>1126</v>
      </c>
      <c r="D58" t="s">
        <v>1126</v>
      </c>
      <c r="E58" t="s">
        <v>37</v>
      </c>
      <c r="F58" t="s">
        <v>191</v>
      </c>
      <c r="I58" t="s">
        <v>39</v>
      </c>
      <c r="J58" t="s">
        <v>40</v>
      </c>
      <c r="K58" t="s">
        <v>41</v>
      </c>
      <c r="L58" t="s">
        <v>53</v>
      </c>
      <c r="N58" t="s">
        <v>43</v>
      </c>
      <c r="O58" t="s">
        <v>174</v>
      </c>
      <c r="P58">
        <v>5</v>
      </c>
      <c r="Q58">
        <v>5</v>
      </c>
      <c r="S58" t="s">
        <v>39</v>
      </c>
      <c r="V58" t="s">
        <v>39</v>
      </c>
      <c r="X58">
        <v>1</v>
      </c>
      <c r="Y58" t="s">
        <v>47</v>
      </c>
      <c r="Z58">
        <v>0</v>
      </c>
      <c r="AA58">
        <v>450</v>
      </c>
      <c r="AB58" t="s">
        <v>47</v>
      </c>
      <c r="AC58">
        <v>0.44900000000000001</v>
      </c>
      <c r="AD58">
        <v>533</v>
      </c>
      <c r="AE58" t="s">
        <v>48</v>
      </c>
      <c r="AF58">
        <v>0.53200000000000003</v>
      </c>
      <c r="AG58">
        <v>544</v>
      </c>
      <c r="AH58" t="s">
        <v>49</v>
      </c>
      <c r="AI58">
        <v>0.54300000000000004</v>
      </c>
      <c r="AJ58" t="s">
        <v>1155</v>
      </c>
    </row>
    <row r="59" spans="1:36" x14ac:dyDescent="0.25">
      <c r="A59" t="s">
        <v>1125</v>
      </c>
      <c r="B59">
        <v>856299648</v>
      </c>
      <c r="C59" t="s">
        <v>1126</v>
      </c>
      <c r="D59" t="s">
        <v>1126</v>
      </c>
      <c r="E59" t="s">
        <v>60</v>
      </c>
      <c r="F59" t="s">
        <v>191</v>
      </c>
      <c r="I59" t="s">
        <v>39</v>
      </c>
      <c r="J59" t="s">
        <v>40</v>
      </c>
      <c r="K59" t="s">
        <v>41</v>
      </c>
      <c r="L59" t="s">
        <v>53</v>
      </c>
      <c r="N59" t="s">
        <v>43</v>
      </c>
      <c r="O59" t="s">
        <v>375</v>
      </c>
      <c r="P59">
        <v>5</v>
      </c>
      <c r="Q59">
        <v>5</v>
      </c>
      <c r="S59" t="s">
        <v>39</v>
      </c>
      <c r="V59" t="s">
        <v>39</v>
      </c>
      <c r="X59">
        <v>1</v>
      </c>
      <c r="Y59" t="s">
        <v>47</v>
      </c>
      <c r="Z59">
        <v>0</v>
      </c>
      <c r="AA59">
        <v>241</v>
      </c>
      <c r="AB59" t="s">
        <v>47</v>
      </c>
      <c r="AC59">
        <v>0.24</v>
      </c>
      <c r="AD59">
        <v>365</v>
      </c>
      <c r="AE59" t="s">
        <v>56</v>
      </c>
      <c r="AF59">
        <v>0.36399999999999999</v>
      </c>
      <c r="AG59">
        <v>255</v>
      </c>
      <c r="AH59" t="s">
        <v>57</v>
      </c>
      <c r="AI59">
        <v>0.254</v>
      </c>
      <c r="AJ59" t="s">
        <v>1155</v>
      </c>
    </row>
    <row r="60" spans="1:36" x14ac:dyDescent="0.25">
      <c r="A60" t="s">
        <v>1125</v>
      </c>
      <c r="B60">
        <v>856299648</v>
      </c>
      <c r="C60" t="s">
        <v>1126</v>
      </c>
      <c r="D60" t="s">
        <v>1126</v>
      </c>
      <c r="E60" t="s">
        <v>37</v>
      </c>
      <c r="F60" t="s">
        <v>191</v>
      </c>
      <c r="I60" t="s">
        <v>39</v>
      </c>
      <c r="J60" t="s">
        <v>40</v>
      </c>
      <c r="K60" t="s">
        <v>41</v>
      </c>
      <c r="L60" t="s">
        <v>53</v>
      </c>
      <c r="N60" t="s">
        <v>43</v>
      </c>
      <c r="O60" t="s">
        <v>174</v>
      </c>
      <c r="P60">
        <v>5</v>
      </c>
      <c r="Q60">
        <v>5</v>
      </c>
      <c r="S60" t="s">
        <v>39</v>
      </c>
      <c r="V60" t="s">
        <v>39</v>
      </c>
      <c r="X60">
        <v>1</v>
      </c>
      <c r="Y60" t="s">
        <v>47</v>
      </c>
      <c r="Z60">
        <v>0</v>
      </c>
      <c r="AA60">
        <v>450</v>
      </c>
      <c r="AB60" t="s">
        <v>47</v>
      </c>
      <c r="AC60">
        <v>0.44900000000000001</v>
      </c>
      <c r="AD60">
        <v>533</v>
      </c>
      <c r="AE60" t="s">
        <v>48</v>
      </c>
      <c r="AF60">
        <v>0.53200000000000003</v>
      </c>
      <c r="AG60">
        <v>544</v>
      </c>
      <c r="AH60" t="s">
        <v>49</v>
      </c>
      <c r="AI60">
        <v>0.54300000000000004</v>
      </c>
      <c r="AJ60" t="s">
        <v>1156</v>
      </c>
    </row>
    <row r="61" spans="1:36" x14ac:dyDescent="0.25">
      <c r="A61" t="s">
        <v>1125</v>
      </c>
      <c r="B61">
        <v>856299648</v>
      </c>
      <c r="C61" t="s">
        <v>1126</v>
      </c>
      <c r="D61" t="s">
        <v>1126</v>
      </c>
      <c r="E61" t="s">
        <v>60</v>
      </c>
      <c r="F61" t="s">
        <v>191</v>
      </c>
      <c r="I61" t="s">
        <v>39</v>
      </c>
      <c r="J61" t="s">
        <v>40</v>
      </c>
      <c r="K61" t="s">
        <v>41</v>
      </c>
      <c r="L61" t="s">
        <v>53</v>
      </c>
      <c r="N61" t="s">
        <v>43</v>
      </c>
      <c r="O61" t="s">
        <v>375</v>
      </c>
      <c r="P61">
        <v>5</v>
      </c>
      <c r="Q61">
        <v>5</v>
      </c>
      <c r="S61" t="s">
        <v>39</v>
      </c>
      <c r="V61" t="s">
        <v>39</v>
      </c>
      <c r="X61">
        <v>1</v>
      </c>
      <c r="Y61" t="s">
        <v>47</v>
      </c>
      <c r="Z61">
        <v>0</v>
      </c>
      <c r="AA61">
        <v>241</v>
      </c>
      <c r="AB61" t="s">
        <v>47</v>
      </c>
      <c r="AC61">
        <v>0.24</v>
      </c>
      <c r="AD61">
        <v>365</v>
      </c>
      <c r="AE61" t="s">
        <v>56</v>
      </c>
      <c r="AF61">
        <v>0.36399999999999999</v>
      </c>
      <c r="AG61">
        <v>255</v>
      </c>
      <c r="AH61" t="s">
        <v>57</v>
      </c>
      <c r="AI61">
        <v>0.254</v>
      </c>
      <c r="AJ61" t="s">
        <v>1156</v>
      </c>
    </row>
    <row r="62" spans="1:36" x14ac:dyDescent="0.25">
      <c r="A62" t="s">
        <v>1120</v>
      </c>
      <c r="B62">
        <v>852499823</v>
      </c>
      <c r="C62" t="s">
        <v>1121</v>
      </c>
      <c r="D62" t="s">
        <v>1121</v>
      </c>
      <c r="E62" t="s">
        <v>37</v>
      </c>
      <c r="F62" t="s">
        <v>71</v>
      </c>
      <c r="I62" t="s">
        <v>39</v>
      </c>
      <c r="J62" t="s">
        <v>40</v>
      </c>
      <c r="K62" t="s">
        <v>41</v>
      </c>
      <c r="L62" t="s">
        <v>177</v>
      </c>
      <c r="M62" t="s">
        <v>659</v>
      </c>
      <c r="N62" t="s">
        <v>43</v>
      </c>
      <c r="O62" t="s">
        <v>1122</v>
      </c>
      <c r="P62">
        <v>6</v>
      </c>
      <c r="Q62">
        <v>6</v>
      </c>
      <c r="R62">
        <v>41</v>
      </c>
      <c r="S62" t="s">
        <v>45</v>
      </c>
      <c r="T62">
        <v>0.04</v>
      </c>
      <c r="U62">
        <v>132</v>
      </c>
      <c r="V62" t="s">
        <v>55</v>
      </c>
      <c r="W62">
        <v>0.13100000000000001</v>
      </c>
      <c r="X62">
        <v>17001</v>
      </c>
      <c r="Y62" t="s">
        <v>47</v>
      </c>
      <c r="Z62">
        <v>17</v>
      </c>
      <c r="AA62">
        <v>578</v>
      </c>
      <c r="AB62" t="s">
        <v>75</v>
      </c>
      <c r="AC62">
        <v>0.57699999999999996</v>
      </c>
      <c r="AD62">
        <v>673</v>
      </c>
      <c r="AE62" t="s">
        <v>48</v>
      </c>
      <c r="AF62">
        <v>0.67200000000000004</v>
      </c>
      <c r="AG62">
        <v>576</v>
      </c>
      <c r="AH62" t="s">
        <v>49</v>
      </c>
      <c r="AI62">
        <v>0.57499999999999996</v>
      </c>
      <c r="AJ62" t="s">
        <v>50</v>
      </c>
    </row>
    <row r="63" spans="1:36" x14ac:dyDescent="0.25">
      <c r="A63" t="s">
        <v>1120</v>
      </c>
      <c r="B63">
        <v>852499823</v>
      </c>
      <c r="C63" t="s">
        <v>1121</v>
      </c>
      <c r="D63" t="s">
        <v>1121</v>
      </c>
      <c r="E63" t="s">
        <v>37</v>
      </c>
      <c r="F63" t="s">
        <v>71</v>
      </c>
      <c r="I63" t="s">
        <v>39</v>
      </c>
      <c r="J63" t="s">
        <v>40</v>
      </c>
      <c r="K63" t="s">
        <v>41</v>
      </c>
      <c r="L63" t="s">
        <v>177</v>
      </c>
      <c r="M63" t="s">
        <v>659</v>
      </c>
      <c r="N63" t="s">
        <v>43</v>
      </c>
      <c r="O63" t="s">
        <v>1122</v>
      </c>
      <c r="P63">
        <v>6</v>
      </c>
      <c r="Q63">
        <v>6</v>
      </c>
      <c r="R63">
        <v>21</v>
      </c>
      <c r="S63" t="s">
        <v>45</v>
      </c>
      <c r="T63">
        <v>0.02</v>
      </c>
      <c r="U63">
        <v>792</v>
      </c>
      <c r="V63" t="s">
        <v>113</v>
      </c>
      <c r="W63">
        <v>0.79100000000000004</v>
      </c>
      <c r="X63">
        <v>17001</v>
      </c>
      <c r="Y63" t="s">
        <v>47</v>
      </c>
      <c r="Z63">
        <v>17</v>
      </c>
      <c r="AA63">
        <v>578</v>
      </c>
      <c r="AB63" t="s">
        <v>75</v>
      </c>
      <c r="AC63">
        <v>0.57699999999999996</v>
      </c>
      <c r="AD63">
        <v>673</v>
      </c>
      <c r="AE63" t="s">
        <v>48</v>
      </c>
      <c r="AF63">
        <v>0.67200000000000004</v>
      </c>
      <c r="AG63">
        <v>576</v>
      </c>
      <c r="AH63" t="s">
        <v>49</v>
      </c>
      <c r="AI63">
        <v>0.57499999999999996</v>
      </c>
      <c r="AJ63" t="s">
        <v>1141</v>
      </c>
    </row>
    <row r="64" spans="1:36" x14ac:dyDescent="0.25">
      <c r="A64" t="s">
        <v>1120</v>
      </c>
      <c r="B64">
        <v>852499823</v>
      </c>
      <c r="C64" t="s">
        <v>1121</v>
      </c>
      <c r="D64" t="s">
        <v>1121</v>
      </c>
      <c r="E64" t="s">
        <v>37</v>
      </c>
      <c r="F64" t="s">
        <v>71</v>
      </c>
      <c r="I64" t="s">
        <v>39</v>
      </c>
      <c r="J64" t="s">
        <v>40</v>
      </c>
      <c r="K64" t="s">
        <v>41</v>
      </c>
      <c r="L64" t="s">
        <v>177</v>
      </c>
      <c r="M64" t="s">
        <v>659</v>
      </c>
      <c r="N64" t="s">
        <v>43</v>
      </c>
      <c r="O64" t="s">
        <v>1122</v>
      </c>
      <c r="P64">
        <v>6</v>
      </c>
      <c r="Q64">
        <v>6</v>
      </c>
      <c r="R64">
        <v>41</v>
      </c>
      <c r="S64" t="s">
        <v>45</v>
      </c>
      <c r="T64">
        <v>0.04</v>
      </c>
      <c r="U64">
        <v>132</v>
      </c>
      <c r="V64" t="s">
        <v>55</v>
      </c>
      <c r="W64">
        <v>0.13100000000000001</v>
      </c>
      <c r="X64">
        <v>17001</v>
      </c>
      <c r="Y64" t="s">
        <v>47</v>
      </c>
      <c r="Z64">
        <v>17</v>
      </c>
      <c r="AA64">
        <v>578</v>
      </c>
      <c r="AB64" t="s">
        <v>75</v>
      </c>
      <c r="AC64">
        <v>0.57699999999999996</v>
      </c>
      <c r="AD64">
        <v>673</v>
      </c>
      <c r="AE64" t="s">
        <v>48</v>
      </c>
      <c r="AF64">
        <v>0.67200000000000004</v>
      </c>
      <c r="AG64">
        <v>576</v>
      </c>
      <c r="AH64" t="s">
        <v>49</v>
      </c>
      <c r="AI64">
        <v>0.57499999999999996</v>
      </c>
      <c r="AJ64" t="s">
        <v>1153</v>
      </c>
    </row>
    <row r="65" spans="1:36" x14ac:dyDescent="0.25">
      <c r="A65" t="s">
        <v>1120</v>
      </c>
      <c r="B65">
        <v>852499823</v>
      </c>
      <c r="C65" t="s">
        <v>1121</v>
      </c>
      <c r="D65" t="s">
        <v>1121</v>
      </c>
      <c r="E65" t="s">
        <v>37</v>
      </c>
      <c r="F65" t="s">
        <v>71</v>
      </c>
      <c r="I65" t="s">
        <v>39</v>
      </c>
      <c r="J65" t="s">
        <v>40</v>
      </c>
      <c r="K65" t="s">
        <v>41</v>
      </c>
      <c r="L65" t="s">
        <v>177</v>
      </c>
      <c r="M65" t="s">
        <v>659</v>
      </c>
      <c r="N65" t="s">
        <v>43</v>
      </c>
      <c r="O65" t="s">
        <v>1122</v>
      </c>
      <c r="P65">
        <v>6</v>
      </c>
      <c r="Q65">
        <v>6</v>
      </c>
      <c r="R65">
        <v>41</v>
      </c>
      <c r="S65" t="s">
        <v>45</v>
      </c>
      <c r="T65">
        <v>0.04</v>
      </c>
      <c r="U65">
        <v>132</v>
      </c>
      <c r="V65" t="s">
        <v>55</v>
      </c>
      <c r="W65">
        <v>0.13100000000000001</v>
      </c>
      <c r="X65">
        <v>17001</v>
      </c>
      <c r="Y65" t="s">
        <v>47</v>
      </c>
      <c r="Z65">
        <v>17</v>
      </c>
      <c r="AA65">
        <v>578</v>
      </c>
      <c r="AB65" t="s">
        <v>75</v>
      </c>
      <c r="AC65">
        <v>0.57699999999999996</v>
      </c>
      <c r="AD65">
        <v>673</v>
      </c>
      <c r="AE65" t="s">
        <v>48</v>
      </c>
      <c r="AF65">
        <v>0.67200000000000004</v>
      </c>
      <c r="AG65">
        <v>576</v>
      </c>
      <c r="AH65" t="s">
        <v>49</v>
      </c>
      <c r="AI65">
        <v>0.57499999999999996</v>
      </c>
      <c r="AJ65" t="s">
        <v>1154</v>
      </c>
    </row>
    <row r="66" spans="1:36" x14ac:dyDescent="0.25">
      <c r="A66" t="s">
        <v>1120</v>
      </c>
      <c r="B66">
        <v>852499823</v>
      </c>
      <c r="C66" t="s">
        <v>1121</v>
      </c>
      <c r="D66" t="s">
        <v>1121</v>
      </c>
      <c r="E66" t="s">
        <v>37</v>
      </c>
      <c r="F66" t="s">
        <v>71</v>
      </c>
      <c r="I66" t="s">
        <v>39</v>
      </c>
      <c r="J66" t="s">
        <v>40</v>
      </c>
      <c r="K66" t="s">
        <v>41</v>
      </c>
      <c r="L66" t="s">
        <v>177</v>
      </c>
      <c r="M66" t="s">
        <v>659</v>
      </c>
      <c r="N66" t="s">
        <v>43</v>
      </c>
      <c r="O66" t="s">
        <v>1122</v>
      </c>
      <c r="P66">
        <v>6</v>
      </c>
      <c r="Q66">
        <v>6</v>
      </c>
      <c r="S66" t="s">
        <v>39</v>
      </c>
      <c r="V66" t="s">
        <v>39</v>
      </c>
      <c r="X66">
        <v>17001</v>
      </c>
      <c r="Y66" t="s">
        <v>47</v>
      </c>
      <c r="Z66">
        <v>17</v>
      </c>
      <c r="AA66">
        <v>578</v>
      </c>
      <c r="AB66" t="s">
        <v>75</v>
      </c>
      <c r="AC66">
        <v>0.57699999999999996</v>
      </c>
      <c r="AD66">
        <v>673</v>
      </c>
      <c r="AE66" t="s">
        <v>48</v>
      </c>
      <c r="AF66">
        <v>0.67200000000000004</v>
      </c>
      <c r="AG66">
        <v>576</v>
      </c>
      <c r="AH66" t="s">
        <v>49</v>
      </c>
      <c r="AI66">
        <v>0.57499999999999996</v>
      </c>
      <c r="AJ66" t="s">
        <v>1155</v>
      </c>
    </row>
    <row r="67" spans="1:36" x14ac:dyDescent="0.25">
      <c r="A67" t="s">
        <v>1120</v>
      </c>
      <c r="B67">
        <v>852499823</v>
      </c>
      <c r="C67" t="s">
        <v>1121</v>
      </c>
      <c r="D67" t="s">
        <v>1121</v>
      </c>
      <c r="E67" t="s">
        <v>37</v>
      </c>
      <c r="F67" t="s">
        <v>71</v>
      </c>
      <c r="I67" t="s">
        <v>39</v>
      </c>
      <c r="J67" t="s">
        <v>40</v>
      </c>
      <c r="K67" t="s">
        <v>41</v>
      </c>
      <c r="L67" t="s">
        <v>177</v>
      </c>
      <c r="M67" t="s">
        <v>659</v>
      </c>
      <c r="N67" t="s">
        <v>43</v>
      </c>
      <c r="O67" t="s">
        <v>1122</v>
      </c>
      <c r="P67">
        <v>6</v>
      </c>
      <c r="Q67">
        <v>6</v>
      </c>
      <c r="S67" t="s">
        <v>39</v>
      </c>
      <c r="V67" t="s">
        <v>39</v>
      </c>
      <c r="X67">
        <v>17001</v>
      </c>
      <c r="Y67" t="s">
        <v>47</v>
      </c>
      <c r="Z67">
        <v>17</v>
      </c>
      <c r="AA67">
        <v>578</v>
      </c>
      <c r="AB67" t="s">
        <v>75</v>
      </c>
      <c r="AC67">
        <v>0.57699999999999996</v>
      </c>
      <c r="AD67">
        <v>673</v>
      </c>
      <c r="AE67" t="s">
        <v>48</v>
      </c>
      <c r="AF67">
        <v>0.67200000000000004</v>
      </c>
      <c r="AG67">
        <v>576</v>
      </c>
      <c r="AH67" t="s">
        <v>49</v>
      </c>
      <c r="AI67">
        <v>0.57499999999999996</v>
      </c>
      <c r="AJ67" t="s">
        <v>1156</v>
      </c>
    </row>
    <row r="68" spans="1:36" x14ac:dyDescent="0.25">
      <c r="A68" t="s">
        <v>1118</v>
      </c>
      <c r="B68">
        <v>853343457</v>
      </c>
      <c r="C68" t="s">
        <v>1119</v>
      </c>
      <c r="D68" t="s">
        <v>1119</v>
      </c>
      <c r="E68" t="s">
        <v>37</v>
      </c>
      <c r="F68" t="s">
        <v>191</v>
      </c>
      <c r="I68" t="s">
        <v>39</v>
      </c>
      <c r="J68" t="s">
        <v>40</v>
      </c>
      <c r="K68" t="s">
        <v>41</v>
      </c>
      <c r="L68" t="s">
        <v>397</v>
      </c>
      <c r="M68" t="s">
        <v>335</v>
      </c>
      <c r="N68" t="s">
        <v>43</v>
      </c>
      <c r="O68" t="s">
        <v>556</v>
      </c>
      <c r="P68">
        <v>7</v>
      </c>
      <c r="Q68">
        <v>7</v>
      </c>
      <c r="R68">
        <v>11</v>
      </c>
      <c r="S68" t="s">
        <v>45</v>
      </c>
      <c r="T68">
        <v>0.01</v>
      </c>
      <c r="U68">
        <v>72</v>
      </c>
      <c r="V68" t="s">
        <v>55</v>
      </c>
      <c r="W68">
        <v>7.0999999999999994E-2</v>
      </c>
      <c r="X68">
        <v>17001</v>
      </c>
      <c r="Y68" t="s">
        <v>47</v>
      </c>
      <c r="Z68">
        <v>17</v>
      </c>
      <c r="AA68">
        <v>352</v>
      </c>
      <c r="AB68" t="s">
        <v>47</v>
      </c>
      <c r="AC68">
        <v>0.35099999999999998</v>
      </c>
      <c r="AD68">
        <v>862</v>
      </c>
      <c r="AE68" t="s">
        <v>48</v>
      </c>
      <c r="AF68">
        <v>0.86099999999999999</v>
      </c>
      <c r="AG68">
        <v>576</v>
      </c>
      <c r="AH68" t="s">
        <v>49</v>
      </c>
      <c r="AI68">
        <v>0.57499999999999996</v>
      </c>
      <c r="AJ68" t="s">
        <v>50</v>
      </c>
    </row>
    <row r="69" spans="1:36" x14ac:dyDescent="0.25">
      <c r="A69" t="s">
        <v>1118</v>
      </c>
      <c r="B69">
        <v>853343457</v>
      </c>
      <c r="C69" t="s">
        <v>1119</v>
      </c>
      <c r="D69" t="s">
        <v>1119</v>
      </c>
      <c r="E69" t="s">
        <v>37</v>
      </c>
      <c r="F69" t="s">
        <v>191</v>
      </c>
      <c r="I69" t="s">
        <v>39</v>
      </c>
      <c r="J69" t="s">
        <v>40</v>
      </c>
      <c r="K69" t="s">
        <v>41</v>
      </c>
      <c r="L69" t="s">
        <v>397</v>
      </c>
      <c r="M69" t="s">
        <v>335</v>
      </c>
      <c r="N69" t="s">
        <v>43</v>
      </c>
      <c r="O69" t="s">
        <v>556</v>
      </c>
      <c r="P69">
        <v>7</v>
      </c>
      <c r="Q69">
        <v>7</v>
      </c>
      <c r="R69">
        <v>11</v>
      </c>
      <c r="S69" t="s">
        <v>45</v>
      </c>
      <c r="T69">
        <v>0.01</v>
      </c>
      <c r="U69">
        <v>45</v>
      </c>
      <c r="V69" t="s">
        <v>55</v>
      </c>
      <c r="W69">
        <v>4.3999999999999997E-2</v>
      </c>
      <c r="X69">
        <v>17001</v>
      </c>
      <c r="Y69" t="s">
        <v>47</v>
      </c>
      <c r="Z69">
        <v>17</v>
      </c>
      <c r="AA69">
        <v>352</v>
      </c>
      <c r="AB69" t="s">
        <v>47</v>
      </c>
      <c r="AC69">
        <v>0.35099999999999998</v>
      </c>
      <c r="AD69">
        <v>862</v>
      </c>
      <c r="AE69" t="s">
        <v>48</v>
      </c>
      <c r="AF69">
        <v>0.86099999999999999</v>
      </c>
      <c r="AG69">
        <v>576</v>
      </c>
      <c r="AH69" t="s">
        <v>49</v>
      </c>
      <c r="AI69">
        <v>0.57499999999999996</v>
      </c>
      <c r="AJ69" t="s">
        <v>1141</v>
      </c>
    </row>
    <row r="70" spans="1:36" x14ac:dyDescent="0.25">
      <c r="A70" t="s">
        <v>1118</v>
      </c>
      <c r="B70">
        <v>853343457</v>
      </c>
      <c r="C70" t="s">
        <v>1119</v>
      </c>
      <c r="D70" t="s">
        <v>1119</v>
      </c>
      <c r="E70" t="s">
        <v>37</v>
      </c>
      <c r="F70" t="s">
        <v>191</v>
      </c>
      <c r="I70" t="s">
        <v>39</v>
      </c>
      <c r="J70" t="s">
        <v>40</v>
      </c>
      <c r="K70" t="s">
        <v>41</v>
      </c>
      <c r="L70" t="s">
        <v>397</v>
      </c>
      <c r="M70" t="s">
        <v>335</v>
      </c>
      <c r="N70" t="s">
        <v>43</v>
      </c>
      <c r="O70" t="s">
        <v>556</v>
      </c>
      <c r="P70">
        <v>7</v>
      </c>
      <c r="Q70">
        <v>7</v>
      </c>
      <c r="R70">
        <v>11</v>
      </c>
      <c r="S70" t="s">
        <v>45</v>
      </c>
      <c r="T70">
        <v>0.01</v>
      </c>
      <c r="U70">
        <v>72</v>
      </c>
      <c r="V70" t="s">
        <v>55</v>
      </c>
      <c r="W70">
        <v>7.0999999999999994E-2</v>
      </c>
      <c r="X70">
        <v>17001</v>
      </c>
      <c r="Y70" t="s">
        <v>47</v>
      </c>
      <c r="Z70">
        <v>17</v>
      </c>
      <c r="AA70">
        <v>352</v>
      </c>
      <c r="AB70" t="s">
        <v>47</v>
      </c>
      <c r="AC70">
        <v>0.35099999999999998</v>
      </c>
      <c r="AD70">
        <v>862</v>
      </c>
      <c r="AE70" t="s">
        <v>48</v>
      </c>
      <c r="AF70">
        <v>0.86099999999999999</v>
      </c>
      <c r="AG70">
        <v>576</v>
      </c>
      <c r="AH70" t="s">
        <v>49</v>
      </c>
      <c r="AI70">
        <v>0.57499999999999996</v>
      </c>
      <c r="AJ70" t="s">
        <v>1153</v>
      </c>
    </row>
    <row r="71" spans="1:36" x14ac:dyDescent="0.25">
      <c r="A71" t="s">
        <v>1118</v>
      </c>
      <c r="B71">
        <v>853343457</v>
      </c>
      <c r="C71" t="s">
        <v>1119</v>
      </c>
      <c r="D71" t="s">
        <v>1119</v>
      </c>
      <c r="E71" t="s">
        <v>37</v>
      </c>
      <c r="F71" t="s">
        <v>191</v>
      </c>
      <c r="I71" t="s">
        <v>39</v>
      </c>
      <c r="J71" t="s">
        <v>40</v>
      </c>
      <c r="K71" t="s">
        <v>41</v>
      </c>
      <c r="L71" t="s">
        <v>397</v>
      </c>
      <c r="M71" t="s">
        <v>335</v>
      </c>
      <c r="N71" t="s">
        <v>43</v>
      </c>
      <c r="O71" t="s">
        <v>556</v>
      </c>
      <c r="P71">
        <v>7</v>
      </c>
      <c r="Q71">
        <v>7</v>
      </c>
      <c r="R71">
        <v>11</v>
      </c>
      <c r="S71" t="s">
        <v>45</v>
      </c>
      <c r="T71">
        <v>0.01</v>
      </c>
      <c r="U71">
        <v>72</v>
      </c>
      <c r="V71" t="s">
        <v>55</v>
      </c>
      <c r="W71">
        <v>7.0999999999999994E-2</v>
      </c>
      <c r="X71">
        <v>17001</v>
      </c>
      <c r="Y71" t="s">
        <v>47</v>
      </c>
      <c r="Z71">
        <v>17</v>
      </c>
      <c r="AA71">
        <v>352</v>
      </c>
      <c r="AB71" t="s">
        <v>47</v>
      </c>
      <c r="AC71">
        <v>0.35099999999999998</v>
      </c>
      <c r="AD71">
        <v>862</v>
      </c>
      <c r="AE71" t="s">
        <v>48</v>
      </c>
      <c r="AF71">
        <v>0.86099999999999999</v>
      </c>
      <c r="AG71">
        <v>576</v>
      </c>
      <c r="AH71" t="s">
        <v>49</v>
      </c>
      <c r="AI71">
        <v>0.57499999999999996</v>
      </c>
      <c r="AJ71" t="s">
        <v>1154</v>
      </c>
    </row>
    <row r="72" spans="1:36" x14ac:dyDescent="0.25">
      <c r="A72" t="s">
        <v>1118</v>
      </c>
      <c r="B72">
        <v>853343457</v>
      </c>
      <c r="C72" t="s">
        <v>1119</v>
      </c>
      <c r="D72" t="s">
        <v>1119</v>
      </c>
      <c r="E72" t="s">
        <v>37</v>
      </c>
      <c r="F72" t="s">
        <v>191</v>
      </c>
      <c r="I72" t="s">
        <v>39</v>
      </c>
      <c r="J72" t="s">
        <v>40</v>
      </c>
      <c r="K72" t="s">
        <v>41</v>
      </c>
      <c r="L72" t="s">
        <v>397</v>
      </c>
      <c r="M72" t="s">
        <v>335</v>
      </c>
      <c r="N72" t="s">
        <v>43</v>
      </c>
      <c r="O72" t="s">
        <v>556</v>
      </c>
      <c r="P72">
        <v>7</v>
      </c>
      <c r="Q72">
        <v>7</v>
      </c>
      <c r="S72" t="s">
        <v>39</v>
      </c>
      <c r="V72" t="s">
        <v>39</v>
      </c>
      <c r="X72">
        <v>17001</v>
      </c>
      <c r="Y72" t="s">
        <v>47</v>
      </c>
      <c r="Z72">
        <v>17</v>
      </c>
      <c r="AA72">
        <v>352</v>
      </c>
      <c r="AB72" t="s">
        <v>47</v>
      </c>
      <c r="AC72">
        <v>0.35099999999999998</v>
      </c>
      <c r="AD72">
        <v>862</v>
      </c>
      <c r="AE72" t="s">
        <v>48</v>
      </c>
      <c r="AF72">
        <v>0.86099999999999999</v>
      </c>
      <c r="AG72">
        <v>576</v>
      </c>
      <c r="AH72" t="s">
        <v>49</v>
      </c>
      <c r="AI72">
        <v>0.57499999999999996</v>
      </c>
      <c r="AJ72" t="s">
        <v>1155</v>
      </c>
    </row>
    <row r="73" spans="1:36" x14ac:dyDescent="0.25">
      <c r="A73" t="s">
        <v>1118</v>
      </c>
      <c r="B73">
        <v>853343457</v>
      </c>
      <c r="C73" t="s">
        <v>1119</v>
      </c>
      <c r="D73" t="s">
        <v>1119</v>
      </c>
      <c r="E73" t="s">
        <v>37</v>
      </c>
      <c r="F73" t="s">
        <v>191</v>
      </c>
      <c r="I73" t="s">
        <v>39</v>
      </c>
      <c r="J73" t="s">
        <v>40</v>
      </c>
      <c r="K73" t="s">
        <v>41</v>
      </c>
      <c r="L73" t="s">
        <v>397</v>
      </c>
      <c r="M73" t="s">
        <v>335</v>
      </c>
      <c r="N73" t="s">
        <v>43</v>
      </c>
      <c r="O73" t="s">
        <v>556</v>
      </c>
      <c r="P73">
        <v>7</v>
      </c>
      <c r="Q73">
        <v>7</v>
      </c>
      <c r="S73" t="s">
        <v>39</v>
      </c>
      <c r="V73" t="s">
        <v>39</v>
      </c>
      <c r="X73">
        <v>17001</v>
      </c>
      <c r="Y73" t="s">
        <v>47</v>
      </c>
      <c r="Z73">
        <v>17</v>
      </c>
      <c r="AA73">
        <v>352</v>
      </c>
      <c r="AB73" t="s">
        <v>47</v>
      </c>
      <c r="AC73">
        <v>0.35099999999999998</v>
      </c>
      <c r="AD73">
        <v>862</v>
      </c>
      <c r="AE73" t="s">
        <v>48</v>
      </c>
      <c r="AF73">
        <v>0.86099999999999999</v>
      </c>
      <c r="AG73">
        <v>576</v>
      </c>
      <c r="AH73" t="s">
        <v>49</v>
      </c>
      <c r="AI73">
        <v>0.57499999999999996</v>
      </c>
      <c r="AJ73" t="s">
        <v>1156</v>
      </c>
    </row>
    <row r="74" spans="1:36" x14ac:dyDescent="0.25">
      <c r="A74" t="s">
        <v>1116</v>
      </c>
      <c r="B74">
        <v>870128199</v>
      </c>
      <c r="C74" t="s">
        <v>1117</v>
      </c>
      <c r="D74" t="s">
        <v>1117</v>
      </c>
      <c r="E74" t="s">
        <v>60</v>
      </c>
      <c r="F74" t="s">
        <v>88</v>
      </c>
      <c r="I74" t="s">
        <v>39</v>
      </c>
      <c r="J74" t="s">
        <v>40</v>
      </c>
      <c r="K74" t="s">
        <v>41</v>
      </c>
      <c r="L74" t="s">
        <v>78</v>
      </c>
      <c r="N74" t="s">
        <v>43</v>
      </c>
      <c r="O74" t="s">
        <v>409</v>
      </c>
      <c r="P74">
        <v>8</v>
      </c>
      <c r="Q74">
        <v>8</v>
      </c>
      <c r="R74">
        <v>71</v>
      </c>
      <c r="S74" t="s">
        <v>56</v>
      </c>
      <c r="T74">
        <v>7.0000000000000007E-2</v>
      </c>
      <c r="U74">
        <v>121</v>
      </c>
      <c r="V74" t="s">
        <v>55</v>
      </c>
      <c r="W74">
        <v>0.12</v>
      </c>
      <c r="X74">
        <v>8001</v>
      </c>
      <c r="Y74" t="s">
        <v>47</v>
      </c>
      <c r="Z74">
        <v>8</v>
      </c>
      <c r="AA74">
        <v>384</v>
      </c>
      <c r="AB74" t="s">
        <v>47</v>
      </c>
      <c r="AC74">
        <v>0.38300000000000001</v>
      </c>
      <c r="AD74">
        <v>845</v>
      </c>
      <c r="AE74" t="s">
        <v>48</v>
      </c>
      <c r="AF74">
        <v>0.84399999999999997</v>
      </c>
      <c r="AG74">
        <v>576</v>
      </c>
      <c r="AH74" t="s">
        <v>49</v>
      </c>
      <c r="AI74">
        <v>0.57499999999999996</v>
      </c>
      <c r="AJ74" t="s">
        <v>50</v>
      </c>
    </row>
    <row r="75" spans="1:36" x14ac:dyDescent="0.25">
      <c r="A75" t="s">
        <v>1116</v>
      </c>
      <c r="B75">
        <v>870128199</v>
      </c>
      <c r="C75" t="s">
        <v>1117</v>
      </c>
      <c r="D75" t="s">
        <v>1117</v>
      </c>
      <c r="E75" t="s">
        <v>60</v>
      </c>
      <c r="F75" t="s">
        <v>88</v>
      </c>
      <c r="I75" t="s">
        <v>39</v>
      </c>
      <c r="J75" t="s">
        <v>40</v>
      </c>
      <c r="K75" t="s">
        <v>41</v>
      </c>
      <c r="L75" t="s">
        <v>78</v>
      </c>
      <c r="N75" t="s">
        <v>43</v>
      </c>
      <c r="O75" t="s">
        <v>409</v>
      </c>
      <c r="P75">
        <v>8</v>
      </c>
      <c r="Q75">
        <v>8</v>
      </c>
      <c r="R75">
        <v>41</v>
      </c>
      <c r="S75" t="s">
        <v>45</v>
      </c>
      <c r="T75">
        <v>0.04</v>
      </c>
      <c r="U75">
        <v>192</v>
      </c>
      <c r="V75" t="s">
        <v>55</v>
      </c>
      <c r="W75">
        <v>0.191</v>
      </c>
      <c r="X75">
        <v>8001</v>
      </c>
      <c r="Y75" t="s">
        <v>47</v>
      </c>
      <c r="Z75">
        <v>8</v>
      </c>
      <c r="AA75">
        <v>384</v>
      </c>
      <c r="AB75" t="s">
        <v>47</v>
      </c>
      <c r="AC75">
        <v>0.38300000000000001</v>
      </c>
      <c r="AD75">
        <v>845</v>
      </c>
      <c r="AE75" t="s">
        <v>48</v>
      </c>
      <c r="AF75">
        <v>0.84399999999999997</v>
      </c>
      <c r="AG75">
        <v>576</v>
      </c>
      <c r="AH75" t="s">
        <v>49</v>
      </c>
      <c r="AI75">
        <v>0.57499999999999996</v>
      </c>
      <c r="AJ75" t="s">
        <v>1141</v>
      </c>
    </row>
    <row r="76" spans="1:36" x14ac:dyDescent="0.25">
      <c r="A76" t="s">
        <v>1116</v>
      </c>
      <c r="B76">
        <v>870128199</v>
      </c>
      <c r="C76" t="s">
        <v>1117</v>
      </c>
      <c r="D76" t="s">
        <v>1117</v>
      </c>
      <c r="E76" t="s">
        <v>60</v>
      </c>
      <c r="F76" t="s">
        <v>88</v>
      </c>
      <c r="I76" t="s">
        <v>39</v>
      </c>
      <c r="J76" t="s">
        <v>40</v>
      </c>
      <c r="K76" t="s">
        <v>41</v>
      </c>
      <c r="L76" t="s">
        <v>78</v>
      </c>
      <c r="N76" t="s">
        <v>43</v>
      </c>
      <c r="O76" t="s">
        <v>409</v>
      </c>
      <c r="P76">
        <v>8</v>
      </c>
      <c r="Q76">
        <v>8</v>
      </c>
      <c r="R76">
        <v>71</v>
      </c>
      <c r="S76" t="s">
        <v>56</v>
      </c>
      <c r="T76">
        <v>7.0000000000000007E-2</v>
      </c>
      <c r="U76">
        <v>121</v>
      </c>
      <c r="V76" t="s">
        <v>55</v>
      </c>
      <c r="W76">
        <v>0.12</v>
      </c>
      <c r="X76">
        <v>8001</v>
      </c>
      <c r="Y76" t="s">
        <v>47</v>
      </c>
      <c r="Z76">
        <v>8</v>
      </c>
      <c r="AA76">
        <v>384</v>
      </c>
      <c r="AB76" t="s">
        <v>47</v>
      </c>
      <c r="AC76">
        <v>0.38300000000000001</v>
      </c>
      <c r="AD76">
        <v>845</v>
      </c>
      <c r="AE76" t="s">
        <v>48</v>
      </c>
      <c r="AF76">
        <v>0.84399999999999997</v>
      </c>
      <c r="AG76">
        <v>576</v>
      </c>
      <c r="AH76" t="s">
        <v>49</v>
      </c>
      <c r="AI76">
        <v>0.57499999999999996</v>
      </c>
      <c r="AJ76" t="s">
        <v>1153</v>
      </c>
    </row>
    <row r="77" spans="1:36" x14ac:dyDescent="0.25">
      <c r="A77" t="s">
        <v>1116</v>
      </c>
      <c r="B77">
        <v>870128199</v>
      </c>
      <c r="C77" t="s">
        <v>1117</v>
      </c>
      <c r="D77" t="s">
        <v>1117</v>
      </c>
      <c r="E77" t="s">
        <v>60</v>
      </c>
      <c r="F77" t="s">
        <v>88</v>
      </c>
      <c r="I77" t="s">
        <v>39</v>
      </c>
      <c r="J77" t="s">
        <v>40</v>
      </c>
      <c r="K77" t="s">
        <v>41</v>
      </c>
      <c r="L77" t="s">
        <v>78</v>
      </c>
      <c r="N77" t="s">
        <v>43</v>
      </c>
      <c r="O77" t="s">
        <v>409</v>
      </c>
      <c r="P77">
        <v>8</v>
      </c>
      <c r="Q77">
        <v>8</v>
      </c>
      <c r="R77">
        <v>71</v>
      </c>
      <c r="S77" t="s">
        <v>56</v>
      </c>
      <c r="T77">
        <v>7.0000000000000007E-2</v>
      </c>
      <c r="U77">
        <v>121</v>
      </c>
      <c r="V77" t="s">
        <v>55</v>
      </c>
      <c r="W77">
        <v>0.12</v>
      </c>
      <c r="X77">
        <v>8001</v>
      </c>
      <c r="Y77" t="s">
        <v>47</v>
      </c>
      <c r="Z77">
        <v>8</v>
      </c>
      <c r="AA77">
        <v>384</v>
      </c>
      <c r="AB77" t="s">
        <v>47</v>
      </c>
      <c r="AC77">
        <v>0.38300000000000001</v>
      </c>
      <c r="AD77">
        <v>845</v>
      </c>
      <c r="AE77" t="s">
        <v>48</v>
      </c>
      <c r="AF77">
        <v>0.84399999999999997</v>
      </c>
      <c r="AG77">
        <v>576</v>
      </c>
      <c r="AH77" t="s">
        <v>49</v>
      </c>
      <c r="AI77">
        <v>0.57499999999999996</v>
      </c>
      <c r="AJ77" t="s">
        <v>1154</v>
      </c>
    </row>
    <row r="78" spans="1:36" x14ac:dyDescent="0.25">
      <c r="A78" t="s">
        <v>1116</v>
      </c>
      <c r="B78">
        <v>870128199</v>
      </c>
      <c r="C78" t="s">
        <v>1117</v>
      </c>
      <c r="D78" t="s">
        <v>1117</v>
      </c>
      <c r="E78" t="s">
        <v>60</v>
      </c>
      <c r="F78" t="s">
        <v>88</v>
      </c>
      <c r="I78" t="s">
        <v>39</v>
      </c>
      <c r="J78" t="s">
        <v>40</v>
      </c>
      <c r="K78" t="s">
        <v>41</v>
      </c>
      <c r="L78" t="s">
        <v>78</v>
      </c>
      <c r="N78" t="s">
        <v>43</v>
      </c>
      <c r="O78" t="s">
        <v>409</v>
      </c>
      <c r="P78">
        <v>8</v>
      </c>
      <c r="Q78">
        <v>8</v>
      </c>
      <c r="S78" t="s">
        <v>39</v>
      </c>
      <c r="V78" t="s">
        <v>39</v>
      </c>
      <c r="X78">
        <v>8001</v>
      </c>
      <c r="Y78" t="s">
        <v>47</v>
      </c>
      <c r="Z78">
        <v>8</v>
      </c>
      <c r="AA78">
        <v>384</v>
      </c>
      <c r="AB78" t="s">
        <v>47</v>
      </c>
      <c r="AC78">
        <v>0.38300000000000001</v>
      </c>
      <c r="AD78">
        <v>845</v>
      </c>
      <c r="AE78" t="s">
        <v>48</v>
      </c>
      <c r="AF78">
        <v>0.84399999999999997</v>
      </c>
      <c r="AG78">
        <v>576</v>
      </c>
      <c r="AH78" t="s">
        <v>49</v>
      </c>
      <c r="AI78">
        <v>0.57499999999999996</v>
      </c>
      <c r="AJ78" t="s">
        <v>1155</v>
      </c>
    </row>
    <row r="79" spans="1:36" x14ac:dyDescent="0.25">
      <c r="A79" t="s">
        <v>1116</v>
      </c>
      <c r="B79">
        <v>870128199</v>
      </c>
      <c r="C79" t="s">
        <v>1117</v>
      </c>
      <c r="D79" t="s">
        <v>1117</v>
      </c>
      <c r="E79" t="s">
        <v>60</v>
      </c>
      <c r="F79" t="s">
        <v>88</v>
      </c>
      <c r="I79" t="s">
        <v>39</v>
      </c>
      <c r="J79" t="s">
        <v>40</v>
      </c>
      <c r="K79" t="s">
        <v>41</v>
      </c>
      <c r="L79" t="s">
        <v>78</v>
      </c>
      <c r="N79" t="s">
        <v>43</v>
      </c>
      <c r="O79" t="s">
        <v>409</v>
      </c>
      <c r="P79">
        <v>8</v>
      </c>
      <c r="Q79">
        <v>8</v>
      </c>
      <c r="S79" t="s">
        <v>39</v>
      </c>
      <c r="V79" t="s">
        <v>39</v>
      </c>
      <c r="X79">
        <v>8001</v>
      </c>
      <c r="Y79" t="s">
        <v>47</v>
      </c>
      <c r="Z79">
        <v>8</v>
      </c>
      <c r="AA79">
        <v>384</v>
      </c>
      <c r="AB79" t="s">
        <v>47</v>
      </c>
      <c r="AC79">
        <v>0.38300000000000001</v>
      </c>
      <c r="AD79">
        <v>845</v>
      </c>
      <c r="AE79" t="s">
        <v>48</v>
      </c>
      <c r="AF79">
        <v>0.84399999999999997</v>
      </c>
      <c r="AG79">
        <v>576</v>
      </c>
      <c r="AH79" t="s">
        <v>49</v>
      </c>
      <c r="AI79">
        <v>0.57499999999999996</v>
      </c>
      <c r="AJ79" t="s">
        <v>1156</v>
      </c>
    </row>
    <row r="80" spans="1:36" x14ac:dyDescent="0.25">
      <c r="A80" t="s">
        <v>1114</v>
      </c>
      <c r="B80">
        <v>856195628</v>
      </c>
      <c r="C80" t="s">
        <v>1115</v>
      </c>
      <c r="D80" t="s">
        <v>1115</v>
      </c>
      <c r="E80" t="s">
        <v>37</v>
      </c>
      <c r="F80" t="s">
        <v>191</v>
      </c>
      <c r="I80" t="s">
        <v>39</v>
      </c>
      <c r="J80" t="s">
        <v>40</v>
      </c>
      <c r="K80" t="s">
        <v>41</v>
      </c>
      <c r="L80" t="s">
        <v>53</v>
      </c>
      <c r="N80" t="s">
        <v>43</v>
      </c>
      <c r="O80" t="s">
        <v>378</v>
      </c>
      <c r="P80">
        <v>8</v>
      </c>
      <c r="Q80">
        <v>8</v>
      </c>
      <c r="R80">
        <v>11</v>
      </c>
      <c r="S80" t="s">
        <v>45</v>
      </c>
      <c r="T80">
        <v>0.01</v>
      </c>
      <c r="U80">
        <v>183</v>
      </c>
      <c r="V80" t="s">
        <v>55</v>
      </c>
      <c r="W80">
        <v>0.182</v>
      </c>
      <c r="X80">
        <v>16001</v>
      </c>
      <c r="Y80" t="s">
        <v>47</v>
      </c>
      <c r="Z80">
        <v>16</v>
      </c>
      <c r="AA80">
        <v>352</v>
      </c>
      <c r="AB80" t="s">
        <v>47</v>
      </c>
      <c r="AC80">
        <v>0.35099999999999998</v>
      </c>
      <c r="AD80">
        <v>867</v>
      </c>
      <c r="AE80" t="s">
        <v>48</v>
      </c>
      <c r="AF80">
        <v>0.86599999999999999</v>
      </c>
      <c r="AG80">
        <v>576</v>
      </c>
      <c r="AH80" t="s">
        <v>49</v>
      </c>
      <c r="AI80">
        <v>0.57499999999999996</v>
      </c>
      <c r="AJ80" t="s">
        <v>50</v>
      </c>
    </row>
    <row r="81" spans="1:36" x14ac:dyDescent="0.25">
      <c r="A81" t="s">
        <v>1114</v>
      </c>
      <c r="B81">
        <v>856195628</v>
      </c>
      <c r="C81" t="s">
        <v>1115</v>
      </c>
      <c r="D81" t="s">
        <v>1115</v>
      </c>
      <c r="E81" t="s">
        <v>60</v>
      </c>
      <c r="F81" t="s">
        <v>191</v>
      </c>
      <c r="I81" t="s">
        <v>39</v>
      </c>
      <c r="J81" t="s">
        <v>40</v>
      </c>
      <c r="K81" t="s">
        <v>41</v>
      </c>
      <c r="L81" t="s">
        <v>53</v>
      </c>
      <c r="N81" t="s">
        <v>43</v>
      </c>
      <c r="O81" t="s">
        <v>547</v>
      </c>
      <c r="P81">
        <v>8</v>
      </c>
      <c r="Q81">
        <v>8</v>
      </c>
      <c r="R81">
        <v>1</v>
      </c>
      <c r="S81" t="s">
        <v>45</v>
      </c>
      <c r="T81">
        <v>0</v>
      </c>
      <c r="U81">
        <v>738</v>
      </c>
      <c r="V81" t="s">
        <v>113</v>
      </c>
      <c r="W81">
        <v>0.73699999999999999</v>
      </c>
      <c r="X81">
        <v>19001</v>
      </c>
      <c r="Y81" t="s">
        <v>47</v>
      </c>
      <c r="Z81">
        <v>19</v>
      </c>
      <c r="AA81">
        <v>441</v>
      </c>
      <c r="AB81" t="s">
        <v>47</v>
      </c>
      <c r="AC81">
        <v>0.44</v>
      </c>
      <c r="AD81">
        <v>914</v>
      </c>
      <c r="AE81" t="s">
        <v>48</v>
      </c>
      <c r="AF81">
        <v>0.91300000000000003</v>
      </c>
      <c r="AG81">
        <v>576</v>
      </c>
      <c r="AH81" t="s">
        <v>49</v>
      </c>
      <c r="AI81">
        <v>0.57499999999999996</v>
      </c>
      <c r="AJ81" t="s">
        <v>50</v>
      </c>
    </row>
    <row r="82" spans="1:36" x14ac:dyDescent="0.25">
      <c r="A82" t="s">
        <v>1114</v>
      </c>
      <c r="B82">
        <v>856195628</v>
      </c>
      <c r="C82" t="s">
        <v>1115</v>
      </c>
      <c r="D82" t="s">
        <v>1115</v>
      </c>
      <c r="E82" t="s">
        <v>37</v>
      </c>
      <c r="F82" t="s">
        <v>191</v>
      </c>
      <c r="I82" t="s">
        <v>39</v>
      </c>
      <c r="J82" t="s">
        <v>40</v>
      </c>
      <c r="K82" t="s">
        <v>41</v>
      </c>
      <c r="L82" t="s">
        <v>53</v>
      </c>
      <c r="N82" t="s">
        <v>43</v>
      </c>
      <c r="O82" t="s">
        <v>378</v>
      </c>
      <c r="P82">
        <v>8</v>
      </c>
      <c r="Q82">
        <v>8</v>
      </c>
      <c r="R82">
        <v>21</v>
      </c>
      <c r="S82" t="s">
        <v>45</v>
      </c>
      <c r="T82">
        <v>0.02</v>
      </c>
      <c r="U82">
        <v>279</v>
      </c>
      <c r="V82" t="s">
        <v>55</v>
      </c>
      <c r="W82">
        <v>0.27800000000000002</v>
      </c>
      <c r="X82">
        <v>16001</v>
      </c>
      <c r="Y82" t="s">
        <v>47</v>
      </c>
      <c r="Z82">
        <v>16</v>
      </c>
      <c r="AA82">
        <v>352</v>
      </c>
      <c r="AB82" t="s">
        <v>47</v>
      </c>
      <c r="AC82">
        <v>0.35099999999999998</v>
      </c>
      <c r="AD82">
        <v>867</v>
      </c>
      <c r="AE82" t="s">
        <v>48</v>
      </c>
      <c r="AF82">
        <v>0.86599999999999999</v>
      </c>
      <c r="AG82">
        <v>576</v>
      </c>
      <c r="AH82" t="s">
        <v>49</v>
      </c>
      <c r="AI82">
        <v>0.57499999999999996</v>
      </c>
      <c r="AJ82" t="s">
        <v>1141</v>
      </c>
    </row>
    <row r="83" spans="1:36" x14ac:dyDescent="0.25">
      <c r="A83" t="s">
        <v>1114</v>
      </c>
      <c r="B83">
        <v>856195628</v>
      </c>
      <c r="C83" t="s">
        <v>1115</v>
      </c>
      <c r="D83" t="s">
        <v>1115</v>
      </c>
      <c r="E83" t="s">
        <v>60</v>
      </c>
      <c r="F83" t="s">
        <v>191</v>
      </c>
      <c r="I83" t="s">
        <v>39</v>
      </c>
      <c r="J83" t="s">
        <v>40</v>
      </c>
      <c r="K83" t="s">
        <v>41</v>
      </c>
      <c r="L83" t="s">
        <v>53</v>
      </c>
      <c r="N83" t="s">
        <v>43</v>
      </c>
      <c r="O83" t="s">
        <v>547</v>
      </c>
      <c r="P83">
        <v>8</v>
      </c>
      <c r="Q83">
        <v>8</v>
      </c>
      <c r="R83">
        <v>1</v>
      </c>
      <c r="S83" t="s">
        <v>45</v>
      </c>
      <c r="T83">
        <v>0</v>
      </c>
      <c r="U83">
        <v>765</v>
      </c>
      <c r="V83" t="s">
        <v>113</v>
      </c>
      <c r="W83">
        <v>0.76400000000000001</v>
      </c>
      <c r="X83">
        <v>19001</v>
      </c>
      <c r="Y83" t="s">
        <v>47</v>
      </c>
      <c r="Z83">
        <v>19</v>
      </c>
      <c r="AA83">
        <v>441</v>
      </c>
      <c r="AB83" t="s">
        <v>47</v>
      </c>
      <c r="AC83">
        <v>0.44</v>
      </c>
      <c r="AD83">
        <v>914</v>
      </c>
      <c r="AE83" t="s">
        <v>48</v>
      </c>
      <c r="AF83">
        <v>0.91300000000000003</v>
      </c>
      <c r="AG83">
        <v>576</v>
      </c>
      <c r="AH83" t="s">
        <v>49</v>
      </c>
      <c r="AI83">
        <v>0.57499999999999996</v>
      </c>
      <c r="AJ83" t="s">
        <v>1141</v>
      </c>
    </row>
    <row r="84" spans="1:36" x14ac:dyDescent="0.25">
      <c r="A84" t="s">
        <v>1114</v>
      </c>
      <c r="B84">
        <v>856195628</v>
      </c>
      <c r="C84" t="s">
        <v>1115</v>
      </c>
      <c r="D84" t="s">
        <v>1115</v>
      </c>
      <c r="E84" t="s">
        <v>37</v>
      </c>
      <c r="F84" t="s">
        <v>191</v>
      </c>
      <c r="I84" t="s">
        <v>39</v>
      </c>
      <c r="J84" t="s">
        <v>40</v>
      </c>
      <c r="K84" t="s">
        <v>41</v>
      </c>
      <c r="L84" t="s">
        <v>53</v>
      </c>
      <c r="N84" t="s">
        <v>43</v>
      </c>
      <c r="O84" t="s">
        <v>378</v>
      </c>
      <c r="P84">
        <v>8</v>
      </c>
      <c r="Q84">
        <v>8</v>
      </c>
      <c r="R84">
        <v>11</v>
      </c>
      <c r="S84" t="s">
        <v>45</v>
      </c>
      <c r="T84">
        <v>0.01</v>
      </c>
      <c r="U84">
        <v>183</v>
      </c>
      <c r="V84" t="s">
        <v>55</v>
      </c>
      <c r="W84">
        <v>0.182</v>
      </c>
      <c r="X84">
        <v>16001</v>
      </c>
      <c r="Y84" t="s">
        <v>47</v>
      </c>
      <c r="Z84">
        <v>16</v>
      </c>
      <c r="AA84">
        <v>352</v>
      </c>
      <c r="AB84" t="s">
        <v>47</v>
      </c>
      <c r="AC84">
        <v>0.35099999999999998</v>
      </c>
      <c r="AD84">
        <v>867</v>
      </c>
      <c r="AE84" t="s">
        <v>48</v>
      </c>
      <c r="AF84">
        <v>0.86599999999999999</v>
      </c>
      <c r="AG84">
        <v>576</v>
      </c>
      <c r="AH84" t="s">
        <v>49</v>
      </c>
      <c r="AI84">
        <v>0.57499999999999996</v>
      </c>
      <c r="AJ84" t="s">
        <v>1153</v>
      </c>
    </row>
    <row r="85" spans="1:36" x14ac:dyDescent="0.25">
      <c r="A85" t="s">
        <v>1114</v>
      </c>
      <c r="B85">
        <v>856195628</v>
      </c>
      <c r="C85" t="s">
        <v>1115</v>
      </c>
      <c r="D85" t="s">
        <v>1115</v>
      </c>
      <c r="E85" t="s">
        <v>60</v>
      </c>
      <c r="F85" t="s">
        <v>191</v>
      </c>
      <c r="I85" t="s">
        <v>39</v>
      </c>
      <c r="J85" t="s">
        <v>40</v>
      </c>
      <c r="K85" t="s">
        <v>41</v>
      </c>
      <c r="L85" t="s">
        <v>53</v>
      </c>
      <c r="N85" t="s">
        <v>43</v>
      </c>
      <c r="O85" t="s">
        <v>547</v>
      </c>
      <c r="P85">
        <v>8</v>
      </c>
      <c r="Q85">
        <v>8</v>
      </c>
      <c r="R85">
        <v>1</v>
      </c>
      <c r="S85" t="s">
        <v>45</v>
      </c>
      <c r="T85">
        <v>0</v>
      </c>
      <c r="U85">
        <v>738</v>
      </c>
      <c r="V85" t="s">
        <v>113</v>
      </c>
      <c r="W85">
        <v>0.73699999999999999</v>
      </c>
      <c r="X85">
        <v>19001</v>
      </c>
      <c r="Y85" t="s">
        <v>47</v>
      </c>
      <c r="Z85">
        <v>19</v>
      </c>
      <c r="AA85">
        <v>441</v>
      </c>
      <c r="AB85" t="s">
        <v>47</v>
      </c>
      <c r="AC85">
        <v>0.44</v>
      </c>
      <c r="AD85">
        <v>914</v>
      </c>
      <c r="AE85" t="s">
        <v>48</v>
      </c>
      <c r="AF85">
        <v>0.91300000000000003</v>
      </c>
      <c r="AG85">
        <v>576</v>
      </c>
      <c r="AH85" t="s">
        <v>49</v>
      </c>
      <c r="AI85">
        <v>0.57499999999999996</v>
      </c>
      <c r="AJ85" t="s">
        <v>1153</v>
      </c>
    </row>
    <row r="86" spans="1:36" x14ac:dyDescent="0.25">
      <c r="A86" t="s">
        <v>1114</v>
      </c>
      <c r="B86">
        <v>856195628</v>
      </c>
      <c r="C86" t="s">
        <v>1115</v>
      </c>
      <c r="D86" t="s">
        <v>1115</v>
      </c>
      <c r="E86" t="s">
        <v>37</v>
      </c>
      <c r="F86" t="s">
        <v>191</v>
      </c>
      <c r="I86" t="s">
        <v>39</v>
      </c>
      <c r="J86" t="s">
        <v>40</v>
      </c>
      <c r="K86" t="s">
        <v>41</v>
      </c>
      <c r="L86" t="s">
        <v>53</v>
      </c>
      <c r="N86" t="s">
        <v>43</v>
      </c>
      <c r="O86" t="s">
        <v>378</v>
      </c>
      <c r="P86">
        <v>8</v>
      </c>
      <c r="Q86">
        <v>8</v>
      </c>
      <c r="R86">
        <v>11</v>
      </c>
      <c r="S86" t="s">
        <v>45</v>
      </c>
      <c r="T86">
        <v>0.01</v>
      </c>
      <c r="U86">
        <v>183</v>
      </c>
      <c r="V86" t="s">
        <v>55</v>
      </c>
      <c r="W86">
        <v>0.182</v>
      </c>
      <c r="X86">
        <v>16001</v>
      </c>
      <c r="Y86" t="s">
        <v>47</v>
      </c>
      <c r="Z86">
        <v>16</v>
      </c>
      <c r="AA86">
        <v>352</v>
      </c>
      <c r="AB86" t="s">
        <v>47</v>
      </c>
      <c r="AC86">
        <v>0.35099999999999998</v>
      </c>
      <c r="AD86">
        <v>867</v>
      </c>
      <c r="AE86" t="s">
        <v>48</v>
      </c>
      <c r="AF86">
        <v>0.86599999999999999</v>
      </c>
      <c r="AG86">
        <v>576</v>
      </c>
      <c r="AH86" t="s">
        <v>49</v>
      </c>
      <c r="AI86">
        <v>0.57499999999999996</v>
      </c>
      <c r="AJ86" t="s">
        <v>1154</v>
      </c>
    </row>
    <row r="87" spans="1:36" x14ac:dyDescent="0.25">
      <c r="A87" t="s">
        <v>1114</v>
      </c>
      <c r="B87">
        <v>856195628</v>
      </c>
      <c r="C87" t="s">
        <v>1115</v>
      </c>
      <c r="D87" t="s">
        <v>1115</v>
      </c>
      <c r="E87" t="s">
        <v>60</v>
      </c>
      <c r="F87" t="s">
        <v>191</v>
      </c>
      <c r="I87" t="s">
        <v>39</v>
      </c>
      <c r="J87" t="s">
        <v>40</v>
      </c>
      <c r="K87" t="s">
        <v>41</v>
      </c>
      <c r="L87" t="s">
        <v>53</v>
      </c>
      <c r="N87" t="s">
        <v>43</v>
      </c>
      <c r="O87" t="s">
        <v>547</v>
      </c>
      <c r="P87">
        <v>8</v>
      </c>
      <c r="Q87">
        <v>8</v>
      </c>
      <c r="R87">
        <v>1</v>
      </c>
      <c r="S87" t="s">
        <v>45</v>
      </c>
      <c r="T87">
        <v>0</v>
      </c>
      <c r="U87">
        <v>738</v>
      </c>
      <c r="V87" t="s">
        <v>113</v>
      </c>
      <c r="W87">
        <v>0.73699999999999999</v>
      </c>
      <c r="X87">
        <v>19001</v>
      </c>
      <c r="Y87" t="s">
        <v>47</v>
      </c>
      <c r="Z87">
        <v>19</v>
      </c>
      <c r="AA87">
        <v>441</v>
      </c>
      <c r="AB87" t="s">
        <v>47</v>
      </c>
      <c r="AC87">
        <v>0.44</v>
      </c>
      <c r="AD87">
        <v>914</v>
      </c>
      <c r="AE87" t="s">
        <v>48</v>
      </c>
      <c r="AF87">
        <v>0.91300000000000003</v>
      </c>
      <c r="AG87">
        <v>576</v>
      </c>
      <c r="AH87" t="s">
        <v>49</v>
      </c>
      <c r="AI87">
        <v>0.57499999999999996</v>
      </c>
      <c r="AJ87" t="s">
        <v>1154</v>
      </c>
    </row>
    <row r="88" spans="1:36" x14ac:dyDescent="0.25">
      <c r="A88" t="s">
        <v>1114</v>
      </c>
      <c r="B88">
        <v>856195628</v>
      </c>
      <c r="C88" t="s">
        <v>1115</v>
      </c>
      <c r="D88" t="s">
        <v>1115</v>
      </c>
      <c r="E88" t="s">
        <v>37</v>
      </c>
      <c r="F88" t="s">
        <v>191</v>
      </c>
      <c r="I88" t="s">
        <v>39</v>
      </c>
      <c r="J88" t="s">
        <v>40</v>
      </c>
      <c r="K88" t="s">
        <v>41</v>
      </c>
      <c r="L88" t="s">
        <v>53</v>
      </c>
      <c r="N88" t="s">
        <v>43</v>
      </c>
      <c r="O88" t="s">
        <v>378</v>
      </c>
      <c r="P88">
        <v>8</v>
      </c>
      <c r="Q88">
        <v>8</v>
      </c>
      <c r="S88" t="s">
        <v>39</v>
      </c>
      <c r="V88" t="s">
        <v>39</v>
      </c>
      <c r="X88">
        <v>16001</v>
      </c>
      <c r="Y88" t="s">
        <v>47</v>
      </c>
      <c r="Z88">
        <v>16</v>
      </c>
      <c r="AA88">
        <v>352</v>
      </c>
      <c r="AB88" t="s">
        <v>47</v>
      </c>
      <c r="AC88">
        <v>0.35099999999999998</v>
      </c>
      <c r="AD88">
        <v>867</v>
      </c>
      <c r="AE88" t="s">
        <v>48</v>
      </c>
      <c r="AF88">
        <v>0.86599999999999999</v>
      </c>
      <c r="AG88">
        <v>576</v>
      </c>
      <c r="AH88" t="s">
        <v>49</v>
      </c>
      <c r="AI88">
        <v>0.57499999999999996</v>
      </c>
      <c r="AJ88" t="s">
        <v>1155</v>
      </c>
    </row>
    <row r="89" spans="1:36" x14ac:dyDescent="0.25">
      <c r="A89" t="s">
        <v>1114</v>
      </c>
      <c r="B89">
        <v>856195628</v>
      </c>
      <c r="C89" t="s">
        <v>1115</v>
      </c>
      <c r="D89" t="s">
        <v>1115</v>
      </c>
      <c r="E89" t="s">
        <v>60</v>
      </c>
      <c r="F89" t="s">
        <v>191</v>
      </c>
      <c r="I89" t="s">
        <v>39</v>
      </c>
      <c r="J89" t="s">
        <v>40</v>
      </c>
      <c r="K89" t="s">
        <v>41</v>
      </c>
      <c r="L89" t="s">
        <v>53</v>
      </c>
      <c r="N89" t="s">
        <v>43</v>
      </c>
      <c r="O89" t="s">
        <v>547</v>
      </c>
      <c r="P89">
        <v>8</v>
      </c>
      <c r="Q89">
        <v>8</v>
      </c>
      <c r="S89" t="s">
        <v>39</v>
      </c>
      <c r="V89" t="s">
        <v>39</v>
      </c>
      <c r="X89">
        <v>19001</v>
      </c>
      <c r="Y89" t="s">
        <v>47</v>
      </c>
      <c r="Z89">
        <v>19</v>
      </c>
      <c r="AA89">
        <v>441</v>
      </c>
      <c r="AB89" t="s">
        <v>47</v>
      </c>
      <c r="AC89">
        <v>0.44</v>
      </c>
      <c r="AD89">
        <v>914</v>
      </c>
      <c r="AE89" t="s">
        <v>48</v>
      </c>
      <c r="AF89">
        <v>0.91300000000000003</v>
      </c>
      <c r="AG89">
        <v>576</v>
      </c>
      <c r="AH89" t="s">
        <v>49</v>
      </c>
      <c r="AI89">
        <v>0.57499999999999996</v>
      </c>
      <c r="AJ89" t="s">
        <v>1155</v>
      </c>
    </row>
    <row r="90" spans="1:36" x14ac:dyDescent="0.25">
      <c r="A90" t="s">
        <v>1114</v>
      </c>
      <c r="B90">
        <v>856195628</v>
      </c>
      <c r="C90" t="s">
        <v>1115</v>
      </c>
      <c r="D90" t="s">
        <v>1115</v>
      </c>
      <c r="E90" t="s">
        <v>37</v>
      </c>
      <c r="F90" t="s">
        <v>191</v>
      </c>
      <c r="I90" t="s">
        <v>39</v>
      </c>
      <c r="J90" t="s">
        <v>40</v>
      </c>
      <c r="K90" t="s">
        <v>41</v>
      </c>
      <c r="L90" t="s">
        <v>53</v>
      </c>
      <c r="N90" t="s">
        <v>43</v>
      </c>
      <c r="O90" t="s">
        <v>378</v>
      </c>
      <c r="P90">
        <v>8</v>
      </c>
      <c r="Q90">
        <v>8</v>
      </c>
      <c r="S90" t="s">
        <v>39</v>
      </c>
      <c r="V90" t="s">
        <v>39</v>
      </c>
      <c r="X90">
        <v>16001</v>
      </c>
      <c r="Y90" t="s">
        <v>47</v>
      </c>
      <c r="Z90">
        <v>16</v>
      </c>
      <c r="AA90">
        <v>352</v>
      </c>
      <c r="AB90" t="s">
        <v>47</v>
      </c>
      <c r="AC90">
        <v>0.35099999999999998</v>
      </c>
      <c r="AD90">
        <v>867</v>
      </c>
      <c r="AE90" t="s">
        <v>48</v>
      </c>
      <c r="AF90">
        <v>0.86599999999999999</v>
      </c>
      <c r="AG90">
        <v>576</v>
      </c>
      <c r="AH90" t="s">
        <v>49</v>
      </c>
      <c r="AI90">
        <v>0.57499999999999996</v>
      </c>
      <c r="AJ90" t="s">
        <v>1156</v>
      </c>
    </row>
    <row r="91" spans="1:36" x14ac:dyDescent="0.25">
      <c r="A91" t="s">
        <v>1114</v>
      </c>
      <c r="B91">
        <v>856195628</v>
      </c>
      <c r="C91" t="s">
        <v>1115</v>
      </c>
      <c r="D91" t="s">
        <v>1115</v>
      </c>
      <c r="E91" t="s">
        <v>60</v>
      </c>
      <c r="F91" t="s">
        <v>191</v>
      </c>
      <c r="I91" t="s">
        <v>39</v>
      </c>
      <c r="J91" t="s">
        <v>40</v>
      </c>
      <c r="K91" t="s">
        <v>41</v>
      </c>
      <c r="L91" t="s">
        <v>53</v>
      </c>
      <c r="N91" t="s">
        <v>43</v>
      </c>
      <c r="O91" t="s">
        <v>547</v>
      </c>
      <c r="P91">
        <v>8</v>
      </c>
      <c r="Q91">
        <v>8</v>
      </c>
      <c r="S91" t="s">
        <v>39</v>
      </c>
      <c r="V91" t="s">
        <v>39</v>
      </c>
      <c r="X91">
        <v>19001</v>
      </c>
      <c r="Y91" t="s">
        <v>47</v>
      </c>
      <c r="Z91">
        <v>19</v>
      </c>
      <c r="AA91">
        <v>441</v>
      </c>
      <c r="AB91" t="s">
        <v>47</v>
      </c>
      <c r="AC91">
        <v>0.44</v>
      </c>
      <c r="AD91">
        <v>914</v>
      </c>
      <c r="AE91" t="s">
        <v>48</v>
      </c>
      <c r="AF91">
        <v>0.91300000000000003</v>
      </c>
      <c r="AG91">
        <v>576</v>
      </c>
      <c r="AH91" t="s">
        <v>49</v>
      </c>
      <c r="AI91">
        <v>0.57499999999999996</v>
      </c>
      <c r="AJ91" t="s">
        <v>1156</v>
      </c>
    </row>
    <row r="92" spans="1:36" x14ac:dyDescent="0.25">
      <c r="A92" t="s">
        <v>1112</v>
      </c>
      <c r="B92">
        <v>866595022</v>
      </c>
      <c r="C92" t="s">
        <v>1113</v>
      </c>
      <c r="D92" t="s">
        <v>1113</v>
      </c>
      <c r="E92" t="s">
        <v>60</v>
      </c>
      <c r="F92" t="s">
        <v>229</v>
      </c>
      <c r="I92" t="s">
        <v>39</v>
      </c>
      <c r="J92" t="s">
        <v>40</v>
      </c>
      <c r="K92" t="s">
        <v>41</v>
      </c>
      <c r="L92" t="s">
        <v>173</v>
      </c>
      <c r="N92" t="s">
        <v>43</v>
      </c>
      <c r="O92" t="s">
        <v>859</v>
      </c>
      <c r="P92">
        <v>9</v>
      </c>
      <c r="Q92">
        <v>9</v>
      </c>
      <c r="R92">
        <v>1</v>
      </c>
      <c r="S92" t="s">
        <v>45</v>
      </c>
      <c r="T92">
        <v>0</v>
      </c>
      <c r="U92">
        <v>200</v>
      </c>
      <c r="V92" t="s">
        <v>55</v>
      </c>
      <c r="W92">
        <v>0.19900000000000001</v>
      </c>
      <c r="X92">
        <v>21001</v>
      </c>
      <c r="Y92" t="s">
        <v>47</v>
      </c>
      <c r="Z92">
        <v>21</v>
      </c>
      <c r="AA92">
        <v>454</v>
      </c>
      <c r="AB92" t="s">
        <v>47</v>
      </c>
      <c r="AC92">
        <v>0.45300000000000001</v>
      </c>
      <c r="AD92">
        <v>639</v>
      </c>
      <c r="AE92" t="s">
        <v>48</v>
      </c>
      <c r="AF92">
        <v>0.63800000000000001</v>
      </c>
      <c r="AG92">
        <v>279</v>
      </c>
      <c r="AH92" t="s">
        <v>57</v>
      </c>
      <c r="AI92">
        <v>0.27800000000000002</v>
      </c>
      <c r="AJ92" t="s">
        <v>50</v>
      </c>
    </row>
    <row r="93" spans="1:36" x14ac:dyDescent="0.25">
      <c r="A93" t="s">
        <v>1112</v>
      </c>
      <c r="B93">
        <v>866595022</v>
      </c>
      <c r="C93" t="s">
        <v>1113</v>
      </c>
      <c r="D93" t="s">
        <v>1113</v>
      </c>
      <c r="E93" t="s">
        <v>60</v>
      </c>
      <c r="F93" t="s">
        <v>229</v>
      </c>
      <c r="I93" t="s">
        <v>39</v>
      </c>
      <c r="J93" t="s">
        <v>40</v>
      </c>
      <c r="K93" t="s">
        <v>41</v>
      </c>
      <c r="L93" t="s">
        <v>173</v>
      </c>
      <c r="N93" t="s">
        <v>43</v>
      </c>
      <c r="O93" t="s">
        <v>859</v>
      </c>
      <c r="P93">
        <v>9</v>
      </c>
      <c r="Q93">
        <v>9</v>
      </c>
      <c r="R93">
        <v>1</v>
      </c>
      <c r="S93" t="s">
        <v>45</v>
      </c>
      <c r="T93">
        <v>0</v>
      </c>
      <c r="U93">
        <v>367</v>
      </c>
      <c r="V93" t="s">
        <v>55</v>
      </c>
      <c r="W93">
        <v>0.36599999999999999</v>
      </c>
      <c r="X93">
        <v>21001</v>
      </c>
      <c r="Y93" t="s">
        <v>47</v>
      </c>
      <c r="Z93">
        <v>21</v>
      </c>
      <c r="AA93">
        <v>454</v>
      </c>
      <c r="AB93" t="s">
        <v>47</v>
      </c>
      <c r="AC93">
        <v>0.45300000000000001</v>
      </c>
      <c r="AD93">
        <v>639</v>
      </c>
      <c r="AE93" t="s">
        <v>48</v>
      </c>
      <c r="AF93">
        <v>0.63800000000000001</v>
      </c>
      <c r="AG93">
        <v>279</v>
      </c>
      <c r="AH93" t="s">
        <v>57</v>
      </c>
      <c r="AI93">
        <v>0.27800000000000002</v>
      </c>
      <c r="AJ93" t="s">
        <v>1141</v>
      </c>
    </row>
    <row r="94" spans="1:36" x14ac:dyDescent="0.25">
      <c r="A94" t="s">
        <v>1112</v>
      </c>
      <c r="B94">
        <v>866595022</v>
      </c>
      <c r="C94" t="s">
        <v>1113</v>
      </c>
      <c r="D94" t="s">
        <v>1113</v>
      </c>
      <c r="E94" t="s">
        <v>60</v>
      </c>
      <c r="F94" t="s">
        <v>229</v>
      </c>
      <c r="I94" t="s">
        <v>39</v>
      </c>
      <c r="J94" t="s">
        <v>40</v>
      </c>
      <c r="K94" t="s">
        <v>41</v>
      </c>
      <c r="L94" t="s">
        <v>173</v>
      </c>
      <c r="N94" t="s">
        <v>43</v>
      </c>
      <c r="O94" t="s">
        <v>859</v>
      </c>
      <c r="P94">
        <v>9</v>
      </c>
      <c r="Q94">
        <v>9</v>
      </c>
      <c r="R94">
        <v>1</v>
      </c>
      <c r="S94" t="s">
        <v>45</v>
      </c>
      <c r="T94">
        <v>0</v>
      </c>
      <c r="U94">
        <v>200</v>
      </c>
      <c r="V94" t="s">
        <v>55</v>
      </c>
      <c r="W94">
        <v>0.19900000000000001</v>
      </c>
      <c r="X94">
        <v>21001</v>
      </c>
      <c r="Y94" t="s">
        <v>47</v>
      </c>
      <c r="Z94">
        <v>21</v>
      </c>
      <c r="AA94">
        <v>454</v>
      </c>
      <c r="AB94" t="s">
        <v>47</v>
      </c>
      <c r="AC94">
        <v>0.45300000000000001</v>
      </c>
      <c r="AD94">
        <v>639</v>
      </c>
      <c r="AE94" t="s">
        <v>48</v>
      </c>
      <c r="AF94">
        <v>0.63800000000000001</v>
      </c>
      <c r="AG94">
        <v>279</v>
      </c>
      <c r="AH94" t="s">
        <v>57</v>
      </c>
      <c r="AI94">
        <v>0.27800000000000002</v>
      </c>
      <c r="AJ94" t="s">
        <v>1153</v>
      </c>
    </row>
    <row r="95" spans="1:36" x14ac:dyDescent="0.25">
      <c r="A95" t="s">
        <v>1112</v>
      </c>
      <c r="B95">
        <v>866595022</v>
      </c>
      <c r="C95" t="s">
        <v>1113</v>
      </c>
      <c r="D95" t="s">
        <v>1113</v>
      </c>
      <c r="E95" t="s">
        <v>60</v>
      </c>
      <c r="F95" t="s">
        <v>229</v>
      </c>
      <c r="I95" t="s">
        <v>39</v>
      </c>
      <c r="J95" t="s">
        <v>40</v>
      </c>
      <c r="K95" t="s">
        <v>41</v>
      </c>
      <c r="L95" t="s">
        <v>173</v>
      </c>
      <c r="N95" t="s">
        <v>43</v>
      </c>
      <c r="O95" t="s">
        <v>859</v>
      </c>
      <c r="P95">
        <v>9</v>
      </c>
      <c r="Q95">
        <v>9</v>
      </c>
      <c r="R95">
        <v>1</v>
      </c>
      <c r="S95" t="s">
        <v>45</v>
      </c>
      <c r="T95">
        <v>0</v>
      </c>
      <c r="U95">
        <v>200</v>
      </c>
      <c r="V95" t="s">
        <v>55</v>
      </c>
      <c r="W95">
        <v>0.19900000000000001</v>
      </c>
      <c r="X95">
        <v>21001</v>
      </c>
      <c r="Y95" t="s">
        <v>47</v>
      </c>
      <c r="Z95">
        <v>21</v>
      </c>
      <c r="AA95">
        <v>454</v>
      </c>
      <c r="AB95" t="s">
        <v>47</v>
      </c>
      <c r="AC95">
        <v>0.45300000000000001</v>
      </c>
      <c r="AD95">
        <v>639</v>
      </c>
      <c r="AE95" t="s">
        <v>48</v>
      </c>
      <c r="AF95">
        <v>0.63800000000000001</v>
      </c>
      <c r="AG95">
        <v>279</v>
      </c>
      <c r="AH95" t="s">
        <v>57</v>
      </c>
      <c r="AI95">
        <v>0.27800000000000002</v>
      </c>
      <c r="AJ95" t="s">
        <v>1154</v>
      </c>
    </row>
    <row r="96" spans="1:36" x14ac:dyDescent="0.25">
      <c r="A96" t="s">
        <v>1112</v>
      </c>
      <c r="B96">
        <v>866595022</v>
      </c>
      <c r="C96" t="s">
        <v>1113</v>
      </c>
      <c r="D96" t="s">
        <v>1113</v>
      </c>
      <c r="E96" t="s">
        <v>60</v>
      </c>
      <c r="F96" t="s">
        <v>229</v>
      </c>
      <c r="I96" t="s">
        <v>39</v>
      </c>
      <c r="J96" t="s">
        <v>40</v>
      </c>
      <c r="K96" t="s">
        <v>41</v>
      </c>
      <c r="L96" t="s">
        <v>173</v>
      </c>
      <c r="N96" t="s">
        <v>43</v>
      </c>
      <c r="O96" t="s">
        <v>859</v>
      </c>
      <c r="P96">
        <v>9</v>
      </c>
      <c r="Q96">
        <v>9</v>
      </c>
      <c r="S96" t="s">
        <v>39</v>
      </c>
      <c r="V96" t="s">
        <v>39</v>
      </c>
      <c r="X96">
        <v>21001</v>
      </c>
      <c r="Y96" t="s">
        <v>47</v>
      </c>
      <c r="Z96">
        <v>21</v>
      </c>
      <c r="AA96">
        <v>454</v>
      </c>
      <c r="AB96" t="s">
        <v>47</v>
      </c>
      <c r="AC96">
        <v>0.45300000000000001</v>
      </c>
      <c r="AD96">
        <v>639</v>
      </c>
      <c r="AE96" t="s">
        <v>48</v>
      </c>
      <c r="AF96">
        <v>0.63800000000000001</v>
      </c>
      <c r="AG96">
        <v>279</v>
      </c>
      <c r="AH96" t="s">
        <v>57</v>
      </c>
      <c r="AI96">
        <v>0.27800000000000002</v>
      </c>
      <c r="AJ96" t="s">
        <v>1155</v>
      </c>
    </row>
    <row r="97" spans="1:36" x14ac:dyDescent="0.25">
      <c r="A97" t="s">
        <v>1112</v>
      </c>
      <c r="B97">
        <v>866595022</v>
      </c>
      <c r="C97" t="s">
        <v>1113</v>
      </c>
      <c r="D97" t="s">
        <v>1113</v>
      </c>
      <c r="E97" t="s">
        <v>60</v>
      </c>
      <c r="F97" t="s">
        <v>229</v>
      </c>
      <c r="I97" t="s">
        <v>39</v>
      </c>
      <c r="J97" t="s">
        <v>40</v>
      </c>
      <c r="K97" t="s">
        <v>41</v>
      </c>
      <c r="L97" t="s">
        <v>173</v>
      </c>
      <c r="N97" t="s">
        <v>43</v>
      </c>
      <c r="O97" t="s">
        <v>859</v>
      </c>
      <c r="P97">
        <v>9</v>
      </c>
      <c r="Q97">
        <v>9</v>
      </c>
      <c r="S97" t="s">
        <v>39</v>
      </c>
      <c r="V97" t="s">
        <v>39</v>
      </c>
      <c r="X97">
        <v>21001</v>
      </c>
      <c r="Y97" t="s">
        <v>47</v>
      </c>
      <c r="Z97">
        <v>21</v>
      </c>
      <c r="AA97">
        <v>454</v>
      </c>
      <c r="AB97" t="s">
        <v>47</v>
      </c>
      <c r="AC97">
        <v>0.45300000000000001</v>
      </c>
      <c r="AD97">
        <v>639</v>
      </c>
      <c r="AE97" t="s">
        <v>48</v>
      </c>
      <c r="AF97">
        <v>0.63800000000000001</v>
      </c>
      <c r="AG97">
        <v>279</v>
      </c>
      <c r="AH97" t="s">
        <v>57</v>
      </c>
      <c r="AI97">
        <v>0.27800000000000002</v>
      </c>
      <c r="AJ97" t="s">
        <v>1156</v>
      </c>
    </row>
    <row r="98" spans="1:36" x14ac:dyDescent="0.25">
      <c r="A98" t="s">
        <v>1108</v>
      </c>
      <c r="B98">
        <v>873009096</v>
      </c>
      <c r="C98" t="s">
        <v>1109</v>
      </c>
      <c r="D98" t="s">
        <v>1109</v>
      </c>
      <c r="E98" t="s">
        <v>65</v>
      </c>
      <c r="F98" t="s">
        <v>93</v>
      </c>
      <c r="I98" t="s">
        <v>39</v>
      </c>
      <c r="J98" t="s">
        <v>40</v>
      </c>
      <c r="K98" t="s">
        <v>41</v>
      </c>
      <c r="L98" t="s">
        <v>197</v>
      </c>
      <c r="M98" t="s">
        <v>216</v>
      </c>
      <c r="N98" t="s">
        <v>43</v>
      </c>
      <c r="O98" t="s">
        <v>307</v>
      </c>
      <c r="P98">
        <v>12</v>
      </c>
      <c r="Q98">
        <v>12</v>
      </c>
      <c r="R98">
        <v>1</v>
      </c>
      <c r="S98" t="s">
        <v>45</v>
      </c>
      <c r="T98">
        <v>0</v>
      </c>
      <c r="U98">
        <v>999</v>
      </c>
      <c r="V98" t="s">
        <v>46</v>
      </c>
      <c r="W98">
        <v>0.998</v>
      </c>
      <c r="X98">
        <v>25001</v>
      </c>
      <c r="Y98" t="s">
        <v>47</v>
      </c>
      <c r="Z98">
        <v>25</v>
      </c>
      <c r="AA98">
        <v>780</v>
      </c>
      <c r="AB98" t="s">
        <v>75</v>
      </c>
      <c r="AC98">
        <v>0.77900000000000003</v>
      </c>
      <c r="AD98">
        <v>862</v>
      </c>
      <c r="AE98" t="s">
        <v>48</v>
      </c>
      <c r="AF98">
        <v>0.86099999999999999</v>
      </c>
      <c r="AG98">
        <v>645</v>
      </c>
      <c r="AH98" t="s">
        <v>49</v>
      </c>
      <c r="AI98">
        <v>0.64400000000000002</v>
      </c>
      <c r="AJ98" t="s">
        <v>50</v>
      </c>
    </row>
    <row r="99" spans="1:36" x14ac:dyDescent="0.25">
      <c r="A99" t="s">
        <v>1108</v>
      </c>
      <c r="B99">
        <v>873009096</v>
      </c>
      <c r="C99" t="s">
        <v>1109</v>
      </c>
      <c r="D99" t="s">
        <v>1109</v>
      </c>
      <c r="E99" t="s">
        <v>65</v>
      </c>
      <c r="F99" t="s">
        <v>93</v>
      </c>
      <c r="I99" t="s">
        <v>39</v>
      </c>
      <c r="J99" t="s">
        <v>40</v>
      </c>
      <c r="K99" t="s">
        <v>41</v>
      </c>
      <c r="L99" t="s">
        <v>197</v>
      </c>
      <c r="M99" t="s">
        <v>216</v>
      </c>
      <c r="N99" t="s">
        <v>43</v>
      </c>
      <c r="O99" t="s">
        <v>307</v>
      </c>
      <c r="P99">
        <v>12</v>
      </c>
      <c r="Q99">
        <v>12</v>
      </c>
      <c r="R99">
        <v>1</v>
      </c>
      <c r="S99" t="s">
        <v>45</v>
      </c>
      <c r="T99">
        <v>0</v>
      </c>
      <c r="U99">
        <v>1001</v>
      </c>
      <c r="V99" t="s">
        <v>46</v>
      </c>
      <c r="W99">
        <v>1</v>
      </c>
      <c r="X99">
        <v>25001</v>
      </c>
      <c r="Y99" t="s">
        <v>47</v>
      </c>
      <c r="Z99">
        <v>25</v>
      </c>
      <c r="AA99">
        <v>780</v>
      </c>
      <c r="AB99" t="s">
        <v>75</v>
      </c>
      <c r="AC99">
        <v>0.77900000000000003</v>
      </c>
      <c r="AD99">
        <v>862</v>
      </c>
      <c r="AE99" t="s">
        <v>48</v>
      </c>
      <c r="AF99">
        <v>0.86099999999999999</v>
      </c>
      <c r="AG99">
        <v>645</v>
      </c>
      <c r="AH99" t="s">
        <v>49</v>
      </c>
      <c r="AI99">
        <v>0.64400000000000002</v>
      </c>
      <c r="AJ99" t="s">
        <v>1141</v>
      </c>
    </row>
    <row r="100" spans="1:36" x14ac:dyDescent="0.25">
      <c r="A100" t="s">
        <v>1108</v>
      </c>
      <c r="B100">
        <v>873009096</v>
      </c>
      <c r="C100" t="s">
        <v>1109</v>
      </c>
      <c r="D100" t="s">
        <v>1109</v>
      </c>
      <c r="E100" t="s">
        <v>65</v>
      </c>
      <c r="F100" t="s">
        <v>93</v>
      </c>
      <c r="I100" t="s">
        <v>39</v>
      </c>
      <c r="J100" t="s">
        <v>40</v>
      </c>
      <c r="K100" t="s">
        <v>41</v>
      </c>
      <c r="L100" t="s">
        <v>197</v>
      </c>
      <c r="M100" t="s">
        <v>216</v>
      </c>
      <c r="N100" t="s">
        <v>43</v>
      </c>
      <c r="O100" t="s">
        <v>307</v>
      </c>
      <c r="P100">
        <v>12</v>
      </c>
      <c r="Q100">
        <v>12</v>
      </c>
      <c r="R100">
        <v>1</v>
      </c>
      <c r="S100" t="s">
        <v>45</v>
      </c>
      <c r="T100">
        <v>0</v>
      </c>
      <c r="U100">
        <v>999</v>
      </c>
      <c r="V100" t="s">
        <v>46</v>
      </c>
      <c r="W100">
        <v>0.998</v>
      </c>
      <c r="X100">
        <v>25001</v>
      </c>
      <c r="Y100" t="s">
        <v>47</v>
      </c>
      <c r="Z100">
        <v>25</v>
      </c>
      <c r="AA100">
        <v>780</v>
      </c>
      <c r="AB100" t="s">
        <v>75</v>
      </c>
      <c r="AC100">
        <v>0.77900000000000003</v>
      </c>
      <c r="AD100">
        <v>862</v>
      </c>
      <c r="AE100" t="s">
        <v>48</v>
      </c>
      <c r="AF100">
        <v>0.86099999999999999</v>
      </c>
      <c r="AG100">
        <v>645</v>
      </c>
      <c r="AH100" t="s">
        <v>49</v>
      </c>
      <c r="AI100">
        <v>0.64400000000000002</v>
      </c>
      <c r="AJ100" t="s">
        <v>1153</v>
      </c>
    </row>
    <row r="101" spans="1:36" x14ac:dyDescent="0.25">
      <c r="A101" t="s">
        <v>1108</v>
      </c>
      <c r="B101">
        <v>873009096</v>
      </c>
      <c r="C101" t="s">
        <v>1109</v>
      </c>
      <c r="D101" t="s">
        <v>1109</v>
      </c>
      <c r="E101" t="s">
        <v>65</v>
      </c>
      <c r="F101" t="s">
        <v>93</v>
      </c>
      <c r="I101" t="s">
        <v>39</v>
      </c>
      <c r="J101" t="s">
        <v>40</v>
      </c>
      <c r="K101" t="s">
        <v>41</v>
      </c>
      <c r="L101" t="s">
        <v>197</v>
      </c>
      <c r="M101" t="s">
        <v>216</v>
      </c>
      <c r="N101" t="s">
        <v>43</v>
      </c>
      <c r="O101" t="s">
        <v>307</v>
      </c>
      <c r="P101">
        <v>12</v>
      </c>
      <c r="Q101">
        <v>12</v>
      </c>
      <c r="R101">
        <v>1</v>
      </c>
      <c r="S101" t="s">
        <v>45</v>
      </c>
      <c r="T101">
        <v>0</v>
      </c>
      <c r="U101">
        <v>999</v>
      </c>
      <c r="V101" t="s">
        <v>46</v>
      </c>
      <c r="W101">
        <v>0.998</v>
      </c>
      <c r="X101">
        <v>25001</v>
      </c>
      <c r="Y101" t="s">
        <v>47</v>
      </c>
      <c r="Z101">
        <v>25</v>
      </c>
      <c r="AA101">
        <v>780</v>
      </c>
      <c r="AB101" t="s">
        <v>75</v>
      </c>
      <c r="AC101">
        <v>0.77900000000000003</v>
      </c>
      <c r="AD101">
        <v>862</v>
      </c>
      <c r="AE101" t="s">
        <v>48</v>
      </c>
      <c r="AF101">
        <v>0.86099999999999999</v>
      </c>
      <c r="AG101">
        <v>645</v>
      </c>
      <c r="AH101" t="s">
        <v>49</v>
      </c>
      <c r="AI101">
        <v>0.64400000000000002</v>
      </c>
      <c r="AJ101" t="s">
        <v>1154</v>
      </c>
    </row>
    <row r="102" spans="1:36" x14ac:dyDescent="0.25">
      <c r="A102" t="s">
        <v>1108</v>
      </c>
      <c r="B102">
        <v>873009096</v>
      </c>
      <c r="C102" t="s">
        <v>1109</v>
      </c>
      <c r="D102" t="s">
        <v>1109</v>
      </c>
      <c r="E102" t="s">
        <v>65</v>
      </c>
      <c r="F102" t="s">
        <v>93</v>
      </c>
      <c r="I102" t="s">
        <v>39</v>
      </c>
      <c r="J102" t="s">
        <v>40</v>
      </c>
      <c r="K102" t="s">
        <v>41</v>
      </c>
      <c r="L102" t="s">
        <v>197</v>
      </c>
      <c r="M102" t="s">
        <v>216</v>
      </c>
      <c r="N102" t="s">
        <v>43</v>
      </c>
      <c r="O102" t="s">
        <v>307</v>
      </c>
      <c r="P102">
        <v>12</v>
      </c>
      <c r="Q102">
        <v>12</v>
      </c>
      <c r="S102" t="s">
        <v>39</v>
      </c>
      <c r="V102" t="s">
        <v>39</v>
      </c>
      <c r="X102">
        <v>25001</v>
      </c>
      <c r="Y102" t="s">
        <v>47</v>
      </c>
      <c r="Z102">
        <v>25</v>
      </c>
      <c r="AA102">
        <v>780</v>
      </c>
      <c r="AB102" t="s">
        <v>75</v>
      </c>
      <c r="AC102">
        <v>0.77900000000000003</v>
      </c>
      <c r="AD102">
        <v>862</v>
      </c>
      <c r="AE102" t="s">
        <v>48</v>
      </c>
      <c r="AF102">
        <v>0.86099999999999999</v>
      </c>
      <c r="AG102">
        <v>645</v>
      </c>
      <c r="AH102" t="s">
        <v>49</v>
      </c>
      <c r="AI102">
        <v>0.64400000000000002</v>
      </c>
      <c r="AJ102" t="s">
        <v>1155</v>
      </c>
    </row>
    <row r="103" spans="1:36" x14ac:dyDescent="0.25">
      <c r="A103" t="s">
        <v>1108</v>
      </c>
      <c r="B103">
        <v>873009096</v>
      </c>
      <c r="C103" t="s">
        <v>1109</v>
      </c>
      <c r="D103" t="s">
        <v>1109</v>
      </c>
      <c r="E103" t="s">
        <v>65</v>
      </c>
      <c r="F103" t="s">
        <v>93</v>
      </c>
      <c r="I103" t="s">
        <v>39</v>
      </c>
      <c r="J103" t="s">
        <v>40</v>
      </c>
      <c r="K103" t="s">
        <v>41</v>
      </c>
      <c r="L103" t="s">
        <v>197</v>
      </c>
      <c r="M103" t="s">
        <v>216</v>
      </c>
      <c r="N103" t="s">
        <v>43</v>
      </c>
      <c r="O103" t="s">
        <v>307</v>
      </c>
      <c r="P103">
        <v>12</v>
      </c>
      <c r="Q103">
        <v>12</v>
      </c>
      <c r="S103" t="s">
        <v>39</v>
      </c>
      <c r="V103" t="s">
        <v>39</v>
      </c>
      <c r="X103">
        <v>25001</v>
      </c>
      <c r="Y103" t="s">
        <v>47</v>
      </c>
      <c r="Z103">
        <v>25</v>
      </c>
      <c r="AA103">
        <v>780</v>
      </c>
      <c r="AB103" t="s">
        <v>75</v>
      </c>
      <c r="AC103">
        <v>0.77900000000000003</v>
      </c>
      <c r="AD103">
        <v>862</v>
      </c>
      <c r="AE103" t="s">
        <v>48</v>
      </c>
      <c r="AF103">
        <v>0.86099999999999999</v>
      </c>
      <c r="AG103">
        <v>645</v>
      </c>
      <c r="AH103" t="s">
        <v>49</v>
      </c>
      <c r="AI103">
        <v>0.64400000000000002</v>
      </c>
      <c r="AJ103" t="s">
        <v>1156</v>
      </c>
    </row>
    <row r="104" spans="1:36" x14ac:dyDescent="0.25">
      <c r="A104" t="s">
        <v>1110</v>
      </c>
      <c r="B104">
        <v>853564350</v>
      </c>
      <c r="C104" t="s">
        <v>1111</v>
      </c>
      <c r="D104" t="s">
        <v>1111</v>
      </c>
      <c r="E104" t="s">
        <v>60</v>
      </c>
      <c r="F104" t="s">
        <v>61</v>
      </c>
      <c r="I104" t="s">
        <v>39</v>
      </c>
      <c r="J104" t="s">
        <v>40</v>
      </c>
      <c r="K104" t="s">
        <v>41</v>
      </c>
      <c r="L104" t="s">
        <v>673</v>
      </c>
      <c r="N104" t="s">
        <v>43</v>
      </c>
      <c r="O104" t="s">
        <v>310</v>
      </c>
      <c r="P104">
        <v>12</v>
      </c>
      <c r="Q104">
        <v>12</v>
      </c>
      <c r="R104">
        <v>21</v>
      </c>
      <c r="S104" t="s">
        <v>45</v>
      </c>
      <c r="T104">
        <v>0.02</v>
      </c>
      <c r="U104">
        <v>999</v>
      </c>
      <c r="V104" t="s">
        <v>46</v>
      </c>
      <c r="W104">
        <v>0.998</v>
      </c>
      <c r="X104">
        <v>22001</v>
      </c>
      <c r="Y104" t="s">
        <v>47</v>
      </c>
      <c r="Z104">
        <v>22</v>
      </c>
      <c r="AA104">
        <v>505</v>
      </c>
      <c r="AB104" t="s">
        <v>75</v>
      </c>
      <c r="AC104">
        <v>0.504</v>
      </c>
      <c r="AD104">
        <v>847</v>
      </c>
      <c r="AE104" t="s">
        <v>48</v>
      </c>
      <c r="AF104">
        <v>0.84599999999999997</v>
      </c>
      <c r="AG104">
        <v>645</v>
      </c>
      <c r="AH104" t="s">
        <v>49</v>
      </c>
      <c r="AI104">
        <v>0.64400000000000002</v>
      </c>
      <c r="AJ104" t="s">
        <v>50</v>
      </c>
    </row>
    <row r="105" spans="1:36" x14ac:dyDescent="0.25">
      <c r="A105" t="s">
        <v>1110</v>
      </c>
      <c r="B105">
        <v>853564350</v>
      </c>
      <c r="C105" t="s">
        <v>1111</v>
      </c>
      <c r="D105" t="s">
        <v>1111</v>
      </c>
      <c r="E105" t="s">
        <v>60</v>
      </c>
      <c r="F105" t="s">
        <v>61</v>
      </c>
      <c r="I105" t="s">
        <v>39</v>
      </c>
      <c r="J105" t="s">
        <v>40</v>
      </c>
      <c r="K105" t="s">
        <v>41</v>
      </c>
      <c r="L105" t="s">
        <v>673</v>
      </c>
      <c r="N105" t="s">
        <v>43</v>
      </c>
      <c r="O105" t="s">
        <v>310</v>
      </c>
      <c r="P105">
        <v>12</v>
      </c>
      <c r="Q105">
        <v>12</v>
      </c>
      <c r="R105">
        <v>11</v>
      </c>
      <c r="S105" t="s">
        <v>45</v>
      </c>
      <c r="T105">
        <v>0.01</v>
      </c>
      <c r="U105">
        <v>1001</v>
      </c>
      <c r="V105" t="s">
        <v>46</v>
      </c>
      <c r="W105">
        <v>1</v>
      </c>
      <c r="X105">
        <v>22001</v>
      </c>
      <c r="Y105" t="s">
        <v>47</v>
      </c>
      <c r="Z105">
        <v>22</v>
      </c>
      <c r="AA105">
        <v>505</v>
      </c>
      <c r="AB105" t="s">
        <v>75</v>
      </c>
      <c r="AC105">
        <v>0.504</v>
      </c>
      <c r="AD105">
        <v>847</v>
      </c>
      <c r="AE105" t="s">
        <v>48</v>
      </c>
      <c r="AF105">
        <v>0.84599999999999997</v>
      </c>
      <c r="AG105">
        <v>645</v>
      </c>
      <c r="AH105" t="s">
        <v>49</v>
      </c>
      <c r="AI105">
        <v>0.64400000000000002</v>
      </c>
      <c r="AJ105" t="s">
        <v>1141</v>
      </c>
    </row>
    <row r="106" spans="1:36" x14ac:dyDescent="0.25">
      <c r="A106" t="s">
        <v>1110</v>
      </c>
      <c r="B106">
        <v>853564350</v>
      </c>
      <c r="C106" t="s">
        <v>1111</v>
      </c>
      <c r="D106" t="s">
        <v>1111</v>
      </c>
      <c r="E106" t="s">
        <v>60</v>
      </c>
      <c r="F106" t="s">
        <v>61</v>
      </c>
      <c r="I106" t="s">
        <v>39</v>
      </c>
      <c r="J106" t="s">
        <v>40</v>
      </c>
      <c r="K106" t="s">
        <v>41</v>
      </c>
      <c r="L106" t="s">
        <v>673</v>
      </c>
      <c r="N106" t="s">
        <v>43</v>
      </c>
      <c r="O106" t="s">
        <v>310</v>
      </c>
      <c r="P106">
        <v>12</v>
      </c>
      <c r="Q106">
        <v>12</v>
      </c>
      <c r="R106">
        <v>21</v>
      </c>
      <c r="S106" t="s">
        <v>45</v>
      </c>
      <c r="T106">
        <v>0.02</v>
      </c>
      <c r="U106">
        <v>999</v>
      </c>
      <c r="V106" t="s">
        <v>46</v>
      </c>
      <c r="W106">
        <v>0.998</v>
      </c>
      <c r="X106">
        <v>22001</v>
      </c>
      <c r="Y106" t="s">
        <v>47</v>
      </c>
      <c r="Z106">
        <v>22</v>
      </c>
      <c r="AA106">
        <v>505</v>
      </c>
      <c r="AB106" t="s">
        <v>75</v>
      </c>
      <c r="AC106">
        <v>0.504</v>
      </c>
      <c r="AD106">
        <v>847</v>
      </c>
      <c r="AE106" t="s">
        <v>48</v>
      </c>
      <c r="AF106">
        <v>0.84599999999999997</v>
      </c>
      <c r="AG106">
        <v>645</v>
      </c>
      <c r="AH106" t="s">
        <v>49</v>
      </c>
      <c r="AI106">
        <v>0.64400000000000002</v>
      </c>
      <c r="AJ106" t="s">
        <v>1153</v>
      </c>
    </row>
    <row r="107" spans="1:36" x14ac:dyDescent="0.25">
      <c r="A107" t="s">
        <v>1110</v>
      </c>
      <c r="B107">
        <v>853564350</v>
      </c>
      <c r="C107" t="s">
        <v>1111</v>
      </c>
      <c r="D107" t="s">
        <v>1111</v>
      </c>
      <c r="E107" t="s">
        <v>60</v>
      </c>
      <c r="F107" t="s">
        <v>61</v>
      </c>
      <c r="I107" t="s">
        <v>39</v>
      </c>
      <c r="J107" t="s">
        <v>40</v>
      </c>
      <c r="K107" t="s">
        <v>41</v>
      </c>
      <c r="L107" t="s">
        <v>673</v>
      </c>
      <c r="N107" t="s">
        <v>43</v>
      </c>
      <c r="O107" t="s">
        <v>310</v>
      </c>
      <c r="P107">
        <v>12</v>
      </c>
      <c r="Q107">
        <v>12</v>
      </c>
      <c r="R107">
        <v>21</v>
      </c>
      <c r="S107" t="s">
        <v>45</v>
      </c>
      <c r="T107">
        <v>0.02</v>
      </c>
      <c r="U107">
        <v>999</v>
      </c>
      <c r="V107" t="s">
        <v>46</v>
      </c>
      <c r="W107">
        <v>0.998</v>
      </c>
      <c r="X107">
        <v>22001</v>
      </c>
      <c r="Y107" t="s">
        <v>47</v>
      </c>
      <c r="Z107">
        <v>22</v>
      </c>
      <c r="AA107">
        <v>505</v>
      </c>
      <c r="AB107" t="s">
        <v>75</v>
      </c>
      <c r="AC107">
        <v>0.504</v>
      </c>
      <c r="AD107">
        <v>847</v>
      </c>
      <c r="AE107" t="s">
        <v>48</v>
      </c>
      <c r="AF107">
        <v>0.84599999999999997</v>
      </c>
      <c r="AG107">
        <v>645</v>
      </c>
      <c r="AH107" t="s">
        <v>49</v>
      </c>
      <c r="AI107">
        <v>0.64400000000000002</v>
      </c>
      <c r="AJ107" t="s">
        <v>1154</v>
      </c>
    </row>
    <row r="108" spans="1:36" x14ac:dyDescent="0.25">
      <c r="A108" t="s">
        <v>1110</v>
      </c>
      <c r="B108">
        <v>853564350</v>
      </c>
      <c r="C108" t="s">
        <v>1111</v>
      </c>
      <c r="D108" t="s">
        <v>1111</v>
      </c>
      <c r="E108" t="s">
        <v>60</v>
      </c>
      <c r="F108" t="s">
        <v>61</v>
      </c>
      <c r="I108" t="s">
        <v>39</v>
      </c>
      <c r="J108" t="s">
        <v>40</v>
      </c>
      <c r="K108" t="s">
        <v>41</v>
      </c>
      <c r="L108" t="s">
        <v>673</v>
      </c>
      <c r="N108" t="s">
        <v>43</v>
      </c>
      <c r="O108" t="s">
        <v>310</v>
      </c>
      <c r="P108">
        <v>12</v>
      </c>
      <c r="Q108">
        <v>12</v>
      </c>
      <c r="S108" t="s">
        <v>39</v>
      </c>
      <c r="V108" t="s">
        <v>39</v>
      </c>
      <c r="X108">
        <v>22001</v>
      </c>
      <c r="Y108" t="s">
        <v>47</v>
      </c>
      <c r="Z108">
        <v>22</v>
      </c>
      <c r="AA108">
        <v>505</v>
      </c>
      <c r="AB108" t="s">
        <v>75</v>
      </c>
      <c r="AC108">
        <v>0.504</v>
      </c>
      <c r="AD108">
        <v>847</v>
      </c>
      <c r="AE108" t="s">
        <v>48</v>
      </c>
      <c r="AF108">
        <v>0.84599999999999997</v>
      </c>
      <c r="AG108">
        <v>645</v>
      </c>
      <c r="AH108" t="s">
        <v>49</v>
      </c>
      <c r="AI108">
        <v>0.64400000000000002</v>
      </c>
      <c r="AJ108" t="s">
        <v>1155</v>
      </c>
    </row>
    <row r="109" spans="1:36" x14ac:dyDescent="0.25">
      <c r="A109" t="s">
        <v>1110</v>
      </c>
      <c r="B109">
        <v>853564350</v>
      </c>
      <c r="C109" t="s">
        <v>1111</v>
      </c>
      <c r="D109" t="s">
        <v>1111</v>
      </c>
      <c r="E109" t="s">
        <v>60</v>
      </c>
      <c r="F109" t="s">
        <v>61</v>
      </c>
      <c r="I109" t="s">
        <v>39</v>
      </c>
      <c r="J109" t="s">
        <v>40</v>
      </c>
      <c r="K109" t="s">
        <v>41</v>
      </c>
      <c r="L109" t="s">
        <v>673</v>
      </c>
      <c r="N109" t="s">
        <v>43</v>
      </c>
      <c r="O109" t="s">
        <v>310</v>
      </c>
      <c r="P109">
        <v>12</v>
      </c>
      <c r="Q109">
        <v>12</v>
      </c>
      <c r="S109" t="s">
        <v>39</v>
      </c>
      <c r="V109" t="s">
        <v>39</v>
      </c>
      <c r="X109">
        <v>22001</v>
      </c>
      <c r="Y109" t="s">
        <v>47</v>
      </c>
      <c r="Z109">
        <v>22</v>
      </c>
      <c r="AA109">
        <v>505</v>
      </c>
      <c r="AB109" t="s">
        <v>75</v>
      </c>
      <c r="AC109">
        <v>0.504</v>
      </c>
      <c r="AD109">
        <v>847</v>
      </c>
      <c r="AE109" t="s">
        <v>48</v>
      </c>
      <c r="AF109">
        <v>0.84599999999999997</v>
      </c>
      <c r="AG109">
        <v>645</v>
      </c>
      <c r="AH109" t="s">
        <v>49</v>
      </c>
      <c r="AI109">
        <v>0.64400000000000002</v>
      </c>
      <c r="AJ109" t="s">
        <v>1156</v>
      </c>
    </row>
    <row r="110" spans="1:36" x14ac:dyDescent="0.25">
      <c r="A110" t="s">
        <v>1106</v>
      </c>
      <c r="B110">
        <v>881534407</v>
      </c>
      <c r="C110" t="s">
        <v>1107</v>
      </c>
      <c r="D110" t="s">
        <v>1107</v>
      </c>
      <c r="E110" t="s">
        <v>60</v>
      </c>
      <c r="F110" t="s">
        <v>88</v>
      </c>
      <c r="I110" t="s">
        <v>39</v>
      </c>
      <c r="J110" t="s">
        <v>40</v>
      </c>
      <c r="K110" t="s">
        <v>41</v>
      </c>
      <c r="L110" t="s">
        <v>42</v>
      </c>
      <c r="N110" t="s">
        <v>43</v>
      </c>
      <c r="O110" t="s">
        <v>409</v>
      </c>
      <c r="P110">
        <v>14</v>
      </c>
      <c r="Q110">
        <v>14</v>
      </c>
      <c r="R110">
        <v>121</v>
      </c>
      <c r="S110" t="s">
        <v>56</v>
      </c>
      <c r="T110">
        <v>0.12</v>
      </c>
      <c r="U110">
        <v>706</v>
      </c>
      <c r="V110" t="s">
        <v>113</v>
      </c>
      <c r="W110">
        <v>0.70499999999999996</v>
      </c>
      <c r="X110">
        <v>21001</v>
      </c>
      <c r="Y110" t="s">
        <v>47</v>
      </c>
      <c r="Z110">
        <v>21</v>
      </c>
      <c r="AA110">
        <v>488</v>
      </c>
      <c r="AB110" t="s">
        <v>47</v>
      </c>
      <c r="AC110">
        <v>0.48699999999999999</v>
      </c>
      <c r="AD110">
        <v>911</v>
      </c>
      <c r="AE110" t="s">
        <v>48</v>
      </c>
      <c r="AF110">
        <v>0.91</v>
      </c>
      <c r="AG110">
        <v>628</v>
      </c>
      <c r="AH110" t="s">
        <v>49</v>
      </c>
      <c r="AI110">
        <v>0.627</v>
      </c>
      <c r="AJ110" t="s">
        <v>50</v>
      </c>
    </row>
    <row r="111" spans="1:36" x14ac:dyDescent="0.25">
      <c r="A111" t="s">
        <v>1106</v>
      </c>
      <c r="B111">
        <v>881534407</v>
      </c>
      <c r="C111" t="s">
        <v>1107</v>
      </c>
      <c r="D111" t="s">
        <v>1107</v>
      </c>
      <c r="E111" t="s">
        <v>60</v>
      </c>
      <c r="F111" t="s">
        <v>88</v>
      </c>
      <c r="I111" t="s">
        <v>39</v>
      </c>
      <c r="J111" t="s">
        <v>40</v>
      </c>
      <c r="K111" t="s">
        <v>41</v>
      </c>
      <c r="L111" t="s">
        <v>42</v>
      </c>
      <c r="N111" t="s">
        <v>43</v>
      </c>
      <c r="O111" t="s">
        <v>409</v>
      </c>
      <c r="P111">
        <v>14</v>
      </c>
      <c r="Q111">
        <v>14</v>
      </c>
      <c r="R111">
        <v>71</v>
      </c>
      <c r="S111" t="s">
        <v>56</v>
      </c>
      <c r="T111">
        <v>7.0000000000000007E-2</v>
      </c>
      <c r="U111">
        <v>784</v>
      </c>
      <c r="V111" t="s">
        <v>113</v>
      </c>
      <c r="W111">
        <v>0.78300000000000003</v>
      </c>
      <c r="X111">
        <v>21001</v>
      </c>
      <c r="Y111" t="s">
        <v>47</v>
      </c>
      <c r="Z111">
        <v>21</v>
      </c>
      <c r="AA111">
        <v>488</v>
      </c>
      <c r="AB111" t="s">
        <v>47</v>
      </c>
      <c r="AC111">
        <v>0.48699999999999999</v>
      </c>
      <c r="AD111">
        <v>911</v>
      </c>
      <c r="AE111" t="s">
        <v>48</v>
      </c>
      <c r="AF111">
        <v>0.91</v>
      </c>
      <c r="AG111">
        <v>628</v>
      </c>
      <c r="AH111" t="s">
        <v>49</v>
      </c>
      <c r="AI111">
        <v>0.627</v>
      </c>
      <c r="AJ111" t="s">
        <v>1141</v>
      </c>
    </row>
    <row r="112" spans="1:36" x14ac:dyDescent="0.25">
      <c r="A112" t="s">
        <v>1106</v>
      </c>
      <c r="B112">
        <v>881534407</v>
      </c>
      <c r="C112" t="s">
        <v>1107</v>
      </c>
      <c r="D112" t="s">
        <v>1107</v>
      </c>
      <c r="E112" t="s">
        <v>60</v>
      </c>
      <c r="F112" t="s">
        <v>88</v>
      </c>
      <c r="I112" t="s">
        <v>39</v>
      </c>
      <c r="J112" t="s">
        <v>40</v>
      </c>
      <c r="K112" t="s">
        <v>41</v>
      </c>
      <c r="L112" t="s">
        <v>42</v>
      </c>
      <c r="N112" t="s">
        <v>43</v>
      </c>
      <c r="O112" t="s">
        <v>409</v>
      </c>
      <c r="P112">
        <v>14</v>
      </c>
      <c r="Q112">
        <v>14</v>
      </c>
      <c r="R112">
        <v>121</v>
      </c>
      <c r="S112" t="s">
        <v>56</v>
      </c>
      <c r="T112">
        <v>0.12</v>
      </c>
      <c r="U112">
        <v>706</v>
      </c>
      <c r="V112" t="s">
        <v>113</v>
      </c>
      <c r="W112">
        <v>0.70499999999999996</v>
      </c>
      <c r="X112">
        <v>21001</v>
      </c>
      <c r="Y112" t="s">
        <v>47</v>
      </c>
      <c r="Z112">
        <v>21</v>
      </c>
      <c r="AA112">
        <v>488</v>
      </c>
      <c r="AB112" t="s">
        <v>47</v>
      </c>
      <c r="AC112">
        <v>0.48699999999999999</v>
      </c>
      <c r="AD112">
        <v>911</v>
      </c>
      <c r="AE112" t="s">
        <v>48</v>
      </c>
      <c r="AF112">
        <v>0.91</v>
      </c>
      <c r="AG112">
        <v>628</v>
      </c>
      <c r="AH112" t="s">
        <v>49</v>
      </c>
      <c r="AI112">
        <v>0.627</v>
      </c>
      <c r="AJ112" t="s">
        <v>1153</v>
      </c>
    </row>
    <row r="113" spans="1:36" x14ac:dyDescent="0.25">
      <c r="A113" t="s">
        <v>1106</v>
      </c>
      <c r="B113">
        <v>881534407</v>
      </c>
      <c r="C113" t="s">
        <v>1107</v>
      </c>
      <c r="D113" t="s">
        <v>1107</v>
      </c>
      <c r="E113" t="s">
        <v>60</v>
      </c>
      <c r="F113" t="s">
        <v>88</v>
      </c>
      <c r="I113" t="s">
        <v>39</v>
      </c>
      <c r="J113" t="s">
        <v>40</v>
      </c>
      <c r="K113" t="s">
        <v>41</v>
      </c>
      <c r="L113" t="s">
        <v>42</v>
      </c>
      <c r="N113" t="s">
        <v>43</v>
      </c>
      <c r="O113" t="s">
        <v>409</v>
      </c>
      <c r="P113">
        <v>14</v>
      </c>
      <c r="Q113">
        <v>14</v>
      </c>
      <c r="R113">
        <v>121</v>
      </c>
      <c r="S113" t="s">
        <v>56</v>
      </c>
      <c r="T113">
        <v>0.12</v>
      </c>
      <c r="U113">
        <v>706</v>
      </c>
      <c r="V113" t="s">
        <v>113</v>
      </c>
      <c r="W113">
        <v>0.70499999999999996</v>
      </c>
      <c r="X113">
        <v>21001</v>
      </c>
      <c r="Y113" t="s">
        <v>47</v>
      </c>
      <c r="Z113">
        <v>21</v>
      </c>
      <c r="AA113">
        <v>488</v>
      </c>
      <c r="AB113" t="s">
        <v>47</v>
      </c>
      <c r="AC113">
        <v>0.48699999999999999</v>
      </c>
      <c r="AD113">
        <v>911</v>
      </c>
      <c r="AE113" t="s">
        <v>48</v>
      </c>
      <c r="AF113">
        <v>0.91</v>
      </c>
      <c r="AG113">
        <v>628</v>
      </c>
      <c r="AH113" t="s">
        <v>49</v>
      </c>
      <c r="AI113">
        <v>0.627</v>
      </c>
      <c r="AJ113" t="s">
        <v>1154</v>
      </c>
    </row>
    <row r="114" spans="1:36" x14ac:dyDescent="0.25">
      <c r="A114" t="s">
        <v>1106</v>
      </c>
      <c r="B114">
        <v>881534407</v>
      </c>
      <c r="C114" t="s">
        <v>1107</v>
      </c>
      <c r="D114" t="s">
        <v>1107</v>
      </c>
      <c r="E114" t="s">
        <v>60</v>
      </c>
      <c r="F114" t="s">
        <v>88</v>
      </c>
      <c r="I114" t="s">
        <v>39</v>
      </c>
      <c r="J114" t="s">
        <v>40</v>
      </c>
      <c r="K114" t="s">
        <v>41</v>
      </c>
      <c r="L114" t="s">
        <v>42</v>
      </c>
      <c r="N114" t="s">
        <v>43</v>
      </c>
      <c r="O114" t="s">
        <v>409</v>
      </c>
      <c r="P114">
        <v>14</v>
      </c>
      <c r="Q114">
        <v>14</v>
      </c>
      <c r="S114" t="s">
        <v>39</v>
      </c>
      <c r="V114" t="s">
        <v>39</v>
      </c>
      <c r="X114">
        <v>21001</v>
      </c>
      <c r="Y114" t="s">
        <v>47</v>
      </c>
      <c r="Z114">
        <v>21</v>
      </c>
      <c r="AA114">
        <v>488</v>
      </c>
      <c r="AB114" t="s">
        <v>47</v>
      </c>
      <c r="AC114">
        <v>0.48699999999999999</v>
      </c>
      <c r="AD114">
        <v>911</v>
      </c>
      <c r="AE114" t="s">
        <v>48</v>
      </c>
      <c r="AF114">
        <v>0.91</v>
      </c>
      <c r="AG114">
        <v>628</v>
      </c>
      <c r="AH114" t="s">
        <v>49</v>
      </c>
      <c r="AI114">
        <v>0.627</v>
      </c>
      <c r="AJ114" t="s">
        <v>1155</v>
      </c>
    </row>
    <row r="115" spans="1:36" x14ac:dyDescent="0.25">
      <c r="A115" t="s">
        <v>1106</v>
      </c>
      <c r="B115">
        <v>881534407</v>
      </c>
      <c r="C115" t="s">
        <v>1107</v>
      </c>
      <c r="D115" t="s">
        <v>1107</v>
      </c>
      <c r="E115" t="s">
        <v>60</v>
      </c>
      <c r="F115" t="s">
        <v>88</v>
      </c>
      <c r="I115" t="s">
        <v>39</v>
      </c>
      <c r="J115" t="s">
        <v>40</v>
      </c>
      <c r="K115" t="s">
        <v>41</v>
      </c>
      <c r="L115" t="s">
        <v>42</v>
      </c>
      <c r="N115" t="s">
        <v>43</v>
      </c>
      <c r="O115" t="s">
        <v>409</v>
      </c>
      <c r="P115">
        <v>14</v>
      </c>
      <c r="Q115">
        <v>14</v>
      </c>
      <c r="S115" t="s">
        <v>39</v>
      </c>
      <c r="V115" t="s">
        <v>39</v>
      </c>
      <c r="X115">
        <v>21001</v>
      </c>
      <c r="Y115" t="s">
        <v>47</v>
      </c>
      <c r="Z115">
        <v>21</v>
      </c>
      <c r="AA115">
        <v>488</v>
      </c>
      <c r="AB115" t="s">
        <v>47</v>
      </c>
      <c r="AC115">
        <v>0.48699999999999999</v>
      </c>
      <c r="AD115">
        <v>911</v>
      </c>
      <c r="AE115" t="s">
        <v>48</v>
      </c>
      <c r="AF115">
        <v>0.91</v>
      </c>
      <c r="AG115">
        <v>628</v>
      </c>
      <c r="AH115" t="s">
        <v>49</v>
      </c>
      <c r="AI115">
        <v>0.627</v>
      </c>
      <c r="AJ115" t="s">
        <v>1156</v>
      </c>
    </row>
    <row r="116" spans="1:36" x14ac:dyDescent="0.25">
      <c r="A116" t="s">
        <v>1104</v>
      </c>
      <c r="B116">
        <v>856030216</v>
      </c>
      <c r="C116" t="s">
        <v>1105</v>
      </c>
      <c r="D116" t="s">
        <v>1105</v>
      </c>
      <c r="E116" t="s">
        <v>37</v>
      </c>
      <c r="F116" t="s">
        <v>127</v>
      </c>
      <c r="I116" t="s">
        <v>39</v>
      </c>
      <c r="J116" t="s">
        <v>40</v>
      </c>
      <c r="K116" t="s">
        <v>41</v>
      </c>
      <c r="L116" t="s">
        <v>248</v>
      </c>
      <c r="M116" t="s">
        <v>73</v>
      </c>
      <c r="N116" t="s">
        <v>43</v>
      </c>
      <c r="O116" t="s">
        <v>378</v>
      </c>
      <c r="P116">
        <v>14</v>
      </c>
      <c r="Q116">
        <v>14</v>
      </c>
      <c r="R116">
        <v>11</v>
      </c>
      <c r="S116" t="s">
        <v>45</v>
      </c>
      <c r="T116">
        <v>0.01</v>
      </c>
      <c r="U116">
        <v>706</v>
      </c>
      <c r="V116" t="s">
        <v>113</v>
      </c>
      <c r="W116">
        <v>0.70499999999999996</v>
      </c>
      <c r="X116">
        <v>21001</v>
      </c>
      <c r="Y116" t="s">
        <v>47</v>
      </c>
      <c r="Z116">
        <v>21</v>
      </c>
      <c r="AA116">
        <v>596</v>
      </c>
      <c r="AB116" t="s">
        <v>75</v>
      </c>
      <c r="AC116">
        <v>0.59499999999999997</v>
      </c>
      <c r="AD116">
        <v>932</v>
      </c>
      <c r="AE116" t="s">
        <v>48</v>
      </c>
      <c r="AF116">
        <v>0.93100000000000005</v>
      </c>
      <c r="AG116">
        <v>498</v>
      </c>
      <c r="AH116" t="s">
        <v>57</v>
      </c>
      <c r="AI116">
        <v>0.497</v>
      </c>
      <c r="AJ116" t="s">
        <v>50</v>
      </c>
    </row>
    <row r="117" spans="1:36" x14ac:dyDescent="0.25">
      <c r="A117" t="s">
        <v>1104</v>
      </c>
      <c r="B117">
        <v>856030216</v>
      </c>
      <c r="C117" t="s">
        <v>1105</v>
      </c>
      <c r="D117" t="s">
        <v>1105</v>
      </c>
      <c r="E117" t="s">
        <v>37</v>
      </c>
      <c r="F117" t="s">
        <v>127</v>
      </c>
      <c r="I117" t="s">
        <v>39</v>
      </c>
      <c r="J117" t="s">
        <v>40</v>
      </c>
      <c r="K117" t="s">
        <v>41</v>
      </c>
      <c r="L117" t="s">
        <v>248</v>
      </c>
      <c r="M117" t="s">
        <v>73</v>
      </c>
      <c r="N117" t="s">
        <v>43</v>
      </c>
      <c r="O117" t="s">
        <v>378</v>
      </c>
      <c r="P117">
        <v>14</v>
      </c>
      <c r="Q117">
        <v>14</v>
      </c>
      <c r="R117">
        <v>1</v>
      </c>
      <c r="S117" t="s">
        <v>45</v>
      </c>
      <c r="T117">
        <v>0</v>
      </c>
      <c r="U117">
        <v>971</v>
      </c>
      <c r="V117" t="s">
        <v>46</v>
      </c>
      <c r="W117">
        <v>0.97</v>
      </c>
      <c r="X117">
        <v>21001</v>
      </c>
      <c r="Y117" t="s">
        <v>47</v>
      </c>
      <c r="Z117">
        <v>21</v>
      </c>
      <c r="AA117">
        <v>596</v>
      </c>
      <c r="AB117" t="s">
        <v>75</v>
      </c>
      <c r="AC117">
        <v>0.59499999999999997</v>
      </c>
      <c r="AD117">
        <v>932</v>
      </c>
      <c r="AE117" t="s">
        <v>48</v>
      </c>
      <c r="AF117">
        <v>0.93100000000000005</v>
      </c>
      <c r="AG117">
        <v>498</v>
      </c>
      <c r="AH117" t="s">
        <v>57</v>
      </c>
      <c r="AI117">
        <v>0.497</v>
      </c>
      <c r="AJ117" t="s">
        <v>1141</v>
      </c>
    </row>
    <row r="118" spans="1:36" x14ac:dyDescent="0.25">
      <c r="A118" t="s">
        <v>1104</v>
      </c>
      <c r="B118">
        <v>856030216</v>
      </c>
      <c r="C118" t="s">
        <v>1105</v>
      </c>
      <c r="D118" t="s">
        <v>1105</v>
      </c>
      <c r="E118" t="s">
        <v>37</v>
      </c>
      <c r="F118" t="s">
        <v>127</v>
      </c>
      <c r="I118" t="s">
        <v>39</v>
      </c>
      <c r="J118" t="s">
        <v>40</v>
      </c>
      <c r="K118" t="s">
        <v>41</v>
      </c>
      <c r="L118" t="s">
        <v>248</v>
      </c>
      <c r="M118" t="s">
        <v>73</v>
      </c>
      <c r="N118" t="s">
        <v>43</v>
      </c>
      <c r="O118" t="s">
        <v>378</v>
      </c>
      <c r="P118">
        <v>14</v>
      </c>
      <c r="Q118">
        <v>14</v>
      </c>
      <c r="R118">
        <v>11</v>
      </c>
      <c r="S118" t="s">
        <v>45</v>
      </c>
      <c r="T118">
        <v>0.01</v>
      </c>
      <c r="U118">
        <v>706</v>
      </c>
      <c r="V118" t="s">
        <v>113</v>
      </c>
      <c r="W118">
        <v>0.70499999999999996</v>
      </c>
      <c r="X118">
        <v>21001</v>
      </c>
      <c r="Y118" t="s">
        <v>47</v>
      </c>
      <c r="Z118">
        <v>21</v>
      </c>
      <c r="AA118">
        <v>596</v>
      </c>
      <c r="AB118" t="s">
        <v>75</v>
      </c>
      <c r="AC118">
        <v>0.59499999999999997</v>
      </c>
      <c r="AD118">
        <v>932</v>
      </c>
      <c r="AE118" t="s">
        <v>48</v>
      </c>
      <c r="AF118">
        <v>0.93100000000000005</v>
      </c>
      <c r="AG118">
        <v>498</v>
      </c>
      <c r="AH118" t="s">
        <v>57</v>
      </c>
      <c r="AI118">
        <v>0.497</v>
      </c>
      <c r="AJ118" t="s">
        <v>1153</v>
      </c>
    </row>
    <row r="119" spans="1:36" x14ac:dyDescent="0.25">
      <c r="A119" t="s">
        <v>1104</v>
      </c>
      <c r="B119">
        <v>856030216</v>
      </c>
      <c r="C119" t="s">
        <v>1105</v>
      </c>
      <c r="D119" t="s">
        <v>1105</v>
      </c>
      <c r="E119" t="s">
        <v>37</v>
      </c>
      <c r="F119" t="s">
        <v>127</v>
      </c>
      <c r="I119" t="s">
        <v>39</v>
      </c>
      <c r="J119" t="s">
        <v>40</v>
      </c>
      <c r="K119" t="s">
        <v>41</v>
      </c>
      <c r="L119" t="s">
        <v>248</v>
      </c>
      <c r="M119" t="s">
        <v>73</v>
      </c>
      <c r="N119" t="s">
        <v>43</v>
      </c>
      <c r="O119" t="s">
        <v>378</v>
      </c>
      <c r="P119">
        <v>14</v>
      </c>
      <c r="Q119">
        <v>14</v>
      </c>
      <c r="R119">
        <v>11</v>
      </c>
      <c r="S119" t="s">
        <v>45</v>
      </c>
      <c r="T119">
        <v>0.01</v>
      </c>
      <c r="U119">
        <v>706</v>
      </c>
      <c r="V119" t="s">
        <v>113</v>
      </c>
      <c r="W119">
        <v>0.70499999999999996</v>
      </c>
      <c r="X119">
        <v>21001</v>
      </c>
      <c r="Y119" t="s">
        <v>47</v>
      </c>
      <c r="Z119">
        <v>21</v>
      </c>
      <c r="AA119">
        <v>596</v>
      </c>
      <c r="AB119" t="s">
        <v>75</v>
      </c>
      <c r="AC119">
        <v>0.59499999999999997</v>
      </c>
      <c r="AD119">
        <v>932</v>
      </c>
      <c r="AE119" t="s">
        <v>48</v>
      </c>
      <c r="AF119">
        <v>0.93100000000000005</v>
      </c>
      <c r="AG119">
        <v>498</v>
      </c>
      <c r="AH119" t="s">
        <v>57</v>
      </c>
      <c r="AI119">
        <v>0.497</v>
      </c>
      <c r="AJ119" t="s">
        <v>1154</v>
      </c>
    </row>
    <row r="120" spans="1:36" x14ac:dyDescent="0.25">
      <c r="A120" t="s">
        <v>1104</v>
      </c>
      <c r="B120">
        <v>856030216</v>
      </c>
      <c r="C120" t="s">
        <v>1105</v>
      </c>
      <c r="D120" t="s">
        <v>1105</v>
      </c>
      <c r="E120" t="s">
        <v>37</v>
      </c>
      <c r="F120" t="s">
        <v>127</v>
      </c>
      <c r="I120" t="s">
        <v>39</v>
      </c>
      <c r="J120" t="s">
        <v>40</v>
      </c>
      <c r="K120" t="s">
        <v>41</v>
      </c>
      <c r="L120" t="s">
        <v>248</v>
      </c>
      <c r="M120" t="s">
        <v>73</v>
      </c>
      <c r="N120" t="s">
        <v>43</v>
      </c>
      <c r="O120" t="s">
        <v>378</v>
      </c>
      <c r="P120">
        <v>14</v>
      </c>
      <c r="Q120">
        <v>14</v>
      </c>
      <c r="S120" t="s">
        <v>39</v>
      </c>
      <c r="V120" t="s">
        <v>39</v>
      </c>
      <c r="X120">
        <v>21001</v>
      </c>
      <c r="Y120" t="s">
        <v>47</v>
      </c>
      <c r="Z120">
        <v>21</v>
      </c>
      <c r="AA120">
        <v>596</v>
      </c>
      <c r="AB120" t="s">
        <v>75</v>
      </c>
      <c r="AC120">
        <v>0.59499999999999997</v>
      </c>
      <c r="AD120">
        <v>932</v>
      </c>
      <c r="AE120" t="s">
        <v>48</v>
      </c>
      <c r="AF120">
        <v>0.93100000000000005</v>
      </c>
      <c r="AG120">
        <v>498</v>
      </c>
      <c r="AH120" t="s">
        <v>57</v>
      </c>
      <c r="AI120">
        <v>0.497</v>
      </c>
      <c r="AJ120" t="s">
        <v>1155</v>
      </c>
    </row>
    <row r="121" spans="1:36" x14ac:dyDescent="0.25">
      <c r="A121" t="s">
        <v>1104</v>
      </c>
      <c r="B121">
        <v>856030216</v>
      </c>
      <c r="C121" t="s">
        <v>1105</v>
      </c>
      <c r="D121" t="s">
        <v>1105</v>
      </c>
      <c r="E121" t="s">
        <v>37</v>
      </c>
      <c r="F121" t="s">
        <v>127</v>
      </c>
      <c r="I121" t="s">
        <v>39</v>
      </c>
      <c r="J121" t="s">
        <v>40</v>
      </c>
      <c r="K121" t="s">
        <v>41</v>
      </c>
      <c r="L121" t="s">
        <v>248</v>
      </c>
      <c r="M121" t="s">
        <v>73</v>
      </c>
      <c r="N121" t="s">
        <v>43</v>
      </c>
      <c r="O121" t="s">
        <v>378</v>
      </c>
      <c r="P121">
        <v>14</v>
      </c>
      <c r="Q121">
        <v>14</v>
      </c>
      <c r="S121" t="s">
        <v>39</v>
      </c>
      <c r="V121" t="s">
        <v>39</v>
      </c>
      <c r="X121">
        <v>21001</v>
      </c>
      <c r="Y121" t="s">
        <v>47</v>
      </c>
      <c r="Z121">
        <v>21</v>
      </c>
      <c r="AA121">
        <v>596</v>
      </c>
      <c r="AB121" t="s">
        <v>75</v>
      </c>
      <c r="AC121">
        <v>0.59499999999999997</v>
      </c>
      <c r="AD121">
        <v>932</v>
      </c>
      <c r="AE121" t="s">
        <v>48</v>
      </c>
      <c r="AF121">
        <v>0.93100000000000005</v>
      </c>
      <c r="AG121">
        <v>498</v>
      </c>
      <c r="AH121" t="s">
        <v>57</v>
      </c>
      <c r="AI121">
        <v>0.497</v>
      </c>
      <c r="AJ121" t="s">
        <v>1156</v>
      </c>
    </row>
    <row r="122" spans="1:36" x14ac:dyDescent="0.25">
      <c r="A122" t="s">
        <v>1102</v>
      </c>
      <c r="B122">
        <v>872098677</v>
      </c>
      <c r="C122" t="s">
        <v>1103</v>
      </c>
      <c r="D122" t="s">
        <v>1103</v>
      </c>
      <c r="E122" t="s">
        <v>65</v>
      </c>
      <c r="F122" t="s">
        <v>93</v>
      </c>
      <c r="I122" t="s">
        <v>39</v>
      </c>
      <c r="J122" t="s">
        <v>40</v>
      </c>
      <c r="K122" t="s">
        <v>41</v>
      </c>
      <c r="L122" t="s">
        <v>173</v>
      </c>
      <c r="N122" t="s">
        <v>43</v>
      </c>
      <c r="O122" t="s">
        <v>1101</v>
      </c>
      <c r="P122">
        <v>16</v>
      </c>
      <c r="Q122">
        <v>16</v>
      </c>
      <c r="R122">
        <v>11</v>
      </c>
      <c r="S122" t="s">
        <v>45</v>
      </c>
      <c r="T122">
        <v>0.01</v>
      </c>
      <c r="U122">
        <v>867</v>
      </c>
      <c r="V122" t="s">
        <v>113</v>
      </c>
      <c r="W122">
        <v>0.86599999999999999</v>
      </c>
      <c r="X122">
        <v>22001</v>
      </c>
      <c r="Y122" t="s">
        <v>47</v>
      </c>
      <c r="Z122">
        <v>22</v>
      </c>
      <c r="AA122">
        <v>597</v>
      </c>
      <c r="AB122" t="s">
        <v>75</v>
      </c>
      <c r="AC122">
        <v>0.59599999999999997</v>
      </c>
      <c r="AD122">
        <v>911</v>
      </c>
      <c r="AE122" t="s">
        <v>48</v>
      </c>
      <c r="AF122">
        <v>0.91</v>
      </c>
      <c r="AG122">
        <v>628</v>
      </c>
      <c r="AH122" t="s">
        <v>49</v>
      </c>
      <c r="AI122">
        <v>0.627</v>
      </c>
      <c r="AJ122" t="s">
        <v>50</v>
      </c>
    </row>
    <row r="123" spans="1:36" x14ac:dyDescent="0.25">
      <c r="A123" t="s">
        <v>1102</v>
      </c>
      <c r="B123">
        <v>872098677</v>
      </c>
      <c r="C123" t="s">
        <v>1103</v>
      </c>
      <c r="D123" t="s">
        <v>1103</v>
      </c>
      <c r="E123" t="s">
        <v>65</v>
      </c>
      <c r="F123" t="s">
        <v>93</v>
      </c>
      <c r="I123" t="s">
        <v>39</v>
      </c>
      <c r="J123" t="s">
        <v>40</v>
      </c>
      <c r="K123" t="s">
        <v>41</v>
      </c>
      <c r="L123" t="s">
        <v>173</v>
      </c>
      <c r="N123" t="s">
        <v>43</v>
      </c>
      <c r="O123" t="s">
        <v>1101</v>
      </c>
      <c r="P123">
        <v>16</v>
      </c>
      <c r="Q123">
        <v>16</v>
      </c>
      <c r="R123">
        <v>1</v>
      </c>
      <c r="S123" t="s">
        <v>45</v>
      </c>
      <c r="T123">
        <v>0</v>
      </c>
      <c r="U123">
        <v>958</v>
      </c>
      <c r="V123" t="s">
        <v>46</v>
      </c>
      <c r="W123">
        <v>0.95699999999999996</v>
      </c>
      <c r="X123">
        <v>22001</v>
      </c>
      <c r="Y123" t="s">
        <v>47</v>
      </c>
      <c r="Z123">
        <v>22</v>
      </c>
      <c r="AA123">
        <v>597</v>
      </c>
      <c r="AB123" t="s">
        <v>75</v>
      </c>
      <c r="AC123">
        <v>0.59599999999999997</v>
      </c>
      <c r="AD123">
        <v>911</v>
      </c>
      <c r="AE123" t="s">
        <v>48</v>
      </c>
      <c r="AF123">
        <v>0.91</v>
      </c>
      <c r="AG123">
        <v>628</v>
      </c>
      <c r="AH123" t="s">
        <v>49</v>
      </c>
      <c r="AI123">
        <v>0.627</v>
      </c>
      <c r="AJ123" t="s">
        <v>1141</v>
      </c>
    </row>
    <row r="124" spans="1:36" x14ac:dyDescent="0.25">
      <c r="A124" t="s">
        <v>1102</v>
      </c>
      <c r="B124">
        <v>872098677</v>
      </c>
      <c r="C124" t="s">
        <v>1103</v>
      </c>
      <c r="D124" t="s">
        <v>1103</v>
      </c>
      <c r="E124" t="s">
        <v>65</v>
      </c>
      <c r="F124" t="s">
        <v>93</v>
      </c>
      <c r="I124" t="s">
        <v>39</v>
      </c>
      <c r="J124" t="s">
        <v>40</v>
      </c>
      <c r="K124" t="s">
        <v>41</v>
      </c>
      <c r="L124" t="s">
        <v>173</v>
      </c>
      <c r="N124" t="s">
        <v>43</v>
      </c>
      <c r="O124" t="s">
        <v>1101</v>
      </c>
      <c r="P124">
        <v>16</v>
      </c>
      <c r="Q124">
        <v>16</v>
      </c>
      <c r="R124">
        <v>11</v>
      </c>
      <c r="S124" t="s">
        <v>45</v>
      </c>
      <c r="T124">
        <v>0.01</v>
      </c>
      <c r="U124">
        <v>867</v>
      </c>
      <c r="V124" t="s">
        <v>113</v>
      </c>
      <c r="W124">
        <v>0.86599999999999999</v>
      </c>
      <c r="X124">
        <v>22001</v>
      </c>
      <c r="Y124" t="s">
        <v>47</v>
      </c>
      <c r="Z124">
        <v>22</v>
      </c>
      <c r="AA124">
        <v>597</v>
      </c>
      <c r="AB124" t="s">
        <v>75</v>
      </c>
      <c r="AC124">
        <v>0.59599999999999997</v>
      </c>
      <c r="AD124">
        <v>911</v>
      </c>
      <c r="AE124" t="s">
        <v>48</v>
      </c>
      <c r="AF124">
        <v>0.91</v>
      </c>
      <c r="AG124">
        <v>628</v>
      </c>
      <c r="AH124" t="s">
        <v>49</v>
      </c>
      <c r="AI124">
        <v>0.627</v>
      </c>
      <c r="AJ124" t="s">
        <v>1153</v>
      </c>
    </row>
    <row r="125" spans="1:36" x14ac:dyDescent="0.25">
      <c r="A125" t="s">
        <v>1102</v>
      </c>
      <c r="B125">
        <v>872098677</v>
      </c>
      <c r="C125" t="s">
        <v>1103</v>
      </c>
      <c r="D125" t="s">
        <v>1103</v>
      </c>
      <c r="E125" t="s">
        <v>65</v>
      </c>
      <c r="F125" t="s">
        <v>93</v>
      </c>
      <c r="I125" t="s">
        <v>39</v>
      </c>
      <c r="J125" t="s">
        <v>40</v>
      </c>
      <c r="K125" t="s">
        <v>41</v>
      </c>
      <c r="L125" t="s">
        <v>173</v>
      </c>
      <c r="N125" t="s">
        <v>43</v>
      </c>
      <c r="O125" t="s">
        <v>1101</v>
      </c>
      <c r="P125">
        <v>16</v>
      </c>
      <c r="Q125">
        <v>16</v>
      </c>
      <c r="R125">
        <v>11</v>
      </c>
      <c r="S125" t="s">
        <v>45</v>
      </c>
      <c r="T125">
        <v>0.01</v>
      </c>
      <c r="U125">
        <v>867</v>
      </c>
      <c r="V125" t="s">
        <v>113</v>
      </c>
      <c r="W125">
        <v>0.86599999999999999</v>
      </c>
      <c r="X125">
        <v>22001</v>
      </c>
      <c r="Y125" t="s">
        <v>47</v>
      </c>
      <c r="Z125">
        <v>22</v>
      </c>
      <c r="AA125">
        <v>597</v>
      </c>
      <c r="AB125" t="s">
        <v>75</v>
      </c>
      <c r="AC125">
        <v>0.59599999999999997</v>
      </c>
      <c r="AD125">
        <v>911</v>
      </c>
      <c r="AE125" t="s">
        <v>48</v>
      </c>
      <c r="AF125">
        <v>0.91</v>
      </c>
      <c r="AG125">
        <v>628</v>
      </c>
      <c r="AH125" t="s">
        <v>49</v>
      </c>
      <c r="AI125">
        <v>0.627</v>
      </c>
      <c r="AJ125" t="s">
        <v>1154</v>
      </c>
    </row>
    <row r="126" spans="1:36" x14ac:dyDescent="0.25">
      <c r="A126" t="s">
        <v>1102</v>
      </c>
      <c r="B126">
        <v>872098677</v>
      </c>
      <c r="C126" t="s">
        <v>1103</v>
      </c>
      <c r="D126" t="s">
        <v>1103</v>
      </c>
      <c r="E126" t="s">
        <v>65</v>
      </c>
      <c r="F126" t="s">
        <v>93</v>
      </c>
      <c r="I126" t="s">
        <v>39</v>
      </c>
      <c r="J126" t="s">
        <v>40</v>
      </c>
      <c r="K126" t="s">
        <v>41</v>
      </c>
      <c r="L126" t="s">
        <v>173</v>
      </c>
      <c r="N126" t="s">
        <v>43</v>
      </c>
      <c r="O126" t="s">
        <v>1101</v>
      </c>
      <c r="P126">
        <v>16</v>
      </c>
      <c r="Q126">
        <v>16</v>
      </c>
      <c r="S126" t="s">
        <v>39</v>
      </c>
      <c r="V126" t="s">
        <v>39</v>
      </c>
      <c r="X126">
        <v>22001</v>
      </c>
      <c r="Y126" t="s">
        <v>47</v>
      </c>
      <c r="Z126">
        <v>22</v>
      </c>
      <c r="AA126">
        <v>597</v>
      </c>
      <c r="AB126" t="s">
        <v>75</v>
      </c>
      <c r="AC126">
        <v>0.59599999999999997</v>
      </c>
      <c r="AD126">
        <v>911</v>
      </c>
      <c r="AE126" t="s">
        <v>48</v>
      </c>
      <c r="AF126">
        <v>0.91</v>
      </c>
      <c r="AG126">
        <v>628</v>
      </c>
      <c r="AH126" t="s">
        <v>49</v>
      </c>
      <c r="AI126">
        <v>0.627</v>
      </c>
      <c r="AJ126" t="s">
        <v>1155</v>
      </c>
    </row>
    <row r="127" spans="1:36" x14ac:dyDescent="0.25">
      <c r="A127" t="s">
        <v>1102</v>
      </c>
      <c r="B127">
        <v>872098677</v>
      </c>
      <c r="C127" t="s">
        <v>1103</v>
      </c>
      <c r="D127" t="s">
        <v>1103</v>
      </c>
      <c r="E127" t="s">
        <v>65</v>
      </c>
      <c r="F127" t="s">
        <v>93</v>
      </c>
      <c r="I127" t="s">
        <v>39</v>
      </c>
      <c r="J127" t="s">
        <v>40</v>
      </c>
      <c r="K127" t="s">
        <v>41</v>
      </c>
      <c r="L127" t="s">
        <v>173</v>
      </c>
      <c r="N127" t="s">
        <v>43</v>
      </c>
      <c r="O127" t="s">
        <v>1101</v>
      </c>
      <c r="P127">
        <v>16</v>
      </c>
      <c r="Q127">
        <v>16</v>
      </c>
      <c r="S127" t="s">
        <v>39</v>
      </c>
      <c r="V127" t="s">
        <v>39</v>
      </c>
      <c r="X127">
        <v>22001</v>
      </c>
      <c r="Y127" t="s">
        <v>47</v>
      </c>
      <c r="Z127">
        <v>22</v>
      </c>
      <c r="AA127">
        <v>597</v>
      </c>
      <c r="AB127" t="s">
        <v>75</v>
      </c>
      <c r="AC127">
        <v>0.59599999999999997</v>
      </c>
      <c r="AD127">
        <v>911</v>
      </c>
      <c r="AE127" t="s">
        <v>48</v>
      </c>
      <c r="AF127">
        <v>0.91</v>
      </c>
      <c r="AG127">
        <v>628</v>
      </c>
      <c r="AH127" t="s">
        <v>49</v>
      </c>
      <c r="AI127">
        <v>0.627</v>
      </c>
      <c r="AJ127" t="s">
        <v>1156</v>
      </c>
    </row>
    <row r="128" spans="1:36" x14ac:dyDescent="0.25">
      <c r="A128" t="s">
        <v>1096</v>
      </c>
      <c r="B128">
        <v>862891121</v>
      </c>
      <c r="C128" t="s">
        <v>1097</v>
      </c>
      <c r="D128" t="s">
        <v>1097</v>
      </c>
      <c r="E128" t="s">
        <v>37</v>
      </c>
      <c r="F128" t="s">
        <v>191</v>
      </c>
      <c r="I128" t="s">
        <v>39</v>
      </c>
      <c r="J128" t="s">
        <v>40</v>
      </c>
      <c r="K128" t="s">
        <v>41</v>
      </c>
      <c r="L128" t="s">
        <v>78</v>
      </c>
      <c r="N128" t="s">
        <v>43</v>
      </c>
      <c r="O128" t="s">
        <v>1098</v>
      </c>
      <c r="P128">
        <v>17</v>
      </c>
      <c r="Q128">
        <v>17</v>
      </c>
      <c r="R128">
        <v>51</v>
      </c>
      <c r="S128" t="s">
        <v>45</v>
      </c>
      <c r="T128">
        <v>0.05</v>
      </c>
      <c r="U128">
        <v>716</v>
      </c>
      <c r="V128" t="s">
        <v>113</v>
      </c>
      <c r="W128">
        <v>0.71499999999999997</v>
      </c>
      <c r="X128">
        <v>18001</v>
      </c>
      <c r="Y128" t="s">
        <v>47</v>
      </c>
      <c r="Z128">
        <v>18</v>
      </c>
      <c r="AA128">
        <v>490</v>
      </c>
      <c r="AB128" t="s">
        <v>47</v>
      </c>
      <c r="AC128">
        <v>0.48899999999999999</v>
      </c>
      <c r="AD128">
        <v>912</v>
      </c>
      <c r="AE128" t="s">
        <v>48</v>
      </c>
      <c r="AF128">
        <v>0.91100000000000003</v>
      </c>
      <c r="AG128">
        <v>602</v>
      </c>
      <c r="AH128" t="s">
        <v>49</v>
      </c>
      <c r="AI128">
        <v>0.60099999999999998</v>
      </c>
      <c r="AJ128" t="s">
        <v>50</v>
      </c>
    </row>
    <row r="129" spans="1:36" x14ac:dyDescent="0.25">
      <c r="A129" t="s">
        <v>1096</v>
      </c>
      <c r="B129">
        <v>862891121</v>
      </c>
      <c r="C129" t="s">
        <v>1097</v>
      </c>
      <c r="D129" t="s">
        <v>1097</v>
      </c>
      <c r="E129" t="s">
        <v>60</v>
      </c>
      <c r="F129" t="s">
        <v>191</v>
      </c>
      <c r="I129" t="s">
        <v>39</v>
      </c>
      <c r="J129" t="s">
        <v>40</v>
      </c>
      <c r="K129" t="s">
        <v>41</v>
      </c>
      <c r="L129" t="s">
        <v>78</v>
      </c>
      <c r="N129" t="s">
        <v>43</v>
      </c>
      <c r="O129" t="s">
        <v>571</v>
      </c>
      <c r="P129">
        <v>17</v>
      </c>
      <c r="Q129">
        <v>17</v>
      </c>
      <c r="R129">
        <v>131</v>
      </c>
      <c r="S129" t="s">
        <v>56</v>
      </c>
      <c r="T129">
        <v>0.13</v>
      </c>
      <c r="U129">
        <v>133</v>
      </c>
      <c r="V129" t="s">
        <v>55</v>
      </c>
      <c r="W129">
        <v>0.13200000000000001</v>
      </c>
      <c r="X129">
        <v>13001</v>
      </c>
      <c r="Y129" t="s">
        <v>47</v>
      </c>
      <c r="Z129">
        <v>13</v>
      </c>
      <c r="AA129">
        <v>409</v>
      </c>
      <c r="AB129" t="s">
        <v>47</v>
      </c>
      <c r="AC129">
        <v>0.40799999999999997</v>
      </c>
      <c r="AD129">
        <v>867</v>
      </c>
      <c r="AE129" t="s">
        <v>48</v>
      </c>
      <c r="AF129">
        <v>0.86599999999999999</v>
      </c>
      <c r="AG129">
        <v>602</v>
      </c>
      <c r="AH129" t="s">
        <v>49</v>
      </c>
      <c r="AI129">
        <v>0.60099999999999998</v>
      </c>
      <c r="AJ129" t="s">
        <v>50</v>
      </c>
    </row>
    <row r="130" spans="1:36" x14ac:dyDescent="0.25">
      <c r="A130" t="s">
        <v>1096</v>
      </c>
      <c r="B130">
        <v>862891121</v>
      </c>
      <c r="C130" t="s">
        <v>1097</v>
      </c>
      <c r="D130" t="s">
        <v>1097</v>
      </c>
      <c r="E130" t="s">
        <v>37</v>
      </c>
      <c r="F130" t="s">
        <v>191</v>
      </c>
      <c r="I130" t="s">
        <v>39</v>
      </c>
      <c r="J130" t="s">
        <v>40</v>
      </c>
      <c r="K130" t="s">
        <v>41</v>
      </c>
      <c r="L130" t="s">
        <v>78</v>
      </c>
      <c r="N130" t="s">
        <v>43</v>
      </c>
      <c r="O130" t="s">
        <v>1098</v>
      </c>
      <c r="P130">
        <v>17</v>
      </c>
      <c r="Q130">
        <v>17</v>
      </c>
      <c r="R130">
        <v>41</v>
      </c>
      <c r="S130" t="s">
        <v>45</v>
      </c>
      <c r="T130">
        <v>0.04</v>
      </c>
      <c r="U130">
        <v>853</v>
      </c>
      <c r="V130" t="s">
        <v>113</v>
      </c>
      <c r="W130">
        <v>0.85199999999999998</v>
      </c>
      <c r="X130">
        <v>18001</v>
      </c>
      <c r="Y130" t="s">
        <v>47</v>
      </c>
      <c r="Z130">
        <v>18</v>
      </c>
      <c r="AA130">
        <v>490</v>
      </c>
      <c r="AB130" t="s">
        <v>47</v>
      </c>
      <c r="AC130">
        <v>0.48899999999999999</v>
      </c>
      <c r="AD130">
        <v>912</v>
      </c>
      <c r="AE130" t="s">
        <v>48</v>
      </c>
      <c r="AF130">
        <v>0.91100000000000003</v>
      </c>
      <c r="AG130">
        <v>602</v>
      </c>
      <c r="AH130" t="s">
        <v>49</v>
      </c>
      <c r="AI130">
        <v>0.60099999999999998</v>
      </c>
      <c r="AJ130" t="s">
        <v>1141</v>
      </c>
    </row>
    <row r="131" spans="1:36" x14ac:dyDescent="0.25">
      <c r="A131" t="s">
        <v>1096</v>
      </c>
      <c r="B131">
        <v>862891121</v>
      </c>
      <c r="C131" t="s">
        <v>1097</v>
      </c>
      <c r="D131" t="s">
        <v>1097</v>
      </c>
      <c r="E131" t="s">
        <v>60</v>
      </c>
      <c r="F131" t="s">
        <v>191</v>
      </c>
      <c r="I131" t="s">
        <v>39</v>
      </c>
      <c r="J131" t="s">
        <v>40</v>
      </c>
      <c r="K131" t="s">
        <v>41</v>
      </c>
      <c r="L131" t="s">
        <v>78</v>
      </c>
      <c r="N131" t="s">
        <v>43</v>
      </c>
      <c r="O131" t="s">
        <v>571</v>
      </c>
      <c r="P131">
        <v>17</v>
      </c>
      <c r="Q131">
        <v>17</v>
      </c>
      <c r="R131">
        <v>141</v>
      </c>
      <c r="S131" t="s">
        <v>56</v>
      </c>
      <c r="T131">
        <v>0.14000000000000001</v>
      </c>
      <c r="U131">
        <v>177</v>
      </c>
      <c r="V131" t="s">
        <v>55</v>
      </c>
      <c r="W131">
        <v>0.17599999999999999</v>
      </c>
      <c r="X131">
        <v>13001</v>
      </c>
      <c r="Y131" t="s">
        <v>47</v>
      </c>
      <c r="Z131">
        <v>13</v>
      </c>
      <c r="AA131">
        <v>409</v>
      </c>
      <c r="AB131" t="s">
        <v>47</v>
      </c>
      <c r="AC131">
        <v>0.40799999999999997</v>
      </c>
      <c r="AD131">
        <v>867</v>
      </c>
      <c r="AE131" t="s">
        <v>48</v>
      </c>
      <c r="AF131">
        <v>0.86599999999999999</v>
      </c>
      <c r="AG131">
        <v>602</v>
      </c>
      <c r="AH131" t="s">
        <v>49</v>
      </c>
      <c r="AI131">
        <v>0.60099999999999998</v>
      </c>
      <c r="AJ131" t="s">
        <v>1141</v>
      </c>
    </row>
    <row r="132" spans="1:36" x14ac:dyDescent="0.25">
      <c r="A132" t="s">
        <v>1096</v>
      </c>
      <c r="B132">
        <v>862891121</v>
      </c>
      <c r="C132" t="s">
        <v>1097</v>
      </c>
      <c r="D132" t="s">
        <v>1097</v>
      </c>
      <c r="E132" t="s">
        <v>37</v>
      </c>
      <c r="F132" t="s">
        <v>191</v>
      </c>
      <c r="I132" t="s">
        <v>39</v>
      </c>
      <c r="J132" t="s">
        <v>40</v>
      </c>
      <c r="K132" t="s">
        <v>41</v>
      </c>
      <c r="L132" t="s">
        <v>78</v>
      </c>
      <c r="N132" t="s">
        <v>43</v>
      </c>
      <c r="O132" t="s">
        <v>1098</v>
      </c>
      <c r="P132">
        <v>17</v>
      </c>
      <c r="Q132">
        <v>17</v>
      </c>
      <c r="R132">
        <v>51</v>
      </c>
      <c r="S132" t="s">
        <v>45</v>
      </c>
      <c r="T132">
        <v>0.05</v>
      </c>
      <c r="U132">
        <v>716</v>
      </c>
      <c r="V132" t="s">
        <v>113</v>
      </c>
      <c r="W132">
        <v>0.71499999999999997</v>
      </c>
      <c r="X132">
        <v>18001</v>
      </c>
      <c r="Y132" t="s">
        <v>47</v>
      </c>
      <c r="Z132">
        <v>18</v>
      </c>
      <c r="AA132">
        <v>490</v>
      </c>
      <c r="AB132" t="s">
        <v>47</v>
      </c>
      <c r="AC132">
        <v>0.48899999999999999</v>
      </c>
      <c r="AD132">
        <v>912</v>
      </c>
      <c r="AE132" t="s">
        <v>48</v>
      </c>
      <c r="AF132">
        <v>0.91100000000000003</v>
      </c>
      <c r="AG132">
        <v>602</v>
      </c>
      <c r="AH132" t="s">
        <v>49</v>
      </c>
      <c r="AI132">
        <v>0.60099999999999998</v>
      </c>
      <c r="AJ132" t="s">
        <v>1153</v>
      </c>
    </row>
    <row r="133" spans="1:36" x14ac:dyDescent="0.25">
      <c r="A133" t="s">
        <v>1096</v>
      </c>
      <c r="B133">
        <v>862891121</v>
      </c>
      <c r="C133" t="s">
        <v>1097</v>
      </c>
      <c r="D133" t="s">
        <v>1097</v>
      </c>
      <c r="E133" t="s">
        <v>60</v>
      </c>
      <c r="F133" t="s">
        <v>191</v>
      </c>
      <c r="I133" t="s">
        <v>39</v>
      </c>
      <c r="J133" t="s">
        <v>40</v>
      </c>
      <c r="K133" t="s">
        <v>41</v>
      </c>
      <c r="L133" t="s">
        <v>78</v>
      </c>
      <c r="N133" t="s">
        <v>43</v>
      </c>
      <c r="O133" t="s">
        <v>571</v>
      </c>
      <c r="P133">
        <v>17</v>
      </c>
      <c r="Q133">
        <v>17</v>
      </c>
      <c r="R133">
        <v>131</v>
      </c>
      <c r="S133" t="s">
        <v>56</v>
      </c>
      <c r="T133">
        <v>0.13</v>
      </c>
      <c r="U133">
        <v>133</v>
      </c>
      <c r="V133" t="s">
        <v>55</v>
      </c>
      <c r="W133">
        <v>0.13200000000000001</v>
      </c>
      <c r="X133">
        <v>13001</v>
      </c>
      <c r="Y133" t="s">
        <v>47</v>
      </c>
      <c r="Z133">
        <v>13</v>
      </c>
      <c r="AA133">
        <v>409</v>
      </c>
      <c r="AB133" t="s">
        <v>47</v>
      </c>
      <c r="AC133">
        <v>0.40799999999999997</v>
      </c>
      <c r="AD133">
        <v>867</v>
      </c>
      <c r="AE133" t="s">
        <v>48</v>
      </c>
      <c r="AF133">
        <v>0.86599999999999999</v>
      </c>
      <c r="AG133">
        <v>602</v>
      </c>
      <c r="AH133" t="s">
        <v>49</v>
      </c>
      <c r="AI133">
        <v>0.60099999999999998</v>
      </c>
      <c r="AJ133" t="s">
        <v>1153</v>
      </c>
    </row>
    <row r="134" spans="1:36" x14ac:dyDescent="0.25">
      <c r="A134" t="s">
        <v>1096</v>
      </c>
      <c r="B134">
        <v>862891121</v>
      </c>
      <c r="C134" t="s">
        <v>1097</v>
      </c>
      <c r="D134" t="s">
        <v>1097</v>
      </c>
      <c r="E134" t="s">
        <v>37</v>
      </c>
      <c r="F134" t="s">
        <v>191</v>
      </c>
      <c r="I134" t="s">
        <v>39</v>
      </c>
      <c r="J134" t="s">
        <v>40</v>
      </c>
      <c r="K134" t="s">
        <v>41</v>
      </c>
      <c r="L134" t="s">
        <v>78</v>
      </c>
      <c r="N134" t="s">
        <v>43</v>
      </c>
      <c r="O134" t="s">
        <v>1098</v>
      </c>
      <c r="P134">
        <v>17</v>
      </c>
      <c r="Q134">
        <v>17</v>
      </c>
      <c r="R134">
        <v>51</v>
      </c>
      <c r="S134" t="s">
        <v>45</v>
      </c>
      <c r="T134">
        <v>0.05</v>
      </c>
      <c r="U134">
        <v>716</v>
      </c>
      <c r="V134" t="s">
        <v>113</v>
      </c>
      <c r="W134">
        <v>0.71499999999999997</v>
      </c>
      <c r="X134">
        <v>18001</v>
      </c>
      <c r="Y134" t="s">
        <v>47</v>
      </c>
      <c r="Z134">
        <v>18</v>
      </c>
      <c r="AA134">
        <v>490</v>
      </c>
      <c r="AB134" t="s">
        <v>47</v>
      </c>
      <c r="AC134">
        <v>0.48899999999999999</v>
      </c>
      <c r="AD134">
        <v>912</v>
      </c>
      <c r="AE134" t="s">
        <v>48</v>
      </c>
      <c r="AF134">
        <v>0.91100000000000003</v>
      </c>
      <c r="AG134">
        <v>602</v>
      </c>
      <c r="AH134" t="s">
        <v>49</v>
      </c>
      <c r="AI134">
        <v>0.60099999999999998</v>
      </c>
      <c r="AJ134" t="s">
        <v>1154</v>
      </c>
    </row>
    <row r="135" spans="1:36" x14ac:dyDescent="0.25">
      <c r="A135" t="s">
        <v>1096</v>
      </c>
      <c r="B135">
        <v>862891121</v>
      </c>
      <c r="C135" t="s">
        <v>1097</v>
      </c>
      <c r="D135" t="s">
        <v>1097</v>
      </c>
      <c r="E135" t="s">
        <v>60</v>
      </c>
      <c r="F135" t="s">
        <v>191</v>
      </c>
      <c r="I135" t="s">
        <v>39</v>
      </c>
      <c r="J135" t="s">
        <v>40</v>
      </c>
      <c r="K135" t="s">
        <v>41</v>
      </c>
      <c r="L135" t="s">
        <v>78</v>
      </c>
      <c r="N135" t="s">
        <v>43</v>
      </c>
      <c r="O135" t="s">
        <v>571</v>
      </c>
      <c r="P135">
        <v>17</v>
      </c>
      <c r="Q135">
        <v>17</v>
      </c>
      <c r="R135">
        <v>131</v>
      </c>
      <c r="S135" t="s">
        <v>56</v>
      </c>
      <c r="T135">
        <v>0.13</v>
      </c>
      <c r="U135">
        <v>133</v>
      </c>
      <c r="V135" t="s">
        <v>55</v>
      </c>
      <c r="W135">
        <v>0.13200000000000001</v>
      </c>
      <c r="X135">
        <v>13001</v>
      </c>
      <c r="Y135" t="s">
        <v>47</v>
      </c>
      <c r="Z135">
        <v>13</v>
      </c>
      <c r="AA135">
        <v>409</v>
      </c>
      <c r="AB135" t="s">
        <v>47</v>
      </c>
      <c r="AC135">
        <v>0.40799999999999997</v>
      </c>
      <c r="AD135">
        <v>867</v>
      </c>
      <c r="AE135" t="s">
        <v>48</v>
      </c>
      <c r="AF135">
        <v>0.86599999999999999</v>
      </c>
      <c r="AG135">
        <v>602</v>
      </c>
      <c r="AH135" t="s">
        <v>49</v>
      </c>
      <c r="AI135">
        <v>0.60099999999999998</v>
      </c>
      <c r="AJ135" t="s">
        <v>1154</v>
      </c>
    </row>
    <row r="136" spans="1:36" x14ac:dyDescent="0.25">
      <c r="A136" t="s">
        <v>1096</v>
      </c>
      <c r="B136">
        <v>862891121</v>
      </c>
      <c r="C136" t="s">
        <v>1097</v>
      </c>
      <c r="D136" t="s">
        <v>1097</v>
      </c>
      <c r="E136" t="s">
        <v>37</v>
      </c>
      <c r="F136" t="s">
        <v>191</v>
      </c>
      <c r="I136" t="s">
        <v>39</v>
      </c>
      <c r="J136" t="s">
        <v>40</v>
      </c>
      <c r="K136" t="s">
        <v>41</v>
      </c>
      <c r="L136" t="s">
        <v>78</v>
      </c>
      <c r="N136" t="s">
        <v>43</v>
      </c>
      <c r="O136" t="s">
        <v>1098</v>
      </c>
      <c r="P136">
        <v>17</v>
      </c>
      <c r="Q136">
        <v>17</v>
      </c>
      <c r="S136" t="s">
        <v>39</v>
      </c>
      <c r="V136" t="s">
        <v>39</v>
      </c>
      <c r="X136">
        <v>18001</v>
      </c>
      <c r="Y136" t="s">
        <v>47</v>
      </c>
      <c r="Z136">
        <v>18</v>
      </c>
      <c r="AA136">
        <v>490</v>
      </c>
      <c r="AB136" t="s">
        <v>47</v>
      </c>
      <c r="AC136">
        <v>0.48899999999999999</v>
      </c>
      <c r="AD136">
        <v>912</v>
      </c>
      <c r="AE136" t="s">
        <v>48</v>
      </c>
      <c r="AF136">
        <v>0.91100000000000003</v>
      </c>
      <c r="AG136">
        <v>602</v>
      </c>
      <c r="AH136" t="s">
        <v>49</v>
      </c>
      <c r="AI136">
        <v>0.60099999999999998</v>
      </c>
      <c r="AJ136" t="s">
        <v>1155</v>
      </c>
    </row>
    <row r="137" spans="1:36" x14ac:dyDescent="0.25">
      <c r="A137" t="s">
        <v>1096</v>
      </c>
      <c r="B137">
        <v>862891121</v>
      </c>
      <c r="C137" t="s">
        <v>1097</v>
      </c>
      <c r="D137" t="s">
        <v>1097</v>
      </c>
      <c r="E137" t="s">
        <v>60</v>
      </c>
      <c r="F137" t="s">
        <v>191</v>
      </c>
      <c r="I137" t="s">
        <v>39</v>
      </c>
      <c r="J137" t="s">
        <v>40</v>
      </c>
      <c r="K137" t="s">
        <v>41</v>
      </c>
      <c r="L137" t="s">
        <v>78</v>
      </c>
      <c r="N137" t="s">
        <v>43</v>
      </c>
      <c r="O137" t="s">
        <v>571</v>
      </c>
      <c r="P137">
        <v>17</v>
      </c>
      <c r="Q137">
        <v>17</v>
      </c>
      <c r="S137" t="s">
        <v>39</v>
      </c>
      <c r="V137" t="s">
        <v>39</v>
      </c>
      <c r="X137">
        <v>13001</v>
      </c>
      <c r="Y137" t="s">
        <v>47</v>
      </c>
      <c r="Z137">
        <v>13</v>
      </c>
      <c r="AA137">
        <v>409</v>
      </c>
      <c r="AB137" t="s">
        <v>47</v>
      </c>
      <c r="AC137">
        <v>0.40799999999999997</v>
      </c>
      <c r="AD137">
        <v>867</v>
      </c>
      <c r="AE137" t="s">
        <v>48</v>
      </c>
      <c r="AF137">
        <v>0.86599999999999999</v>
      </c>
      <c r="AG137">
        <v>602</v>
      </c>
      <c r="AH137" t="s">
        <v>49</v>
      </c>
      <c r="AI137">
        <v>0.60099999999999998</v>
      </c>
      <c r="AJ137" t="s">
        <v>1155</v>
      </c>
    </row>
    <row r="138" spans="1:36" x14ac:dyDescent="0.25">
      <c r="A138" t="s">
        <v>1096</v>
      </c>
      <c r="B138">
        <v>862891121</v>
      </c>
      <c r="C138" t="s">
        <v>1097</v>
      </c>
      <c r="D138" t="s">
        <v>1097</v>
      </c>
      <c r="E138" t="s">
        <v>37</v>
      </c>
      <c r="F138" t="s">
        <v>191</v>
      </c>
      <c r="I138" t="s">
        <v>39</v>
      </c>
      <c r="J138" t="s">
        <v>40</v>
      </c>
      <c r="K138" t="s">
        <v>41</v>
      </c>
      <c r="L138" t="s">
        <v>78</v>
      </c>
      <c r="N138" t="s">
        <v>43</v>
      </c>
      <c r="O138" t="s">
        <v>1098</v>
      </c>
      <c r="P138">
        <v>17</v>
      </c>
      <c r="Q138">
        <v>17</v>
      </c>
      <c r="S138" t="s">
        <v>39</v>
      </c>
      <c r="V138" t="s">
        <v>39</v>
      </c>
      <c r="X138">
        <v>18001</v>
      </c>
      <c r="Y138" t="s">
        <v>47</v>
      </c>
      <c r="Z138">
        <v>18</v>
      </c>
      <c r="AA138">
        <v>490</v>
      </c>
      <c r="AB138" t="s">
        <v>47</v>
      </c>
      <c r="AC138">
        <v>0.48899999999999999</v>
      </c>
      <c r="AD138">
        <v>912</v>
      </c>
      <c r="AE138" t="s">
        <v>48</v>
      </c>
      <c r="AF138">
        <v>0.91100000000000003</v>
      </c>
      <c r="AG138">
        <v>602</v>
      </c>
      <c r="AH138" t="s">
        <v>49</v>
      </c>
      <c r="AI138">
        <v>0.60099999999999998</v>
      </c>
      <c r="AJ138" t="s">
        <v>1156</v>
      </c>
    </row>
    <row r="139" spans="1:36" x14ac:dyDescent="0.25">
      <c r="A139" t="s">
        <v>1096</v>
      </c>
      <c r="B139">
        <v>862891121</v>
      </c>
      <c r="C139" t="s">
        <v>1097</v>
      </c>
      <c r="D139" t="s">
        <v>1097</v>
      </c>
      <c r="E139" t="s">
        <v>60</v>
      </c>
      <c r="F139" t="s">
        <v>191</v>
      </c>
      <c r="I139" t="s">
        <v>39</v>
      </c>
      <c r="J139" t="s">
        <v>40</v>
      </c>
      <c r="K139" t="s">
        <v>41</v>
      </c>
      <c r="L139" t="s">
        <v>78</v>
      </c>
      <c r="N139" t="s">
        <v>43</v>
      </c>
      <c r="O139" t="s">
        <v>571</v>
      </c>
      <c r="P139">
        <v>17</v>
      </c>
      <c r="Q139">
        <v>17</v>
      </c>
      <c r="S139" t="s">
        <v>39</v>
      </c>
      <c r="V139" t="s">
        <v>39</v>
      </c>
      <c r="X139">
        <v>13001</v>
      </c>
      <c r="Y139" t="s">
        <v>47</v>
      </c>
      <c r="Z139">
        <v>13</v>
      </c>
      <c r="AA139">
        <v>409</v>
      </c>
      <c r="AB139" t="s">
        <v>47</v>
      </c>
      <c r="AC139">
        <v>0.40799999999999997</v>
      </c>
      <c r="AD139">
        <v>867</v>
      </c>
      <c r="AE139" t="s">
        <v>48</v>
      </c>
      <c r="AF139">
        <v>0.86599999999999999</v>
      </c>
      <c r="AG139">
        <v>602</v>
      </c>
      <c r="AH139" t="s">
        <v>49</v>
      </c>
      <c r="AI139">
        <v>0.60099999999999998</v>
      </c>
      <c r="AJ139" t="s">
        <v>1156</v>
      </c>
    </row>
    <row r="140" spans="1:36" x14ac:dyDescent="0.25">
      <c r="A140" t="s">
        <v>1099</v>
      </c>
      <c r="B140">
        <v>865165126</v>
      </c>
      <c r="C140" t="s">
        <v>1100</v>
      </c>
      <c r="D140" t="s">
        <v>1100</v>
      </c>
      <c r="E140" t="s">
        <v>65</v>
      </c>
      <c r="F140" t="s">
        <v>93</v>
      </c>
      <c r="I140" t="s">
        <v>39</v>
      </c>
      <c r="J140" t="s">
        <v>40</v>
      </c>
      <c r="K140" t="s">
        <v>41</v>
      </c>
      <c r="L140" t="s">
        <v>78</v>
      </c>
      <c r="N140" t="s">
        <v>43</v>
      </c>
      <c r="O140" t="s">
        <v>1101</v>
      </c>
      <c r="P140">
        <v>17</v>
      </c>
      <c r="Q140">
        <v>17</v>
      </c>
      <c r="R140">
        <v>11</v>
      </c>
      <c r="S140" t="s">
        <v>45</v>
      </c>
      <c r="T140">
        <v>0.01</v>
      </c>
      <c r="U140">
        <v>871</v>
      </c>
      <c r="V140" t="s">
        <v>113</v>
      </c>
      <c r="W140">
        <v>0.87</v>
      </c>
      <c r="X140">
        <v>21001</v>
      </c>
      <c r="Y140" t="s">
        <v>47</v>
      </c>
      <c r="Z140">
        <v>21</v>
      </c>
      <c r="AA140">
        <v>607</v>
      </c>
      <c r="AB140" t="s">
        <v>75</v>
      </c>
      <c r="AC140">
        <v>0.60599999999999998</v>
      </c>
      <c r="AD140">
        <v>925</v>
      </c>
      <c r="AE140" t="s">
        <v>48</v>
      </c>
      <c r="AF140">
        <v>0.92400000000000004</v>
      </c>
      <c r="AG140">
        <v>602</v>
      </c>
      <c r="AH140" t="s">
        <v>49</v>
      </c>
      <c r="AI140">
        <v>0.60099999999999998</v>
      </c>
      <c r="AJ140" t="s">
        <v>50</v>
      </c>
    </row>
    <row r="141" spans="1:36" x14ac:dyDescent="0.25">
      <c r="A141" t="s">
        <v>1099</v>
      </c>
      <c r="B141">
        <v>865165126</v>
      </c>
      <c r="C141" t="s">
        <v>1100</v>
      </c>
      <c r="D141" t="s">
        <v>1100</v>
      </c>
      <c r="E141" t="s">
        <v>65</v>
      </c>
      <c r="F141" t="s">
        <v>93</v>
      </c>
      <c r="I141" t="s">
        <v>39</v>
      </c>
      <c r="J141" t="s">
        <v>40</v>
      </c>
      <c r="K141" t="s">
        <v>41</v>
      </c>
      <c r="L141" t="s">
        <v>78</v>
      </c>
      <c r="N141" t="s">
        <v>43</v>
      </c>
      <c r="O141" t="s">
        <v>1101</v>
      </c>
      <c r="P141">
        <v>17</v>
      </c>
      <c r="Q141">
        <v>17</v>
      </c>
      <c r="R141">
        <v>11</v>
      </c>
      <c r="S141" t="s">
        <v>45</v>
      </c>
      <c r="T141">
        <v>0.01</v>
      </c>
      <c r="U141">
        <v>940</v>
      </c>
      <c r="V141" t="s">
        <v>46</v>
      </c>
      <c r="W141">
        <v>0.93899999999999995</v>
      </c>
      <c r="X141">
        <v>21001</v>
      </c>
      <c r="Y141" t="s">
        <v>47</v>
      </c>
      <c r="Z141">
        <v>21</v>
      </c>
      <c r="AA141">
        <v>607</v>
      </c>
      <c r="AB141" t="s">
        <v>75</v>
      </c>
      <c r="AC141">
        <v>0.60599999999999998</v>
      </c>
      <c r="AD141">
        <v>925</v>
      </c>
      <c r="AE141" t="s">
        <v>48</v>
      </c>
      <c r="AF141">
        <v>0.92400000000000004</v>
      </c>
      <c r="AG141">
        <v>602</v>
      </c>
      <c r="AH141" t="s">
        <v>49</v>
      </c>
      <c r="AI141">
        <v>0.60099999999999998</v>
      </c>
      <c r="AJ141" t="s">
        <v>1141</v>
      </c>
    </row>
    <row r="142" spans="1:36" x14ac:dyDescent="0.25">
      <c r="A142" t="s">
        <v>1099</v>
      </c>
      <c r="B142">
        <v>865165126</v>
      </c>
      <c r="C142" t="s">
        <v>1100</v>
      </c>
      <c r="D142" t="s">
        <v>1100</v>
      </c>
      <c r="E142" t="s">
        <v>65</v>
      </c>
      <c r="F142" t="s">
        <v>93</v>
      </c>
      <c r="I142" t="s">
        <v>39</v>
      </c>
      <c r="J142" t="s">
        <v>40</v>
      </c>
      <c r="K142" t="s">
        <v>41</v>
      </c>
      <c r="L142" t="s">
        <v>78</v>
      </c>
      <c r="N142" t="s">
        <v>43</v>
      </c>
      <c r="O142" t="s">
        <v>1101</v>
      </c>
      <c r="P142">
        <v>17</v>
      </c>
      <c r="Q142">
        <v>17</v>
      </c>
      <c r="R142">
        <v>11</v>
      </c>
      <c r="S142" t="s">
        <v>45</v>
      </c>
      <c r="T142">
        <v>0.01</v>
      </c>
      <c r="U142">
        <v>871</v>
      </c>
      <c r="V142" t="s">
        <v>113</v>
      </c>
      <c r="W142">
        <v>0.87</v>
      </c>
      <c r="X142">
        <v>21001</v>
      </c>
      <c r="Y142" t="s">
        <v>47</v>
      </c>
      <c r="Z142">
        <v>21</v>
      </c>
      <c r="AA142">
        <v>607</v>
      </c>
      <c r="AB142" t="s">
        <v>75</v>
      </c>
      <c r="AC142">
        <v>0.60599999999999998</v>
      </c>
      <c r="AD142">
        <v>925</v>
      </c>
      <c r="AE142" t="s">
        <v>48</v>
      </c>
      <c r="AF142">
        <v>0.92400000000000004</v>
      </c>
      <c r="AG142">
        <v>602</v>
      </c>
      <c r="AH142" t="s">
        <v>49</v>
      </c>
      <c r="AI142">
        <v>0.60099999999999998</v>
      </c>
      <c r="AJ142" t="s">
        <v>1153</v>
      </c>
    </row>
    <row r="143" spans="1:36" x14ac:dyDescent="0.25">
      <c r="A143" t="s">
        <v>1099</v>
      </c>
      <c r="B143">
        <v>865165126</v>
      </c>
      <c r="C143" t="s">
        <v>1100</v>
      </c>
      <c r="D143" t="s">
        <v>1100</v>
      </c>
      <c r="E143" t="s">
        <v>65</v>
      </c>
      <c r="F143" t="s">
        <v>93</v>
      </c>
      <c r="I143" t="s">
        <v>39</v>
      </c>
      <c r="J143" t="s">
        <v>40</v>
      </c>
      <c r="K143" t="s">
        <v>41</v>
      </c>
      <c r="L143" t="s">
        <v>78</v>
      </c>
      <c r="N143" t="s">
        <v>43</v>
      </c>
      <c r="O143" t="s">
        <v>1101</v>
      </c>
      <c r="P143">
        <v>17</v>
      </c>
      <c r="Q143">
        <v>17</v>
      </c>
      <c r="R143">
        <v>11</v>
      </c>
      <c r="S143" t="s">
        <v>45</v>
      </c>
      <c r="T143">
        <v>0.01</v>
      </c>
      <c r="U143">
        <v>871</v>
      </c>
      <c r="V143" t="s">
        <v>113</v>
      </c>
      <c r="W143">
        <v>0.87</v>
      </c>
      <c r="X143">
        <v>21001</v>
      </c>
      <c r="Y143" t="s">
        <v>47</v>
      </c>
      <c r="Z143">
        <v>21</v>
      </c>
      <c r="AA143">
        <v>607</v>
      </c>
      <c r="AB143" t="s">
        <v>75</v>
      </c>
      <c r="AC143">
        <v>0.60599999999999998</v>
      </c>
      <c r="AD143">
        <v>925</v>
      </c>
      <c r="AE143" t="s">
        <v>48</v>
      </c>
      <c r="AF143">
        <v>0.92400000000000004</v>
      </c>
      <c r="AG143">
        <v>602</v>
      </c>
      <c r="AH143" t="s">
        <v>49</v>
      </c>
      <c r="AI143">
        <v>0.60099999999999998</v>
      </c>
      <c r="AJ143" t="s">
        <v>1154</v>
      </c>
    </row>
    <row r="144" spans="1:36" x14ac:dyDescent="0.25">
      <c r="A144" t="s">
        <v>1099</v>
      </c>
      <c r="B144">
        <v>865165126</v>
      </c>
      <c r="C144" t="s">
        <v>1100</v>
      </c>
      <c r="D144" t="s">
        <v>1100</v>
      </c>
      <c r="E144" t="s">
        <v>65</v>
      </c>
      <c r="F144" t="s">
        <v>93</v>
      </c>
      <c r="I144" t="s">
        <v>39</v>
      </c>
      <c r="J144" t="s">
        <v>40</v>
      </c>
      <c r="K144" t="s">
        <v>41</v>
      </c>
      <c r="L144" t="s">
        <v>78</v>
      </c>
      <c r="N144" t="s">
        <v>43</v>
      </c>
      <c r="O144" t="s">
        <v>1101</v>
      </c>
      <c r="P144">
        <v>17</v>
      </c>
      <c r="Q144">
        <v>17</v>
      </c>
      <c r="S144" t="s">
        <v>39</v>
      </c>
      <c r="V144" t="s">
        <v>39</v>
      </c>
      <c r="X144">
        <v>21001</v>
      </c>
      <c r="Y144" t="s">
        <v>47</v>
      </c>
      <c r="Z144">
        <v>21</v>
      </c>
      <c r="AA144">
        <v>607</v>
      </c>
      <c r="AB144" t="s">
        <v>75</v>
      </c>
      <c r="AC144">
        <v>0.60599999999999998</v>
      </c>
      <c r="AD144">
        <v>925</v>
      </c>
      <c r="AE144" t="s">
        <v>48</v>
      </c>
      <c r="AF144">
        <v>0.92400000000000004</v>
      </c>
      <c r="AG144">
        <v>602</v>
      </c>
      <c r="AH144" t="s">
        <v>49</v>
      </c>
      <c r="AI144">
        <v>0.60099999999999998</v>
      </c>
      <c r="AJ144" t="s">
        <v>1155</v>
      </c>
    </row>
    <row r="145" spans="1:36" x14ac:dyDescent="0.25">
      <c r="A145" t="s">
        <v>1099</v>
      </c>
      <c r="B145">
        <v>865165126</v>
      </c>
      <c r="C145" t="s">
        <v>1100</v>
      </c>
      <c r="D145" t="s">
        <v>1100</v>
      </c>
      <c r="E145" t="s">
        <v>65</v>
      </c>
      <c r="F145" t="s">
        <v>93</v>
      </c>
      <c r="I145" t="s">
        <v>39</v>
      </c>
      <c r="J145" t="s">
        <v>40</v>
      </c>
      <c r="K145" t="s">
        <v>41</v>
      </c>
      <c r="L145" t="s">
        <v>78</v>
      </c>
      <c r="N145" t="s">
        <v>43</v>
      </c>
      <c r="O145" t="s">
        <v>1101</v>
      </c>
      <c r="P145">
        <v>17</v>
      </c>
      <c r="Q145">
        <v>17</v>
      </c>
      <c r="S145" t="s">
        <v>39</v>
      </c>
      <c r="V145" t="s">
        <v>39</v>
      </c>
      <c r="X145">
        <v>21001</v>
      </c>
      <c r="Y145" t="s">
        <v>47</v>
      </c>
      <c r="Z145">
        <v>21</v>
      </c>
      <c r="AA145">
        <v>607</v>
      </c>
      <c r="AB145" t="s">
        <v>75</v>
      </c>
      <c r="AC145">
        <v>0.60599999999999998</v>
      </c>
      <c r="AD145">
        <v>925</v>
      </c>
      <c r="AE145" t="s">
        <v>48</v>
      </c>
      <c r="AF145">
        <v>0.92400000000000004</v>
      </c>
      <c r="AG145">
        <v>602</v>
      </c>
      <c r="AH145" t="s">
        <v>49</v>
      </c>
      <c r="AI145">
        <v>0.60099999999999998</v>
      </c>
      <c r="AJ145" t="s">
        <v>1156</v>
      </c>
    </row>
    <row r="146" spans="1:36" x14ac:dyDescent="0.25">
      <c r="A146" t="s">
        <v>1094</v>
      </c>
      <c r="B146">
        <v>856427529</v>
      </c>
      <c r="C146" t="s">
        <v>1095</v>
      </c>
      <c r="D146" t="s">
        <v>1095</v>
      </c>
      <c r="E146" t="s">
        <v>60</v>
      </c>
      <c r="F146" t="s">
        <v>88</v>
      </c>
      <c r="I146" t="s">
        <v>39</v>
      </c>
      <c r="J146" t="s">
        <v>40</v>
      </c>
      <c r="K146" t="s">
        <v>41</v>
      </c>
      <c r="L146" t="s">
        <v>118</v>
      </c>
      <c r="N146" t="s">
        <v>43</v>
      </c>
      <c r="O146" t="s">
        <v>375</v>
      </c>
      <c r="P146">
        <v>19</v>
      </c>
      <c r="Q146">
        <v>19</v>
      </c>
      <c r="R146">
        <v>31</v>
      </c>
      <c r="S146" t="s">
        <v>45</v>
      </c>
      <c r="T146">
        <v>0.03</v>
      </c>
      <c r="U146">
        <v>53</v>
      </c>
      <c r="V146" t="s">
        <v>55</v>
      </c>
      <c r="W146">
        <v>5.1999999999999998E-2</v>
      </c>
      <c r="X146">
        <v>10001</v>
      </c>
      <c r="Y146" t="s">
        <v>47</v>
      </c>
      <c r="Z146">
        <v>10</v>
      </c>
      <c r="AA146">
        <v>237</v>
      </c>
      <c r="AB146" t="s">
        <v>47</v>
      </c>
      <c r="AC146">
        <v>0.23599999999999999</v>
      </c>
      <c r="AD146">
        <v>668</v>
      </c>
      <c r="AE146" t="s">
        <v>48</v>
      </c>
      <c r="AF146">
        <v>0.66700000000000004</v>
      </c>
      <c r="AG146">
        <v>559</v>
      </c>
      <c r="AH146" t="s">
        <v>49</v>
      </c>
      <c r="AI146">
        <v>0.55800000000000005</v>
      </c>
      <c r="AJ146" t="s">
        <v>50</v>
      </c>
    </row>
    <row r="147" spans="1:36" x14ac:dyDescent="0.25">
      <c r="A147" t="s">
        <v>1094</v>
      </c>
      <c r="B147">
        <v>856427529</v>
      </c>
      <c r="C147" t="s">
        <v>1095</v>
      </c>
      <c r="D147" t="s">
        <v>1095</v>
      </c>
      <c r="E147" t="s">
        <v>60</v>
      </c>
      <c r="F147" t="s">
        <v>88</v>
      </c>
      <c r="I147" t="s">
        <v>39</v>
      </c>
      <c r="J147" t="s">
        <v>40</v>
      </c>
      <c r="K147" t="s">
        <v>41</v>
      </c>
      <c r="L147" t="s">
        <v>118</v>
      </c>
      <c r="N147" t="s">
        <v>43</v>
      </c>
      <c r="O147" t="s">
        <v>375</v>
      </c>
      <c r="P147">
        <v>19</v>
      </c>
      <c r="Q147">
        <v>19</v>
      </c>
      <c r="R147">
        <v>101</v>
      </c>
      <c r="S147" t="s">
        <v>56</v>
      </c>
      <c r="T147">
        <v>0.1</v>
      </c>
      <c r="U147">
        <v>195</v>
      </c>
      <c r="V147" t="s">
        <v>55</v>
      </c>
      <c r="W147">
        <v>0.19400000000000001</v>
      </c>
      <c r="X147">
        <v>10001</v>
      </c>
      <c r="Y147" t="s">
        <v>47</v>
      </c>
      <c r="Z147">
        <v>10</v>
      </c>
      <c r="AA147">
        <v>237</v>
      </c>
      <c r="AB147" t="s">
        <v>47</v>
      </c>
      <c r="AC147">
        <v>0.23599999999999999</v>
      </c>
      <c r="AD147">
        <v>668</v>
      </c>
      <c r="AE147" t="s">
        <v>48</v>
      </c>
      <c r="AF147">
        <v>0.66700000000000004</v>
      </c>
      <c r="AG147">
        <v>559</v>
      </c>
      <c r="AH147" t="s">
        <v>49</v>
      </c>
      <c r="AI147">
        <v>0.55800000000000005</v>
      </c>
      <c r="AJ147" t="s">
        <v>1141</v>
      </c>
    </row>
    <row r="148" spans="1:36" x14ac:dyDescent="0.25">
      <c r="A148" t="s">
        <v>1094</v>
      </c>
      <c r="B148">
        <v>856427529</v>
      </c>
      <c r="C148" t="s">
        <v>1095</v>
      </c>
      <c r="D148" t="s">
        <v>1095</v>
      </c>
      <c r="E148" t="s">
        <v>60</v>
      </c>
      <c r="F148" t="s">
        <v>88</v>
      </c>
      <c r="I148" t="s">
        <v>39</v>
      </c>
      <c r="J148" t="s">
        <v>40</v>
      </c>
      <c r="K148" t="s">
        <v>41</v>
      </c>
      <c r="L148" t="s">
        <v>118</v>
      </c>
      <c r="N148" t="s">
        <v>43</v>
      </c>
      <c r="O148" t="s">
        <v>375</v>
      </c>
      <c r="P148">
        <v>19</v>
      </c>
      <c r="Q148">
        <v>19</v>
      </c>
      <c r="R148">
        <v>31</v>
      </c>
      <c r="S148" t="s">
        <v>45</v>
      </c>
      <c r="T148">
        <v>0.03</v>
      </c>
      <c r="U148">
        <v>53</v>
      </c>
      <c r="V148" t="s">
        <v>55</v>
      </c>
      <c r="W148">
        <v>5.1999999999999998E-2</v>
      </c>
      <c r="X148">
        <v>10001</v>
      </c>
      <c r="Y148" t="s">
        <v>47</v>
      </c>
      <c r="Z148">
        <v>10</v>
      </c>
      <c r="AA148">
        <v>237</v>
      </c>
      <c r="AB148" t="s">
        <v>47</v>
      </c>
      <c r="AC148">
        <v>0.23599999999999999</v>
      </c>
      <c r="AD148">
        <v>668</v>
      </c>
      <c r="AE148" t="s">
        <v>48</v>
      </c>
      <c r="AF148">
        <v>0.66700000000000004</v>
      </c>
      <c r="AG148">
        <v>559</v>
      </c>
      <c r="AH148" t="s">
        <v>49</v>
      </c>
      <c r="AI148">
        <v>0.55800000000000005</v>
      </c>
      <c r="AJ148" t="s">
        <v>1153</v>
      </c>
    </row>
    <row r="149" spans="1:36" x14ac:dyDescent="0.25">
      <c r="A149" t="s">
        <v>1094</v>
      </c>
      <c r="B149">
        <v>856427529</v>
      </c>
      <c r="C149" t="s">
        <v>1095</v>
      </c>
      <c r="D149" t="s">
        <v>1095</v>
      </c>
      <c r="E149" t="s">
        <v>60</v>
      </c>
      <c r="F149" t="s">
        <v>88</v>
      </c>
      <c r="I149" t="s">
        <v>39</v>
      </c>
      <c r="J149" t="s">
        <v>40</v>
      </c>
      <c r="K149" t="s">
        <v>41</v>
      </c>
      <c r="L149" t="s">
        <v>118</v>
      </c>
      <c r="N149" t="s">
        <v>43</v>
      </c>
      <c r="O149" t="s">
        <v>375</v>
      </c>
      <c r="P149">
        <v>19</v>
      </c>
      <c r="Q149">
        <v>19</v>
      </c>
      <c r="R149">
        <v>31</v>
      </c>
      <c r="S149" t="s">
        <v>45</v>
      </c>
      <c r="T149">
        <v>0.03</v>
      </c>
      <c r="U149">
        <v>53</v>
      </c>
      <c r="V149" t="s">
        <v>55</v>
      </c>
      <c r="W149">
        <v>5.1999999999999998E-2</v>
      </c>
      <c r="X149">
        <v>10001</v>
      </c>
      <c r="Y149" t="s">
        <v>47</v>
      </c>
      <c r="Z149">
        <v>10</v>
      </c>
      <c r="AA149">
        <v>237</v>
      </c>
      <c r="AB149" t="s">
        <v>47</v>
      </c>
      <c r="AC149">
        <v>0.23599999999999999</v>
      </c>
      <c r="AD149">
        <v>668</v>
      </c>
      <c r="AE149" t="s">
        <v>48</v>
      </c>
      <c r="AF149">
        <v>0.66700000000000004</v>
      </c>
      <c r="AG149">
        <v>559</v>
      </c>
      <c r="AH149" t="s">
        <v>49</v>
      </c>
      <c r="AI149">
        <v>0.55800000000000005</v>
      </c>
      <c r="AJ149" t="s">
        <v>1154</v>
      </c>
    </row>
    <row r="150" spans="1:36" x14ac:dyDescent="0.25">
      <c r="A150" t="s">
        <v>1094</v>
      </c>
      <c r="B150">
        <v>856427529</v>
      </c>
      <c r="C150" t="s">
        <v>1095</v>
      </c>
      <c r="D150" t="s">
        <v>1095</v>
      </c>
      <c r="E150" t="s">
        <v>60</v>
      </c>
      <c r="F150" t="s">
        <v>88</v>
      </c>
      <c r="I150" t="s">
        <v>39</v>
      </c>
      <c r="J150" t="s">
        <v>40</v>
      </c>
      <c r="K150" t="s">
        <v>41</v>
      </c>
      <c r="L150" t="s">
        <v>118</v>
      </c>
      <c r="N150" t="s">
        <v>43</v>
      </c>
      <c r="O150" t="s">
        <v>375</v>
      </c>
      <c r="P150">
        <v>19</v>
      </c>
      <c r="Q150">
        <v>19</v>
      </c>
      <c r="S150" t="s">
        <v>39</v>
      </c>
      <c r="V150" t="s">
        <v>39</v>
      </c>
      <c r="X150">
        <v>10001</v>
      </c>
      <c r="Y150" t="s">
        <v>47</v>
      </c>
      <c r="Z150">
        <v>10</v>
      </c>
      <c r="AA150">
        <v>237</v>
      </c>
      <c r="AB150" t="s">
        <v>47</v>
      </c>
      <c r="AC150">
        <v>0.23599999999999999</v>
      </c>
      <c r="AD150">
        <v>668</v>
      </c>
      <c r="AE150" t="s">
        <v>48</v>
      </c>
      <c r="AF150">
        <v>0.66700000000000004</v>
      </c>
      <c r="AG150">
        <v>559</v>
      </c>
      <c r="AH150" t="s">
        <v>49</v>
      </c>
      <c r="AI150">
        <v>0.55800000000000005</v>
      </c>
      <c r="AJ150" t="s">
        <v>1155</v>
      </c>
    </row>
    <row r="151" spans="1:36" x14ac:dyDescent="0.25">
      <c r="A151" t="s">
        <v>1094</v>
      </c>
      <c r="B151">
        <v>856427529</v>
      </c>
      <c r="C151" t="s">
        <v>1095</v>
      </c>
      <c r="D151" t="s">
        <v>1095</v>
      </c>
      <c r="E151" t="s">
        <v>60</v>
      </c>
      <c r="F151" t="s">
        <v>88</v>
      </c>
      <c r="I151" t="s">
        <v>39</v>
      </c>
      <c r="J151" t="s">
        <v>40</v>
      </c>
      <c r="K151" t="s">
        <v>41</v>
      </c>
      <c r="L151" t="s">
        <v>118</v>
      </c>
      <c r="N151" t="s">
        <v>43</v>
      </c>
      <c r="O151" t="s">
        <v>375</v>
      </c>
      <c r="P151">
        <v>19</v>
      </c>
      <c r="Q151">
        <v>19</v>
      </c>
      <c r="S151" t="s">
        <v>39</v>
      </c>
      <c r="V151" t="s">
        <v>39</v>
      </c>
      <c r="X151">
        <v>10001</v>
      </c>
      <c r="Y151" t="s">
        <v>47</v>
      </c>
      <c r="Z151">
        <v>10</v>
      </c>
      <c r="AA151">
        <v>237</v>
      </c>
      <c r="AB151" t="s">
        <v>47</v>
      </c>
      <c r="AC151">
        <v>0.23599999999999999</v>
      </c>
      <c r="AD151">
        <v>668</v>
      </c>
      <c r="AE151" t="s">
        <v>48</v>
      </c>
      <c r="AF151">
        <v>0.66700000000000004</v>
      </c>
      <c r="AG151">
        <v>559</v>
      </c>
      <c r="AH151" t="s">
        <v>49</v>
      </c>
      <c r="AI151">
        <v>0.55800000000000005</v>
      </c>
      <c r="AJ151" t="s">
        <v>1156</v>
      </c>
    </row>
    <row r="152" spans="1:36" x14ac:dyDescent="0.25">
      <c r="A152" t="s">
        <v>1092</v>
      </c>
      <c r="B152">
        <v>874102983</v>
      </c>
      <c r="C152" t="s">
        <v>1093</v>
      </c>
      <c r="D152" t="s">
        <v>1093</v>
      </c>
      <c r="E152" t="s">
        <v>60</v>
      </c>
      <c r="F152" t="s">
        <v>61</v>
      </c>
      <c r="I152" t="s">
        <v>39</v>
      </c>
      <c r="J152" t="s">
        <v>40</v>
      </c>
      <c r="K152" t="s">
        <v>41</v>
      </c>
      <c r="L152" t="s">
        <v>89</v>
      </c>
      <c r="N152" t="s">
        <v>43</v>
      </c>
      <c r="O152" t="s">
        <v>119</v>
      </c>
      <c r="P152">
        <v>20</v>
      </c>
      <c r="Q152">
        <v>20</v>
      </c>
      <c r="R152">
        <v>41</v>
      </c>
      <c r="S152" t="s">
        <v>45</v>
      </c>
      <c r="T152">
        <v>0.04</v>
      </c>
      <c r="U152">
        <v>132</v>
      </c>
      <c r="V152" t="s">
        <v>55</v>
      </c>
      <c r="W152">
        <v>0.13100000000000001</v>
      </c>
      <c r="X152">
        <v>11001</v>
      </c>
      <c r="Y152" t="s">
        <v>47</v>
      </c>
      <c r="Z152">
        <v>11</v>
      </c>
      <c r="AA152">
        <v>286</v>
      </c>
      <c r="AB152" t="s">
        <v>47</v>
      </c>
      <c r="AC152">
        <v>0.28499999999999998</v>
      </c>
      <c r="AD152">
        <v>885</v>
      </c>
      <c r="AE152" t="s">
        <v>48</v>
      </c>
      <c r="AF152">
        <v>0.88400000000000001</v>
      </c>
      <c r="AG152">
        <v>628</v>
      </c>
      <c r="AH152" t="s">
        <v>49</v>
      </c>
      <c r="AI152">
        <v>0.627</v>
      </c>
      <c r="AJ152" t="s">
        <v>50</v>
      </c>
    </row>
    <row r="153" spans="1:36" x14ac:dyDescent="0.25">
      <c r="A153" t="s">
        <v>1092</v>
      </c>
      <c r="B153">
        <v>874102983</v>
      </c>
      <c r="C153" t="s">
        <v>1093</v>
      </c>
      <c r="D153" t="s">
        <v>1093</v>
      </c>
      <c r="E153" t="s">
        <v>60</v>
      </c>
      <c r="F153" t="s">
        <v>61</v>
      </c>
      <c r="I153" t="s">
        <v>39</v>
      </c>
      <c r="J153" t="s">
        <v>40</v>
      </c>
      <c r="K153" t="s">
        <v>41</v>
      </c>
      <c r="L153" t="s">
        <v>89</v>
      </c>
      <c r="N153" t="s">
        <v>43</v>
      </c>
      <c r="O153" t="s">
        <v>119</v>
      </c>
      <c r="P153">
        <v>20</v>
      </c>
      <c r="Q153">
        <v>20</v>
      </c>
      <c r="R153">
        <v>31</v>
      </c>
      <c r="S153" t="s">
        <v>45</v>
      </c>
      <c r="T153">
        <v>0.03</v>
      </c>
      <c r="U153">
        <v>456</v>
      </c>
      <c r="V153" t="s">
        <v>113</v>
      </c>
      <c r="W153">
        <v>0.45500000000000002</v>
      </c>
      <c r="X153">
        <v>11001</v>
      </c>
      <c r="Y153" t="s">
        <v>47</v>
      </c>
      <c r="Z153">
        <v>11</v>
      </c>
      <c r="AA153">
        <v>286</v>
      </c>
      <c r="AB153" t="s">
        <v>47</v>
      </c>
      <c r="AC153">
        <v>0.28499999999999998</v>
      </c>
      <c r="AD153">
        <v>885</v>
      </c>
      <c r="AE153" t="s">
        <v>48</v>
      </c>
      <c r="AF153">
        <v>0.88400000000000001</v>
      </c>
      <c r="AG153">
        <v>628</v>
      </c>
      <c r="AH153" t="s">
        <v>49</v>
      </c>
      <c r="AI153">
        <v>0.627</v>
      </c>
      <c r="AJ153" t="s">
        <v>1141</v>
      </c>
    </row>
    <row r="154" spans="1:36" x14ac:dyDescent="0.25">
      <c r="A154" t="s">
        <v>1092</v>
      </c>
      <c r="B154">
        <v>874102983</v>
      </c>
      <c r="C154" t="s">
        <v>1093</v>
      </c>
      <c r="D154" t="s">
        <v>1093</v>
      </c>
      <c r="E154" t="s">
        <v>60</v>
      </c>
      <c r="F154" t="s">
        <v>61</v>
      </c>
      <c r="I154" t="s">
        <v>39</v>
      </c>
      <c r="J154" t="s">
        <v>40</v>
      </c>
      <c r="K154" t="s">
        <v>41</v>
      </c>
      <c r="L154" t="s">
        <v>89</v>
      </c>
      <c r="N154" t="s">
        <v>43</v>
      </c>
      <c r="O154" t="s">
        <v>119</v>
      </c>
      <c r="P154">
        <v>20</v>
      </c>
      <c r="Q154">
        <v>20</v>
      </c>
      <c r="R154">
        <v>41</v>
      </c>
      <c r="S154" t="s">
        <v>45</v>
      </c>
      <c r="T154">
        <v>0.04</v>
      </c>
      <c r="U154">
        <v>132</v>
      </c>
      <c r="V154" t="s">
        <v>55</v>
      </c>
      <c r="W154">
        <v>0.13100000000000001</v>
      </c>
      <c r="X154">
        <v>11001</v>
      </c>
      <c r="Y154" t="s">
        <v>47</v>
      </c>
      <c r="Z154">
        <v>11</v>
      </c>
      <c r="AA154">
        <v>286</v>
      </c>
      <c r="AB154" t="s">
        <v>47</v>
      </c>
      <c r="AC154">
        <v>0.28499999999999998</v>
      </c>
      <c r="AD154">
        <v>885</v>
      </c>
      <c r="AE154" t="s">
        <v>48</v>
      </c>
      <c r="AF154">
        <v>0.88400000000000001</v>
      </c>
      <c r="AG154">
        <v>628</v>
      </c>
      <c r="AH154" t="s">
        <v>49</v>
      </c>
      <c r="AI154">
        <v>0.627</v>
      </c>
      <c r="AJ154" t="s">
        <v>1153</v>
      </c>
    </row>
    <row r="155" spans="1:36" x14ac:dyDescent="0.25">
      <c r="A155" t="s">
        <v>1092</v>
      </c>
      <c r="B155">
        <v>874102983</v>
      </c>
      <c r="C155" t="s">
        <v>1093</v>
      </c>
      <c r="D155" t="s">
        <v>1093</v>
      </c>
      <c r="E155" t="s">
        <v>60</v>
      </c>
      <c r="F155" t="s">
        <v>61</v>
      </c>
      <c r="I155" t="s">
        <v>39</v>
      </c>
      <c r="J155" t="s">
        <v>40</v>
      </c>
      <c r="K155" t="s">
        <v>41</v>
      </c>
      <c r="L155" t="s">
        <v>89</v>
      </c>
      <c r="N155" t="s">
        <v>43</v>
      </c>
      <c r="O155" t="s">
        <v>119</v>
      </c>
      <c r="P155">
        <v>20</v>
      </c>
      <c r="Q155">
        <v>20</v>
      </c>
      <c r="R155">
        <v>41</v>
      </c>
      <c r="S155" t="s">
        <v>45</v>
      </c>
      <c r="T155">
        <v>0.04</v>
      </c>
      <c r="U155">
        <v>132</v>
      </c>
      <c r="V155" t="s">
        <v>55</v>
      </c>
      <c r="W155">
        <v>0.13100000000000001</v>
      </c>
      <c r="X155">
        <v>11001</v>
      </c>
      <c r="Y155" t="s">
        <v>47</v>
      </c>
      <c r="Z155">
        <v>11</v>
      </c>
      <c r="AA155">
        <v>286</v>
      </c>
      <c r="AB155" t="s">
        <v>47</v>
      </c>
      <c r="AC155">
        <v>0.28499999999999998</v>
      </c>
      <c r="AD155">
        <v>885</v>
      </c>
      <c r="AE155" t="s">
        <v>48</v>
      </c>
      <c r="AF155">
        <v>0.88400000000000001</v>
      </c>
      <c r="AG155">
        <v>628</v>
      </c>
      <c r="AH155" t="s">
        <v>49</v>
      </c>
      <c r="AI155">
        <v>0.627</v>
      </c>
      <c r="AJ155" t="s">
        <v>1154</v>
      </c>
    </row>
    <row r="156" spans="1:36" x14ac:dyDescent="0.25">
      <c r="A156" t="s">
        <v>1092</v>
      </c>
      <c r="B156">
        <v>874102983</v>
      </c>
      <c r="C156" t="s">
        <v>1093</v>
      </c>
      <c r="D156" t="s">
        <v>1093</v>
      </c>
      <c r="E156" t="s">
        <v>60</v>
      </c>
      <c r="F156" t="s">
        <v>61</v>
      </c>
      <c r="I156" t="s">
        <v>39</v>
      </c>
      <c r="J156" t="s">
        <v>40</v>
      </c>
      <c r="K156" t="s">
        <v>41</v>
      </c>
      <c r="L156" t="s">
        <v>89</v>
      </c>
      <c r="N156" t="s">
        <v>43</v>
      </c>
      <c r="O156" t="s">
        <v>119</v>
      </c>
      <c r="P156">
        <v>20</v>
      </c>
      <c r="Q156">
        <v>20</v>
      </c>
      <c r="S156" t="s">
        <v>39</v>
      </c>
      <c r="V156" t="s">
        <v>39</v>
      </c>
      <c r="X156">
        <v>11001</v>
      </c>
      <c r="Y156" t="s">
        <v>47</v>
      </c>
      <c r="Z156">
        <v>11</v>
      </c>
      <c r="AA156">
        <v>286</v>
      </c>
      <c r="AB156" t="s">
        <v>47</v>
      </c>
      <c r="AC156">
        <v>0.28499999999999998</v>
      </c>
      <c r="AD156">
        <v>885</v>
      </c>
      <c r="AE156" t="s">
        <v>48</v>
      </c>
      <c r="AF156">
        <v>0.88400000000000001</v>
      </c>
      <c r="AG156">
        <v>628</v>
      </c>
      <c r="AH156" t="s">
        <v>49</v>
      </c>
      <c r="AI156">
        <v>0.627</v>
      </c>
      <c r="AJ156" t="s">
        <v>1155</v>
      </c>
    </row>
    <row r="157" spans="1:36" x14ac:dyDescent="0.25">
      <c r="A157" t="s">
        <v>1092</v>
      </c>
      <c r="B157">
        <v>874102983</v>
      </c>
      <c r="C157" t="s">
        <v>1093</v>
      </c>
      <c r="D157" t="s">
        <v>1093</v>
      </c>
      <c r="E157" t="s">
        <v>60</v>
      </c>
      <c r="F157" t="s">
        <v>61</v>
      </c>
      <c r="I157" t="s">
        <v>39</v>
      </c>
      <c r="J157" t="s">
        <v>40</v>
      </c>
      <c r="K157" t="s">
        <v>41</v>
      </c>
      <c r="L157" t="s">
        <v>89</v>
      </c>
      <c r="N157" t="s">
        <v>43</v>
      </c>
      <c r="O157" t="s">
        <v>119</v>
      </c>
      <c r="P157">
        <v>20</v>
      </c>
      <c r="Q157">
        <v>20</v>
      </c>
      <c r="S157" t="s">
        <v>39</v>
      </c>
      <c r="V157" t="s">
        <v>39</v>
      </c>
      <c r="X157">
        <v>11001</v>
      </c>
      <c r="Y157" t="s">
        <v>47</v>
      </c>
      <c r="Z157">
        <v>11</v>
      </c>
      <c r="AA157">
        <v>286</v>
      </c>
      <c r="AB157" t="s">
        <v>47</v>
      </c>
      <c r="AC157">
        <v>0.28499999999999998</v>
      </c>
      <c r="AD157">
        <v>885</v>
      </c>
      <c r="AE157" t="s">
        <v>48</v>
      </c>
      <c r="AF157">
        <v>0.88400000000000001</v>
      </c>
      <c r="AG157">
        <v>628</v>
      </c>
      <c r="AH157" t="s">
        <v>49</v>
      </c>
      <c r="AI157">
        <v>0.627</v>
      </c>
      <c r="AJ157" t="s">
        <v>1156</v>
      </c>
    </row>
    <row r="158" spans="1:36" x14ac:dyDescent="0.25">
      <c r="A158" t="s">
        <v>1090</v>
      </c>
      <c r="B158">
        <v>881534038</v>
      </c>
      <c r="C158" t="s">
        <v>1091</v>
      </c>
      <c r="D158" t="s">
        <v>1091</v>
      </c>
      <c r="E158" t="s">
        <v>37</v>
      </c>
      <c r="F158" t="s">
        <v>71</v>
      </c>
      <c r="I158" t="s">
        <v>39</v>
      </c>
      <c r="J158" t="s">
        <v>40</v>
      </c>
      <c r="K158" t="s">
        <v>41</v>
      </c>
      <c r="L158" t="s">
        <v>89</v>
      </c>
      <c r="N158" t="s">
        <v>43</v>
      </c>
      <c r="O158" t="s">
        <v>74</v>
      </c>
      <c r="P158">
        <v>20</v>
      </c>
      <c r="Q158">
        <v>20</v>
      </c>
      <c r="R158">
        <v>41</v>
      </c>
      <c r="S158" t="s">
        <v>45</v>
      </c>
      <c r="T158">
        <v>0.04</v>
      </c>
      <c r="U158">
        <v>132</v>
      </c>
      <c r="V158" t="s">
        <v>55</v>
      </c>
      <c r="W158">
        <v>0.13100000000000001</v>
      </c>
      <c r="X158">
        <v>16001</v>
      </c>
      <c r="Y158" t="s">
        <v>47</v>
      </c>
      <c r="Z158">
        <v>16</v>
      </c>
      <c r="AA158">
        <v>292</v>
      </c>
      <c r="AB158" t="s">
        <v>47</v>
      </c>
      <c r="AC158">
        <v>0.29099999999999998</v>
      </c>
      <c r="AD158">
        <v>923</v>
      </c>
      <c r="AE158" t="s">
        <v>48</v>
      </c>
      <c r="AF158">
        <v>0.92200000000000004</v>
      </c>
      <c r="AG158">
        <v>628</v>
      </c>
      <c r="AH158" t="s">
        <v>49</v>
      </c>
      <c r="AI158">
        <v>0.627</v>
      </c>
      <c r="AJ158" t="s">
        <v>50</v>
      </c>
    </row>
    <row r="159" spans="1:36" x14ac:dyDescent="0.25">
      <c r="A159" t="s">
        <v>1090</v>
      </c>
      <c r="B159">
        <v>881534038</v>
      </c>
      <c r="C159" t="s">
        <v>1091</v>
      </c>
      <c r="D159" t="s">
        <v>1091</v>
      </c>
      <c r="E159" t="s">
        <v>37</v>
      </c>
      <c r="F159" t="s">
        <v>71</v>
      </c>
      <c r="I159" t="s">
        <v>39</v>
      </c>
      <c r="J159" t="s">
        <v>40</v>
      </c>
      <c r="K159" t="s">
        <v>41</v>
      </c>
      <c r="L159" t="s">
        <v>89</v>
      </c>
      <c r="N159" t="s">
        <v>43</v>
      </c>
      <c r="O159" t="s">
        <v>74</v>
      </c>
      <c r="P159">
        <v>20</v>
      </c>
      <c r="Q159">
        <v>20</v>
      </c>
      <c r="R159">
        <v>31</v>
      </c>
      <c r="S159" t="s">
        <v>45</v>
      </c>
      <c r="T159">
        <v>0.03</v>
      </c>
      <c r="U159">
        <v>902</v>
      </c>
      <c r="V159" t="s">
        <v>113</v>
      </c>
      <c r="W159">
        <v>0.90100000000000002</v>
      </c>
      <c r="X159">
        <v>16001</v>
      </c>
      <c r="Y159" t="s">
        <v>47</v>
      </c>
      <c r="Z159">
        <v>16</v>
      </c>
      <c r="AA159">
        <v>292</v>
      </c>
      <c r="AB159" t="s">
        <v>47</v>
      </c>
      <c r="AC159">
        <v>0.29099999999999998</v>
      </c>
      <c r="AD159">
        <v>923</v>
      </c>
      <c r="AE159" t="s">
        <v>48</v>
      </c>
      <c r="AF159">
        <v>0.92200000000000004</v>
      </c>
      <c r="AG159">
        <v>628</v>
      </c>
      <c r="AH159" t="s">
        <v>49</v>
      </c>
      <c r="AI159">
        <v>0.627</v>
      </c>
      <c r="AJ159" t="s">
        <v>1141</v>
      </c>
    </row>
    <row r="160" spans="1:36" x14ac:dyDescent="0.25">
      <c r="A160" t="s">
        <v>1090</v>
      </c>
      <c r="B160">
        <v>881534038</v>
      </c>
      <c r="C160" t="s">
        <v>1091</v>
      </c>
      <c r="D160" t="s">
        <v>1091</v>
      </c>
      <c r="E160" t="s">
        <v>37</v>
      </c>
      <c r="F160" t="s">
        <v>71</v>
      </c>
      <c r="I160" t="s">
        <v>39</v>
      </c>
      <c r="J160" t="s">
        <v>40</v>
      </c>
      <c r="K160" t="s">
        <v>41</v>
      </c>
      <c r="L160" t="s">
        <v>89</v>
      </c>
      <c r="N160" t="s">
        <v>43</v>
      </c>
      <c r="O160" t="s">
        <v>74</v>
      </c>
      <c r="P160">
        <v>20</v>
      </c>
      <c r="Q160">
        <v>20</v>
      </c>
      <c r="R160">
        <v>41</v>
      </c>
      <c r="S160" t="s">
        <v>45</v>
      </c>
      <c r="T160">
        <v>0.04</v>
      </c>
      <c r="U160">
        <v>132</v>
      </c>
      <c r="V160" t="s">
        <v>55</v>
      </c>
      <c r="W160">
        <v>0.13100000000000001</v>
      </c>
      <c r="X160">
        <v>16001</v>
      </c>
      <c r="Y160" t="s">
        <v>47</v>
      </c>
      <c r="Z160">
        <v>16</v>
      </c>
      <c r="AA160">
        <v>292</v>
      </c>
      <c r="AB160" t="s">
        <v>47</v>
      </c>
      <c r="AC160">
        <v>0.29099999999999998</v>
      </c>
      <c r="AD160">
        <v>923</v>
      </c>
      <c r="AE160" t="s">
        <v>48</v>
      </c>
      <c r="AF160">
        <v>0.92200000000000004</v>
      </c>
      <c r="AG160">
        <v>628</v>
      </c>
      <c r="AH160" t="s">
        <v>49</v>
      </c>
      <c r="AI160">
        <v>0.627</v>
      </c>
      <c r="AJ160" t="s">
        <v>1153</v>
      </c>
    </row>
    <row r="161" spans="1:36" x14ac:dyDescent="0.25">
      <c r="A161" t="s">
        <v>1090</v>
      </c>
      <c r="B161">
        <v>881534038</v>
      </c>
      <c r="C161" t="s">
        <v>1091</v>
      </c>
      <c r="D161" t="s">
        <v>1091</v>
      </c>
      <c r="E161" t="s">
        <v>37</v>
      </c>
      <c r="F161" t="s">
        <v>71</v>
      </c>
      <c r="I161" t="s">
        <v>39</v>
      </c>
      <c r="J161" t="s">
        <v>40</v>
      </c>
      <c r="K161" t="s">
        <v>41</v>
      </c>
      <c r="L161" t="s">
        <v>89</v>
      </c>
      <c r="N161" t="s">
        <v>43</v>
      </c>
      <c r="O161" t="s">
        <v>74</v>
      </c>
      <c r="P161">
        <v>20</v>
      </c>
      <c r="Q161">
        <v>20</v>
      </c>
      <c r="R161">
        <v>41</v>
      </c>
      <c r="S161" t="s">
        <v>45</v>
      </c>
      <c r="T161">
        <v>0.04</v>
      </c>
      <c r="U161">
        <v>132</v>
      </c>
      <c r="V161" t="s">
        <v>55</v>
      </c>
      <c r="W161">
        <v>0.13100000000000001</v>
      </c>
      <c r="X161">
        <v>16001</v>
      </c>
      <c r="Y161" t="s">
        <v>47</v>
      </c>
      <c r="Z161">
        <v>16</v>
      </c>
      <c r="AA161">
        <v>292</v>
      </c>
      <c r="AB161" t="s">
        <v>47</v>
      </c>
      <c r="AC161">
        <v>0.29099999999999998</v>
      </c>
      <c r="AD161">
        <v>923</v>
      </c>
      <c r="AE161" t="s">
        <v>48</v>
      </c>
      <c r="AF161">
        <v>0.92200000000000004</v>
      </c>
      <c r="AG161">
        <v>628</v>
      </c>
      <c r="AH161" t="s">
        <v>49</v>
      </c>
      <c r="AI161">
        <v>0.627</v>
      </c>
      <c r="AJ161" t="s">
        <v>1154</v>
      </c>
    </row>
    <row r="162" spans="1:36" x14ac:dyDescent="0.25">
      <c r="A162" t="s">
        <v>1090</v>
      </c>
      <c r="B162">
        <v>881534038</v>
      </c>
      <c r="C162" t="s">
        <v>1091</v>
      </c>
      <c r="D162" t="s">
        <v>1091</v>
      </c>
      <c r="E162" t="s">
        <v>37</v>
      </c>
      <c r="F162" t="s">
        <v>71</v>
      </c>
      <c r="I162" t="s">
        <v>39</v>
      </c>
      <c r="J162" t="s">
        <v>40</v>
      </c>
      <c r="K162" t="s">
        <v>41</v>
      </c>
      <c r="L162" t="s">
        <v>89</v>
      </c>
      <c r="N162" t="s">
        <v>43</v>
      </c>
      <c r="O162" t="s">
        <v>74</v>
      </c>
      <c r="P162">
        <v>20</v>
      </c>
      <c r="Q162">
        <v>20</v>
      </c>
      <c r="S162" t="s">
        <v>39</v>
      </c>
      <c r="V162" t="s">
        <v>39</v>
      </c>
      <c r="X162">
        <v>16001</v>
      </c>
      <c r="Y162" t="s">
        <v>47</v>
      </c>
      <c r="Z162">
        <v>16</v>
      </c>
      <c r="AA162">
        <v>292</v>
      </c>
      <c r="AB162" t="s">
        <v>47</v>
      </c>
      <c r="AC162">
        <v>0.29099999999999998</v>
      </c>
      <c r="AD162">
        <v>923</v>
      </c>
      <c r="AE162" t="s">
        <v>48</v>
      </c>
      <c r="AF162">
        <v>0.92200000000000004</v>
      </c>
      <c r="AG162">
        <v>628</v>
      </c>
      <c r="AH162" t="s">
        <v>49</v>
      </c>
      <c r="AI162">
        <v>0.627</v>
      </c>
      <c r="AJ162" t="s">
        <v>1155</v>
      </c>
    </row>
    <row r="163" spans="1:36" x14ac:dyDescent="0.25">
      <c r="A163" t="s">
        <v>1090</v>
      </c>
      <c r="B163">
        <v>881534038</v>
      </c>
      <c r="C163" t="s">
        <v>1091</v>
      </c>
      <c r="D163" t="s">
        <v>1091</v>
      </c>
      <c r="E163" t="s">
        <v>37</v>
      </c>
      <c r="F163" t="s">
        <v>71</v>
      </c>
      <c r="I163" t="s">
        <v>39</v>
      </c>
      <c r="J163" t="s">
        <v>40</v>
      </c>
      <c r="K163" t="s">
        <v>41</v>
      </c>
      <c r="L163" t="s">
        <v>89</v>
      </c>
      <c r="N163" t="s">
        <v>43</v>
      </c>
      <c r="O163" t="s">
        <v>74</v>
      </c>
      <c r="P163">
        <v>20</v>
      </c>
      <c r="Q163">
        <v>20</v>
      </c>
      <c r="S163" t="s">
        <v>39</v>
      </c>
      <c r="V163" t="s">
        <v>39</v>
      </c>
      <c r="X163">
        <v>16001</v>
      </c>
      <c r="Y163" t="s">
        <v>47</v>
      </c>
      <c r="Z163">
        <v>16</v>
      </c>
      <c r="AA163">
        <v>292</v>
      </c>
      <c r="AB163" t="s">
        <v>47</v>
      </c>
      <c r="AC163">
        <v>0.29099999999999998</v>
      </c>
      <c r="AD163">
        <v>923</v>
      </c>
      <c r="AE163" t="s">
        <v>48</v>
      </c>
      <c r="AF163">
        <v>0.92200000000000004</v>
      </c>
      <c r="AG163">
        <v>628</v>
      </c>
      <c r="AH163" t="s">
        <v>49</v>
      </c>
      <c r="AI163">
        <v>0.627</v>
      </c>
      <c r="AJ163" t="s">
        <v>1156</v>
      </c>
    </row>
    <row r="164" spans="1:36" x14ac:dyDescent="0.25">
      <c r="A164" t="s">
        <v>1088</v>
      </c>
      <c r="B164">
        <v>871311039</v>
      </c>
      <c r="C164" t="s">
        <v>1089</v>
      </c>
      <c r="D164" t="s">
        <v>1089</v>
      </c>
      <c r="E164" t="s">
        <v>65</v>
      </c>
      <c r="F164" t="s">
        <v>166</v>
      </c>
      <c r="I164" t="s">
        <v>39</v>
      </c>
      <c r="J164" t="s">
        <v>40</v>
      </c>
      <c r="K164" t="s">
        <v>41</v>
      </c>
      <c r="L164" t="s">
        <v>89</v>
      </c>
      <c r="N164" t="s">
        <v>43</v>
      </c>
      <c r="O164" t="s">
        <v>84</v>
      </c>
      <c r="P164">
        <v>21</v>
      </c>
      <c r="Q164">
        <v>21</v>
      </c>
      <c r="R164">
        <v>221</v>
      </c>
      <c r="S164" t="s">
        <v>56</v>
      </c>
      <c r="T164">
        <v>0.22</v>
      </c>
      <c r="U164">
        <v>1</v>
      </c>
      <c r="V164" t="s">
        <v>55</v>
      </c>
      <c r="W164">
        <v>0</v>
      </c>
      <c r="X164">
        <v>1</v>
      </c>
      <c r="Y164" t="s">
        <v>47</v>
      </c>
      <c r="Z164">
        <v>0</v>
      </c>
      <c r="AA164">
        <v>322</v>
      </c>
      <c r="AB164" t="s">
        <v>47</v>
      </c>
      <c r="AC164">
        <v>0.32100000000000001</v>
      </c>
      <c r="AD164">
        <v>244</v>
      </c>
      <c r="AE164" t="s">
        <v>56</v>
      </c>
      <c r="AF164">
        <v>0.24299999999999999</v>
      </c>
      <c r="AG164">
        <v>66</v>
      </c>
      <c r="AH164" t="s">
        <v>103</v>
      </c>
      <c r="AI164">
        <v>6.5000000000000002E-2</v>
      </c>
      <c r="AJ164" t="s">
        <v>50</v>
      </c>
    </row>
    <row r="165" spans="1:36" x14ac:dyDescent="0.25">
      <c r="A165" t="s">
        <v>1088</v>
      </c>
      <c r="B165">
        <v>871311039</v>
      </c>
      <c r="C165" t="s">
        <v>1089</v>
      </c>
      <c r="D165" t="s">
        <v>1089</v>
      </c>
      <c r="E165" t="s">
        <v>65</v>
      </c>
      <c r="F165" t="s">
        <v>166</v>
      </c>
      <c r="I165" t="s">
        <v>39</v>
      </c>
      <c r="J165" t="s">
        <v>40</v>
      </c>
      <c r="K165" t="s">
        <v>41</v>
      </c>
      <c r="L165" t="s">
        <v>89</v>
      </c>
      <c r="N165" t="s">
        <v>43</v>
      </c>
      <c r="O165" t="s">
        <v>84</v>
      </c>
      <c r="P165">
        <v>21</v>
      </c>
      <c r="Q165">
        <v>21</v>
      </c>
      <c r="R165">
        <v>31</v>
      </c>
      <c r="S165" t="s">
        <v>45</v>
      </c>
      <c r="T165">
        <v>0.03</v>
      </c>
      <c r="U165">
        <v>4</v>
      </c>
      <c r="V165" t="s">
        <v>55</v>
      </c>
      <c r="W165">
        <v>3.0000000000000001E-3</v>
      </c>
      <c r="X165">
        <v>1</v>
      </c>
      <c r="Y165" t="s">
        <v>47</v>
      </c>
      <c r="Z165">
        <v>0</v>
      </c>
      <c r="AA165">
        <v>322</v>
      </c>
      <c r="AB165" t="s">
        <v>47</v>
      </c>
      <c r="AC165">
        <v>0.32100000000000001</v>
      </c>
      <c r="AD165">
        <v>244</v>
      </c>
      <c r="AE165" t="s">
        <v>56</v>
      </c>
      <c r="AF165">
        <v>0.24299999999999999</v>
      </c>
      <c r="AG165">
        <v>66</v>
      </c>
      <c r="AH165" t="s">
        <v>103</v>
      </c>
      <c r="AI165">
        <v>6.5000000000000002E-2</v>
      </c>
      <c r="AJ165" t="s">
        <v>1141</v>
      </c>
    </row>
    <row r="166" spans="1:36" x14ac:dyDescent="0.25">
      <c r="A166" t="s">
        <v>1088</v>
      </c>
      <c r="B166">
        <v>871311039</v>
      </c>
      <c r="C166" t="s">
        <v>1089</v>
      </c>
      <c r="D166" t="s">
        <v>1089</v>
      </c>
      <c r="E166" t="s">
        <v>65</v>
      </c>
      <c r="F166" t="s">
        <v>166</v>
      </c>
      <c r="I166" t="s">
        <v>39</v>
      </c>
      <c r="J166" t="s">
        <v>40</v>
      </c>
      <c r="K166" t="s">
        <v>41</v>
      </c>
      <c r="L166" t="s">
        <v>89</v>
      </c>
      <c r="N166" t="s">
        <v>43</v>
      </c>
      <c r="O166" t="s">
        <v>84</v>
      </c>
      <c r="P166">
        <v>21</v>
      </c>
      <c r="Q166">
        <v>21</v>
      </c>
      <c r="R166">
        <v>221</v>
      </c>
      <c r="S166" t="s">
        <v>56</v>
      </c>
      <c r="T166">
        <v>0.22</v>
      </c>
      <c r="U166">
        <v>1</v>
      </c>
      <c r="V166" t="s">
        <v>55</v>
      </c>
      <c r="W166">
        <v>0</v>
      </c>
      <c r="X166">
        <v>1</v>
      </c>
      <c r="Y166" t="s">
        <v>47</v>
      </c>
      <c r="Z166">
        <v>0</v>
      </c>
      <c r="AA166">
        <v>322</v>
      </c>
      <c r="AB166" t="s">
        <v>47</v>
      </c>
      <c r="AC166">
        <v>0.32100000000000001</v>
      </c>
      <c r="AD166">
        <v>244</v>
      </c>
      <c r="AE166" t="s">
        <v>56</v>
      </c>
      <c r="AF166">
        <v>0.24299999999999999</v>
      </c>
      <c r="AG166">
        <v>66</v>
      </c>
      <c r="AH166" t="s">
        <v>103</v>
      </c>
      <c r="AI166">
        <v>6.5000000000000002E-2</v>
      </c>
      <c r="AJ166" t="s">
        <v>1153</v>
      </c>
    </row>
    <row r="167" spans="1:36" x14ac:dyDescent="0.25">
      <c r="A167" t="s">
        <v>1088</v>
      </c>
      <c r="B167">
        <v>871311039</v>
      </c>
      <c r="C167" t="s">
        <v>1089</v>
      </c>
      <c r="D167" t="s">
        <v>1089</v>
      </c>
      <c r="E167" t="s">
        <v>65</v>
      </c>
      <c r="F167" t="s">
        <v>166</v>
      </c>
      <c r="I167" t="s">
        <v>39</v>
      </c>
      <c r="J167" t="s">
        <v>40</v>
      </c>
      <c r="K167" t="s">
        <v>41</v>
      </c>
      <c r="L167" t="s">
        <v>89</v>
      </c>
      <c r="N167" t="s">
        <v>43</v>
      </c>
      <c r="O167" t="s">
        <v>84</v>
      </c>
      <c r="P167">
        <v>21</v>
      </c>
      <c r="Q167">
        <v>21</v>
      </c>
      <c r="R167">
        <v>221</v>
      </c>
      <c r="S167" t="s">
        <v>56</v>
      </c>
      <c r="T167">
        <v>0.22</v>
      </c>
      <c r="U167">
        <v>1</v>
      </c>
      <c r="V167" t="s">
        <v>55</v>
      </c>
      <c r="W167">
        <v>0</v>
      </c>
      <c r="X167">
        <v>1</v>
      </c>
      <c r="Y167" t="s">
        <v>47</v>
      </c>
      <c r="Z167">
        <v>0</v>
      </c>
      <c r="AA167">
        <v>322</v>
      </c>
      <c r="AB167" t="s">
        <v>47</v>
      </c>
      <c r="AC167">
        <v>0.32100000000000001</v>
      </c>
      <c r="AD167">
        <v>244</v>
      </c>
      <c r="AE167" t="s">
        <v>56</v>
      </c>
      <c r="AF167">
        <v>0.24299999999999999</v>
      </c>
      <c r="AG167">
        <v>66</v>
      </c>
      <c r="AH167" t="s">
        <v>103</v>
      </c>
      <c r="AI167">
        <v>6.5000000000000002E-2</v>
      </c>
      <c r="AJ167" t="s">
        <v>1154</v>
      </c>
    </row>
    <row r="168" spans="1:36" x14ac:dyDescent="0.25">
      <c r="A168" t="s">
        <v>1088</v>
      </c>
      <c r="B168">
        <v>871311039</v>
      </c>
      <c r="C168" t="s">
        <v>1089</v>
      </c>
      <c r="D168" t="s">
        <v>1089</v>
      </c>
      <c r="E168" t="s">
        <v>65</v>
      </c>
      <c r="F168" t="s">
        <v>166</v>
      </c>
      <c r="I168" t="s">
        <v>39</v>
      </c>
      <c r="J168" t="s">
        <v>40</v>
      </c>
      <c r="K168" t="s">
        <v>41</v>
      </c>
      <c r="L168" t="s">
        <v>89</v>
      </c>
      <c r="N168" t="s">
        <v>43</v>
      </c>
      <c r="O168" t="s">
        <v>84</v>
      </c>
      <c r="P168">
        <v>21</v>
      </c>
      <c r="Q168">
        <v>21</v>
      </c>
      <c r="S168" t="s">
        <v>39</v>
      </c>
      <c r="V168" t="s">
        <v>39</v>
      </c>
      <c r="X168">
        <v>1</v>
      </c>
      <c r="Y168" t="s">
        <v>47</v>
      </c>
      <c r="Z168">
        <v>0</v>
      </c>
      <c r="AA168">
        <v>322</v>
      </c>
      <c r="AB168" t="s">
        <v>47</v>
      </c>
      <c r="AC168">
        <v>0.32100000000000001</v>
      </c>
      <c r="AD168">
        <v>244</v>
      </c>
      <c r="AE168" t="s">
        <v>56</v>
      </c>
      <c r="AF168">
        <v>0.24299999999999999</v>
      </c>
      <c r="AG168">
        <v>66</v>
      </c>
      <c r="AH168" t="s">
        <v>103</v>
      </c>
      <c r="AI168">
        <v>6.5000000000000002E-2</v>
      </c>
      <c r="AJ168" t="s">
        <v>1155</v>
      </c>
    </row>
    <row r="169" spans="1:36" x14ac:dyDescent="0.25">
      <c r="A169" t="s">
        <v>1088</v>
      </c>
      <c r="B169">
        <v>871311039</v>
      </c>
      <c r="C169" t="s">
        <v>1089</v>
      </c>
      <c r="D169" t="s">
        <v>1089</v>
      </c>
      <c r="E169" t="s">
        <v>65</v>
      </c>
      <c r="F169" t="s">
        <v>166</v>
      </c>
      <c r="I169" t="s">
        <v>39</v>
      </c>
      <c r="J169" t="s">
        <v>40</v>
      </c>
      <c r="K169" t="s">
        <v>41</v>
      </c>
      <c r="L169" t="s">
        <v>89</v>
      </c>
      <c r="N169" t="s">
        <v>43</v>
      </c>
      <c r="O169" t="s">
        <v>84</v>
      </c>
      <c r="P169">
        <v>21</v>
      </c>
      <c r="Q169">
        <v>21</v>
      </c>
      <c r="S169" t="s">
        <v>39</v>
      </c>
      <c r="V169" t="s">
        <v>39</v>
      </c>
      <c r="X169">
        <v>1</v>
      </c>
      <c r="Y169" t="s">
        <v>47</v>
      </c>
      <c r="Z169">
        <v>0</v>
      </c>
      <c r="AA169">
        <v>322</v>
      </c>
      <c r="AB169" t="s">
        <v>47</v>
      </c>
      <c r="AC169">
        <v>0.32100000000000001</v>
      </c>
      <c r="AD169">
        <v>244</v>
      </c>
      <c r="AE169" t="s">
        <v>56</v>
      </c>
      <c r="AF169">
        <v>0.24299999999999999</v>
      </c>
      <c r="AG169">
        <v>66</v>
      </c>
      <c r="AH169" t="s">
        <v>103</v>
      </c>
      <c r="AI169">
        <v>6.5000000000000002E-2</v>
      </c>
      <c r="AJ169" t="s">
        <v>1156</v>
      </c>
    </row>
    <row r="170" spans="1:36" x14ac:dyDescent="0.25">
      <c r="A170" t="s">
        <v>1086</v>
      </c>
      <c r="B170">
        <v>881533964</v>
      </c>
      <c r="C170" t="s">
        <v>1087</v>
      </c>
      <c r="D170" t="s">
        <v>1087</v>
      </c>
      <c r="E170" t="s">
        <v>65</v>
      </c>
      <c r="F170" t="s">
        <v>93</v>
      </c>
      <c r="I170" t="s">
        <v>39</v>
      </c>
      <c r="J170" t="s">
        <v>40</v>
      </c>
      <c r="K170" t="s">
        <v>41</v>
      </c>
      <c r="L170" t="s">
        <v>42</v>
      </c>
      <c r="N170" t="s">
        <v>43</v>
      </c>
      <c r="O170" t="s">
        <v>315</v>
      </c>
      <c r="P170">
        <v>21</v>
      </c>
      <c r="Q170">
        <v>21</v>
      </c>
      <c r="R170">
        <v>621</v>
      </c>
      <c r="S170" t="s">
        <v>56</v>
      </c>
      <c r="T170">
        <v>0.62</v>
      </c>
      <c r="U170">
        <v>1</v>
      </c>
      <c r="V170" t="s">
        <v>55</v>
      </c>
      <c r="W170">
        <v>0</v>
      </c>
      <c r="X170">
        <v>1</v>
      </c>
      <c r="Y170" t="s">
        <v>47</v>
      </c>
      <c r="Z170">
        <v>0</v>
      </c>
      <c r="AA170">
        <v>323</v>
      </c>
      <c r="AB170" t="s">
        <v>47</v>
      </c>
      <c r="AC170">
        <v>0.32200000000000001</v>
      </c>
      <c r="AD170">
        <v>328</v>
      </c>
      <c r="AE170" t="s">
        <v>56</v>
      </c>
      <c r="AF170">
        <v>0.32700000000000001</v>
      </c>
      <c r="AG170">
        <v>66</v>
      </c>
      <c r="AH170" t="s">
        <v>103</v>
      </c>
      <c r="AI170">
        <v>6.5000000000000002E-2</v>
      </c>
      <c r="AJ170" t="s">
        <v>50</v>
      </c>
    </row>
    <row r="171" spans="1:36" x14ac:dyDescent="0.25">
      <c r="A171" t="s">
        <v>1086</v>
      </c>
      <c r="B171">
        <v>881533964</v>
      </c>
      <c r="C171" t="s">
        <v>1087</v>
      </c>
      <c r="D171" t="s">
        <v>1087</v>
      </c>
      <c r="E171" t="s">
        <v>65</v>
      </c>
      <c r="F171" t="s">
        <v>93</v>
      </c>
      <c r="I171" t="s">
        <v>39</v>
      </c>
      <c r="J171" t="s">
        <v>40</v>
      </c>
      <c r="K171" t="s">
        <v>41</v>
      </c>
      <c r="L171" t="s">
        <v>42</v>
      </c>
      <c r="N171" t="s">
        <v>43</v>
      </c>
      <c r="O171" t="s">
        <v>315</v>
      </c>
      <c r="P171">
        <v>21</v>
      </c>
      <c r="Q171">
        <v>21</v>
      </c>
      <c r="R171">
        <v>241</v>
      </c>
      <c r="S171" t="s">
        <v>56</v>
      </c>
      <c r="T171">
        <v>0.24</v>
      </c>
      <c r="U171">
        <v>1</v>
      </c>
      <c r="V171" t="s">
        <v>55</v>
      </c>
      <c r="W171">
        <v>0</v>
      </c>
      <c r="X171">
        <v>1</v>
      </c>
      <c r="Y171" t="s">
        <v>47</v>
      </c>
      <c r="Z171">
        <v>0</v>
      </c>
      <c r="AA171">
        <v>323</v>
      </c>
      <c r="AB171" t="s">
        <v>47</v>
      </c>
      <c r="AC171">
        <v>0.32200000000000001</v>
      </c>
      <c r="AD171">
        <v>328</v>
      </c>
      <c r="AE171" t="s">
        <v>56</v>
      </c>
      <c r="AF171">
        <v>0.32700000000000001</v>
      </c>
      <c r="AG171">
        <v>66</v>
      </c>
      <c r="AH171" t="s">
        <v>103</v>
      </c>
      <c r="AI171">
        <v>6.5000000000000002E-2</v>
      </c>
      <c r="AJ171" t="s">
        <v>1141</v>
      </c>
    </row>
    <row r="172" spans="1:36" x14ac:dyDescent="0.25">
      <c r="A172" t="s">
        <v>1086</v>
      </c>
      <c r="B172">
        <v>881533964</v>
      </c>
      <c r="C172" t="s">
        <v>1087</v>
      </c>
      <c r="D172" t="s">
        <v>1087</v>
      </c>
      <c r="E172" t="s">
        <v>65</v>
      </c>
      <c r="F172" t="s">
        <v>93</v>
      </c>
      <c r="I172" t="s">
        <v>39</v>
      </c>
      <c r="J172" t="s">
        <v>40</v>
      </c>
      <c r="K172" t="s">
        <v>41</v>
      </c>
      <c r="L172" t="s">
        <v>42</v>
      </c>
      <c r="N172" t="s">
        <v>43</v>
      </c>
      <c r="O172" t="s">
        <v>315</v>
      </c>
      <c r="P172">
        <v>21</v>
      </c>
      <c r="Q172">
        <v>21</v>
      </c>
      <c r="R172">
        <v>621</v>
      </c>
      <c r="S172" t="s">
        <v>56</v>
      </c>
      <c r="T172">
        <v>0.62</v>
      </c>
      <c r="U172">
        <v>1</v>
      </c>
      <c r="V172" t="s">
        <v>55</v>
      </c>
      <c r="W172">
        <v>0</v>
      </c>
      <c r="X172">
        <v>1</v>
      </c>
      <c r="Y172" t="s">
        <v>47</v>
      </c>
      <c r="Z172">
        <v>0</v>
      </c>
      <c r="AA172">
        <v>323</v>
      </c>
      <c r="AB172" t="s">
        <v>47</v>
      </c>
      <c r="AC172">
        <v>0.32200000000000001</v>
      </c>
      <c r="AD172">
        <v>328</v>
      </c>
      <c r="AE172" t="s">
        <v>56</v>
      </c>
      <c r="AF172">
        <v>0.32700000000000001</v>
      </c>
      <c r="AG172">
        <v>66</v>
      </c>
      <c r="AH172" t="s">
        <v>103</v>
      </c>
      <c r="AI172">
        <v>6.5000000000000002E-2</v>
      </c>
      <c r="AJ172" t="s">
        <v>1153</v>
      </c>
    </row>
    <row r="173" spans="1:36" x14ac:dyDescent="0.25">
      <c r="A173" t="s">
        <v>1086</v>
      </c>
      <c r="B173">
        <v>881533964</v>
      </c>
      <c r="C173" t="s">
        <v>1087</v>
      </c>
      <c r="D173" t="s">
        <v>1087</v>
      </c>
      <c r="E173" t="s">
        <v>65</v>
      </c>
      <c r="F173" t="s">
        <v>93</v>
      </c>
      <c r="I173" t="s">
        <v>39</v>
      </c>
      <c r="J173" t="s">
        <v>40</v>
      </c>
      <c r="K173" t="s">
        <v>41</v>
      </c>
      <c r="L173" t="s">
        <v>42</v>
      </c>
      <c r="N173" t="s">
        <v>43</v>
      </c>
      <c r="O173" t="s">
        <v>315</v>
      </c>
      <c r="P173">
        <v>21</v>
      </c>
      <c r="Q173">
        <v>21</v>
      </c>
      <c r="R173">
        <v>621</v>
      </c>
      <c r="S173" t="s">
        <v>56</v>
      </c>
      <c r="T173">
        <v>0.62</v>
      </c>
      <c r="U173">
        <v>1</v>
      </c>
      <c r="V173" t="s">
        <v>55</v>
      </c>
      <c r="W173">
        <v>0</v>
      </c>
      <c r="X173">
        <v>1</v>
      </c>
      <c r="Y173" t="s">
        <v>47</v>
      </c>
      <c r="Z173">
        <v>0</v>
      </c>
      <c r="AA173">
        <v>323</v>
      </c>
      <c r="AB173" t="s">
        <v>47</v>
      </c>
      <c r="AC173">
        <v>0.32200000000000001</v>
      </c>
      <c r="AD173">
        <v>328</v>
      </c>
      <c r="AE173" t="s">
        <v>56</v>
      </c>
      <c r="AF173">
        <v>0.32700000000000001</v>
      </c>
      <c r="AG173">
        <v>66</v>
      </c>
      <c r="AH173" t="s">
        <v>103</v>
      </c>
      <c r="AI173">
        <v>6.5000000000000002E-2</v>
      </c>
      <c r="AJ173" t="s">
        <v>1154</v>
      </c>
    </row>
    <row r="174" spans="1:36" x14ac:dyDescent="0.25">
      <c r="A174" t="s">
        <v>1086</v>
      </c>
      <c r="B174">
        <v>881533964</v>
      </c>
      <c r="C174" t="s">
        <v>1087</v>
      </c>
      <c r="D174" t="s">
        <v>1087</v>
      </c>
      <c r="E174" t="s">
        <v>65</v>
      </c>
      <c r="F174" t="s">
        <v>93</v>
      </c>
      <c r="I174" t="s">
        <v>39</v>
      </c>
      <c r="J174" t="s">
        <v>40</v>
      </c>
      <c r="K174" t="s">
        <v>41</v>
      </c>
      <c r="L174" t="s">
        <v>42</v>
      </c>
      <c r="N174" t="s">
        <v>43</v>
      </c>
      <c r="O174" t="s">
        <v>315</v>
      </c>
      <c r="P174">
        <v>21</v>
      </c>
      <c r="Q174">
        <v>21</v>
      </c>
      <c r="S174" t="s">
        <v>39</v>
      </c>
      <c r="V174" t="s">
        <v>39</v>
      </c>
      <c r="X174">
        <v>1</v>
      </c>
      <c r="Y174" t="s">
        <v>47</v>
      </c>
      <c r="Z174">
        <v>0</v>
      </c>
      <c r="AA174">
        <v>323</v>
      </c>
      <c r="AB174" t="s">
        <v>47</v>
      </c>
      <c r="AC174">
        <v>0.32200000000000001</v>
      </c>
      <c r="AD174">
        <v>328</v>
      </c>
      <c r="AE174" t="s">
        <v>56</v>
      </c>
      <c r="AF174">
        <v>0.32700000000000001</v>
      </c>
      <c r="AG174">
        <v>66</v>
      </c>
      <c r="AH174" t="s">
        <v>103</v>
      </c>
      <c r="AI174">
        <v>6.5000000000000002E-2</v>
      </c>
      <c r="AJ174" t="s">
        <v>1155</v>
      </c>
    </row>
    <row r="175" spans="1:36" x14ac:dyDescent="0.25">
      <c r="A175" t="s">
        <v>1086</v>
      </c>
      <c r="B175">
        <v>881533964</v>
      </c>
      <c r="C175" t="s">
        <v>1087</v>
      </c>
      <c r="D175" t="s">
        <v>1087</v>
      </c>
      <c r="E175" t="s">
        <v>65</v>
      </c>
      <c r="F175" t="s">
        <v>93</v>
      </c>
      <c r="I175" t="s">
        <v>39</v>
      </c>
      <c r="J175" t="s">
        <v>40</v>
      </c>
      <c r="K175" t="s">
        <v>41</v>
      </c>
      <c r="L175" t="s">
        <v>42</v>
      </c>
      <c r="N175" t="s">
        <v>43</v>
      </c>
      <c r="O175" t="s">
        <v>315</v>
      </c>
      <c r="P175">
        <v>21</v>
      </c>
      <c r="Q175">
        <v>21</v>
      </c>
      <c r="S175" t="s">
        <v>39</v>
      </c>
      <c r="V175" t="s">
        <v>39</v>
      </c>
      <c r="X175">
        <v>1</v>
      </c>
      <c r="Y175" t="s">
        <v>47</v>
      </c>
      <c r="Z175">
        <v>0</v>
      </c>
      <c r="AA175">
        <v>323</v>
      </c>
      <c r="AB175" t="s">
        <v>47</v>
      </c>
      <c r="AC175">
        <v>0.32200000000000001</v>
      </c>
      <c r="AD175">
        <v>328</v>
      </c>
      <c r="AE175" t="s">
        <v>56</v>
      </c>
      <c r="AF175">
        <v>0.32700000000000001</v>
      </c>
      <c r="AG175">
        <v>66</v>
      </c>
      <c r="AH175" t="s">
        <v>103</v>
      </c>
      <c r="AI175">
        <v>6.5000000000000002E-2</v>
      </c>
      <c r="AJ175" t="s">
        <v>1156</v>
      </c>
    </row>
    <row r="176" spans="1:36" x14ac:dyDescent="0.25">
      <c r="A176" t="s">
        <v>1084</v>
      </c>
      <c r="B176">
        <v>855499335</v>
      </c>
      <c r="C176" t="s">
        <v>1085</v>
      </c>
      <c r="D176" t="s">
        <v>1085</v>
      </c>
      <c r="E176" t="s">
        <v>60</v>
      </c>
      <c r="F176" t="s">
        <v>229</v>
      </c>
      <c r="I176" t="s">
        <v>39</v>
      </c>
      <c r="J176" t="s">
        <v>40</v>
      </c>
      <c r="K176" t="s">
        <v>41</v>
      </c>
      <c r="L176" t="s">
        <v>458</v>
      </c>
      <c r="N176" t="s">
        <v>43</v>
      </c>
      <c r="O176" t="s">
        <v>446</v>
      </c>
      <c r="P176">
        <v>22</v>
      </c>
      <c r="Q176">
        <v>22</v>
      </c>
      <c r="R176">
        <v>211</v>
      </c>
      <c r="S176" t="s">
        <v>56</v>
      </c>
      <c r="T176">
        <v>0.21</v>
      </c>
      <c r="U176">
        <v>424</v>
      </c>
      <c r="V176" t="s">
        <v>55</v>
      </c>
      <c r="W176">
        <v>0.42299999999999999</v>
      </c>
      <c r="X176">
        <v>8001</v>
      </c>
      <c r="Y176" t="s">
        <v>47</v>
      </c>
      <c r="Z176">
        <v>8</v>
      </c>
      <c r="AA176">
        <v>295</v>
      </c>
      <c r="AB176" t="s">
        <v>47</v>
      </c>
      <c r="AC176">
        <v>0.29399999999999998</v>
      </c>
      <c r="AD176">
        <v>588</v>
      </c>
      <c r="AE176" t="s">
        <v>48</v>
      </c>
      <c r="AF176">
        <v>0.58699999999999997</v>
      </c>
      <c r="AG176">
        <v>602</v>
      </c>
      <c r="AH176" t="s">
        <v>49</v>
      </c>
      <c r="AI176">
        <v>0.60099999999999998</v>
      </c>
      <c r="AJ176" t="s">
        <v>50</v>
      </c>
    </row>
    <row r="177" spans="1:36" x14ac:dyDescent="0.25">
      <c r="A177" t="s">
        <v>1084</v>
      </c>
      <c r="B177">
        <v>855499335</v>
      </c>
      <c r="C177" t="s">
        <v>1085</v>
      </c>
      <c r="D177" t="s">
        <v>1085</v>
      </c>
      <c r="E177" t="s">
        <v>60</v>
      </c>
      <c r="F177" t="s">
        <v>229</v>
      </c>
      <c r="I177" t="s">
        <v>39</v>
      </c>
      <c r="J177" t="s">
        <v>40</v>
      </c>
      <c r="K177" t="s">
        <v>41</v>
      </c>
      <c r="L177" t="s">
        <v>458</v>
      </c>
      <c r="N177" t="s">
        <v>43</v>
      </c>
      <c r="O177" t="s">
        <v>446</v>
      </c>
      <c r="P177">
        <v>22</v>
      </c>
      <c r="Q177">
        <v>22</v>
      </c>
      <c r="R177">
        <v>171</v>
      </c>
      <c r="S177" t="s">
        <v>56</v>
      </c>
      <c r="T177">
        <v>0.17</v>
      </c>
      <c r="U177">
        <v>628</v>
      </c>
      <c r="V177" t="s">
        <v>113</v>
      </c>
      <c r="W177">
        <v>0.627</v>
      </c>
      <c r="X177">
        <v>8001</v>
      </c>
      <c r="Y177" t="s">
        <v>47</v>
      </c>
      <c r="Z177">
        <v>8</v>
      </c>
      <c r="AA177">
        <v>295</v>
      </c>
      <c r="AB177" t="s">
        <v>47</v>
      </c>
      <c r="AC177">
        <v>0.29399999999999998</v>
      </c>
      <c r="AD177">
        <v>588</v>
      </c>
      <c r="AE177" t="s">
        <v>48</v>
      </c>
      <c r="AF177">
        <v>0.58699999999999997</v>
      </c>
      <c r="AG177">
        <v>602</v>
      </c>
      <c r="AH177" t="s">
        <v>49</v>
      </c>
      <c r="AI177">
        <v>0.60099999999999998</v>
      </c>
      <c r="AJ177" t="s">
        <v>1141</v>
      </c>
    </row>
    <row r="178" spans="1:36" x14ac:dyDescent="0.25">
      <c r="A178" t="s">
        <v>1084</v>
      </c>
      <c r="B178">
        <v>855499335</v>
      </c>
      <c r="C178" t="s">
        <v>1085</v>
      </c>
      <c r="D178" t="s">
        <v>1085</v>
      </c>
      <c r="E178" t="s">
        <v>60</v>
      </c>
      <c r="F178" t="s">
        <v>229</v>
      </c>
      <c r="I178" t="s">
        <v>39</v>
      </c>
      <c r="J178" t="s">
        <v>40</v>
      </c>
      <c r="K178" t="s">
        <v>41</v>
      </c>
      <c r="L178" t="s">
        <v>458</v>
      </c>
      <c r="N178" t="s">
        <v>43</v>
      </c>
      <c r="O178" t="s">
        <v>446</v>
      </c>
      <c r="P178">
        <v>22</v>
      </c>
      <c r="Q178">
        <v>22</v>
      </c>
      <c r="R178">
        <v>211</v>
      </c>
      <c r="S178" t="s">
        <v>56</v>
      </c>
      <c r="T178">
        <v>0.21</v>
      </c>
      <c r="U178">
        <v>424</v>
      </c>
      <c r="V178" t="s">
        <v>55</v>
      </c>
      <c r="W178">
        <v>0.42299999999999999</v>
      </c>
      <c r="X178">
        <v>8001</v>
      </c>
      <c r="Y178" t="s">
        <v>47</v>
      </c>
      <c r="Z178">
        <v>8</v>
      </c>
      <c r="AA178">
        <v>295</v>
      </c>
      <c r="AB178" t="s">
        <v>47</v>
      </c>
      <c r="AC178">
        <v>0.29399999999999998</v>
      </c>
      <c r="AD178">
        <v>588</v>
      </c>
      <c r="AE178" t="s">
        <v>48</v>
      </c>
      <c r="AF178">
        <v>0.58699999999999997</v>
      </c>
      <c r="AG178">
        <v>602</v>
      </c>
      <c r="AH178" t="s">
        <v>49</v>
      </c>
      <c r="AI178">
        <v>0.60099999999999998</v>
      </c>
      <c r="AJ178" t="s">
        <v>1153</v>
      </c>
    </row>
    <row r="179" spans="1:36" x14ac:dyDescent="0.25">
      <c r="A179" t="s">
        <v>1084</v>
      </c>
      <c r="B179">
        <v>855499335</v>
      </c>
      <c r="C179" t="s">
        <v>1085</v>
      </c>
      <c r="D179" t="s">
        <v>1085</v>
      </c>
      <c r="E179" t="s">
        <v>60</v>
      </c>
      <c r="F179" t="s">
        <v>229</v>
      </c>
      <c r="I179" t="s">
        <v>39</v>
      </c>
      <c r="J179" t="s">
        <v>40</v>
      </c>
      <c r="K179" t="s">
        <v>41</v>
      </c>
      <c r="L179" t="s">
        <v>458</v>
      </c>
      <c r="N179" t="s">
        <v>43</v>
      </c>
      <c r="O179" t="s">
        <v>446</v>
      </c>
      <c r="P179">
        <v>22</v>
      </c>
      <c r="Q179">
        <v>22</v>
      </c>
      <c r="R179">
        <v>211</v>
      </c>
      <c r="S179" t="s">
        <v>56</v>
      </c>
      <c r="T179">
        <v>0.21</v>
      </c>
      <c r="U179">
        <v>424</v>
      </c>
      <c r="V179" t="s">
        <v>55</v>
      </c>
      <c r="W179">
        <v>0.42299999999999999</v>
      </c>
      <c r="X179">
        <v>8001</v>
      </c>
      <c r="Y179" t="s">
        <v>47</v>
      </c>
      <c r="Z179">
        <v>8</v>
      </c>
      <c r="AA179">
        <v>295</v>
      </c>
      <c r="AB179" t="s">
        <v>47</v>
      </c>
      <c r="AC179">
        <v>0.29399999999999998</v>
      </c>
      <c r="AD179">
        <v>588</v>
      </c>
      <c r="AE179" t="s">
        <v>48</v>
      </c>
      <c r="AF179">
        <v>0.58699999999999997</v>
      </c>
      <c r="AG179">
        <v>602</v>
      </c>
      <c r="AH179" t="s">
        <v>49</v>
      </c>
      <c r="AI179">
        <v>0.60099999999999998</v>
      </c>
      <c r="AJ179" t="s">
        <v>1154</v>
      </c>
    </row>
    <row r="180" spans="1:36" x14ac:dyDescent="0.25">
      <c r="A180" t="s">
        <v>1084</v>
      </c>
      <c r="B180">
        <v>855499335</v>
      </c>
      <c r="C180" t="s">
        <v>1085</v>
      </c>
      <c r="D180" t="s">
        <v>1085</v>
      </c>
      <c r="E180" t="s">
        <v>60</v>
      </c>
      <c r="F180" t="s">
        <v>229</v>
      </c>
      <c r="I180" t="s">
        <v>39</v>
      </c>
      <c r="J180" t="s">
        <v>40</v>
      </c>
      <c r="K180" t="s">
        <v>41</v>
      </c>
      <c r="L180" t="s">
        <v>458</v>
      </c>
      <c r="N180" t="s">
        <v>43</v>
      </c>
      <c r="O180" t="s">
        <v>446</v>
      </c>
      <c r="P180">
        <v>22</v>
      </c>
      <c r="Q180">
        <v>22</v>
      </c>
      <c r="S180" t="s">
        <v>39</v>
      </c>
      <c r="V180" t="s">
        <v>39</v>
      </c>
      <c r="X180">
        <v>8001</v>
      </c>
      <c r="Y180" t="s">
        <v>47</v>
      </c>
      <c r="Z180">
        <v>8</v>
      </c>
      <c r="AA180">
        <v>295</v>
      </c>
      <c r="AB180" t="s">
        <v>47</v>
      </c>
      <c r="AC180">
        <v>0.29399999999999998</v>
      </c>
      <c r="AD180">
        <v>588</v>
      </c>
      <c r="AE180" t="s">
        <v>48</v>
      </c>
      <c r="AF180">
        <v>0.58699999999999997</v>
      </c>
      <c r="AG180">
        <v>602</v>
      </c>
      <c r="AH180" t="s">
        <v>49</v>
      </c>
      <c r="AI180">
        <v>0.60099999999999998</v>
      </c>
      <c r="AJ180" t="s">
        <v>1155</v>
      </c>
    </row>
    <row r="181" spans="1:36" x14ac:dyDescent="0.25">
      <c r="A181" t="s">
        <v>1084</v>
      </c>
      <c r="B181">
        <v>855499335</v>
      </c>
      <c r="C181" t="s">
        <v>1085</v>
      </c>
      <c r="D181" t="s">
        <v>1085</v>
      </c>
      <c r="E181" t="s">
        <v>60</v>
      </c>
      <c r="F181" t="s">
        <v>229</v>
      </c>
      <c r="I181" t="s">
        <v>39</v>
      </c>
      <c r="J181" t="s">
        <v>40</v>
      </c>
      <c r="K181" t="s">
        <v>41</v>
      </c>
      <c r="L181" t="s">
        <v>458</v>
      </c>
      <c r="N181" t="s">
        <v>43</v>
      </c>
      <c r="O181" t="s">
        <v>446</v>
      </c>
      <c r="P181">
        <v>22</v>
      </c>
      <c r="Q181">
        <v>22</v>
      </c>
      <c r="S181" t="s">
        <v>39</v>
      </c>
      <c r="V181" t="s">
        <v>39</v>
      </c>
      <c r="X181">
        <v>8001</v>
      </c>
      <c r="Y181" t="s">
        <v>47</v>
      </c>
      <c r="Z181">
        <v>8</v>
      </c>
      <c r="AA181">
        <v>295</v>
      </c>
      <c r="AB181" t="s">
        <v>47</v>
      </c>
      <c r="AC181">
        <v>0.29399999999999998</v>
      </c>
      <c r="AD181">
        <v>588</v>
      </c>
      <c r="AE181" t="s">
        <v>48</v>
      </c>
      <c r="AF181">
        <v>0.58699999999999997</v>
      </c>
      <c r="AG181">
        <v>602</v>
      </c>
      <c r="AH181" t="s">
        <v>49</v>
      </c>
      <c r="AI181">
        <v>0.60099999999999998</v>
      </c>
      <c r="AJ181" t="s">
        <v>1156</v>
      </c>
    </row>
    <row r="182" spans="1:36" x14ac:dyDescent="0.25">
      <c r="A182" t="s">
        <v>1081</v>
      </c>
      <c r="B182">
        <v>869172266</v>
      </c>
      <c r="C182" t="s">
        <v>1082</v>
      </c>
      <c r="D182" t="s">
        <v>1082</v>
      </c>
      <c r="E182" t="s">
        <v>60</v>
      </c>
      <c r="F182" t="s">
        <v>229</v>
      </c>
      <c r="I182" t="s">
        <v>39</v>
      </c>
      <c r="J182" t="s">
        <v>40</v>
      </c>
      <c r="K182" t="s">
        <v>41</v>
      </c>
      <c r="L182" t="s">
        <v>78</v>
      </c>
      <c r="N182" t="s">
        <v>43</v>
      </c>
      <c r="O182" t="s">
        <v>1083</v>
      </c>
      <c r="P182">
        <v>23</v>
      </c>
      <c r="Q182">
        <v>23</v>
      </c>
      <c r="R182">
        <v>51</v>
      </c>
      <c r="S182" t="s">
        <v>56</v>
      </c>
      <c r="T182">
        <v>0.05</v>
      </c>
      <c r="U182">
        <v>423</v>
      </c>
      <c r="V182" t="s">
        <v>55</v>
      </c>
      <c r="W182">
        <v>0.42199999999999999</v>
      </c>
      <c r="X182">
        <v>14001</v>
      </c>
      <c r="Y182" t="s">
        <v>47</v>
      </c>
      <c r="Z182">
        <v>14</v>
      </c>
      <c r="AA182">
        <v>460</v>
      </c>
      <c r="AB182" t="s">
        <v>47</v>
      </c>
      <c r="AC182">
        <v>0.45900000000000002</v>
      </c>
      <c r="AD182">
        <v>617</v>
      </c>
      <c r="AE182" t="s">
        <v>48</v>
      </c>
      <c r="AF182">
        <v>0.61599999999999999</v>
      </c>
      <c r="AG182">
        <v>475</v>
      </c>
      <c r="AH182" t="s">
        <v>57</v>
      </c>
      <c r="AI182">
        <v>0.47399999999999998</v>
      </c>
      <c r="AJ182" t="s">
        <v>50</v>
      </c>
    </row>
    <row r="183" spans="1:36" x14ac:dyDescent="0.25">
      <c r="A183" t="s">
        <v>1081</v>
      </c>
      <c r="B183">
        <v>869172266</v>
      </c>
      <c r="C183" t="s">
        <v>1082</v>
      </c>
      <c r="D183" t="s">
        <v>1082</v>
      </c>
      <c r="E183" t="s">
        <v>60</v>
      </c>
      <c r="F183" t="s">
        <v>229</v>
      </c>
      <c r="I183" t="s">
        <v>39</v>
      </c>
      <c r="J183" t="s">
        <v>40</v>
      </c>
      <c r="K183" t="s">
        <v>41</v>
      </c>
      <c r="L183" t="s">
        <v>78</v>
      </c>
      <c r="N183" t="s">
        <v>43</v>
      </c>
      <c r="O183" t="s">
        <v>1083</v>
      </c>
      <c r="P183">
        <v>23</v>
      </c>
      <c r="Q183">
        <v>23</v>
      </c>
      <c r="R183">
        <v>141</v>
      </c>
      <c r="S183" t="s">
        <v>56</v>
      </c>
      <c r="T183">
        <v>0.14000000000000001</v>
      </c>
      <c r="U183">
        <v>627</v>
      </c>
      <c r="V183" t="s">
        <v>113</v>
      </c>
      <c r="W183">
        <v>0.626</v>
      </c>
      <c r="X183">
        <v>14001</v>
      </c>
      <c r="Y183" t="s">
        <v>47</v>
      </c>
      <c r="Z183">
        <v>14</v>
      </c>
      <c r="AA183">
        <v>460</v>
      </c>
      <c r="AB183" t="s">
        <v>47</v>
      </c>
      <c r="AC183">
        <v>0.45900000000000002</v>
      </c>
      <c r="AD183">
        <v>617</v>
      </c>
      <c r="AE183" t="s">
        <v>48</v>
      </c>
      <c r="AF183">
        <v>0.61599999999999999</v>
      </c>
      <c r="AG183">
        <v>475</v>
      </c>
      <c r="AH183" t="s">
        <v>57</v>
      </c>
      <c r="AI183">
        <v>0.47399999999999998</v>
      </c>
      <c r="AJ183" t="s">
        <v>1141</v>
      </c>
    </row>
    <row r="184" spans="1:36" x14ac:dyDescent="0.25">
      <c r="A184" t="s">
        <v>1081</v>
      </c>
      <c r="B184">
        <v>869172266</v>
      </c>
      <c r="C184" t="s">
        <v>1082</v>
      </c>
      <c r="D184" t="s">
        <v>1082</v>
      </c>
      <c r="E184" t="s">
        <v>60</v>
      </c>
      <c r="F184" t="s">
        <v>229</v>
      </c>
      <c r="I184" t="s">
        <v>39</v>
      </c>
      <c r="J184" t="s">
        <v>40</v>
      </c>
      <c r="K184" t="s">
        <v>41</v>
      </c>
      <c r="L184" t="s">
        <v>78</v>
      </c>
      <c r="N184" t="s">
        <v>43</v>
      </c>
      <c r="O184" t="s">
        <v>1083</v>
      </c>
      <c r="P184">
        <v>23</v>
      </c>
      <c r="Q184">
        <v>23</v>
      </c>
      <c r="R184">
        <v>51</v>
      </c>
      <c r="S184" t="s">
        <v>56</v>
      </c>
      <c r="T184">
        <v>0.05</v>
      </c>
      <c r="U184">
        <v>423</v>
      </c>
      <c r="V184" t="s">
        <v>55</v>
      </c>
      <c r="W184">
        <v>0.42199999999999999</v>
      </c>
      <c r="X184">
        <v>14001</v>
      </c>
      <c r="Y184" t="s">
        <v>47</v>
      </c>
      <c r="Z184">
        <v>14</v>
      </c>
      <c r="AA184">
        <v>460</v>
      </c>
      <c r="AB184" t="s">
        <v>47</v>
      </c>
      <c r="AC184">
        <v>0.45900000000000002</v>
      </c>
      <c r="AD184">
        <v>617</v>
      </c>
      <c r="AE184" t="s">
        <v>48</v>
      </c>
      <c r="AF184">
        <v>0.61599999999999999</v>
      </c>
      <c r="AG184">
        <v>475</v>
      </c>
      <c r="AH184" t="s">
        <v>57</v>
      </c>
      <c r="AI184">
        <v>0.47399999999999998</v>
      </c>
      <c r="AJ184" t="s">
        <v>1153</v>
      </c>
    </row>
    <row r="185" spans="1:36" x14ac:dyDescent="0.25">
      <c r="A185" t="s">
        <v>1081</v>
      </c>
      <c r="B185">
        <v>869172266</v>
      </c>
      <c r="C185" t="s">
        <v>1082</v>
      </c>
      <c r="D185" t="s">
        <v>1082</v>
      </c>
      <c r="E185" t="s">
        <v>60</v>
      </c>
      <c r="F185" t="s">
        <v>229</v>
      </c>
      <c r="I185" t="s">
        <v>39</v>
      </c>
      <c r="J185" t="s">
        <v>40</v>
      </c>
      <c r="K185" t="s">
        <v>41</v>
      </c>
      <c r="L185" t="s">
        <v>78</v>
      </c>
      <c r="N185" t="s">
        <v>43</v>
      </c>
      <c r="O185" t="s">
        <v>1083</v>
      </c>
      <c r="P185">
        <v>23</v>
      </c>
      <c r="Q185">
        <v>23</v>
      </c>
      <c r="R185">
        <v>51</v>
      </c>
      <c r="S185" t="s">
        <v>56</v>
      </c>
      <c r="T185">
        <v>0.05</v>
      </c>
      <c r="U185">
        <v>423</v>
      </c>
      <c r="V185" t="s">
        <v>55</v>
      </c>
      <c r="W185">
        <v>0.42199999999999999</v>
      </c>
      <c r="X185">
        <v>14001</v>
      </c>
      <c r="Y185" t="s">
        <v>47</v>
      </c>
      <c r="Z185">
        <v>14</v>
      </c>
      <c r="AA185">
        <v>460</v>
      </c>
      <c r="AB185" t="s">
        <v>47</v>
      </c>
      <c r="AC185">
        <v>0.45900000000000002</v>
      </c>
      <c r="AD185">
        <v>617</v>
      </c>
      <c r="AE185" t="s">
        <v>48</v>
      </c>
      <c r="AF185">
        <v>0.61599999999999999</v>
      </c>
      <c r="AG185">
        <v>475</v>
      </c>
      <c r="AH185" t="s">
        <v>57</v>
      </c>
      <c r="AI185">
        <v>0.47399999999999998</v>
      </c>
      <c r="AJ185" t="s">
        <v>1154</v>
      </c>
    </row>
    <row r="186" spans="1:36" x14ac:dyDescent="0.25">
      <c r="A186" t="s">
        <v>1081</v>
      </c>
      <c r="B186">
        <v>869172266</v>
      </c>
      <c r="C186" t="s">
        <v>1082</v>
      </c>
      <c r="D186" t="s">
        <v>1082</v>
      </c>
      <c r="E186" t="s">
        <v>60</v>
      </c>
      <c r="F186" t="s">
        <v>229</v>
      </c>
      <c r="I186" t="s">
        <v>39</v>
      </c>
      <c r="J186" t="s">
        <v>40</v>
      </c>
      <c r="K186" t="s">
        <v>41</v>
      </c>
      <c r="L186" t="s">
        <v>78</v>
      </c>
      <c r="N186" t="s">
        <v>43</v>
      </c>
      <c r="O186" t="s">
        <v>1083</v>
      </c>
      <c r="P186">
        <v>23</v>
      </c>
      <c r="Q186">
        <v>23</v>
      </c>
      <c r="S186" t="s">
        <v>39</v>
      </c>
      <c r="V186" t="s">
        <v>39</v>
      </c>
      <c r="X186">
        <v>14001</v>
      </c>
      <c r="Y186" t="s">
        <v>47</v>
      </c>
      <c r="Z186">
        <v>14</v>
      </c>
      <c r="AA186">
        <v>460</v>
      </c>
      <c r="AB186" t="s">
        <v>47</v>
      </c>
      <c r="AC186">
        <v>0.45900000000000002</v>
      </c>
      <c r="AD186">
        <v>617</v>
      </c>
      <c r="AE186" t="s">
        <v>48</v>
      </c>
      <c r="AF186">
        <v>0.61599999999999999</v>
      </c>
      <c r="AG186">
        <v>475</v>
      </c>
      <c r="AH186" t="s">
        <v>57</v>
      </c>
      <c r="AI186">
        <v>0.47399999999999998</v>
      </c>
      <c r="AJ186" t="s">
        <v>1155</v>
      </c>
    </row>
    <row r="187" spans="1:36" x14ac:dyDescent="0.25">
      <c r="A187" t="s">
        <v>1081</v>
      </c>
      <c r="B187">
        <v>869172266</v>
      </c>
      <c r="C187" t="s">
        <v>1082</v>
      </c>
      <c r="D187" t="s">
        <v>1082</v>
      </c>
      <c r="E187" t="s">
        <v>60</v>
      </c>
      <c r="F187" t="s">
        <v>229</v>
      </c>
      <c r="I187" t="s">
        <v>39</v>
      </c>
      <c r="J187" t="s">
        <v>40</v>
      </c>
      <c r="K187" t="s">
        <v>41</v>
      </c>
      <c r="L187" t="s">
        <v>78</v>
      </c>
      <c r="N187" t="s">
        <v>43</v>
      </c>
      <c r="O187" t="s">
        <v>1083</v>
      </c>
      <c r="P187">
        <v>23</v>
      </c>
      <c r="Q187">
        <v>23</v>
      </c>
      <c r="S187" t="s">
        <v>39</v>
      </c>
      <c r="V187" t="s">
        <v>39</v>
      </c>
      <c r="X187">
        <v>14001</v>
      </c>
      <c r="Y187" t="s">
        <v>47</v>
      </c>
      <c r="Z187">
        <v>14</v>
      </c>
      <c r="AA187">
        <v>460</v>
      </c>
      <c r="AB187" t="s">
        <v>47</v>
      </c>
      <c r="AC187">
        <v>0.45900000000000002</v>
      </c>
      <c r="AD187">
        <v>617</v>
      </c>
      <c r="AE187" t="s">
        <v>48</v>
      </c>
      <c r="AF187">
        <v>0.61599999999999999</v>
      </c>
      <c r="AG187">
        <v>475</v>
      </c>
      <c r="AH187" t="s">
        <v>57</v>
      </c>
      <c r="AI187">
        <v>0.47399999999999998</v>
      </c>
      <c r="AJ187" t="s">
        <v>1156</v>
      </c>
    </row>
    <row r="188" spans="1:36" x14ac:dyDescent="0.25">
      <c r="A188" t="s">
        <v>1077</v>
      </c>
      <c r="B188">
        <v>855572408</v>
      </c>
      <c r="C188" t="s">
        <v>1078</v>
      </c>
      <c r="D188" t="s">
        <v>1078</v>
      </c>
      <c r="E188" t="s">
        <v>37</v>
      </c>
      <c r="F188" t="s">
        <v>71</v>
      </c>
      <c r="I188" t="s">
        <v>39</v>
      </c>
      <c r="J188" t="s">
        <v>40</v>
      </c>
      <c r="K188" t="s">
        <v>41</v>
      </c>
      <c r="L188" t="s">
        <v>53</v>
      </c>
      <c r="N188" t="s">
        <v>43</v>
      </c>
      <c r="O188" t="s">
        <v>225</v>
      </c>
      <c r="P188">
        <v>24</v>
      </c>
      <c r="Q188">
        <v>24</v>
      </c>
      <c r="R188">
        <v>61</v>
      </c>
      <c r="S188" t="s">
        <v>56</v>
      </c>
      <c r="T188">
        <v>0.06</v>
      </c>
      <c r="U188">
        <v>175</v>
      </c>
      <c r="V188" t="s">
        <v>55</v>
      </c>
      <c r="W188">
        <v>0.17399999999999999</v>
      </c>
      <c r="X188">
        <v>16001</v>
      </c>
      <c r="Y188" t="s">
        <v>47</v>
      </c>
      <c r="Z188">
        <v>16</v>
      </c>
      <c r="AA188">
        <v>252</v>
      </c>
      <c r="AB188" t="s">
        <v>47</v>
      </c>
      <c r="AC188">
        <v>0.251</v>
      </c>
      <c r="AD188">
        <v>402</v>
      </c>
      <c r="AE188" t="s">
        <v>56</v>
      </c>
      <c r="AF188">
        <v>0.40100000000000002</v>
      </c>
      <c r="AG188">
        <v>355</v>
      </c>
      <c r="AH188" t="s">
        <v>57</v>
      </c>
      <c r="AI188">
        <v>0.35399999999999998</v>
      </c>
      <c r="AJ188" t="s">
        <v>50</v>
      </c>
    </row>
    <row r="189" spans="1:36" x14ac:dyDescent="0.25">
      <c r="A189" t="s">
        <v>1077</v>
      </c>
      <c r="B189">
        <v>855572408</v>
      </c>
      <c r="C189" t="s">
        <v>1078</v>
      </c>
      <c r="D189" t="s">
        <v>1078</v>
      </c>
      <c r="E189" t="s">
        <v>37</v>
      </c>
      <c r="F189" t="s">
        <v>71</v>
      </c>
      <c r="I189" t="s">
        <v>39</v>
      </c>
      <c r="J189" t="s">
        <v>40</v>
      </c>
      <c r="K189" t="s">
        <v>41</v>
      </c>
      <c r="L189" t="s">
        <v>53</v>
      </c>
      <c r="N189" t="s">
        <v>43</v>
      </c>
      <c r="O189" t="s">
        <v>225</v>
      </c>
      <c r="P189">
        <v>24</v>
      </c>
      <c r="Q189">
        <v>24</v>
      </c>
      <c r="R189">
        <v>81</v>
      </c>
      <c r="S189" t="s">
        <v>56</v>
      </c>
      <c r="T189">
        <v>0.08</v>
      </c>
      <c r="U189">
        <v>200</v>
      </c>
      <c r="V189" t="s">
        <v>55</v>
      </c>
      <c r="W189">
        <v>0.19900000000000001</v>
      </c>
      <c r="X189">
        <v>16001</v>
      </c>
      <c r="Y189" t="s">
        <v>47</v>
      </c>
      <c r="Z189">
        <v>16</v>
      </c>
      <c r="AA189">
        <v>252</v>
      </c>
      <c r="AB189" t="s">
        <v>47</v>
      </c>
      <c r="AC189">
        <v>0.251</v>
      </c>
      <c r="AD189">
        <v>402</v>
      </c>
      <c r="AE189" t="s">
        <v>56</v>
      </c>
      <c r="AF189">
        <v>0.40100000000000002</v>
      </c>
      <c r="AG189">
        <v>355</v>
      </c>
      <c r="AH189" t="s">
        <v>57</v>
      </c>
      <c r="AI189">
        <v>0.35399999999999998</v>
      </c>
      <c r="AJ189" t="s">
        <v>1141</v>
      </c>
    </row>
    <row r="190" spans="1:36" x14ac:dyDescent="0.25">
      <c r="A190" t="s">
        <v>1077</v>
      </c>
      <c r="B190">
        <v>855572408</v>
      </c>
      <c r="C190" t="s">
        <v>1078</v>
      </c>
      <c r="D190" t="s">
        <v>1078</v>
      </c>
      <c r="E190" t="s">
        <v>37</v>
      </c>
      <c r="F190" t="s">
        <v>71</v>
      </c>
      <c r="I190" t="s">
        <v>39</v>
      </c>
      <c r="J190" t="s">
        <v>40</v>
      </c>
      <c r="K190" t="s">
        <v>41</v>
      </c>
      <c r="L190" t="s">
        <v>53</v>
      </c>
      <c r="N190" t="s">
        <v>43</v>
      </c>
      <c r="O190" t="s">
        <v>225</v>
      </c>
      <c r="P190">
        <v>24</v>
      </c>
      <c r="Q190">
        <v>24</v>
      </c>
      <c r="R190">
        <v>61</v>
      </c>
      <c r="S190" t="s">
        <v>56</v>
      </c>
      <c r="T190">
        <v>0.06</v>
      </c>
      <c r="U190">
        <v>175</v>
      </c>
      <c r="V190" t="s">
        <v>55</v>
      </c>
      <c r="W190">
        <v>0.17399999999999999</v>
      </c>
      <c r="X190">
        <v>16001</v>
      </c>
      <c r="Y190" t="s">
        <v>47</v>
      </c>
      <c r="Z190">
        <v>16</v>
      </c>
      <c r="AA190">
        <v>252</v>
      </c>
      <c r="AB190" t="s">
        <v>47</v>
      </c>
      <c r="AC190">
        <v>0.251</v>
      </c>
      <c r="AD190">
        <v>402</v>
      </c>
      <c r="AE190" t="s">
        <v>56</v>
      </c>
      <c r="AF190">
        <v>0.40100000000000002</v>
      </c>
      <c r="AG190">
        <v>355</v>
      </c>
      <c r="AH190" t="s">
        <v>57</v>
      </c>
      <c r="AI190">
        <v>0.35399999999999998</v>
      </c>
      <c r="AJ190" t="s">
        <v>1153</v>
      </c>
    </row>
    <row r="191" spans="1:36" x14ac:dyDescent="0.25">
      <c r="A191" t="s">
        <v>1077</v>
      </c>
      <c r="B191">
        <v>855572408</v>
      </c>
      <c r="C191" t="s">
        <v>1078</v>
      </c>
      <c r="D191" t="s">
        <v>1078</v>
      </c>
      <c r="E191" t="s">
        <v>37</v>
      </c>
      <c r="F191" t="s">
        <v>71</v>
      </c>
      <c r="I191" t="s">
        <v>39</v>
      </c>
      <c r="J191" t="s">
        <v>40</v>
      </c>
      <c r="K191" t="s">
        <v>41</v>
      </c>
      <c r="L191" t="s">
        <v>53</v>
      </c>
      <c r="N191" t="s">
        <v>43</v>
      </c>
      <c r="O191" t="s">
        <v>225</v>
      </c>
      <c r="P191">
        <v>24</v>
      </c>
      <c r="Q191">
        <v>24</v>
      </c>
      <c r="R191">
        <v>61</v>
      </c>
      <c r="S191" t="s">
        <v>56</v>
      </c>
      <c r="T191">
        <v>0.06</v>
      </c>
      <c r="U191">
        <v>175</v>
      </c>
      <c r="V191" t="s">
        <v>55</v>
      </c>
      <c r="W191">
        <v>0.17399999999999999</v>
      </c>
      <c r="X191">
        <v>16001</v>
      </c>
      <c r="Y191" t="s">
        <v>47</v>
      </c>
      <c r="Z191">
        <v>16</v>
      </c>
      <c r="AA191">
        <v>252</v>
      </c>
      <c r="AB191" t="s">
        <v>47</v>
      </c>
      <c r="AC191">
        <v>0.251</v>
      </c>
      <c r="AD191">
        <v>402</v>
      </c>
      <c r="AE191" t="s">
        <v>56</v>
      </c>
      <c r="AF191">
        <v>0.40100000000000002</v>
      </c>
      <c r="AG191">
        <v>355</v>
      </c>
      <c r="AH191" t="s">
        <v>57</v>
      </c>
      <c r="AI191">
        <v>0.35399999999999998</v>
      </c>
      <c r="AJ191" t="s">
        <v>1154</v>
      </c>
    </row>
    <row r="192" spans="1:36" x14ac:dyDescent="0.25">
      <c r="A192" t="s">
        <v>1077</v>
      </c>
      <c r="B192">
        <v>855572408</v>
      </c>
      <c r="C192" t="s">
        <v>1078</v>
      </c>
      <c r="D192" t="s">
        <v>1078</v>
      </c>
      <c r="E192" t="s">
        <v>37</v>
      </c>
      <c r="F192" t="s">
        <v>71</v>
      </c>
      <c r="I192" t="s">
        <v>39</v>
      </c>
      <c r="J192" t="s">
        <v>40</v>
      </c>
      <c r="K192" t="s">
        <v>41</v>
      </c>
      <c r="L192" t="s">
        <v>53</v>
      </c>
      <c r="N192" t="s">
        <v>43</v>
      </c>
      <c r="O192" t="s">
        <v>225</v>
      </c>
      <c r="P192">
        <v>24</v>
      </c>
      <c r="Q192">
        <v>24</v>
      </c>
      <c r="S192" t="s">
        <v>39</v>
      </c>
      <c r="V192" t="s">
        <v>39</v>
      </c>
      <c r="X192">
        <v>16001</v>
      </c>
      <c r="Y192" t="s">
        <v>47</v>
      </c>
      <c r="Z192">
        <v>16</v>
      </c>
      <c r="AA192">
        <v>252</v>
      </c>
      <c r="AB192" t="s">
        <v>47</v>
      </c>
      <c r="AC192">
        <v>0.251</v>
      </c>
      <c r="AD192">
        <v>402</v>
      </c>
      <c r="AE192" t="s">
        <v>56</v>
      </c>
      <c r="AF192">
        <v>0.40100000000000002</v>
      </c>
      <c r="AG192">
        <v>355</v>
      </c>
      <c r="AH192" t="s">
        <v>57</v>
      </c>
      <c r="AI192">
        <v>0.35399999999999998</v>
      </c>
      <c r="AJ192" t="s">
        <v>1155</v>
      </c>
    </row>
    <row r="193" spans="1:36" x14ac:dyDescent="0.25">
      <c r="A193" t="s">
        <v>1077</v>
      </c>
      <c r="B193">
        <v>855572408</v>
      </c>
      <c r="C193" t="s">
        <v>1078</v>
      </c>
      <c r="D193" t="s">
        <v>1078</v>
      </c>
      <c r="E193" t="s">
        <v>37</v>
      </c>
      <c r="F193" t="s">
        <v>71</v>
      </c>
      <c r="I193" t="s">
        <v>39</v>
      </c>
      <c r="J193" t="s">
        <v>40</v>
      </c>
      <c r="K193" t="s">
        <v>41</v>
      </c>
      <c r="L193" t="s">
        <v>53</v>
      </c>
      <c r="N193" t="s">
        <v>43</v>
      </c>
      <c r="O193" t="s">
        <v>225</v>
      </c>
      <c r="P193">
        <v>24</v>
      </c>
      <c r="Q193">
        <v>24</v>
      </c>
      <c r="S193" t="s">
        <v>39</v>
      </c>
      <c r="V193" t="s">
        <v>39</v>
      </c>
      <c r="X193">
        <v>16001</v>
      </c>
      <c r="Y193" t="s">
        <v>47</v>
      </c>
      <c r="Z193">
        <v>16</v>
      </c>
      <c r="AA193">
        <v>252</v>
      </c>
      <c r="AB193" t="s">
        <v>47</v>
      </c>
      <c r="AC193">
        <v>0.251</v>
      </c>
      <c r="AD193">
        <v>402</v>
      </c>
      <c r="AE193" t="s">
        <v>56</v>
      </c>
      <c r="AF193">
        <v>0.40100000000000002</v>
      </c>
      <c r="AG193">
        <v>355</v>
      </c>
      <c r="AH193" t="s">
        <v>57</v>
      </c>
      <c r="AI193">
        <v>0.35399999999999998</v>
      </c>
      <c r="AJ193" t="s">
        <v>1156</v>
      </c>
    </row>
    <row r="194" spans="1:36" x14ac:dyDescent="0.25">
      <c r="A194" t="s">
        <v>1079</v>
      </c>
      <c r="B194">
        <v>855611056</v>
      </c>
      <c r="C194" t="s">
        <v>1080</v>
      </c>
      <c r="D194" t="s">
        <v>1080</v>
      </c>
      <c r="E194" t="s">
        <v>37</v>
      </c>
      <c r="F194" t="s">
        <v>127</v>
      </c>
      <c r="I194" t="s">
        <v>39</v>
      </c>
      <c r="J194" t="s">
        <v>40</v>
      </c>
      <c r="K194" t="s">
        <v>41</v>
      </c>
      <c r="L194" t="s">
        <v>118</v>
      </c>
      <c r="N194" t="s">
        <v>43</v>
      </c>
      <c r="O194" t="s">
        <v>324</v>
      </c>
      <c r="P194">
        <v>24</v>
      </c>
      <c r="Q194">
        <v>24</v>
      </c>
      <c r="R194">
        <v>21</v>
      </c>
      <c r="S194" t="s">
        <v>45</v>
      </c>
      <c r="T194">
        <v>0.02</v>
      </c>
      <c r="U194">
        <v>584</v>
      </c>
      <c r="V194" t="s">
        <v>113</v>
      </c>
      <c r="W194">
        <v>0.58299999999999996</v>
      </c>
      <c r="X194">
        <v>19001</v>
      </c>
      <c r="Y194" t="s">
        <v>47</v>
      </c>
      <c r="Z194">
        <v>19</v>
      </c>
      <c r="AA194">
        <v>383</v>
      </c>
      <c r="AB194" t="s">
        <v>47</v>
      </c>
      <c r="AC194">
        <v>0.38200000000000001</v>
      </c>
      <c r="AD194">
        <v>656</v>
      </c>
      <c r="AE194" t="s">
        <v>48</v>
      </c>
      <c r="AF194">
        <v>0.65500000000000003</v>
      </c>
      <c r="AG194">
        <v>584</v>
      </c>
      <c r="AH194" t="s">
        <v>49</v>
      </c>
      <c r="AI194">
        <v>0.58299999999999996</v>
      </c>
      <c r="AJ194" t="s">
        <v>50</v>
      </c>
    </row>
    <row r="195" spans="1:36" x14ac:dyDescent="0.25">
      <c r="A195" t="s">
        <v>1079</v>
      </c>
      <c r="B195">
        <v>855611056</v>
      </c>
      <c r="C195" t="s">
        <v>1080</v>
      </c>
      <c r="D195" t="s">
        <v>1080</v>
      </c>
      <c r="E195" t="s">
        <v>37</v>
      </c>
      <c r="F195" t="s">
        <v>127</v>
      </c>
      <c r="I195" t="s">
        <v>39</v>
      </c>
      <c r="J195" t="s">
        <v>40</v>
      </c>
      <c r="K195" t="s">
        <v>41</v>
      </c>
      <c r="L195" t="s">
        <v>118</v>
      </c>
      <c r="N195" t="s">
        <v>43</v>
      </c>
      <c r="O195" t="s">
        <v>324</v>
      </c>
      <c r="P195">
        <v>24</v>
      </c>
      <c r="Q195">
        <v>24</v>
      </c>
      <c r="R195">
        <v>11</v>
      </c>
      <c r="S195" t="s">
        <v>45</v>
      </c>
      <c r="T195">
        <v>0.01</v>
      </c>
      <c r="U195">
        <v>870</v>
      </c>
      <c r="V195" t="s">
        <v>113</v>
      </c>
      <c r="W195">
        <v>0.86899999999999999</v>
      </c>
      <c r="X195">
        <v>19001</v>
      </c>
      <c r="Y195" t="s">
        <v>47</v>
      </c>
      <c r="Z195">
        <v>19</v>
      </c>
      <c r="AA195">
        <v>383</v>
      </c>
      <c r="AB195" t="s">
        <v>47</v>
      </c>
      <c r="AC195">
        <v>0.38200000000000001</v>
      </c>
      <c r="AD195">
        <v>656</v>
      </c>
      <c r="AE195" t="s">
        <v>48</v>
      </c>
      <c r="AF195">
        <v>0.65500000000000003</v>
      </c>
      <c r="AG195">
        <v>584</v>
      </c>
      <c r="AH195" t="s">
        <v>49</v>
      </c>
      <c r="AI195">
        <v>0.58299999999999996</v>
      </c>
      <c r="AJ195" t="s">
        <v>1141</v>
      </c>
    </row>
    <row r="196" spans="1:36" x14ac:dyDescent="0.25">
      <c r="A196" t="s">
        <v>1079</v>
      </c>
      <c r="B196">
        <v>855611056</v>
      </c>
      <c r="C196" t="s">
        <v>1080</v>
      </c>
      <c r="D196" t="s">
        <v>1080</v>
      </c>
      <c r="E196" t="s">
        <v>37</v>
      </c>
      <c r="F196" t="s">
        <v>127</v>
      </c>
      <c r="I196" t="s">
        <v>39</v>
      </c>
      <c r="J196" t="s">
        <v>40</v>
      </c>
      <c r="K196" t="s">
        <v>41</v>
      </c>
      <c r="L196" t="s">
        <v>118</v>
      </c>
      <c r="N196" t="s">
        <v>43</v>
      </c>
      <c r="O196" t="s">
        <v>324</v>
      </c>
      <c r="P196">
        <v>24</v>
      </c>
      <c r="Q196">
        <v>24</v>
      </c>
      <c r="R196">
        <v>21</v>
      </c>
      <c r="S196" t="s">
        <v>45</v>
      </c>
      <c r="T196">
        <v>0.02</v>
      </c>
      <c r="U196">
        <v>584</v>
      </c>
      <c r="V196" t="s">
        <v>113</v>
      </c>
      <c r="W196">
        <v>0.58299999999999996</v>
      </c>
      <c r="X196">
        <v>19001</v>
      </c>
      <c r="Y196" t="s">
        <v>47</v>
      </c>
      <c r="Z196">
        <v>19</v>
      </c>
      <c r="AA196">
        <v>383</v>
      </c>
      <c r="AB196" t="s">
        <v>47</v>
      </c>
      <c r="AC196">
        <v>0.38200000000000001</v>
      </c>
      <c r="AD196">
        <v>656</v>
      </c>
      <c r="AE196" t="s">
        <v>48</v>
      </c>
      <c r="AF196">
        <v>0.65500000000000003</v>
      </c>
      <c r="AG196">
        <v>584</v>
      </c>
      <c r="AH196" t="s">
        <v>49</v>
      </c>
      <c r="AI196">
        <v>0.58299999999999996</v>
      </c>
      <c r="AJ196" t="s">
        <v>1153</v>
      </c>
    </row>
    <row r="197" spans="1:36" x14ac:dyDescent="0.25">
      <c r="A197" t="s">
        <v>1079</v>
      </c>
      <c r="B197">
        <v>855611056</v>
      </c>
      <c r="C197" t="s">
        <v>1080</v>
      </c>
      <c r="D197" t="s">
        <v>1080</v>
      </c>
      <c r="E197" t="s">
        <v>37</v>
      </c>
      <c r="F197" t="s">
        <v>127</v>
      </c>
      <c r="I197" t="s">
        <v>39</v>
      </c>
      <c r="J197" t="s">
        <v>40</v>
      </c>
      <c r="K197" t="s">
        <v>41</v>
      </c>
      <c r="L197" t="s">
        <v>118</v>
      </c>
      <c r="N197" t="s">
        <v>43</v>
      </c>
      <c r="O197" t="s">
        <v>324</v>
      </c>
      <c r="P197">
        <v>24</v>
      </c>
      <c r="Q197">
        <v>24</v>
      </c>
      <c r="R197">
        <v>21</v>
      </c>
      <c r="S197" t="s">
        <v>45</v>
      </c>
      <c r="T197">
        <v>0.02</v>
      </c>
      <c r="U197">
        <v>584</v>
      </c>
      <c r="V197" t="s">
        <v>113</v>
      </c>
      <c r="W197">
        <v>0.58299999999999996</v>
      </c>
      <c r="X197">
        <v>19001</v>
      </c>
      <c r="Y197" t="s">
        <v>47</v>
      </c>
      <c r="Z197">
        <v>19</v>
      </c>
      <c r="AA197">
        <v>383</v>
      </c>
      <c r="AB197" t="s">
        <v>47</v>
      </c>
      <c r="AC197">
        <v>0.38200000000000001</v>
      </c>
      <c r="AD197">
        <v>656</v>
      </c>
      <c r="AE197" t="s">
        <v>48</v>
      </c>
      <c r="AF197">
        <v>0.65500000000000003</v>
      </c>
      <c r="AG197">
        <v>584</v>
      </c>
      <c r="AH197" t="s">
        <v>49</v>
      </c>
      <c r="AI197">
        <v>0.58299999999999996</v>
      </c>
      <c r="AJ197" t="s">
        <v>1154</v>
      </c>
    </row>
    <row r="198" spans="1:36" x14ac:dyDescent="0.25">
      <c r="A198" t="s">
        <v>1079</v>
      </c>
      <c r="B198">
        <v>855611056</v>
      </c>
      <c r="C198" t="s">
        <v>1080</v>
      </c>
      <c r="D198" t="s">
        <v>1080</v>
      </c>
      <c r="E198" t="s">
        <v>37</v>
      </c>
      <c r="F198" t="s">
        <v>127</v>
      </c>
      <c r="I198" t="s">
        <v>39</v>
      </c>
      <c r="J198" t="s">
        <v>40</v>
      </c>
      <c r="K198" t="s">
        <v>41</v>
      </c>
      <c r="L198" t="s">
        <v>118</v>
      </c>
      <c r="N198" t="s">
        <v>43</v>
      </c>
      <c r="O198" t="s">
        <v>324</v>
      </c>
      <c r="P198">
        <v>24</v>
      </c>
      <c r="Q198">
        <v>24</v>
      </c>
      <c r="S198" t="s">
        <v>39</v>
      </c>
      <c r="V198" t="s">
        <v>39</v>
      </c>
      <c r="X198">
        <v>19001</v>
      </c>
      <c r="Y198" t="s">
        <v>47</v>
      </c>
      <c r="Z198">
        <v>19</v>
      </c>
      <c r="AA198">
        <v>383</v>
      </c>
      <c r="AB198" t="s">
        <v>47</v>
      </c>
      <c r="AC198">
        <v>0.38200000000000001</v>
      </c>
      <c r="AD198">
        <v>656</v>
      </c>
      <c r="AE198" t="s">
        <v>48</v>
      </c>
      <c r="AF198">
        <v>0.65500000000000003</v>
      </c>
      <c r="AG198">
        <v>584</v>
      </c>
      <c r="AH198" t="s">
        <v>49</v>
      </c>
      <c r="AI198">
        <v>0.58299999999999996</v>
      </c>
      <c r="AJ198" t="s">
        <v>1155</v>
      </c>
    </row>
    <row r="199" spans="1:36" x14ac:dyDescent="0.25">
      <c r="A199" t="s">
        <v>1079</v>
      </c>
      <c r="B199">
        <v>855611056</v>
      </c>
      <c r="C199" t="s">
        <v>1080</v>
      </c>
      <c r="D199" t="s">
        <v>1080</v>
      </c>
      <c r="E199" t="s">
        <v>37</v>
      </c>
      <c r="F199" t="s">
        <v>127</v>
      </c>
      <c r="I199" t="s">
        <v>39</v>
      </c>
      <c r="J199" t="s">
        <v>40</v>
      </c>
      <c r="K199" t="s">
        <v>41</v>
      </c>
      <c r="L199" t="s">
        <v>118</v>
      </c>
      <c r="N199" t="s">
        <v>43</v>
      </c>
      <c r="O199" t="s">
        <v>324</v>
      </c>
      <c r="P199">
        <v>24</v>
      </c>
      <c r="Q199">
        <v>24</v>
      </c>
      <c r="S199" t="s">
        <v>39</v>
      </c>
      <c r="V199" t="s">
        <v>39</v>
      </c>
      <c r="X199">
        <v>19001</v>
      </c>
      <c r="Y199" t="s">
        <v>47</v>
      </c>
      <c r="Z199">
        <v>19</v>
      </c>
      <c r="AA199">
        <v>383</v>
      </c>
      <c r="AB199" t="s">
        <v>47</v>
      </c>
      <c r="AC199">
        <v>0.38200000000000001</v>
      </c>
      <c r="AD199">
        <v>656</v>
      </c>
      <c r="AE199" t="s">
        <v>48</v>
      </c>
      <c r="AF199">
        <v>0.65500000000000003</v>
      </c>
      <c r="AG199">
        <v>584</v>
      </c>
      <c r="AH199" t="s">
        <v>49</v>
      </c>
      <c r="AI199">
        <v>0.58299999999999996</v>
      </c>
      <c r="AJ199" t="s">
        <v>1156</v>
      </c>
    </row>
    <row r="200" spans="1:36" x14ac:dyDescent="0.25">
      <c r="A200" t="s">
        <v>1075</v>
      </c>
      <c r="B200">
        <v>855972942</v>
      </c>
      <c r="C200" t="s">
        <v>1076</v>
      </c>
      <c r="D200" t="s">
        <v>1076</v>
      </c>
      <c r="E200" t="s">
        <v>60</v>
      </c>
      <c r="F200" t="s">
        <v>88</v>
      </c>
      <c r="I200" t="s">
        <v>39</v>
      </c>
      <c r="J200" t="s">
        <v>40</v>
      </c>
      <c r="K200" t="s">
        <v>41</v>
      </c>
      <c r="L200" t="s">
        <v>137</v>
      </c>
      <c r="M200" t="s">
        <v>73</v>
      </c>
      <c r="N200" t="s">
        <v>43</v>
      </c>
      <c r="O200" t="s">
        <v>194</v>
      </c>
      <c r="P200">
        <v>25</v>
      </c>
      <c r="Q200">
        <v>25</v>
      </c>
      <c r="R200">
        <v>111</v>
      </c>
      <c r="S200" t="s">
        <v>56</v>
      </c>
      <c r="T200">
        <v>0.11</v>
      </c>
      <c r="U200">
        <v>63</v>
      </c>
      <c r="V200" t="s">
        <v>55</v>
      </c>
      <c r="W200">
        <v>6.2E-2</v>
      </c>
      <c r="X200">
        <v>2001</v>
      </c>
      <c r="Y200" t="s">
        <v>47</v>
      </c>
      <c r="Z200">
        <v>2</v>
      </c>
      <c r="AA200">
        <v>391</v>
      </c>
      <c r="AB200" t="s">
        <v>47</v>
      </c>
      <c r="AC200">
        <v>0.39</v>
      </c>
      <c r="AD200">
        <v>498</v>
      </c>
      <c r="AE200" t="s">
        <v>56</v>
      </c>
      <c r="AF200">
        <v>0.497</v>
      </c>
      <c r="AG200">
        <v>576</v>
      </c>
      <c r="AH200" t="s">
        <v>49</v>
      </c>
      <c r="AI200">
        <v>0.57499999999999996</v>
      </c>
      <c r="AJ200" t="s">
        <v>50</v>
      </c>
    </row>
    <row r="201" spans="1:36" x14ac:dyDescent="0.25">
      <c r="A201" t="s">
        <v>1075</v>
      </c>
      <c r="B201">
        <v>855972942</v>
      </c>
      <c r="C201" t="s">
        <v>1076</v>
      </c>
      <c r="D201" t="s">
        <v>1076</v>
      </c>
      <c r="E201" t="s">
        <v>60</v>
      </c>
      <c r="F201" t="s">
        <v>88</v>
      </c>
      <c r="I201" t="s">
        <v>39</v>
      </c>
      <c r="J201" t="s">
        <v>40</v>
      </c>
      <c r="K201" t="s">
        <v>41</v>
      </c>
      <c r="L201" t="s">
        <v>137</v>
      </c>
      <c r="M201" t="s">
        <v>73</v>
      </c>
      <c r="N201" t="s">
        <v>43</v>
      </c>
      <c r="O201" t="s">
        <v>194</v>
      </c>
      <c r="P201">
        <v>25</v>
      </c>
      <c r="Q201">
        <v>25</v>
      </c>
      <c r="R201">
        <v>71</v>
      </c>
      <c r="S201" t="s">
        <v>56</v>
      </c>
      <c r="T201">
        <v>7.0000000000000007E-2</v>
      </c>
      <c r="U201">
        <v>173</v>
      </c>
      <c r="V201" t="s">
        <v>55</v>
      </c>
      <c r="W201">
        <v>0.17199999999999999</v>
      </c>
      <c r="X201">
        <v>2001</v>
      </c>
      <c r="Y201" t="s">
        <v>47</v>
      </c>
      <c r="Z201">
        <v>2</v>
      </c>
      <c r="AA201">
        <v>391</v>
      </c>
      <c r="AB201" t="s">
        <v>47</v>
      </c>
      <c r="AC201">
        <v>0.39</v>
      </c>
      <c r="AD201">
        <v>498</v>
      </c>
      <c r="AE201" t="s">
        <v>56</v>
      </c>
      <c r="AF201">
        <v>0.497</v>
      </c>
      <c r="AG201">
        <v>576</v>
      </c>
      <c r="AH201" t="s">
        <v>49</v>
      </c>
      <c r="AI201">
        <v>0.57499999999999996</v>
      </c>
      <c r="AJ201" t="s">
        <v>1141</v>
      </c>
    </row>
    <row r="202" spans="1:36" x14ac:dyDescent="0.25">
      <c r="A202" t="s">
        <v>1075</v>
      </c>
      <c r="B202">
        <v>855972942</v>
      </c>
      <c r="C202" t="s">
        <v>1076</v>
      </c>
      <c r="D202" t="s">
        <v>1076</v>
      </c>
      <c r="E202" t="s">
        <v>60</v>
      </c>
      <c r="F202" t="s">
        <v>88</v>
      </c>
      <c r="I202" t="s">
        <v>39</v>
      </c>
      <c r="J202" t="s">
        <v>40</v>
      </c>
      <c r="K202" t="s">
        <v>41</v>
      </c>
      <c r="L202" t="s">
        <v>137</v>
      </c>
      <c r="M202" t="s">
        <v>73</v>
      </c>
      <c r="N202" t="s">
        <v>43</v>
      </c>
      <c r="O202" t="s">
        <v>194</v>
      </c>
      <c r="P202">
        <v>25</v>
      </c>
      <c r="Q202">
        <v>25</v>
      </c>
      <c r="R202">
        <v>111</v>
      </c>
      <c r="S202" t="s">
        <v>56</v>
      </c>
      <c r="T202">
        <v>0.11</v>
      </c>
      <c r="U202">
        <v>63</v>
      </c>
      <c r="V202" t="s">
        <v>55</v>
      </c>
      <c r="W202">
        <v>6.2E-2</v>
      </c>
      <c r="X202">
        <v>2001</v>
      </c>
      <c r="Y202" t="s">
        <v>47</v>
      </c>
      <c r="Z202">
        <v>2</v>
      </c>
      <c r="AA202">
        <v>391</v>
      </c>
      <c r="AB202" t="s">
        <v>47</v>
      </c>
      <c r="AC202">
        <v>0.39</v>
      </c>
      <c r="AD202">
        <v>498</v>
      </c>
      <c r="AE202" t="s">
        <v>56</v>
      </c>
      <c r="AF202">
        <v>0.497</v>
      </c>
      <c r="AG202">
        <v>576</v>
      </c>
      <c r="AH202" t="s">
        <v>49</v>
      </c>
      <c r="AI202">
        <v>0.57499999999999996</v>
      </c>
      <c r="AJ202" t="s">
        <v>1153</v>
      </c>
    </row>
    <row r="203" spans="1:36" x14ac:dyDescent="0.25">
      <c r="A203" t="s">
        <v>1075</v>
      </c>
      <c r="B203">
        <v>855972942</v>
      </c>
      <c r="C203" t="s">
        <v>1076</v>
      </c>
      <c r="D203" t="s">
        <v>1076</v>
      </c>
      <c r="E203" t="s">
        <v>60</v>
      </c>
      <c r="F203" t="s">
        <v>88</v>
      </c>
      <c r="I203" t="s">
        <v>39</v>
      </c>
      <c r="J203" t="s">
        <v>40</v>
      </c>
      <c r="K203" t="s">
        <v>41</v>
      </c>
      <c r="L203" t="s">
        <v>137</v>
      </c>
      <c r="M203" t="s">
        <v>73</v>
      </c>
      <c r="N203" t="s">
        <v>43</v>
      </c>
      <c r="O203" t="s">
        <v>194</v>
      </c>
      <c r="P203">
        <v>25</v>
      </c>
      <c r="Q203">
        <v>25</v>
      </c>
      <c r="R203">
        <v>111</v>
      </c>
      <c r="S203" t="s">
        <v>56</v>
      </c>
      <c r="T203">
        <v>0.11</v>
      </c>
      <c r="U203">
        <v>63</v>
      </c>
      <c r="V203" t="s">
        <v>55</v>
      </c>
      <c r="W203">
        <v>6.2E-2</v>
      </c>
      <c r="X203">
        <v>2001</v>
      </c>
      <c r="Y203" t="s">
        <v>47</v>
      </c>
      <c r="Z203">
        <v>2</v>
      </c>
      <c r="AA203">
        <v>391</v>
      </c>
      <c r="AB203" t="s">
        <v>47</v>
      </c>
      <c r="AC203">
        <v>0.39</v>
      </c>
      <c r="AD203">
        <v>498</v>
      </c>
      <c r="AE203" t="s">
        <v>56</v>
      </c>
      <c r="AF203">
        <v>0.497</v>
      </c>
      <c r="AG203">
        <v>576</v>
      </c>
      <c r="AH203" t="s">
        <v>49</v>
      </c>
      <c r="AI203">
        <v>0.57499999999999996</v>
      </c>
      <c r="AJ203" t="s">
        <v>1154</v>
      </c>
    </row>
    <row r="204" spans="1:36" x14ac:dyDescent="0.25">
      <c r="A204" t="s">
        <v>1075</v>
      </c>
      <c r="B204">
        <v>855972942</v>
      </c>
      <c r="C204" t="s">
        <v>1076</v>
      </c>
      <c r="D204" t="s">
        <v>1076</v>
      </c>
      <c r="E204" t="s">
        <v>60</v>
      </c>
      <c r="F204" t="s">
        <v>88</v>
      </c>
      <c r="I204" t="s">
        <v>39</v>
      </c>
      <c r="J204" t="s">
        <v>40</v>
      </c>
      <c r="K204" t="s">
        <v>41</v>
      </c>
      <c r="L204" t="s">
        <v>137</v>
      </c>
      <c r="M204" t="s">
        <v>73</v>
      </c>
      <c r="N204" t="s">
        <v>43</v>
      </c>
      <c r="O204" t="s">
        <v>194</v>
      </c>
      <c r="P204">
        <v>25</v>
      </c>
      <c r="Q204">
        <v>25</v>
      </c>
      <c r="S204" t="s">
        <v>39</v>
      </c>
      <c r="V204" t="s">
        <v>39</v>
      </c>
      <c r="X204">
        <v>2001</v>
      </c>
      <c r="Y204" t="s">
        <v>47</v>
      </c>
      <c r="Z204">
        <v>2</v>
      </c>
      <c r="AA204">
        <v>391</v>
      </c>
      <c r="AB204" t="s">
        <v>47</v>
      </c>
      <c r="AC204">
        <v>0.39</v>
      </c>
      <c r="AD204">
        <v>498</v>
      </c>
      <c r="AE204" t="s">
        <v>56</v>
      </c>
      <c r="AF204">
        <v>0.497</v>
      </c>
      <c r="AG204">
        <v>576</v>
      </c>
      <c r="AH204" t="s">
        <v>49</v>
      </c>
      <c r="AI204">
        <v>0.57499999999999996</v>
      </c>
      <c r="AJ204" t="s">
        <v>1155</v>
      </c>
    </row>
    <row r="205" spans="1:36" x14ac:dyDescent="0.25">
      <c r="A205" t="s">
        <v>1075</v>
      </c>
      <c r="B205">
        <v>855972942</v>
      </c>
      <c r="C205" t="s">
        <v>1076</v>
      </c>
      <c r="D205" t="s">
        <v>1076</v>
      </c>
      <c r="E205" t="s">
        <v>60</v>
      </c>
      <c r="F205" t="s">
        <v>88</v>
      </c>
      <c r="I205" t="s">
        <v>39</v>
      </c>
      <c r="J205" t="s">
        <v>40</v>
      </c>
      <c r="K205" t="s">
        <v>41</v>
      </c>
      <c r="L205" t="s">
        <v>137</v>
      </c>
      <c r="M205" t="s">
        <v>73</v>
      </c>
      <c r="N205" t="s">
        <v>43</v>
      </c>
      <c r="O205" t="s">
        <v>194</v>
      </c>
      <c r="P205">
        <v>25</v>
      </c>
      <c r="Q205">
        <v>25</v>
      </c>
      <c r="S205" t="s">
        <v>39</v>
      </c>
      <c r="V205" t="s">
        <v>39</v>
      </c>
      <c r="X205">
        <v>2001</v>
      </c>
      <c r="Y205" t="s">
        <v>47</v>
      </c>
      <c r="Z205">
        <v>2</v>
      </c>
      <c r="AA205">
        <v>391</v>
      </c>
      <c r="AB205" t="s">
        <v>47</v>
      </c>
      <c r="AC205">
        <v>0.39</v>
      </c>
      <c r="AD205">
        <v>498</v>
      </c>
      <c r="AE205" t="s">
        <v>56</v>
      </c>
      <c r="AF205">
        <v>0.497</v>
      </c>
      <c r="AG205">
        <v>576</v>
      </c>
      <c r="AH205" t="s">
        <v>49</v>
      </c>
      <c r="AI205">
        <v>0.57499999999999996</v>
      </c>
      <c r="AJ205" t="s">
        <v>1156</v>
      </c>
    </row>
    <row r="206" spans="1:36" x14ac:dyDescent="0.25">
      <c r="A206" t="s">
        <v>1071</v>
      </c>
      <c r="B206">
        <v>853192253</v>
      </c>
      <c r="C206" t="s">
        <v>1072</v>
      </c>
      <c r="D206" t="s">
        <v>1072</v>
      </c>
      <c r="E206" t="s">
        <v>37</v>
      </c>
      <c r="F206" t="s">
        <v>902</v>
      </c>
      <c r="I206" t="s">
        <v>39</v>
      </c>
      <c r="J206" t="s">
        <v>40</v>
      </c>
      <c r="K206" t="s">
        <v>41</v>
      </c>
      <c r="L206" t="s">
        <v>286</v>
      </c>
      <c r="M206" t="s">
        <v>844</v>
      </c>
      <c r="N206" t="s">
        <v>43</v>
      </c>
      <c r="O206" t="s">
        <v>287</v>
      </c>
      <c r="P206">
        <v>26</v>
      </c>
      <c r="Q206">
        <v>26</v>
      </c>
      <c r="R206">
        <v>31</v>
      </c>
      <c r="S206" t="s">
        <v>45</v>
      </c>
      <c r="T206">
        <v>0.03</v>
      </c>
      <c r="U206">
        <v>81</v>
      </c>
      <c r="V206" t="s">
        <v>55</v>
      </c>
      <c r="W206">
        <v>0.08</v>
      </c>
      <c r="X206">
        <v>13001</v>
      </c>
      <c r="Y206" t="s">
        <v>47</v>
      </c>
      <c r="Z206">
        <v>13</v>
      </c>
      <c r="AA206">
        <v>404</v>
      </c>
      <c r="AB206" t="s">
        <v>47</v>
      </c>
      <c r="AC206">
        <v>0.40300000000000002</v>
      </c>
      <c r="AD206">
        <v>484</v>
      </c>
      <c r="AE206" t="s">
        <v>56</v>
      </c>
      <c r="AF206">
        <v>0.48299999999999998</v>
      </c>
      <c r="AG206">
        <v>576</v>
      </c>
      <c r="AH206" t="s">
        <v>49</v>
      </c>
      <c r="AI206">
        <v>0.57499999999999996</v>
      </c>
      <c r="AJ206" t="s">
        <v>50</v>
      </c>
    </row>
    <row r="207" spans="1:36" x14ac:dyDescent="0.25">
      <c r="A207" t="s">
        <v>1071</v>
      </c>
      <c r="B207">
        <v>853192253</v>
      </c>
      <c r="C207" t="s">
        <v>1072</v>
      </c>
      <c r="D207" t="s">
        <v>1072</v>
      </c>
      <c r="E207" t="s">
        <v>65</v>
      </c>
      <c r="F207" t="s">
        <v>902</v>
      </c>
      <c r="I207" t="s">
        <v>39</v>
      </c>
      <c r="J207" t="s">
        <v>40</v>
      </c>
      <c r="K207" t="s">
        <v>41</v>
      </c>
      <c r="L207" t="s">
        <v>286</v>
      </c>
      <c r="M207" t="s">
        <v>844</v>
      </c>
      <c r="N207" t="s">
        <v>43</v>
      </c>
      <c r="O207" t="s">
        <v>835</v>
      </c>
      <c r="P207">
        <v>26</v>
      </c>
      <c r="Q207">
        <v>26</v>
      </c>
      <c r="R207">
        <v>71</v>
      </c>
      <c r="S207" t="s">
        <v>56</v>
      </c>
      <c r="T207">
        <v>7.0000000000000007E-2</v>
      </c>
      <c r="U207">
        <v>63</v>
      </c>
      <c r="V207" t="s">
        <v>55</v>
      </c>
      <c r="W207">
        <v>6.2E-2</v>
      </c>
      <c r="X207">
        <v>9001</v>
      </c>
      <c r="Y207" t="s">
        <v>47</v>
      </c>
      <c r="Z207">
        <v>9</v>
      </c>
      <c r="AA207">
        <v>269</v>
      </c>
      <c r="AB207" t="s">
        <v>47</v>
      </c>
      <c r="AC207">
        <v>0.26800000000000002</v>
      </c>
      <c r="AD207">
        <v>492</v>
      </c>
      <c r="AE207" t="s">
        <v>56</v>
      </c>
      <c r="AF207">
        <v>0.49099999999999999</v>
      </c>
      <c r="AG207">
        <v>450</v>
      </c>
      <c r="AH207" t="s">
        <v>57</v>
      </c>
      <c r="AI207">
        <v>0.44900000000000001</v>
      </c>
      <c r="AJ207" t="s">
        <v>50</v>
      </c>
    </row>
    <row r="208" spans="1:36" x14ac:dyDescent="0.25">
      <c r="A208" t="s">
        <v>1071</v>
      </c>
      <c r="B208">
        <v>853192253</v>
      </c>
      <c r="C208" t="s">
        <v>1072</v>
      </c>
      <c r="D208" t="s">
        <v>1072</v>
      </c>
      <c r="E208" t="s">
        <v>37</v>
      </c>
      <c r="F208" t="s">
        <v>902</v>
      </c>
      <c r="I208" t="s">
        <v>39</v>
      </c>
      <c r="J208" t="s">
        <v>40</v>
      </c>
      <c r="K208" t="s">
        <v>41</v>
      </c>
      <c r="L208" t="s">
        <v>286</v>
      </c>
      <c r="M208" t="s">
        <v>844</v>
      </c>
      <c r="N208" t="s">
        <v>43</v>
      </c>
      <c r="O208" t="s">
        <v>287</v>
      </c>
      <c r="P208">
        <v>26</v>
      </c>
      <c r="Q208">
        <v>26</v>
      </c>
      <c r="R208">
        <v>31</v>
      </c>
      <c r="S208" t="s">
        <v>45</v>
      </c>
      <c r="T208">
        <v>0.03</v>
      </c>
      <c r="U208">
        <v>167</v>
      </c>
      <c r="V208" t="s">
        <v>55</v>
      </c>
      <c r="W208">
        <v>0.16600000000000001</v>
      </c>
      <c r="X208">
        <v>13001</v>
      </c>
      <c r="Y208" t="s">
        <v>47</v>
      </c>
      <c r="Z208">
        <v>13</v>
      </c>
      <c r="AA208">
        <v>404</v>
      </c>
      <c r="AB208" t="s">
        <v>47</v>
      </c>
      <c r="AC208">
        <v>0.40300000000000002</v>
      </c>
      <c r="AD208">
        <v>484</v>
      </c>
      <c r="AE208" t="s">
        <v>56</v>
      </c>
      <c r="AF208">
        <v>0.48299999999999998</v>
      </c>
      <c r="AG208">
        <v>576</v>
      </c>
      <c r="AH208" t="s">
        <v>49</v>
      </c>
      <c r="AI208">
        <v>0.57499999999999996</v>
      </c>
      <c r="AJ208" t="s">
        <v>1141</v>
      </c>
    </row>
    <row r="209" spans="1:36" x14ac:dyDescent="0.25">
      <c r="A209" t="s">
        <v>1071</v>
      </c>
      <c r="B209">
        <v>853192253</v>
      </c>
      <c r="C209" t="s">
        <v>1072</v>
      </c>
      <c r="D209" t="s">
        <v>1072</v>
      </c>
      <c r="E209" t="s">
        <v>65</v>
      </c>
      <c r="F209" t="s">
        <v>902</v>
      </c>
      <c r="I209" t="s">
        <v>39</v>
      </c>
      <c r="J209" t="s">
        <v>40</v>
      </c>
      <c r="K209" t="s">
        <v>41</v>
      </c>
      <c r="L209" t="s">
        <v>286</v>
      </c>
      <c r="M209" t="s">
        <v>844</v>
      </c>
      <c r="N209" t="s">
        <v>43</v>
      </c>
      <c r="O209" t="s">
        <v>835</v>
      </c>
      <c r="P209">
        <v>26</v>
      </c>
      <c r="Q209">
        <v>26</v>
      </c>
      <c r="R209">
        <v>81</v>
      </c>
      <c r="S209" t="s">
        <v>56</v>
      </c>
      <c r="T209">
        <v>0.08</v>
      </c>
      <c r="U209">
        <v>132</v>
      </c>
      <c r="V209" t="s">
        <v>55</v>
      </c>
      <c r="W209">
        <v>0.13100000000000001</v>
      </c>
      <c r="X209">
        <v>9001</v>
      </c>
      <c r="Y209" t="s">
        <v>47</v>
      </c>
      <c r="Z209">
        <v>9</v>
      </c>
      <c r="AA209">
        <v>269</v>
      </c>
      <c r="AB209" t="s">
        <v>47</v>
      </c>
      <c r="AC209">
        <v>0.26800000000000002</v>
      </c>
      <c r="AD209">
        <v>492</v>
      </c>
      <c r="AE209" t="s">
        <v>56</v>
      </c>
      <c r="AF209">
        <v>0.49099999999999999</v>
      </c>
      <c r="AG209">
        <v>450</v>
      </c>
      <c r="AH209" t="s">
        <v>57</v>
      </c>
      <c r="AI209">
        <v>0.44900000000000001</v>
      </c>
      <c r="AJ209" t="s">
        <v>1141</v>
      </c>
    </row>
    <row r="210" spans="1:36" x14ac:dyDescent="0.25">
      <c r="A210" t="s">
        <v>1071</v>
      </c>
      <c r="B210">
        <v>853192253</v>
      </c>
      <c r="C210" t="s">
        <v>1072</v>
      </c>
      <c r="D210" t="s">
        <v>1072</v>
      </c>
      <c r="E210" t="s">
        <v>37</v>
      </c>
      <c r="F210" t="s">
        <v>902</v>
      </c>
      <c r="I210" t="s">
        <v>39</v>
      </c>
      <c r="J210" t="s">
        <v>40</v>
      </c>
      <c r="K210" t="s">
        <v>41</v>
      </c>
      <c r="L210" t="s">
        <v>286</v>
      </c>
      <c r="M210" t="s">
        <v>844</v>
      </c>
      <c r="N210" t="s">
        <v>43</v>
      </c>
      <c r="O210" t="s">
        <v>287</v>
      </c>
      <c r="P210">
        <v>26</v>
      </c>
      <c r="Q210">
        <v>26</v>
      </c>
      <c r="R210">
        <v>31</v>
      </c>
      <c r="S210" t="s">
        <v>45</v>
      </c>
      <c r="T210">
        <v>0.03</v>
      </c>
      <c r="U210">
        <v>81</v>
      </c>
      <c r="V210" t="s">
        <v>55</v>
      </c>
      <c r="W210">
        <v>0.08</v>
      </c>
      <c r="X210">
        <v>13001</v>
      </c>
      <c r="Y210" t="s">
        <v>47</v>
      </c>
      <c r="Z210">
        <v>13</v>
      </c>
      <c r="AA210">
        <v>404</v>
      </c>
      <c r="AB210" t="s">
        <v>47</v>
      </c>
      <c r="AC210">
        <v>0.40300000000000002</v>
      </c>
      <c r="AD210">
        <v>484</v>
      </c>
      <c r="AE210" t="s">
        <v>56</v>
      </c>
      <c r="AF210">
        <v>0.48299999999999998</v>
      </c>
      <c r="AG210">
        <v>576</v>
      </c>
      <c r="AH210" t="s">
        <v>49</v>
      </c>
      <c r="AI210">
        <v>0.57499999999999996</v>
      </c>
      <c r="AJ210" t="s">
        <v>1153</v>
      </c>
    </row>
    <row r="211" spans="1:36" x14ac:dyDescent="0.25">
      <c r="A211" t="s">
        <v>1071</v>
      </c>
      <c r="B211">
        <v>853192253</v>
      </c>
      <c r="C211" t="s">
        <v>1072</v>
      </c>
      <c r="D211" t="s">
        <v>1072</v>
      </c>
      <c r="E211" t="s">
        <v>65</v>
      </c>
      <c r="F211" t="s">
        <v>902</v>
      </c>
      <c r="I211" t="s">
        <v>39</v>
      </c>
      <c r="J211" t="s">
        <v>40</v>
      </c>
      <c r="K211" t="s">
        <v>41</v>
      </c>
      <c r="L211" t="s">
        <v>286</v>
      </c>
      <c r="M211" t="s">
        <v>844</v>
      </c>
      <c r="N211" t="s">
        <v>43</v>
      </c>
      <c r="O211" t="s">
        <v>835</v>
      </c>
      <c r="P211">
        <v>26</v>
      </c>
      <c r="Q211">
        <v>26</v>
      </c>
      <c r="R211">
        <v>71</v>
      </c>
      <c r="S211" t="s">
        <v>56</v>
      </c>
      <c r="T211">
        <v>7.0000000000000007E-2</v>
      </c>
      <c r="U211">
        <v>63</v>
      </c>
      <c r="V211" t="s">
        <v>55</v>
      </c>
      <c r="W211">
        <v>6.2E-2</v>
      </c>
      <c r="X211">
        <v>9001</v>
      </c>
      <c r="Y211" t="s">
        <v>47</v>
      </c>
      <c r="Z211">
        <v>9</v>
      </c>
      <c r="AA211">
        <v>269</v>
      </c>
      <c r="AB211" t="s">
        <v>47</v>
      </c>
      <c r="AC211">
        <v>0.26800000000000002</v>
      </c>
      <c r="AD211">
        <v>492</v>
      </c>
      <c r="AE211" t="s">
        <v>56</v>
      </c>
      <c r="AF211">
        <v>0.49099999999999999</v>
      </c>
      <c r="AG211">
        <v>450</v>
      </c>
      <c r="AH211" t="s">
        <v>57</v>
      </c>
      <c r="AI211">
        <v>0.44900000000000001</v>
      </c>
      <c r="AJ211" t="s">
        <v>1153</v>
      </c>
    </row>
    <row r="212" spans="1:36" x14ac:dyDescent="0.25">
      <c r="A212" t="s">
        <v>1071</v>
      </c>
      <c r="B212">
        <v>853192253</v>
      </c>
      <c r="C212" t="s">
        <v>1072</v>
      </c>
      <c r="D212" t="s">
        <v>1072</v>
      </c>
      <c r="E212" t="s">
        <v>37</v>
      </c>
      <c r="F212" t="s">
        <v>902</v>
      </c>
      <c r="I212" t="s">
        <v>39</v>
      </c>
      <c r="J212" t="s">
        <v>40</v>
      </c>
      <c r="K212" t="s">
        <v>41</v>
      </c>
      <c r="L212" t="s">
        <v>286</v>
      </c>
      <c r="M212" t="s">
        <v>844</v>
      </c>
      <c r="N212" t="s">
        <v>43</v>
      </c>
      <c r="O212" t="s">
        <v>287</v>
      </c>
      <c r="P212">
        <v>26</v>
      </c>
      <c r="Q212">
        <v>26</v>
      </c>
      <c r="R212">
        <v>31</v>
      </c>
      <c r="S212" t="s">
        <v>45</v>
      </c>
      <c r="T212">
        <v>0.03</v>
      </c>
      <c r="U212">
        <v>81</v>
      </c>
      <c r="V212" t="s">
        <v>55</v>
      </c>
      <c r="W212">
        <v>0.08</v>
      </c>
      <c r="X212">
        <v>13001</v>
      </c>
      <c r="Y212" t="s">
        <v>47</v>
      </c>
      <c r="Z212">
        <v>13</v>
      </c>
      <c r="AA212">
        <v>404</v>
      </c>
      <c r="AB212" t="s">
        <v>47</v>
      </c>
      <c r="AC212">
        <v>0.40300000000000002</v>
      </c>
      <c r="AD212">
        <v>484</v>
      </c>
      <c r="AE212" t="s">
        <v>56</v>
      </c>
      <c r="AF212">
        <v>0.48299999999999998</v>
      </c>
      <c r="AG212">
        <v>576</v>
      </c>
      <c r="AH212" t="s">
        <v>49</v>
      </c>
      <c r="AI212">
        <v>0.57499999999999996</v>
      </c>
      <c r="AJ212" t="s">
        <v>1154</v>
      </c>
    </row>
    <row r="213" spans="1:36" x14ac:dyDescent="0.25">
      <c r="A213" t="s">
        <v>1071</v>
      </c>
      <c r="B213">
        <v>853192253</v>
      </c>
      <c r="C213" t="s">
        <v>1072</v>
      </c>
      <c r="D213" t="s">
        <v>1072</v>
      </c>
      <c r="E213" t="s">
        <v>65</v>
      </c>
      <c r="F213" t="s">
        <v>902</v>
      </c>
      <c r="I213" t="s">
        <v>39</v>
      </c>
      <c r="J213" t="s">
        <v>40</v>
      </c>
      <c r="K213" t="s">
        <v>41</v>
      </c>
      <c r="L213" t="s">
        <v>286</v>
      </c>
      <c r="M213" t="s">
        <v>844</v>
      </c>
      <c r="N213" t="s">
        <v>43</v>
      </c>
      <c r="O213" t="s">
        <v>835</v>
      </c>
      <c r="P213">
        <v>26</v>
      </c>
      <c r="Q213">
        <v>26</v>
      </c>
      <c r="R213">
        <v>71</v>
      </c>
      <c r="S213" t="s">
        <v>56</v>
      </c>
      <c r="T213">
        <v>7.0000000000000007E-2</v>
      </c>
      <c r="U213">
        <v>63</v>
      </c>
      <c r="V213" t="s">
        <v>55</v>
      </c>
      <c r="W213">
        <v>6.2E-2</v>
      </c>
      <c r="X213">
        <v>9001</v>
      </c>
      <c r="Y213" t="s">
        <v>47</v>
      </c>
      <c r="Z213">
        <v>9</v>
      </c>
      <c r="AA213">
        <v>269</v>
      </c>
      <c r="AB213" t="s">
        <v>47</v>
      </c>
      <c r="AC213">
        <v>0.26800000000000002</v>
      </c>
      <c r="AD213">
        <v>492</v>
      </c>
      <c r="AE213" t="s">
        <v>56</v>
      </c>
      <c r="AF213">
        <v>0.49099999999999999</v>
      </c>
      <c r="AG213">
        <v>450</v>
      </c>
      <c r="AH213" t="s">
        <v>57</v>
      </c>
      <c r="AI213">
        <v>0.44900000000000001</v>
      </c>
      <c r="AJ213" t="s">
        <v>1154</v>
      </c>
    </row>
    <row r="214" spans="1:36" x14ac:dyDescent="0.25">
      <c r="A214" t="s">
        <v>1071</v>
      </c>
      <c r="B214">
        <v>853192253</v>
      </c>
      <c r="C214" t="s">
        <v>1072</v>
      </c>
      <c r="D214" t="s">
        <v>1072</v>
      </c>
      <c r="E214" t="s">
        <v>37</v>
      </c>
      <c r="F214" t="s">
        <v>902</v>
      </c>
      <c r="I214" t="s">
        <v>39</v>
      </c>
      <c r="J214" t="s">
        <v>40</v>
      </c>
      <c r="K214" t="s">
        <v>41</v>
      </c>
      <c r="L214" t="s">
        <v>286</v>
      </c>
      <c r="M214" t="s">
        <v>844</v>
      </c>
      <c r="N214" t="s">
        <v>43</v>
      </c>
      <c r="O214" t="s">
        <v>287</v>
      </c>
      <c r="P214">
        <v>26</v>
      </c>
      <c r="Q214">
        <v>26</v>
      </c>
      <c r="S214" t="s">
        <v>39</v>
      </c>
      <c r="V214" t="s">
        <v>39</v>
      </c>
      <c r="X214">
        <v>13001</v>
      </c>
      <c r="Y214" t="s">
        <v>47</v>
      </c>
      <c r="Z214">
        <v>13</v>
      </c>
      <c r="AA214">
        <v>404</v>
      </c>
      <c r="AB214" t="s">
        <v>47</v>
      </c>
      <c r="AC214">
        <v>0.40300000000000002</v>
      </c>
      <c r="AD214">
        <v>484</v>
      </c>
      <c r="AE214" t="s">
        <v>56</v>
      </c>
      <c r="AF214">
        <v>0.48299999999999998</v>
      </c>
      <c r="AG214">
        <v>576</v>
      </c>
      <c r="AH214" t="s">
        <v>49</v>
      </c>
      <c r="AI214">
        <v>0.57499999999999996</v>
      </c>
      <c r="AJ214" t="s">
        <v>1155</v>
      </c>
    </row>
    <row r="215" spans="1:36" x14ac:dyDescent="0.25">
      <c r="A215" t="s">
        <v>1071</v>
      </c>
      <c r="B215">
        <v>853192253</v>
      </c>
      <c r="C215" t="s">
        <v>1072</v>
      </c>
      <c r="D215" t="s">
        <v>1072</v>
      </c>
      <c r="E215" t="s">
        <v>65</v>
      </c>
      <c r="F215" t="s">
        <v>902</v>
      </c>
      <c r="I215" t="s">
        <v>39</v>
      </c>
      <c r="J215" t="s">
        <v>40</v>
      </c>
      <c r="K215" t="s">
        <v>41</v>
      </c>
      <c r="L215" t="s">
        <v>286</v>
      </c>
      <c r="M215" t="s">
        <v>844</v>
      </c>
      <c r="N215" t="s">
        <v>43</v>
      </c>
      <c r="O215" t="s">
        <v>835</v>
      </c>
      <c r="P215">
        <v>26</v>
      </c>
      <c r="Q215">
        <v>26</v>
      </c>
      <c r="S215" t="s">
        <v>39</v>
      </c>
      <c r="V215" t="s">
        <v>39</v>
      </c>
      <c r="X215">
        <v>9001</v>
      </c>
      <c r="Y215" t="s">
        <v>47</v>
      </c>
      <c r="Z215">
        <v>9</v>
      </c>
      <c r="AA215">
        <v>269</v>
      </c>
      <c r="AB215" t="s">
        <v>47</v>
      </c>
      <c r="AC215">
        <v>0.26800000000000002</v>
      </c>
      <c r="AD215">
        <v>492</v>
      </c>
      <c r="AE215" t="s">
        <v>56</v>
      </c>
      <c r="AF215">
        <v>0.49099999999999999</v>
      </c>
      <c r="AG215">
        <v>450</v>
      </c>
      <c r="AH215" t="s">
        <v>57</v>
      </c>
      <c r="AI215">
        <v>0.44900000000000001</v>
      </c>
      <c r="AJ215" t="s">
        <v>1155</v>
      </c>
    </row>
    <row r="216" spans="1:36" x14ac:dyDescent="0.25">
      <c r="A216" t="s">
        <v>1071</v>
      </c>
      <c r="B216">
        <v>853192253</v>
      </c>
      <c r="C216" t="s">
        <v>1072</v>
      </c>
      <c r="D216" t="s">
        <v>1072</v>
      </c>
      <c r="E216" t="s">
        <v>37</v>
      </c>
      <c r="F216" t="s">
        <v>902</v>
      </c>
      <c r="I216" t="s">
        <v>39</v>
      </c>
      <c r="J216" t="s">
        <v>40</v>
      </c>
      <c r="K216" t="s">
        <v>41</v>
      </c>
      <c r="L216" t="s">
        <v>286</v>
      </c>
      <c r="M216" t="s">
        <v>844</v>
      </c>
      <c r="N216" t="s">
        <v>43</v>
      </c>
      <c r="O216" t="s">
        <v>287</v>
      </c>
      <c r="P216">
        <v>26</v>
      </c>
      <c r="Q216">
        <v>26</v>
      </c>
      <c r="S216" t="s">
        <v>39</v>
      </c>
      <c r="V216" t="s">
        <v>39</v>
      </c>
      <c r="X216">
        <v>13001</v>
      </c>
      <c r="Y216" t="s">
        <v>47</v>
      </c>
      <c r="Z216">
        <v>13</v>
      </c>
      <c r="AA216">
        <v>404</v>
      </c>
      <c r="AB216" t="s">
        <v>47</v>
      </c>
      <c r="AC216">
        <v>0.40300000000000002</v>
      </c>
      <c r="AD216">
        <v>484</v>
      </c>
      <c r="AE216" t="s">
        <v>56</v>
      </c>
      <c r="AF216">
        <v>0.48299999999999998</v>
      </c>
      <c r="AG216">
        <v>576</v>
      </c>
      <c r="AH216" t="s">
        <v>49</v>
      </c>
      <c r="AI216">
        <v>0.57499999999999996</v>
      </c>
      <c r="AJ216" t="s">
        <v>1156</v>
      </c>
    </row>
    <row r="217" spans="1:36" x14ac:dyDescent="0.25">
      <c r="A217" t="s">
        <v>1071</v>
      </c>
      <c r="B217">
        <v>853192253</v>
      </c>
      <c r="C217" t="s">
        <v>1072</v>
      </c>
      <c r="D217" t="s">
        <v>1072</v>
      </c>
      <c r="E217" t="s">
        <v>65</v>
      </c>
      <c r="F217" t="s">
        <v>902</v>
      </c>
      <c r="I217" t="s">
        <v>39</v>
      </c>
      <c r="J217" t="s">
        <v>40</v>
      </c>
      <c r="K217" t="s">
        <v>41</v>
      </c>
      <c r="L217" t="s">
        <v>286</v>
      </c>
      <c r="M217" t="s">
        <v>844</v>
      </c>
      <c r="N217" t="s">
        <v>43</v>
      </c>
      <c r="O217" t="s">
        <v>835</v>
      </c>
      <c r="P217">
        <v>26</v>
      </c>
      <c r="Q217">
        <v>26</v>
      </c>
      <c r="S217" t="s">
        <v>39</v>
      </c>
      <c r="V217" t="s">
        <v>39</v>
      </c>
      <c r="X217">
        <v>9001</v>
      </c>
      <c r="Y217" t="s">
        <v>47</v>
      </c>
      <c r="Z217">
        <v>9</v>
      </c>
      <c r="AA217">
        <v>269</v>
      </c>
      <c r="AB217" t="s">
        <v>47</v>
      </c>
      <c r="AC217">
        <v>0.26800000000000002</v>
      </c>
      <c r="AD217">
        <v>492</v>
      </c>
      <c r="AE217" t="s">
        <v>56</v>
      </c>
      <c r="AF217">
        <v>0.49099999999999999</v>
      </c>
      <c r="AG217">
        <v>450</v>
      </c>
      <c r="AH217" t="s">
        <v>57</v>
      </c>
      <c r="AI217">
        <v>0.44900000000000001</v>
      </c>
      <c r="AJ217" t="s">
        <v>1156</v>
      </c>
    </row>
    <row r="218" spans="1:36" x14ac:dyDescent="0.25">
      <c r="A218" t="s">
        <v>1073</v>
      </c>
      <c r="B218">
        <v>855474390</v>
      </c>
      <c r="C218" t="s">
        <v>1074</v>
      </c>
      <c r="D218" t="s">
        <v>1074</v>
      </c>
      <c r="E218" t="s">
        <v>37</v>
      </c>
      <c r="F218" t="s">
        <v>191</v>
      </c>
      <c r="I218" t="s">
        <v>39</v>
      </c>
      <c r="J218" t="s">
        <v>40</v>
      </c>
      <c r="K218" t="s">
        <v>41</v>
      </c>
      <c r="L218" t="s">
        <v>53</v>
      </c>
      <c r="N218" t="s">
        <v>43</v>
      </c>
      <c r="O218" t="s">
        <v>293</v>
      </c>
      <c r="P218">
        <v>26</v>
      </c>
      <c r="Q218">
        <v>26</v>
      </c>
      <c r="R218">
        <v>1</v>
      </c>
      <c r="S218" t="s">
        <v>45</v>
      </c>
      <c r="T218">
        <v>0</v>
      </c>
      <c r="U218">
        <v>885</v>
      </c>
      <c r="V218" t="s">
        <v>113</v>
      </c>
      <c r="W218">
        <v>0.88400000000000001</v>
      </c>
      <c r="X218">
        <v>19001</v>
      </c>
      <c r="Y218" t="s">
        <v>47</v>
      </c>
      <c r="Z218">
        <v>19</v>
      </c>
      <c r="AA218">
        <v>323</v>
      </c>
      <c r="AB218" t="s">
        <v>47</v>
      </c>
      <c r="AC218">
        <v>0.32200000000000001</v>
      </c>
      <c r="AD218">
        <v>710</v>
      </c>
      <c r="AE218" t="s">
        <v>48</v>
      </c>
      <c r="AF218">
        <v>0.70899999999999996</v>
      </c>
      <c r="AG218">
        <v>576</v>
      </c>
      <c r="AH218" t="s">
        <v>49</v>
      </c>
      <c r="AI218">
        <v>0.57499999999999996</v>
      </c>
      <c r="AJ218" t="s">
        <v>50</v>
      </c>
    </row>
    <row r="219" spans="1:36" x14ac:dyDescent="0.25">
      <c r="A219" t="s">
        <v>1073</v>
      </c>
      <c r="B219">
        <v>855474390</v>
      </c>
      <c r="C219" t="s">
        <v>1074</v>
      </c>
      <c r="D219" t="s">
        <v>1074</v>
      </c>
      <c r="E219" t="s">
        <v>60</v>
      </c>
      <c r="F219" t="s">
        <v>191</v>
      </c>
      <c r="I219" t="s">
        <v>39</v>
      </c>
      <c r="J219" t="s">
        <v>40</v>
      </c>
      <c r="K219" t="s">
        <v>41</v>
      </c>
      <c r="L219" t="s">
        <v>53</v>
      </c>
      <c r="N219" t="s">
        <v>43</v>
      </c>
      <c r="O219" t="s">
        <v>295</v>
      </c>
      <c r="P219">
        <v>26</v>
      </c>
      <c r="Q219">
        <v>26</v>
      </c>
      <c r="R219">
        <v>31</v>
      </c>
      <c r="S219" t="s">
        <v>45</v>
      </c>
      <c r="T219">
        <v>0.03</v>
      </c>
      <c r="U219">
        <v>139</v>
      </c>
      <c r="V219" t="s">
        <v>55</v>
      </c>
      <c r="W219">
        <v>0.13800000000000001</v>
      </c>
      <c r="X219">
        <v>16001</v>
      </c>
      <c r="Y219" t="s">
        <v>47</v>
      </c>
      <c r="Z219">
        <v>16</v>
      </c>
      <c r="AA219">
        <v>239</v>
      </c>
      <c r="AB219" t="s">
        <v>47</v>
      </c>
      <c r="AC219">
        <v>0.23799999999999999</v>
      </c>
      <c r="AD219">
        <v>636</v>
      </c>
      <c r="AE219" t="s">
        <v>48</v>
      </c>
      <c r="AF219">
        <v>0.63500000000000001</v>
      </c>
      <c r="AG219">
        <v>576</v>
      </c>
      <c r="AH219" t="s">
        <v>49</v>
      </c>
      <c r="AI219">
        <v>0.57499999999999996</v>
      </c>
      <c r="AJ219" t="s">
        <v>50</v>
      </c>
    </row>
    <row r="220" spans="1:36" x14ac:dyDescent="0.25">
      <c r="A220" t="s">
        <v>1073</v>
      </c>
      <c r="B220">
        <v>855474390</v>
      </c>
      <c r="C220" t="s">
        <v>1074</v>
      </c>
      <c r="D220" t="s">
        <v>1074</v>
      </c>
      <c r="E220" t="s">
        <v>37</v>
      </c>
      <c r="F220" t="s">
        <v>191</v>
      </c>
      <c r="I220" t="s">
        <v>39</v>
      </c>
      <c r="J220" t="s">
        <v>40</v>
      </c>
      <c r="K220" t="s">
        <v>41</v>
      </c>
      <c r="L220" t="s">
        <v>53</v>
      </c>
      <c r="N220" t="s">
        <v>43</v>
      </c>
      <c r="O220" t="s">
        <v>293</v>
      </c>
      <c r="P220">
        <v>26</v>
      </c>
      <c r="Q220">
        <v>26</v>
      </c>
      <c r="R220">
        <v>11</v>
      </c>
      <c r="S220" t="s">
        <v>45</v>
      </c>
      <c r="T220">
        <v>0.01</v>
      </c>
      <c r="U220">
        <v>947</v>
      </c>
      <c r="V220" t="s">
        <v>46</v>
      </c>
      <c r="W220">
        <v>0.94599999999999995</v>
      </c>
      <c r="X220">
        <v>19001</v>
      </c>
      <c r="Y220" t="s">
        <v>47</v>
      </c>
      <c r="Z220">
        <v>19</v>
      </c>
      <c r="AA220">
        <v>323</v>
      </c>
      <c r="AB220" t="s">
        <v>47</v>
      </c>
      <c r="AC220">
        <v>0.32200000000000001</v>
      </c>
      <c r="AD220">
        <v>710</v>
      </c>
      <c r="AE220" t="s">
        <v>48</v>
      </c>
      <c r="AF220">
        <v>0.70899999999999996</v>
      </c>
      <c r="AG220">
        <v>576</v>
      </c>
      <c r="AH220" t="s">
        <v>49</v>
      </c>
      <c r="AI220">
        <v>0.57499999999999996</v>
      </c>
      <c r="AJ220" t="s">
        <v>1141</v>
      </c>
    </row>
    <row r="221" spans="1:36" x14ac:dyDescent="0.25">
      <c r="A221" t="s">
        <v>1073</v>
      </c>
      <c r="B221">
        <v>855474390</v>
      </c>
      <c r="C221" t="s">
        <v>1074</v>
      </c>
      <c r="D221" t="s">
        <v>1074</v>
      </c>
      <c r="E221" t="s">
        <v>60</v>
      </c>
      <c r="F221" t="s">
        <v>191</v>
      </c>
      <c r="I221" t="s">
        <v>39</v>
      </c>
      <c r="J221" t="s">
        <v>40</v>
      </c>
      <c r="K221" t="s">
        <v>41</v>
      </c>
      <c r="L221" t="s">
        <v>53</v>
      </c>
      <c r="N221" t="s">
        <v>43</v>
      </c>
      <c r="O221" t="s">
        <v>295</v>
      </c>
      <c r="P221">
        <v>26</v>
      </c>
      <c r="Q221">
        <v>26</v>
      </c>
      <c r="R221">
        <v>41</v>
      </c>
      <c r="S221" t="s">
        <v>45</v>
      </c>
      <c r="T221">
        <v>0.04</v>
      </c>
      <c r="U221">
        <v>687</v>
      </c>
      <c r="V221" t="s">
        <v>113</v>
      </c>
      <c r="W221">
        <v>0.68600000000000005</v>
      </c>
      <c r="X221">
        <v>16001</v>
      </c>
      <c r="Y221" t="s">
        <v>47</v>
      </c>
      <c r="Z221">
        <v>16</v>
      </c>
      <c r="AA221">
        <v>239</v>
      </c>
      <c r="AB221" t="s">
        <v>47</v>
      </c>
      <c r="AC221">
        <v>0.23799999999999999</v>
      </c>
      <c r="AD221">
        <v>636</v>
      </c>
      <c r="AE221" t="s">
        <v>48</v>
      </c>
      <c r="AF221">
        <v>0.63500000000000001</v>
      </c>
      <c r="AG221">
        <v>576</v>
      </c>
      <c r="AH221" t="s">
        <v>49</v>
      </c>
      <c r="AI221">
        <v>0.57499999999999996</v>
      </c>
      <c r="AJ221" t="s">
        <v>1141</v>
      </c>
    </row>
    <row r="222" spans="1:36" x14ac:dyDescent="0.25">
      <c r="A222" t="s">
        <v>1073</v>
      </c>
      <c r="B222">
        <v>855474390</v>
      </c>
      <c r="C222" t="s">
        <v>1074</v>
      </c>
      <c r="D222" t="s">
        <v>1074</v>
      </c>
      <c r="E222" t="s">
        <v>37</v>
      </c>
      <c r="F222" t="s">
        <v>191</v>
      </c>
      <c r="I222" t="s">
        <v>39</v>
      </c>
      <c r="J222" t="s">
        <v>40</v>
      </c>
      <c r="K222" t="s">
        <v>41</v>
      </c>
      <c r="L222" t="s">
        <v>53</v>
      </c>
      <c r="N222" t="s">
        <v>43</v>
      </c>
      <c r="O222" t="s">
        <v>293</v>
      </c>
      <c r="P222">
        <v>26</v>
      </c>
      <c r="Q222">
        <v>26</v>
      </c>
      <c r="R222">
        <v>1</v>
      </c>
      <c r="S222" t="s">
        <v>45</v>
      </c>
      <c r="T222">
        <v>0</v>
      </c>
      <c r="U222">
        <v>885</v>
      </c>
      <c r="V222" t="s">
        <v>113</v>
      </c>
      <c r="W222">
        <v>0.88400000000000001</v>
      </c>
      <c r="X222">
        <v>19001</v>
      </c>
      <c r="Y222" t="s">
        <v>47</v>
      </c>
      <c r="Z222">
        <v>19</v>
      </c>
      <c r="AA222">
        <v>323</v>
      </c>
      <c r="AB222" t="s">
        <v>47</v>
      </c>
      <c r="AC222">
        <v>0.32200000000000001</v>
      </c>
      <c r="AD222">
        <v>710</v>
      </c>
      <c r="AE222" t="s">
        <v>48</v>
      </c>
      <c r="AF222">
        <v>0.70899999999999996</v>
      </c>
      <c r="AG222">
        <v>576</v>
      </c>
      <c r="AH222" t="s">
        <v>49</v>
      </c>
      <c r="AI222">
        <v>0.57499999999999996</v>
      </c>
      <c r="AJ222" t="s">
        <v>1153</v>
      </c>
    </row>
    <row r="223" spans="1:36" x14ac:dyDescent="0.25">
      <c r="A223" t="s">
        <v>1073</v>
      </c>
      <c r="B223">
        <v>855474390</v>
      </c>
      <c r="C223" t="s">
        <v>1074</v>
      </c>
      <c r="D223" t="s">
        <v>1074</v>
      </c>
      <c r="E223" t="s">
        <v>60</v>
      </c>
      <c r="F223" t="s">
        <v>191</v>
      </c>
      <c r="I223" t="s">
        <v>39</v>
      </c>
      <c r="J223" t="s">
        <v>40</v>
      </c>
      <c r="K223" t="s">
        <v>41</v>
      </c>
      <c r="L223" t="s">
        <v>53</v>
      </c>
      <c r="N223" t="s">
        <v>43</v>
      </c>
      <c r="O223" t="s">
        <v>295</v>
      </c>
      <c r="P223">
        <v>26</v>
      </c>
      <c r="Q223">
        <v>26</v>
      </c>
      <c r="R223">
        <v>31</v>
      </c>
      <c r="S223" t="s">
        <v>45</v>
      </c>
      <c r="T223">
        <v>0.03</v>
      </c>
      <c r="U223">
        <v>139</v>
      </c>
      <c r="V223" t="s">
        <v>55</v>
      </c>
      <c r="W223">
        <v>0.13800000000000001</v>
      </c>
      <c r="X223">
        <v>16001</v>
      </c>
      <c r="Y223" t="s">
        <v>47</v>
      </c>
      <c r="Z223">
        <v>16</v>
      </c>
      <c r="AA223">
        <v>239</v>
      </c>
      <c r="AB223" t="s">
        <v>47</v>
      </c>
      <c r="AC223">
        <v>0.23799999999999999</v>
      </c>
      <c r="AD223">
        <v>636</v>
      </c>
      <c r="AE223" t="s">
        <v>48</v>
      </c>
      <c r="AF223">
        <v>0.63500000000000001</v>
      </c>
      <c r="AG223">
        <v>576</v>
      </c>
      <c r="AH223" t="s">
        <v>49</v>
      </c>
      <c r="AI223">
        <v>0.57499999999999996</v>
      </c>
      <c r="AJ223" t="s">
        <v>1153</v>
      </c>
    </row>
    <row r="224" spans="1:36" x14ac:dyDescent="0.25">
      <c r="A224" t="s">
        <v>1073</v>
      </c>
      <c r="B224">
        <v>855474390</v>
      </c>
      <c r="C224" t="s">
        <v>1074</v>
      </c>
      <c r="D224" t="s">
        <v>1074</v>
      </c>
      <c r="E224" t="s">
        <v>37</v>
      </c>
      <c r="F224" t="s">
        <v>191</v>
      </c>
      <c r="I224" t="s">
        <v>39</v>
      </c>
      <c r="J224" t="s">
        <v>40</v>
      </c>
      <c r="K224" t="s">
        <v>41</v>
      </c>
      <c r="L224" t="s">
        <v>53</v>
      </c>
      <c r="N224" t="s">
        <v>43</v>
      </c>
      <c r="O224" t="s">
        <v>293</v>
      </c>
      <c r="P224">
        <v>26</v>
      </c>
      <c r="Q224">
        <v>26</v>
      </c>
      <c r="R224">
        <v>1</v>
      </c>
      <c r="S224" t="s">
        <v>45</v>
      </c>
      <c r="T224">
        <v>0</v>
      </c>
      <c r="U224">
        <v>885</v>
      </c>
      <c r="V224" t="s">
        <v>113</v>
      </c>
      <c r="W224">
        <v>0.88400000000000001</v>
      </c>
      <c r="X224">
        <v>19001</v>
      </c>
      <c r="Y224" t="s">
        <v>47</v>
      </c>
      <c r="Z224">
        <v>19</v>
      </c>
      <c r="AA224">
        <v>323</v>
      </c>
      <c r="AB224" t="s">
        <v>47</v>
      </c>
      <c r="AC224">
        <v>0.32200000000000001</v>
      </c>
      <c r="AD224">
        <v>710</v>
      </c>
      <c r="AE224" t="s">
        <v>48</v>
      </c>
      <c r="AF224">
        <v>0.70899999999999996</v>
      </c>
      <c r="AG224">
        <v>576</v>
      </c>
      <c r="AH224" t="s">
        <v>49</v>
      </c>
      <c r="AI224">
        <v>0.57499999999999996</v>
      </c>
      <c r="AJ224" t="s">
        <v>1154</v>
      </c>
    </row>
    <row r="225" spans="1:36" x14ac:dyDescent="0.25">
      <c r="A225" t="s">
        <v>1073</v>
      </c>
      <c r="B225">
        <v>855474390</v>
      </c>
      <c r="C225" t="s">
        <v>1074</v>
      </c>
      <c r="D225" t="s">
        <v>1074</v>
      </c>
      <c r="E225" t="s">
        <v>60</v>
      </c>
      <c r="F225" t="s">
        <v>191</v>
      </c>
      <c r="I225" t="s">
        <v>39</v>
      </c>
      <c r="J225" t="s">
        <v>40</v>
      </c>
      <c r="K225" t="s">
        <v>41</v>
      </c>
      <c r="L225" t="s">
        <v>53</v>
      </c>
      <c r="N225" t="s">
        <v>43</v>
      </c>
      <c r="O225" t="s">
        <v>295</v>
      </c>
      <c r="P225">
        <v>26</v>
      </c>
      <c r="Q225">
        <v>26</v>
      </c>
      <c r="R225">
        <v>31</v>
      </c>
      <c r="S225" t="s">
        <v>45</v>
      </c>
      <c r="T225">
        <v>0.03</v>
      </c>
      <c r="U225">
        <v>139</v>
      </c>
      <c r="V225" t="s">
        <v>55</v>
      </c>
      <c r="W225">
        <v>0.13800000000000001</v>
      </c>
      <c r="X225">
        <v>16001</v>
      </c>
      <c r="Y225" t="s">
        <v>47</v>
      </c>
      <c r="Z225">
        <v>16</v>
      </c>
      <c r="AA225">
        <v>239</v>
      </c>
      <c r="AB225" t="s">
        <v>47</v>
      </c>
      <c r="AC225">
        <v>0.23799999999999999</v>
      </c>
      <c r="AD225">
        <v>636</v>
      </c>
      <c r="AE225" t="s">
        <v>48</v>
      </c>
      <c r="AF225">
        <v>0.63500000000000001</v>
      </c>
      <c r="AG225">
        <v>576</v>
      </c>
      <c r="AH225" t="s">
        <v>49</v>
      </c>
      <c r="AI225">
        <v>0.57499999999999996</v>
      </c>
      <c r="AJ225" t="s">
        <v>1154</v>
      </c>
    </row>
    <row r="226" spans="1:36" x14ac:dyDescent="0.25">
      <c r="A226" t="s">
        <v>1073</v>
      </c>
      <c r="B226">
        <v>855474390</v>
      </c>
      <c r="C226" t="s">
        <v>1074</v>
      </c>
      <c r="D226" t="s">
        <v>1074</v>
      </c>
      <c r="E226" t="s">
        <v>37</v>
      </c>
      <c r="F226" t="s">
        <v>191</v>
      </c>
      <c r="I226" t="s">
        <v>39</v>
      </c>
      <c r="J226" t="s">
        <v>40</v>
      </c>
      <c r="K226" t="s">
        <v>41</v>
      </c>
      <c r="L226" t="s">
        <v>53</v>
      </c>
      <c r="N226" t="s">
        <v>43</v>
      </c>
      <c r="O226" t="s">
        <v>293</v>
      </c>
      <c r="P226">
        <v>26</v>
      </c>
      <c r="Q226">
        <v>26</v>
      </c>
      <c r="S226" t="s">
        <v>39</v>
      </c>
      <c r="V226" t="s">
        <v>39</v>
      </c>
      <c r="X226">
        <v>19001</v>
      </c>
      <c r="Y226" t="s">
        <v>47</v>
      </c>
      <c r="Z226">
        <v>19</v>
      </c>
      <c r="AA226">
        <v>323</v>
      </c>
      <c r="AB226" t="s">
        <v>47</v>
      </c>
      <c r="AC226">
        <v>0.32200000000000001</v>
      </c>
      <c r="AD226">
        <v>710</v>
      </c>
      <c r="AE226" t="s">
        <v>48</v>
      </c>
      <c r="AF226">
        <v>0.70899999999999996</v>
      </c>
      <c r="AG226">
        <v>576</v>
      </c>
      <c r="AH226" t="s">
        <v>49</v>
      </c>
      <c r="AI226">
        <v>0.57499999999999996</v>
      </c>
      <c r="AJ226" t="s">
        <v>1155</v>
      </c>
    </row>
    <row r="227" spans="1:36" x14ac:dyDescent="0.25">
      <c r="A227" t="s">
        <v>1073</v>
      </c>
      <c r="B227">
        <v>855474390</v>
      </c>
      <c r="C227" t="s">
        <v>1074</v>
      </c>
      <c r="D227" t="s">
        <v>1074</v>
      </c>
      <c r="E227" t="s">
        <v>60</v>
      </c>
      <c r="F227" t="s">
        <v>191</v>
      </c>
      <c r="I227" t="s">
        <v>39</v>
      </c>
      <c r="J227" t="s">
        <v>40</v>
      </c>
      <c r="K227" t="s">
        <v>41</v>
      </c>
      <c r="L227" t="s">
        <v>53</v>
      </c>
      <c r="N227" t="s">
        <v>43</v>
      </c>
      <c r="O227" t="s">
        <v>295</v>
      </c>
      <c r="P227">
        <v>26</v>
      </c>
      <c r="Q227">
        <v>26</v>
      </c>
      <c r="S227" t="s">
        <v>39</v>
      </c>
      <c r="V227" t="s">
        <v>39</v>
      </c>
      <c r="X227">
        <v>16001</v>
      </c>
      <c r="Y227" t="s">
        <v>47</v>
      </c>
      <c r="Z227">
        <v>16</v>
      </c>
      <c r="AA227">
        <v>239</v>
      </c>
      <c r="AB227" t="s">
        <v>47</v>
      </c>
      <c r="AC227">
        <v>0.23799999999999999</v>
      </c>
      <c r="AD227">
        <v>636</v>
      </c>
      <c r="AE227" t="s">
        <v>48</v>
      </c>
      <c r="AF227">
        <v>0.63500000000000001</v>
      </c>
      <c r="AG227">
        <v>576</v>
      </c>
      <c r="AH227" t="s">
        <v>49</v>
      </c>
      <c r="AI227">
        <v>0.57499999999999996</v>
      </c>
      <c r="AJ227" t="s">
        <v>1155</v>
      </c>
    </row>
    <row r="228" spans="1:36" x14ac:dyDescent="0.25">
      <c r="A228" t="s">
        <v>1073</v>
      </c>
      <c r="B228">
        <v>855474390</v>
      </c>
      <c r="C228" t="s">
        <v>1074</v>
      </c>
      <c r="D228" t="s">
        <v>1074</v>
      </c>
      <c r="E228" t="s">
        <v>37</v>
      </c>
      <c r="F228" t="s">
        <v>191</v>
      </c>
      <c r="I228" t="s">
        <v>39</v>
      </c>
      <c r="J228" t="s">
        <v>40</v>
      </c>
      <c r="K228" t="s">
        <v>41</v>
      </c>
      <c r="L228" t="s">
        <v>53</v>
      </c>
      <c r="N228" t="s">
        <v>43</v>
      </c>
      <c r="O228" t="s">
        <v>293</v>
      </c>
      <c r="P228">
        <v>26</v>
      </c>
      <c r="Q228">
        <v>26</v>
      </c>
      <c r="S228" t="s">
        <v>39</v>
      </c>
      <c r="V228" t="s">
        <v>39</v>
      </c>
      <c r="X228">
        <v>19001</v>
      </c>
      <c r="Y228" t="s">
        <v>47</v>
      </c>
      <c r="Z228">
        <v>19</v>
      </c>
      <c r="AA228">
        <v>323</v>
      </c>
      <c r="AB228" t="s">
        <v>47</v>
      </c>
      <c r="AC228">
        <v>0.32200000000000001</v>
      </c>
      <c r="AD228">
        <v>710</v>
      </c>
      <c r="AE228" t="s">
        <v>48</v>
      </c>
      <c r="AF228">
        <v>0.70899999999999996</v>
      </c>
      <c r="AG228">
        <v>576</v>
      </c>
      <c r="AH228" t="s">
        <v>49</v>
      </c>
      <c r="AI228">
        <v>0.57499999999999996</v>
      </c>
      <c r="AJ228" t="s">
        <v>1156</v>
      </c>
    </row>
    <row r="229" spans="1:36" x14ac:dyDescent="0.25">
      <c r="A229" t="s">
        <v>1073</v>
      </c>
      <c r="B229">
        <v>855474390</v>
      </c>
      <c r="C229" t="s">
        <v>1074</v>
      </c>
      <c r="D229" t="s">
        <v>1074</v>
      </c>
      <c r="E229" t="s">
        <v>60</v>
      </c>
      <c r="F229" t="s">
        <v>191</v>
      </c>
      <c r="I229" t="s">
        <v>39</v>
      </c>
      <c r="J229" t="s">
        <v>40</v>
      </c>
      <c r="K229" t="s">
        <v>41</v>
      </c>
      <c r="L229" t="s">
        <v>53</v>
      </c>
      <c r="N229" t="s">
        <v>43</v>
      </c>
      <c r="O229" t="s">
        <v>295</v>
      </c>
      <c r="P229">
        <v>26</v>
      </c>
      <c r="Q229">
        <v>26</v>
      </c>
      <c r="S229" t="s">
        <v>39</v>
      </c>
      <c r="V229" t="s">
        <v>39</v>
      </c>
      <c r="X229">
        <v>16001</v>
      </c>
      <c r="Y229" t="s">
        <v>47</v>
      </c>
      <c r="Z229">
        <v>16</v>
      </c>
      <c r="AA229">
        <v>239</v>
      </c>
      <c r="AB229" t="s">
        <v>47</v>
      </c>
      <c r="AC229">
        <v>0.23799999999999999</v>
      </c>
      <c r="AD229">
        <v>636</v>
      </c>
      <c r="AE229" t="s">
        <v>48</v>
      </c>
      <c r="AF229">
        <v>0.63500000000000001</v>
      </c>
      <c r="AG229">
        <v>576</v>
      </c>
      <c r="AH229" t="s">
        <v>49</v>
      </c>
      <c r="AI229">
        <v>0.57499999999999996</v>
      </c>
      <c r="AJ229" t="s">
        <v>1156</v>
      </c>
    </row>
    <row r="230" spans="1:36" x14ac:dyDescent="0.25">
      <c r="A230" t="s">
        <v>1067</v>
      </c>
      <c r="B230">
        <v>853096876</v>
      </c>
      <c r="C230" t="s">
        <v>1068</v>
      </c>
      <c r="D230" t="s">
        <v>1068</v>
      </c>
      <c r="E230" t="s">
        <v>37</v>
      </c>
      <c r="F230" t="s">
        <v>71</v>
      </c>
      <c r="I230" t="s">
        <v>39</v>
      </c>
      <c r="J230" t="s">
        <v>40</v>
      </c>
      <c r="K230" t="s">
        <v>41</v>
      </c>
      <c r="L230" t="s">
        <v>598</v>
      </c>
      <c r="M230" t="s">
        <v>73</v>
      </c>
      <c r="N230" t="s">
        <v>43</v>
      </c>
      <c r="O230" t="s">
        <v>74</v>
      </c>
      <c r="P230">
        <v>27</v>
      </c>
      <c r="Q230">
        <v>27</v>
      </c>
      <c r="R230">
        <v>761</v>
      </c>
      <c r="S230" t="s">
        <v>56</v>
      </c>
      <c r="T230">
        <v>0.76</v>
      </c>
      <c r="U230">
        <v>1</v>
      </c>
      <c r="V230" t="s">
        <v>55</v>
      </c>
      <c r="W230">
        <v>0</v>
      </c>
      <c r="X230">
        <v>3001</v>
      </c>
      <c r="Y230" t="s">
        <v>47</v>
      </c>
      <c r="Z230">
        <v>3</v>
      </c>
      <c r="AA230">
        <v>322</v>
      </c>
      <c r="AB230" t="s">
        <v>47</v>
      </c>
      <c r="AC230">
        <v>0.32100000000000001</v>
      </c>
      <c r="AD230">
        <v>335</v>
      </c>
      <c r="AE230" t="s">
        <v>56</v>
      </c>
      <c r="AF230">
        <v>0.33400000000000002</v>
      </c>
      <c r="AG230">
        <v>100</v>
      </c>
      <c r="AH230" t="s">
        <v>103</v>
      </c>
      <c r="AI230">
        <v>9.9000000000000005E-2</v>
      </c>
      <c r="AJ230" t="s">
        <v>50</v>
      </c>
    </row>
    <row r="231" spans="1:36" x14ac:dyDescent="0.25">
      <c r="A231" t="s">
        <v>1067</v>
      </c>
      <c r="B231">
        <v>853096876</v>
      </c>
      <c r="C231" t="s">
        <v>1068</v>
      </c>
      <c r="D231" t="s">
        <v>1068</v>
      </c>
      <c r="E231" t="s">
        <v>37</v>
      </c>
      <c r="F231" t="s">
        <v>71</v>
      </c>
      <c r="I231" t="s">
        <v>39</v>
      </c>
      <c r="J231" t="s">
        <v>40</v>
      </c>
      <c r="K231" t="s">
        <v>41</v>
      </c>
      <c r="L231" t="s">
        <v>598</v>
      </c>
      <c r="M231" t="s">
        <v>73</v>
      </c>
      <c r="N231" t="s">
        <v>43</v>
      </c>
      <c r="O231" t="s">
        <v>74</v>
      </c>
      <c r="P231">
        <v>27</v>
      </c>
      <c r="Q231">
        <v>27</v>
      </c>
      <c r="R231">
        <v>801</v>
      </c>
      <c r="S231" t="s">
        <v>56</v>
      </c>
      <c r="T231">
        <v>0.8</v>
      </c>
      <c r="U231">
        <v>2</v>
      </c>
      <c r="V231" t="s">
        <v>55</v>
      </c>
      <c r="W231">
        <v>1E-3</v>
      </c>
      <c r="X231">
        <v>3001</v>
      </c>
      <c r="Y231" t="s">
        <v>47</v>
      </c>
      <c r="Z231">
        <v>3</v>
      </c>
      <c r="AA231">
        <v>322</v>
      </c>
      <c r="AB231" t="s">
        <v>47</v>
      </c>
      <c r="AC231">
        <v>0.32100000000000001</v>
      </c>
      <c r="AD231">
        <v>335</v>
      </c>
      <c r="AE231" t="s">
        <v>56</v>
      </c>
      <c r="AF231">
        <v>0.33400000000000002</v>
      </c>
      <c r="AG231">
        <v>100</v>
      </c>
      <c r="AH231" t="s">
        <v>103</v>
      </c>
      <c r="AI231">
        <v>9.9000000000000005E-2</v>
      </c>
      <c r="AJ231" t="s">
        <v>1141</v>
      </c>
    </row>
    <row r="232" spans="1:36" x14ac:dyDescent="0.25">
      <c r="A232" t="s">
        <v>1067</v>
      </c>
      <c r="B232">
        <v>853096876</v>
      </c>
      <c r="C232" t="s">
        <v>1068</v>
      </c>
      <c r="D232" t="s">
        <v>1068</v>
      </c>
      <c r="E232" t="s">
        <v>37</v>
      </c>
      <c r="F232" t="s">
        <v>71</v>
      </c>
      <c r="I232" t="s">
        <v>39</v>
      </c>
      <c r="J232" t="s">
        <v>40</v>
      </c>
      <c r="K232" t="s">
        <v>41</v>
      </c>
      <c r="L232" t="s">
        <v>598</v>
      </c>
      <c r="M232" t="s">
        <v>73</v>
      </c>
      <c r="N232" t="s">
        <v>43</v>
      </c>
      <c r="O232" t="s">
        <v>74</v>
      </c>
      <c r="P232">
        <v>27</v>
      </c>
      <c r="Q232">
        <v>27</v>
      </c>
      <c r="R232">
        <v>761</v>
      </c>
      <c r="S232" t="s">
        <v>56</v>
      </c>
      <c r="T232">
        <v>0.76</v>
      </c>
      <c r="U232">
        <v>1</v>
      </c>
      <c r="V232" t="s">
        <v>55</v>
      </c>
      <c r="W232">
        <v>0</v>
      </c>
      <c r="X232">
        <v>3001</v>
      </c>
      <c r="Y232" t="s">
        <v>47</v>
      </c>
      <c r="Z232">
        <v>3</v>
      </c>
      <c r="AA232">
        <v>322</v>
      </c>
      <c r="AB232" t="s">
        <v>47</v>
      </c>
      <c r="AC232">
        <v>0.32100000000000001</v>
      </c>
      <c r="AD232">
        <v>335</v>
      </c>
      <c r="AE232" t="s">
        <v>56</v>
      </c>
      <c r="AF232">
        <v>0.33400000000000002</v>
      </c>
      <c r="AG232">
        <v>100</v>
      </c>
      <c r="AH232" t="s">
        <v>103</v>
      </c>
      <c r="AI232">
        <v>9.9000000000000005E-2</v>
      </c>
      <c r="AJ232" t="s">
        <v>1153</v>
      </c>
    </row>
    <row r="233" spans="1:36" x14ac:dyDescent="0.25">
      <c r="A233" t="s">
        <v>1067</v>
      </c>
      <c r="B233">
        <v>853096876</v>
      </c>
      <c r="C233" t="s">
        <v>1068</v>
      </c>
      <c r="D233" t="s">
        <v>1068</v>
      </c>
      <c r="E233" t="s">
        <v>37</v>
      </c>
      <c r="F233" t="s">
        <v>71</v>
      </c>
      <c r="I233" t="s">
        <v>39</v>
      </c>
      <c r="J233" t="s">
        <v>40</v>
      </c>
      <c r="K233" t="s">
        <v>41</v>
      </c>
      <c r="L233" t="s">
        <v>598</v>
      </c>
      <c r="M233" t="s">
        <v>73</v>
      </c>
      <c r="N233" t="s">
        <v>43</v>
      </c>
      <c r="O233" t="s">
        <v>74</v>
      </c>
      <c r="P233">
        <v>27</v>
      </c>
      <c r="Q233">
        <v>27</v>
      </c>
      <c r="R233">
        <v>761</v>
      </c>
      <c r="S233" t="s">
        <v>56</v>
      </c>
      <c r="T233">
        <v>0.76</v>
      </c>
      <c r="U233">
        <v>1</v>
      </c>
      <c r="V233" t="s">
        <v>55</v>
      </c>
      <c r="W233">
        <v>0</v>
      </c>
      <c r="X233">
        <v>3001</v>
      </c>
      <c r="Y233" t="s">
        <v>47</v>
      </c>
      <c r="Z233">
        <v>3</v>
      </c>
      <c r="AA233">
        <v>322</v>
      </c>
      <c r="AB233" t="s">
        <v>47</v>
      </c>
      <c r="AC233">
        <v>0.32100000000000001</v>
      </c>
      <c r="AD233">
        <v>335</v>
      </c>
      <c r="AE233" t="s">
        <v>56</v>
      </c>
      <c r="AF233">
        <v>0.33400000000000002</v>
      </c>
      <c r="AG233">
        <v>100</v>
      </c>
      <c r="AH233" t="s">
        <v>103</v>
      </c>
      <c r="AI233">
        <v>9.9000000000000005E-2</v>
      </c>
      <c r="AJ233" t="s">
        <v>1154</v>
      </c>
    </row>
    <row r="234" spans="1:36" x14ac:dyDescent="0.25">
      <c r="A234" t="s">
        <v>1067</v>
      </c>
      <c r="B234">
        <v>853096876</v>
      </c>
      <c r="C234" t="s">
        <v>1068</v>
      </c>
      <c r="D234" t="s">
        <v>1068</v>
      </c>
      <c r="E234" t="s">
        <v>37</v>
      </c>
      <c r="F234" t="s">
        <v>71</v>
      </c>
      <c r="I234" t="s">
        <v>39</v>
      </c>
      <c r="J234" t="s">
        <v>40</v>
      </c>
      <c r="K234" t="s">
        <v>41</v>
      </c>
      <c r="L234" t="s">
        <v>598</v>
      </c>
      <c r="M234" t="s">
        <v>73</v>
      </c>
      <c r="N234" t="s">
        <v>43</v>
      </c>
      <c r="O234" t="s">
        <v>74</v>
      </c>
      <c r="P234">
        <v>27</v>
      </c>
      <c r="Q234">
        <v>27</v>
      </c>
      <c r="S234" t="s">
        <v>39</v>
      </c>
      <c r="V234" t="s">
        <v>39</v>
      </c>
      <c r="X234">
        <v>3001</v>
      </c>
      <c r="Y234" t="s">
        <v>47</v>
      </c>
      <c r="Z234">
        <v>3</v>
      </c>
      <c r="AA234">
        <v>322</v>
      </c>
      <c r="AB234" t="s">
        <v>47</v>
      </c>
      <c r="AC234">
        <v>0.32100000000000001</v>
      </c>
      <c r="AD234">
        <v>335</v>
      </c>
      <c r="AE234" t="s">
        <v>56</v>
      </c>
      <c r="AF234">
        <v>0.33400000000000002</v>
      </c>
      <c r="AG234">
        <v>100</v>
      </c>
      <c r="AH234" t="s">
        <v>103</v>
      </c>
      <c r="AI234">
        <v>9.9000000000000005E-2</v>
      </c>
      <c r="AJ234" t="s">
        <v>1155</v>
      </c>
    </row>
    <row r="235" spans="1:36" x14ac:dyDescent="0.25">
      <c r="A235" t="s">
        <v>1067</v>
      </c>
      <c r="B235">
        <v>853096876</v>
      </c>
      <c r="C235" t="s">
        <v>1068</v>
      </c>
      <c r="D235" t="s">
        <v>1068</v>
      </c>
      <c r="E235" t="s">
        <v>37</v>
      </c>
      <c r="F235" t="s">
        <v>71</v>
      </c>
      <c r="I235" t="s">
        <v>39</v>
      </c>
      <c r="J235" t="s">
        <v>40</v>
      </c>
      <c r="K235" t="s">
        <v>41</v>
      </c>
      <c r="L235" t="s">
        <v>598</v>
      </c>
      <c r="M235" t="s">
        <v>73</v>
      </c>
      <c r="N235" t="s">
        <v>43</v>
      </c>
      <c r="O235" t="s">
        <v>74</v>
      </c>
      <c r="P235">
        <v>27</v>
      </c>
      <c r="Q235">
        <v>27</v>
      </c>
      <c r="S235" t="s">
        <v>39</v>
      </c>
      <c r="V235" t="s">
        <v>39</v>
      </c>
      <c r="X235">
        <v>3001</v>
      </c>
      <c r="Y235" t="s">
        <v>47</v>
      </c>
      <c r="Z235">
        <v>3</v>
      </c>
      <c r="AA235">
        <v>322</v>
      </c>
      <c r="AB235" t="s">
        <v>47</v>
      </c>
      <c r="AC235">
        <v>0.32100000000000001</v>
      </c>
      <c r="AD235">
        <v>335</v>
      </c>
      <c r="AE235" t="s">
        <v>56</v>
      </c>
      <c r="AF235">
        <v>0.33400000000000002</v>
      </c>
      <c r="AG235">
        <v>100</v>
      </c>
      <c r="AH235" t="s">
        <v>103</v>
      </c>
      <c r="AI235">
        <v>9.9000000000000005E-2</v>
      </c>
      <c r="AJ235" t="s">
        <v>1156</v>
      </c>
    </row>
    <row r="236" spans="1:36" x14ac:dyDescent="0.25">
      <c r="A236" t="s">
        <v>1069</v>
      </c>
      <c r="B236">
        <v>856018617</v>
      </c>
      <c r="C236" t="s">
        <v>1070</v>
      </c>
      <c r="D236" t="s">
        <v>1070</v>
      </c>
      <c r="E236" t="s">
        <v>37</v>
      </c>
      <c r="F236" t="s">
        <v>122</v>
      </c>
      <c r="I236" t="s">
        <v>39</v>
      </c>
      <c r="J236" t="s">
        <v>40</v>
      </c>
      <c r="K236" t="s">
        <v>41</v>
      </c>
      <c r="L236" t="s">
        <v>118</v>
      </c>
      <c r="N236" t="s">
        <v>43</v>
      </c>
      <c r="O236" t="s">
        <v>184</v>
      </c>
      <c r="P236">
        <v>27</v>
      </c>
      <c r="Q236">
        <v>27</v>
      </c>
      <c r="R236">
        <v>461</v>
      </c>
      <c r="S236" t="s">
        <v>56</v>
      </c>
      <c r="T236">
        <v>0.46</v>
      </c>
      <c r="U236">
        <v>35</v>
      </c>
      <c r="V236" t="s">
        <v>55</v>
      </c>
      <c r="W236">
        <v>3.4000000000000002E-2</v>
      </c>
      <c r="X236">
        <v>2001</v>
      </c>
      <c r="Y236" t="s">
        <v>47</v>
      </c>
      <c r="Z236">
        <v>2</v>
      </c>
      <c r="AA236">
        <v>242</v>
      </c>
      <c r="AB236" t="s">
        <v>47</v>
      </c>
      <c r="AC236">
        <v>0.24099999999999999</v>
      </c>
      <c r="AD236">
        <v>342</v>
      </c>
      <c r="AE236" t="s">
        <v>56</v>
      </c>
      <c r="AF236">
        <v>0.34100000000000003</v>
      </c>
      <c r="AG236">
        <v>428</v>
      </c>
      <c r="AH236" t="s">
        <v>57</v>
      </c>
      <c r="AI236">
        <v>0.42699999999999999</v>
      </c>
      <c r="AJ236" t="s">
        <v>50</v>
      </c>
    </row>
    <row r="237" spans="1:36" x14ac:dyDescent="0.25">
      <c r="A237" t="s">
        <v>1069</v>
      </c>
      <c r="B237">
        <v>856018617</v>
      </c>
      <c r="C237" t="s">
        <v>1070</v>
      </c>
      <c r="D237" t="s">
        <v>1070</v>
      </c>
      <c r="E237" t="s">
        <v>60</v>
      </c>
      <c r="F237" t="s">
        <v>122</v>
      </c>
      <c r="I237" t="s">
        <v>39</v>
      </c>
      <c r="J237" t="s">
        <v>40</v>
      </c>
      <c r="K237" t="s">
        <v>41</v>
      </c>
      <c r="L237" t="s">
        <v>118</v>
      </c>
      <c r="N237" t="s">
        <v>43</v>
      </c>
      <c r="O237" t="s">
        <v>119</v>
      </c>
      <c r="P237">
        <v>27</v>
      </c>
      <c r="Q237">
        <v>27</v>
      </c>
      <c r="R237">
        <v>411</v>
      </c>
      <c r="S237" t="s">
        <v>56</v>
      </c>
      <c r="T237">
        <v>0.41</v>
      </c>
      <c r="U237">
        <v>6</v>
      </c>
      <c r="V237" t="s">
        <v>55</v>
      </c>
      <c r="W237">
        <v>5.0000000000000001E-3</v>
      </c>
      <c r="X237">
        <v>2001</v>
      </c>
      <c r="Y237" t="s">
        <v>47</v>
      </c>
      <c r="Z237">
        <v>2</v>
      </c>
      <c r="AA237">
        <v>246</v>
      </c>
      <c r="AB237" t="s">
        <v>47</v>
      </c>
      <c r="AC237">
        <v>0.245</v>
      </c>
      <c r="AD237">
        <v>353</v>
      </c>
      <c r="AE237" t="s">
        <v>56</v>
      </c>
      <c r="AF237">
        <v>0.35199999999999998</v>
      </c>
      <c r="AG237">
        <v>428</v>
      </c>
      <c r="AH237" t="s">
        <v>57</v>
      </c>
      <c r="AI237">
        <v>0.42699999999999999</v>
      </c>
      <c r="AJ237" t="s">
        <v>50</v>
      </c>
    </row>
    <row r="238" spans="1:36" x14ac:dyDescent="0.25">
      <c r="A238" t="s">
        <v>1069</v>
      </c>
      <c r="B238">
        <v>856018617</v>
      </c>
      <c r="C238" t="s">
        <v>1070</v>
      </c>
      <c r="D238" t="s">
        <v>1070</v>
      </c>
      <c r="E238" t="s">
        <v>37</v>
      </c>
      <c r="F238" t="s">
        <v>122</v>
      </c>
      <c r="I238" t="s">
        <v>39</v>
      </c>
      <c r="J238" t="s">
        <v>40</v>
      </c>
      <c r="K238" t="s">
        <v>41</v>
      </c>
      <c r="L238" t="s">
        <v>118</v>
      </c>
      <c r="N238" t="s">
        <v>43</v>
      </c>
      <c r="O238" t="s">
        <v>184</v>
      </c>
      <c r="P238">
        <v>27</v>
      </c>
      <c r="Q238">
        <v>27</v>
      </c>
      <c r="R238">
        <v>471</v>
      </c>
      <c r="S238" t="s">
        <v>56</v>
      </c>
      <c r="T238">
        <v>0.47</v>
      </c>
      <c r="U238">
        <v>88</v>
      </c>
      <c r="V238" t="s">
        <v>55</v>
      </c>
      <c r="W238">
        <v>8.6999999999999994E-2</v>
      </c>
      <c r="X238">
        <v>2001</v>
      </c>
      <c r="Y238" t="s">
        <v>47</v>
      </c>
      <c r="Z238">
        <v>2</v>
      </c>
      <c r="AA238">
        <v>242</v>
      </c>
      <c r="AB238" t="s">
        <v>47</v>
      </c>
      <c r="AC238">
        <v>0.24099999999999999</v>
      </c>
      <c r="AD238">
        <v>342</v>
      </c>
      <c r="AE238" t="s">
        <v>56</v>
      </c>
      <c r="AF238">
        <v>0.34100000000000003</v>
      </c>
      <c r="AG238">
        <v>428</v>
      </c>
      <c r="AH238" t="s">
        <v>57</v>
      </c>
      <c r="AI238">
        <v>0.42699999999999999</v>
      </c>
      <c r="AJ238" t="s">
        <v>1141</v>
      </c>
    </row>
    <row r="239" spans="1:36" x14ac:dyDescent="0.25">
      <c r="A239" t="s">
        <v>1069</v>
      </c>
      <c r="B239">
        <v>856018617</v>
      </c>
      <c r="C239" t="s">
        <v>1070</v>
      </c>
      <c r="D239" t="s">
        <v>1070</v>
      </c>
      <c r="E239" t="s">
        <v>60</v>
      </c>
      <c r="F239" t="s">
        <v>122</v>
      </c>
      <c r="I239" t="s">
        <v>39</v>
      </c>
      <c r="J239" t="s">
        <v>40</v>
      </c>
      <c r="K239" t="s">
        <v>41</v>
      </c>
      <c r="L239" t="s">
        <v>118</v>
      </c>
      <c r="N239" t="s">
        <v>43</v>
      </c>
      <c r="O239" t="s">
        <v>119</v>
      </c>
      <c r="P239">
        <v>27</v>
      </c>
      <c r="Q239">
        <v>27</v>
      </c>
      <c r="R239">
        <v>401</v>
      </c>
      <c r="S239" t="s">
        <v>56</v>
      </c>
      <c r="T239">
        <v>0.4</v>
      </c>
      <c r="U239">
        <v>14</v>
      </c>
      <c r="V239" t="s">
        <v>55</v>
      </c>
      <c r="W239">
        <v>1.2999999999999999E-2</v>
      </c>
      <c r="X239">
        <v>2001</v>
      </c>
      <c r="Y239" t="s">
        <v>47</v>
      </c>
      <c r="Z239">
        <v>2</v>
      </c>
      <c r="AA239">
        <v>246</v>
      </c>
      <c r="AB239" t="s">
        <v>47</v>
      </c>
      <c r="AC239">
        <v>0.245</v>
      </c>
      <c r="AD239">
        <v>353</v>
      </c>
      <c r="AE239" t="s">
        <v>56</v>
      </c>
      <c r="AF239">
        <v>0.35199999999999998</v>
      </c>
      <c r="AG239">
        <v>428</v>
      </c>
      <c r="AH239" t="s">
        <v>57</v>
      </c>
      <c r="AI239">
        <v>0.42699999999999999</v>
      </c>
      <c r="AJ239" t="s">
        <v>1141</v>
      </c>
    </row>
    <row r="240" spans="1:36" x14ac:dyDescent="0.25">
      <c r="A240" t="s">
        <v>1069</v>
      </c>
      <c r="B240">
        <v>856018617</v>
      </c>
      <c r="C240" t="s">
        <v>1070</v>
      </c>
      <c r="D240" t="s">
        <v>1070</v>
      </c>
      <c r="E240" t="s">
        <v>37</v>
      </c>
      <c r="F240" t="s">
        <v>122</v>
      </c>
      <c r="I240" t="s">
        <v>39</v>
      </c>
      <c r="J240" t="s">
        <v>40</v>
      </c>
      <c r="K240" t="s">
        <v>41</v>
      </c>
      <c r="L240" t="s">
        <v>118</v>
      </c>
      <c r="N240" t="s">
        <v>43</v>
      </c>
      <c r="O240" t="s">
        <v>184</v>
      </c>
      <c r="P240">
        <v>27</v>
      </c>
      <c r="Q240">
        <v>27</v>
      </c>
      <c r="R240">
        <v>461</v>
      </c>
      <c r="S240" t="s">
        <v>56</v>
      </c>
      <c r="T240">
        <v>0.46</v>
      </c>
      <c r="U240">
        <v>35</v>
      </c>
      <c r="V240" t="s">
        <v>55</v>
      </c>
      <c r="W240">
        <v>3.4000000000000002E-2</v>
      </c>
      <c r="X240">
        <v>2001</v>
      </c>
      <c r="Y240" t="s">
        <v>47</v>
      </c>
      <c r="Z240">
        <v>2</v>
      </c>
      <c r="AA240">
        <v>242</v>
      </c>
      <c r="AB240" t="s">
        <v>47</v>
      </c>
      <c r="AC240">
        <v>0.24099999999999999</v>
      </c>
      <c r="AD240">
        <v>342</v>
      </c>
      <c r="AE240" t="s">
        <v>56</v>
      </c>
      <c r="AF240">
        <v>0.34100000000000003</v>
      </c>
      <c r="AG240">
        <v>428</v>
      </c>
      <c r="AH240" t="s">
        <v>57</v>
      </c>
      <c r="AI240">
        <v>0.42699999999999999</v>
      </c>
      <c r="AJ240" t="s">
        <v>1153</v>
      </c>
    </row>
    <row r="241" spans="1:36" x14ac:dyDescent="0.25">
      <c r="A241" t="s">
        <v>1069</v>
      </c>
      <c r="B241">
        <v>856018617</v>
      </c>
      <c r="C241" t="s">
        <v>1070</v>
      </c>
      <c r="D241" t="s">
        <v>1070</v>
      </c>
      <c r="E241" t="s">
        <v>60</v>
      </c>
      <c r="F241" t="s">
        <v>122</v>
      </c>
      <c r="I241" t="s">
        <v>39</v>
      </c>
      <c r="J241" t="s">
        <v>40</v>
      </c>
      <c r="K241" t="s">
        <v>41</v>
      </c>
      <c r="L241" t="s">
        <v>118</v>
      </c>
      <c r="N241" t="s">
        <v>43</v>
      </c>
      <c r="O241" t="s">
        <v>119</v>
      </c>
      <c r="P241">
        <v>27</v>
      </c>
      <c r="Q241">
        <v>27</v>
      </c>
      <c r="R241">
        <v>411</v>
      </c>
      <c r="S241" t="s">
        <v>56</v>
      </c>
      <c r="T241">
        <v>0.41</v>
      </c>
      <c r="U241">
        <v>6</v>
      </c>
      <c r="V241" t="s">
        <v>55</v>
      </c>
      <c r="W241">
        <v>5.0000000000000001E-3</v>
      </c>
      <c r="X241">
        <v>2001</v>
      </c>
      <c r="Y241" t="s">
        <v>47</v>
      </c>
      <c r="Z241">
        <v>2</v>
      </c>
      <c r="AA241">
        <v>246</v>
      </c>
      <c r="AB241" t="s">
        <v>47</v>
      </c>
      <c r="AC241">
        <v>0.245</v>
      </c>
      <c r="AD241">
        <v>353</v>
      </c>
      <c r="AE241" t="s">
        <v>56</v>
      </c>
      <c r="AF241">
        <v>0.35199999999999998</v>
      </c>
      <c r="AG241">
        <v>428</v>
      </c>
      <c r="AH241" t="s">
        <v>57</v>
      </c>
      <c r="AI241">
        <v>0.42699999999999999</v>
      </c>
      <c r="AJ241" t="s">
        <v>1153</v>
      </c>
    </row>
    <row r="242" spans="1:36" x14ac:dyDescent="0.25">
      <c r="A242" t="s">
        <v>1069</v>
      </c>
      <c r="B242">
        <v>856018617</v>
      </c>
      <c r="C242" t="s">
        <v>1070</v>
      </c>
      <c r="D242" t="s">
        <v>1070</v>
      </c>
      <c r="E242" t="s">
        <v>37</v>
      </c>
      <c r="F242" t="s">
        <v>122</v>
      </c>
      <c r="I242" t="s">
        <v>39</v>
      </c>
      <c r="J242" t="s">
        <v>40</v>
      </c>
      <c r="K242" t="s">
        <v>41</v>
      </c>
      <c r="L242" t="s">
        <v>118</v>
      </c>
      <c r="N242" t="s">
        <v>43</v>
      </c>
      <c r="O242" t="s">
        <v>184</v>
      </c>
      <c r="P242">
        <v>27</v>
      </c>
      <c r="Q242">
        <v>27</v>
      </c>
      <c r="R242">
        <v>461</v>
      </c>
      <c r="S242" t="s">
        <v>56</v>
      </c>
      <c r="T242">
        <v>0.46</v>
      </c>
      <c r="U242">
        <v>35</v>
      </c>
      <c r="V242" t="s">
        <v>55</v>
      </c>
      <c r="W242">
        <v>3.4000000000000002E-2</v>
      </c>
      <c r="X242">
        <v>2001</v>
      </c>
      <c r="Y242" t="s">
        <v>47</v>
      </c>
      <c r="Z242">
        <v>2</v>
      </c>
      <c r="AA242">
        <v>242</v>
      </c>
      <c r="AB242" t="s">
        <v>47</v>
      </c>
      <c r="AC242">
        <v>0.24099999999999999</v>
      </c>
      <c r="AD242">
        <v>342</v>
      </c>
      <c r="AE242" t="s">
        <v>56</v>
      </c>
      <c r="AF242">
        <v>0.34100000000000003</v>
      </c>
      <c r="AG242">
        <v>428</v>
      </c>
      <c r="AH242" t="s">
        <v>57</v>
      </c>
      <c r="AI242">
        <v>0.42699999999999999</v>
      </c>
      <c r="AJ242" t="s">
        <v>1154</v>
      </c>
    </row>
    <row r="243" spans="1:36" x14ac:dyDescent="0.25">
      <c r="A243" t="s">
        <v>1069</v>
      </c>
      <c r="B243">
        <v>856018617</v>
      </c>
      <c r="C243" t="s">
        <v>1070</v>
      </c>
      <c r="D243" t="s">
        <v>1070</v>
      </c>
      <c r="E243" t="s">
        <v>60</v>
      </c>
      <c r="F243" t="s">
        <v>122</v>
      </c>
      <c r="I243" t="s">
        <v>39</v>
      </c>
      <c r="J243" t="s">
        <v>40</v>
      </c>
      <c r="K243" t="s">
        <v>41</v>
      </c>
      <c r="L243" t="s">
        <v>118</v>
      </c>
      <c r="N243" t="s">
        <v>43</v>
      </c>
      <c r="O243" t="s">
        <v>119</v>
      </c>
      <c r="P243">
        <v>27</v>
      </c>
      <c r="Q243">
        <v>27</v>
      </c>
      <c r="R243">
        <v>411</v>
      </c>
      <c r="S243" t="s">
        <v>56</v>
      </c>
      <c r="T243">
        <v>0.41</v>
      </c>
      <c r="U243">
        <v>6</v>
      </c>
      <c r="V243" t="s">
        <v>55</v>
      </c>
      <c r="W243">
        <v>5.0000000000000001E-3</v>
      </c>
      <c r="X243">
        <v>2001</v>
      </c>
      <c r="Y243" t="s">
        <v>47</v>
      </c>
      <c r="Z243">
        <v>2</v>
      </c>
      <c r="AA243">
        <v>246</v>
      </c>
      <c r="AB243" t="s">
        <v>47</v>
      </c>
      <c r="AC243">
        <v>0.245</v>
      </c>
      <c r="AD243">
        <v>353</v>
      </c>
      <c r="AE243" t="s">
        <v>56</v>
      </c>
      <c r="AF243">
        <v>0.35199999999999998</v>
      </c>
      <c r="AG243">
        <v>428</v>
      </c>
      <c r="AH243" t="s">
        <v>57</v>
      </c>
      <c r="AI243">
        <v>0.42699999999999999</v>
      </c>
      <c r="AJ243" t="s">
        <v>1154</v>
      </c>
    </row>
    <row r="244" spans="1:36" x14ac:dyDescent="0.25">
      <c r="A244" t="s">
        <v>1069</v>
      </c>
      <c r="B244">
        <v>856018617</v>
      </c>
      <c r="C244" t="s">
        <v>1070</v>
      </c>
      <c r="D244" t="s">
        <v>1070</v>
      </c>
      <c r="E244" t="s">
        <v>37</v>
      </c>
      <c r="F244" t="s">
        <v>122</v>
      </c>
      <c r="I244" t="s">
        <v>39</v>
      </c>
      <c r="J244" t="s">
        <v>40</v>
      </c>
      <c r="K244" t="s">
        <v>41</v>
      </c>
      <c r="L244" t="s">
        <v>118</v>
      </c>
      <c r="N244" t="s">
        <v>43</v>
      </c>
      <c r="O244" t="s">
        <v>184</v>
      </c>
      <c r="P244">
        <v>27</v>
      </c>
      <c r="Q244">
        <v>27</v>
      </c>
      <c r="S244" t="s">
        <v>39</v>
      </c>
      <c r="V244" t="s">
        <v>39</v>
      </c>
      <c r="X244">
        <v>2001</v>
      </c>
      <c r="Y244" t="s">
        <v>47</v>
      </c>
      <c r="Z244">
        <v>2</v>
      </c>
      <c r="AA244">
        <v>242</v>
      </c>
      <c r="AB244" t="s">
        <v>47</v>
      </c>
      <c r="AC244">
        <v>0.24099999999999999</v>
      </c>
      <c r="AD244">
        <v>342</v>
      </c>
      <c r="AE244" t="s">
        <v>56</v>
      </c>
      <c r="AF244">
        <v>0.34100000000000003</v>
      </c>
      <c r="AG244">
        <v>428</v>
      </c>
      <c r="AH244" t="s">
        <v>57</v>
      </c>
      <c r="AI244">
        <v>0.42699999999999999</v>
      </c>
      <c r="AJ244" t="s">
        <v>1155</v>
      </c>
    </row>
    <row r="245" spans="1:36" x14ac:dyDescent="0.25">
      <c r="A245" t="s">
        <v>1069</v>
      </c>
      <c r="B245">
        <v>856018617</v>
      </c>
      <c r="C245" t="s">
        <v>1070</v>
      </c>
      <c r="D245" t="s">
        <v>1070</v>
      </c>
      <c r="E245" t="s">
        <v>60</v>
      </c>
      <c r="F245" t="s">
        <v>122</v>
      </c>
      <c r="I245" t="s">
        <v>39</v>
      </c>
      <c r="J245" t="s">
        <v>40</v>
      </c>
      <c r="K245" t="s">
        <v>41</v>
      </c>
      <c r="L245" t="s">
        <v>118</v>
      </c>
      <c r="N245" t="s">
        <v>43</v>
      </c>
      <c r="O245" t="s">
        <v>119</v>
      </c>
      <c r="P245">
        <v>27</v>
      </c>
      <c r="Q245">
        <v>27</v>
      </c>
      <c r="S245" t="s">
        <v>39</v>
      </c>
      <c r="V245" t="s">
        <v>39</v>
      </c>
      <c r="X245">
        <v>2001</v>
      </c>
      <c r="Y245" t="s">
        <v>47</v>
      </c>
      <c r="Z245">
        <v>2</v>
      </c>
      <c r="AA245">
        <v>246</v>
      </c>
      <c r="AB245" t="s">
        <v>47</v>
      </c>
      <c r="AC245">
        <v>0.245</v>
      </c>
      <c r="AD245">
        <v>353</v>
      </c>
      <c r="AE245" t="s">
        <v>56</v>
      </c>
      <c r="AF245">
        <v>0.35199999999999998</v>
      </c>
      <c r="AG245">
        <v>428</v>
      </c>
      <c r="AH245" t="s">
        <v>57</v>
      </c>
      <c r="AI245">
        <v>0.42699999999999999</v>
      </c>
      <c r="AJ245" t="s">
        <v>1155</v>
      </c>
    </row>
    <row r="246" spans="1:36" x14ac:dyDescent="0.25">
      <c r="A246" t="s">
        <v>1069</v>
      </c>
      <c r="B246">
        <v>856018617</v>
      </c>
      <c r="C246" t="s">
        <v>1070</v>
      </c>
      <c r="D246" t="s">
        <v>1070</v>
      </c>
      <c r="E246" t="s">
        <v>37</v>
      </c>
      <c r="F246" t="s">
        <v>122</v>
      </c>
      <c r="I246" t="s">
        <v>39</v>
      </c>
      <c r="J246" t="s">
        <v>40</v>
      </c>
      <c r="K246" t="s">
        <v>41</v>
      </c>
      <c r="L246" t="s">
        <v>118</v>
      </c>
      <c r="N246" t="s">
        <v>43</v>
      </c>
      <c r="O246" t="s">
        <v>184</v>
      </c>
      <c r="P246">
        <v>27</v>
      </c>
      <c r="Q246">
        <v>27</v>
      </c>
      <c r="S246" t="s">
        <v>39</v>
      </c>
      <c r="V246" t="s">
        <v>39</v>
      </c>
      <c r="X246">
        <v>2001</v>
      </c>
      <c r="Y246" t="s">
        <v>47</v>
      </c>
      <c r="Z246">
        <v>2</v>
      </c>
      <c r="AA246">
        <v>242</v>
      </c>
      <c r="AB246" t="s">
        <v>47</v>
      </c>
      <c r="AC246">
        <v>0.24099999999999999</v>
      </c>
      <c r="AD246">
        <v>342</v>
      </c>
      <c r="AE246" t="s">
        <v>56</v>
      </c>
      <c r="AF246">
        <v>0.34100000000000003</v>
      </c>
      <c r="AG246">
        <v>428</v>
      </c>
      <c r="AH246" t="s">
        <v>57</v>
      </c>
      <c r="AI246">
        <v>0.42699999999999999</v>
      </c>
      <c r="AJ246" t="s">
        <v>1156</v>
      </c>
    </row>
    <row r="247" spans="1:36" x14ac:dyDescent="0.25">
      <c r="A247" t="s">
        <v>1069</v>
      </c>
      <c r="B247">
        <v>856018617</v>
      </c>
      <c r="C247" t="s">
        <v>1070</v>
      </c>
      <c r="D247" t="s">
        <v>1070</v>
      </c>
      <c r="E247" t="s">
        <v>60</v>
      </c>
      <c r="F247" t="s">
        <v>122</v>
      </c>
      <c r="I247" t="s">
        <v>39</v>
      </c>
      <c r="J247" t="s">
        <v>40</v>
      </c>
      <c r="K247" t="s">
        <v>41</v>
      </c>
      <c r="L247" t="s">
        <v>118</v>
      </c>
      <c r="N247" t="s">
        <v>43</v>
      </c>
      <c r="O247" t="s">
        <v>119</v>
      </c>
      <c r="P247">
        <v>27</v>
      </c>
      <c r="Q247">
        <v>27</v>
      </c>
      <c r="S247" t="s">
        <v>39</v>
      </c>
      <c r="V247" t="s">
        <v>39</v>
      </c>
      <c r="X247">
        <v>2001</v>
      </c>
      <c r="Y247" t="s">
        <v>47</v>
      </c>
      <c r="Z247">
        <v>2</v>
      </c>
      <c r="AA247">
        <v>246</v>
      </c>
      <c r="AB247" t="s">
        <v>47</v>
      </c>
      <c r="AC247">
        <v>0.245</v>
      </c>
      <c r="AD247">
        <v>353</v>
      </c>
      <c r="AE247" t="s">
        <v>56</v>
      </c>
      <c r="AF247">
        <v>0.35199999999999998</v>
      </c>
      <c r="AG247">
        <v>428</v>
      </c>
      <c r="AH247" t="s">
        <v>57</v>
      </c>
      <c r="AI247">
        <v>0.42699999999999999</v>
      </c>
      <c r="AJ247" t="s">
        <v>1156</v>
      </c>
    </row>
    <row r="248" spans="1:36" x14ac:dyDescent="0.25">
      <c r="A248" t="s">
        <v>1065</v>
      </c>
      <c r="B248">
        <v>851831224</v>
      </c>
      <c r="C248" t="s">
        <v>1066</v>
      </c>
      <c r="D248" t="s">
        <v>1066</v>
      </c>
      <c r="E248" t="s">
        <v>99</v>
      </c>
      <c r="F248" t="s">
        <v>143</v>
      </c>
      <c r="I248" t="s">
        <v>39</v>
      </c>
      <c r="J248" t="s">
        <v>40</v>
      </c>
      <c r="K248" t="s">
        <v>41</v>
      </c>
      <c r="L248" t="s">
        <v>89</v>
      </c>
      <c r="N248" t="s">
        <v>43</v>
      </c>
      <c r="O248" t="s">
        <v>576</v>
      </c>
      <c r="P248">
        <v>28</v>
      </c>
      <c r="Q248">
        <v>28</v>
      </c>
      <c r="R248">
        <v>101</v>
      </c>
      <c r="S248" t="s">
        <v>56</v>
      </c>
      <c r="T248">
        <v>0.1</v>
      </c>
      <c r="U248">
        <v>24</v>
      </c>
      <c r="V248" t="s">
        <v>55</v>
      </c>
      <c r="W248">
        <v>2.3E-2</v>
      </c>
      <c r="X248">
        <v>12001</v>
      </c>
      <c r="Y248" t="s">
        <v>47</v>
      </c>
      <c r="Z248">
        <v>12</v>
      </c>
      <c r="AA248">
        <v>538</v>
      </c>
      <c r="AB248" t="s">
        <v>75</v>
      </c>
      <c r="AC248">
        <v>0.53700000000000003</v>
      </c>
      <c r="AD248">
        <v>586</v>
      </c>
      <c r="AE248" t="s">
        <v>48</v>
      </c>
      <c r="AF248">
        <v>0.58499999999999996</v>
      </c>
      <c r="AG248">
        <v>461</v>
      </c>
      <c r="AH248" t="s">
        <v>57</v>
      </c>
      <c r="AI248">
        <v>0.46</v>
      </c>
      <c r="AJ248" t="s">
        <v>50</v>
      </c>
    </row>
    <row r="249" spans="1:36" x14ac:dyDescent="0.25">
      <c r="A249" t="s">
        <v>1065</v>
      </c>
      <c r="B249">
        <v>851831224</v>
      </c>
      <c r="C249" t="s">
        <v>1066</v>
      </c>
      <c r="D249" t="s">
        <v>1066</v>
      </c>
      <c r="E249" t="s">
        <v>99</v>
      </c>
      <c r="F249" t="s">
        <v>143</v>
      </c>
      <c r="I249" t="s">
        <v>39</v>
      </c>
      <c r="J249" t="s">
        <v>40</v>
      </c>
      <c r="K249" t="s">
        <v>41</v>
      </c>
      <c r="L249" t="s">
        <v>89</v>
      </c>
      <c r="N249" t="s">
        <v>43</v>
      </c>
      <c r="O249" t="s">
        <v>576</v>
      </c>
      <c r="P249">
        <v>28</v>
      </c>
      <c r="Q249">
        <v>28</v>
      </c>
      <c r="R249">
        <v>91</v>
      </c>
      <c r="S249" t="s">
        <v>56</v>
      </c>
      <c r="T249">
        <v>0.09</v>
      </c>
      <c r="U249">
        <v>603</v>
      </c>
      <c r="V249" t="s">
        <v>113</v>
      </c>
      <c r="W249">
        <v>0.60199999999999998</v>
      </c>
      <c r="X249">
        <v>12001</v>
      </c>
      <c r="Y249" t="s">
        <v>47</v>
      </c>
      <c r="Z249">
        <v>12</v>
      </c>
      <c r="AA249">
        <v>538</v>
      </c>
      <c r="AB249" t="s">
        <v>75</v>
      </c>
      <c r="AC249">
        <v>0.53700000000000003</v>
      </c>
      <c r="AD249">
        <v>586</v>
      </c>
      <c r="AE249" t="s">
        <v>48</v>
      </c>
      <c r="AF249">
        <v>0.58499999999999996</v>
      </c>
      <c r="AG249">
        <v>461</v>
      </c>
      <c r="AH249" t="s">
        <v>57</v>
      </c>
      <c r="AI249">
        <v>0.46</v>
      </c>
      <c r="AJ249" t="s">
        <v>1141</v>
      </c>
    </row>
    <row r="250" spans="1:36" x14ac:dyDescent="0.25">
      <c r="A250" t="s">
        <v>1065</v>
      </c>
      <c r="B250">
        <v>851831224</v>
      </c>
      <c r="C250" t="s">
        <v>1066</v>
      </c>
      <c r="D250" t="s">
        <v>1066</v>
      </c>
      <c r="E250" t="s">
        <v>99</v>
      </c>
      <c r="F250" t="s">
        <v>143</v>
      </c>
      <c r="I250" t="s">
        <v>39</v>
      </c>
      <c r="J250" t="s">
        <v>40</v>
      </c>
      <c r="K250" t="s">
        <v>41</v>
      </c>
      <c r="L250" t="s">
        <v>89</v>
      </c>
      <c r="N250" t="s">
        <v>43</v>
      </c>
      <c r="O250" t="s">
        <v>576</v>
      </c>
      <c r="P250">
        <v>28</v>
      </c>
      <c r="Q250">
        <v>28</v>
      </c>
      <c r="R250">
        <v>101</v>
      </c>
      <c r="S250" t="s">
        <v>56</v>
      </c>
      <c r="T250">
        <v>0.1</v>
      </c>
      <c r="U250">
        <v>24</v>
      </c>
      <c r="V250" t="s">
        <v>55</v>
      </c>
      <c r="W250">
        <v>2.3E-2</v>
      </c>
      <c r="X250">
        <v>12001</v>
      </c>
      <c r="Y250" t="s">
        <v>47</v>
      </c>
      <c r="Z250">
        <v>12</v>
      </c>
      <c r="AA250">
        <v>538</v>
      </c>
      <c r="AB250" t="s">
        <v>75</v>
      </c>
      <c r="AC250">
        <v>0.53700000000000003</v>
      </c>
      <c r="AD250">
        <v>586</v>
      </c>
      <c r="AE250" t="s">
        <v>48</v>
      </c>
      <c r="AF250">
        <v>0.58499999999999996</v>
      </c>
      <c r="AG250">
        <v>461</v>
      </c>
      <c r="AH250" t="s">
        <v>57</v>
      </c>
      <c r="AI250">
        <v>0.46</v>
      </c>
      <c r="AJ250" t="s">
        <v>1153</v>
      </c>
    </row>
    <row r="251" spans="1:36" x14ac:dyDescent="0.25">
      <c r="A251" t="s">
        <v>1065</v>
      </c>
      <c r="B251">
        <v>851831224</v>
      </c>
      <c r="C251" t="s">
        <v>1066</v>
      </c>
      <c r="D251" t="s">
        <v>1066</v>
      </c>
      <c r="E251" t="s">
        <v>99</v>
      </c>
      <c r="F251" t="s">
        <v>143</v>
      </c>
      <c r="I251" t="s">
        <v>39</v>
      </c>
      <c r="J251" t="s">
        <v>40</v>
      </c>
      <c r="K251" t="s">
        <v>41</v>
      </c>
      <c r="L251" t="s">
        <v>89</v>
      </c>
      <c r="N251" t="s">
        <v>43</v>
      </c>
      <c r="O251" t="s">
        <v>576</v>
      </c>
      <c r="P251">
        <v>28</v>
      </c>
      <c r="Q251">
        <v>28</v>
      </c>
      <c r="R251">
        <v>101</v>
      </c>
      <c r="S251" t="s">
        <v>56</v>
      </c>
      <c r="T251">
        <v>0.1</v>
      </c>
      <c r="U251">
        <v>24</v>
      </c>
      <c r="V251" t="s">
        <v>55</v>
      </c>
      <c r="W251">
        <v>2.3E-2</v>
      </c>
      <c r="X251">
        <v>12001</v>
      </c>
      <c r="Y251" t="s">
        <v>47</v>
      </c>
      <c r="Z251">
        <v>12</v>
      </c>
      <c r="AA251">
        <v>538</v>
      </c>
      <c r="AB251" t="s">
        <v>75</v>
      </c>
      <c r="AC251">
        <v>0.53700000000000003</v>
      </c>
      <c r="AD251">
        <v>586</v>
      </c>
      <c r="AE251" t="s">
        <v>48</v>
      </c>
      <c r="AF251">
        <v>0.58499999999999996</v>
      </c>
      <c r="AG251">
        <v>461</v>
      </c>
      <c r="AH251" t="s">
        <v>57</v>
      </c>
      <c r="AI251">
        <v>0.46</v>
      </c>
      <c r="AJ251" t="s">
        <v>1154</v>
      </c>
    </row>
    <row r="252" spans="1:36" x14ac:dyDescent="0.25">
      <c r="A252" t="s">
        <v>1065</v>
      </c>
      <c r="B252">
        <v>851831224</v>
      </c>
      <c r="C252" t="s">
        <v>1066</v>
      </c>
      <c r="D252" t="s">
        <v>1066</v>
      </c>
      <c r="E252" t="s">
        <v>99</v>
      </c>
      <c r="F252" t="s">
        <v>143</v>
      </c>
      <c r="I252" t="s">
        <v>39</v>
      </c>
      <c r="J252" t="s">
        <v>40</v>
      </c>
      <c r="K252" t="s">
        <v>41</v>
      </c>
      <c r="L252" t="s">
        <v>89</v>
      </c>
      <c r="N252" t="s">
        <v>43</v>
      </c>
      <c r="O252" t="s">
        <v>576</v>
      </c>
      <c r="P252">
        <v>28</v>
      </c>
      <c r="Q252">
        <v>28</v>
      </c>
      <c r="S252" t="s">
        <v>39</v>
      </c>
      <c r="V252" t="s">
        <v>39</v>
      </c>
      <c r="X252">
        <v>12001</v>
      </c>
      <c r="Y252" t="s">
        <v>47</v>
      </c>
      <c r="Z252">
        <v>12</v>
      </c>
      <c r="AA252">
        <v>538</v>
      </c>
      <c r="AB252" t="s">
        <v>75</v>
      </c>
      <c r="AC252">
        <v>0.53700000000000003</v>
      </c>
      <c r="AD252">
        <v>586</v>
      </c>
      <c r="AE252" t="s">
        <v>48</v>
      </c>
      <c r="AF252">
        <v>0.58499999999999996</v>
      </c>
      <c r="AG252">
        <v>461</v>
      </c>
      <c r="AH252" t="s">
        <v>57</v>
      </c>
      <c r="AI252">
        <v>0.46</v>
      </c>
      <c r="AJ252" t="s">
        <v>1155</v>
      </c>
    </row>
    <row r="253" spans="1:36" x14ac:dyDescent="0.25">
      <c r="A253" t="s">
        <v>1065</v>
      </c>
      <c r="B253">
        <v>851831224</v>
      </c>
      <c r="C253" t="s">
        <v>1066</v>
      </c>
      <c r="D253" t="s">
        <v>1066</v>
      </c>
      <c r="E253" t="s">
        <v>99</v>
      </c>
      <c r="F253" t="s">
        <v>143</v>
      </c>
      <c r="I253" t="s">
        <v>39</v>
      </c>
      <c r="J253" t="s">
        <v>40</v>
      </c>
      <c r="K253" t="s">
        <v>41</v>
      </c>
      <c r="L253" t="s">
        <v>89</v>
      </c>
      <c r="N253" t="s">
        <v>43</v>
      </c>
      <c r="O253" t="s">
        <v>576</v>
      </c>
      <c r="P253">
        <v>28</v>
      </c>
      <c r="Q253">
        <v>28</v>
      </c>
      <c r="S253" t="s">
        <v>39</v>
      </c>
      <c r="V253" t="s">
        <v>39</v>
      </c>
      <c r="X253">
        <v>12001</v>
      </c>
      <c r="Y253" t="s">
        <v>47</v>
      </c>
      <c r="Z253">
        <v>12</v>
      </c>
      <c r="AA253">
        <v>538</v>
      </c>
      <c r="AB253" t="s">
        <v>75</v>
      </c>
      <c r="AC253">
        <v>0.53700000000000003</v>
      </c>
      <c r="AD253">
        <v>586</v>
      </c>
      <c r="AE253" t="s">
        <v>48</v>
      </c>
      <c r="AF253">
        <v>0.58499999999999996</v>
      </c>
      <c r="AG253">
        <v>461</v>
      </c>
      <c r="AH253" t="s">
        <v>57</v>
      </c>
      <c r="AI253">
        <v>0.46</v>
      </c>
      <c r="AJ253" t="s">
        <v>1156</v>
      </c>
    </row>
    <row r="254" spans="1:36" x14ac:dyDescent="0.25">
      <c r="A254" t="s">
        <v>1063</v>
      </c>
      <c r="B254">
        <v>867373381</v>
      </c>
      <c r="C254" t="s">
        <v>1064</v>
      </c>
      <c r="D254" t="s">
        <v>1064</v>
      </c>
      <c r="E254" t="s">
        <v>60</v>
      </c>
      <c r="F254" t="s">
        <v>88</v>
      </c>
      <c r="I254" t="s">
        <v>39</v>
      </c>
      <c r="J254" t="s">
        <v>40</v>
      </c>
      <c r="K254" t="s">
        <v>41</v>
      </c>
      <c r="L254" t="s">
        <v>173</v>
      </c>
      <c r="N254" t="s">
        <v>43</v>
      </c>
      <c r="O254" t="s">
        <v>295</v>
      </c>
      <c r="P254">
        <v>30</v>
      </c>
      <c r="Q254">
        <v>30</v>
      </c>
      <c r="R254">
        <v>61</v>
      </c>
      <c r="S254" t="s">
        <v>56</v>
      </c>
      <c r="T254">
        <v>0.06</v>
      </c>
      <c r="U254">
        <v>82</v>
      </c>
      <c r="V254" t="s">
        <v>55</v>
      </c>
      <c r="W254">
        <v>8.1000000000000003E-2</v>
      </c>
      <c r="X254">
        <v>14001</v>
      </c>
      <c r="Y254" t="s">
        <v>47</v>
      </c>
      <c r="Z254">
        <v>14</v>
      </c>
      <c r="AA254">
        <v>339</v>
      </c>
      <c r="AB254" t="s">
        <v>47</v>
      </c>
      <c r="AC254">
        <v>0.33800000000000002</v>
      </c>
      <c r="AD254">
        <v>432</v>
      </c>
      <c r="AE254" t="s">
        <v>56</v>
      </c>
      <c r="AF254">
        <v>0.43099999999999999</v>
      </c>
      <c r="AG254">
        <v>507</v>
      </c>
      <c r="AH254" t="s">
        <v>57</v>
      </c>
      <c r="AI254">
        <v>0.50600000000000001</v>
      </c>
      <c r="AJ254" t="s">
        <v>50</v>
      </c>
    </row>
    <row r="255" spans="1:36" x14ac:dyDescent="0.25">
      <c r="A255" t="s">
        <v>1063</v>
      </c>
      <c r="B255">
        <v>867373381</v>
      </c>
      <c r="C255" t="s">
        <v>1064</v>
      </c>
      <c r="D255" t="s">
        <v>1064</v>
      </c>
      <c r="E255" t="s">
        <v>60</v>
      </c>
      <c r="F255" t="s">
        <v>88</v>
      </c>
      <c r="I255" t="s">
        <v>39</v>
      </c>
      <c r="J255" t="s">
        <v>40</v>
      </c>
      <c r="K255" t="s">
        <v>41</v>
      </c>
      <c r="L255" t="s">
        <v>173</v>
      </c>
      <c r="N255" t="s">
        <v>43</v>
      </c>
      <c r="O255" t="s">
        <v>295</v>
      </c>
      <c r="P255">
        <v>30</v>
      </c>
      <c r="Q255">
        <v>30</v>
      </c>
      <c r="R255">
        <v>141</v>
      </c>
      <c r="S255" t="s">
        <v>56</v>
      </c>
      <c r="T255">
        <v>0.14000000000000001</v>
      </c>
      <c r="U255">
        <v>180</v>
      </c>
      <c r="V255" t="s">
        <v>55</v>
      </c>
      <c r="W255">
        <v>0.17899999999999999</v>
      </c>
      <c r="X255">
        <v>14001</v>
      </c>
      <c r="Y255" t="s">
        <v>47</v>
      </c>
      <c r="Z255">
        <v>14</v>
      </c>
      <c r="AA255">
        <v>339</v>
      </c>
      <c r="AB255" t="s">
        <v>47</v>
      </c>
      <c r="AC255">
        <v>0.33800000000000002</v>
      </c>
      <c r="AD255">
        <v>432</v>
      </c>
      <c r="AE255" t="s">
        <v>56</v>
      </c>
      <c r="AF255">
        <v>0.43099999999999999</v>
      </c>
      <c r="AG255">
        <v>507</v>
      </c>
      <c r="AH255" t="s">
        <v>57</v>
      </c>
      <c r="AI255">
        <v>0.50600000000000001</v>
      </c>
      <c r="AJ255" t="s">
        <v>1141</v>
      </c>
    </row>
    <row r="256" spans="1:36" x14ac:dyDescent="0.25">
      <c r="A256" t="s">
        <v>1063</v>
      </c>
      <c r="B256">
        <v>867373381</v>
      </c>
      <c r="C256" t="s">
        <v>1064</v>
      </c>
      <c r="D256" t="s">
        <v>1064</v>
      </c>
      <c r="E256" t="s">
        <v>60</v>
      </c>
      <c r="F256" t="s">
        <v>88</v>
      </c>
      <c r="I256" t="s">
        <v>39</v>
      </c>
      <c r="J256" t="s">
        <v>40</v>
      </c>
      <c r="K256" t="s">
        <v>41</v>
      </c>
      <c r="L256" t="s">
        <v>173</v>
      </c>
      <c r="N256" t="s">
        <v>43</v>
      </c>
      <c r="O256" t="s">
        <v>295</v>
      </c>
      <c r="P256">
        <v>30</v>
      </c>
      <c r="Q256">
        <v>30</v>
      </c>
      <c r="R256">
        <v>61</v>
      </c>
      <c r="S256" t="s">
        <v>56</v>
      </c>
      <c r="T256">
        <v>0.06</v>
      </c>
      <c r="U256">
        <v>82</v>
      </c>
      <c r="V256" t="s">
        <v>55</v>
      </c>
      <c r="W256">
        <v>8.1000000000000003E-2</v>
      </c>
      <c r="X256">
        <v>14001</v>
      </c>
      <c r="Y256" t="s">
        <v>47</v>
      </c>
      <c r="Z256">
        <v>14</v>
      </c>
      <c r="AA256">
        <v>339</v>
      </c>
      <c r="AB256" t="s">
        <v>47</v>
      </c>
      <c r="AC256">
        <v>0.33800000000000002</v>
      </c>
      <c r="AD256">
        <v>432</v>
      </c>
      <c r="AE256" t="s">
        <v>56</v>
      </c>
      <c r="AF256">
        <v>0.43099999999999999</v>
      </c>
      <c r="AG256">
        <v>507</v>
      </c>
      <c r="AH256" t="s">
        <v>57</v>
      </c>
      <c r="AI256">
        <v>0.50600000000000001</v>
      </c>
      <c r="AJ256" t="s">
        <v>1153</v>
      </c>
    </row>
    <row r="257" spans="1:36" x14ac:dyDescent="0.25">
      <c r="A257" t="s">
        <v>1063</v>
      </c>
      <c r="B257">
        <v>867373381</v>
      </c>
      <c r="C257" t="s">
        <v>1064</v>
      </c>
      <c r="D257" t="s">
        <v>1064</v>
      </c>
      <c r="E257" t="s">
        <v>60</v>
      </c>
      <c r="F257" t="s">
        <v>88</v>
      </c>
      <c r="I257" t="s">
        <v>39</v>
      </c>
      <c r="J257" t="s">
        <v>40</v>
      </c>
      <c r="K257" t="s">
        <v>41</v>
      </c>
      <c r="L257" t="s">
        <v>173</v>
      </c>
      <c r="N257" t="s">
        <v>43</v>
      </c>
      <c r="O257" t="s">
        <v>295</v>
      </c>
      <c r="P257">
        <v>30</v>
      </c>
      <c r="Q257">
        <v>30</v>
      </c>
      <c r="R257">
        <v>61</v>
      </c>
      <c r="S257" t="s">
        <v>56</v>
      </c>
      <c r="T257">
        <v>0.06</v>
      </c>
      <c r="U257">
        <v>82</v>
      </c>
      <c r="V257" t="s">
        <v>55</v>
      </c>
      <c r="W257">
        <v>8.1000000000000003E-2</v>
      </c>
      <c r="X257">
        <v>14001</v>
      </c>
      <c r="Y257" t="s">
        <v>47</v>
      </c>
      <c r="Z257">
        <v>14</v>
      </c>
      <c r="AA257">
        <v>339</v>
      </c>
      <c r="AB257" t="s">
        <v>47</v>
      </c>
      <c r="AC257">
        <v>0.33800000000000002</v>
      </c>
      <c r="AD257">
        <v>432</v>
      </c>
      <c r="AE257" t="s">
        <v>56</v>
      </c>
      <c r="AF257">
        <v>0.43099999999999999</v>
      </c>
      <c r="AG257">
        <v>507</v>
      </c>
      <c r="AH257" t="s">
        <v>57</v>
      </c>
      <c r="AI257">
        <v>0.50600000000000001</v>
      </c>
      <c r="AJ257" t="s">
        <v>1154</v>
      </c>
    </row>
    <row r="258" spans="1:36" x14ac:dyDescent="0.25">
      <c r="A258" t="s">
        <v>1063</v>
      </c>
      <c r="B258">
        <v>867373381</v>
      </c>
      <c r="C258" t="s">
        <v>1064</v>
      </c>
      <c r="D258" t="s">
        <v>1064</v>
      </c>
      <c r="E258" t="s">
        <v>60</v>
      </c>
      <c r="F258" t="s">
        <v>88</v>
      </c>
      <c r="I258" t="s">
        <v>39</v>
      </c>
      <c r="J258" t="s">
        <v>40</v>
      </c>
      <c r="K258" t="s">
        <v>41</v>
      </c>
      <c r="L258" t="s">
        <v>173</v>
      </c>
      <c r="N258" t="s">
        <v>43</v>
      </c>
      <c r="O258" t="s">
        <v>295</v>
      </c>
      <c r="P258">
        <v>30</v>
      </c>
      <c r="Q258">
        <v>30</v>
      </c>
      <c r="S258" t="s">
        <v>39</v>
      </c>
      <c r="V258" t="s">
        <v>39</v>
      </c>
      <c r="X258">
        <v>14001</v>
      </c>
      <c r="Y258" t="s">
        <v>47</v>
      </c>
      <c r="Z258">
        <v>14</v>
      </c>
      <c r="AA258">
        <v>339</v>
      </c>
      <c r="AB258" t="s">
        <v>47</v>
      </c>
      <c r="AC258">
        <v>0.33800000000000002</v>
      </c>
      <c r="AD258">
        <v>432</v>
      </c>
      <c r="AE258" t="s">
        <v>56</v>
      </c>
      <c r="AF258">
        <v>0.43099999999999999</v>
      </c>
      <c r="AG258">
        <v>507</v>
      </c>
      <c r="AH258" t="s">
        <v>57</v>
      </c>
      <c r="AI258">
        <v>0.50600000000000001</v>
      </c>
      <c r="AJ258" t="s">
        <v>1155</v>
      </c>
    </row>
    <row r="259" spans="1:36" x14ac:dyDescent="0.25">
      <c r="A259" t="s">
        <v>1063</v>
      </c>
      <c r="B259">
        <v>867373381</v>
      </c>
      <c r="C259" t="s">
        <v>1064</v>
      </c>
      <c r="D259" t="s">
        <v>1064</v>
      </c>
      <c r="E259" t="s">
        <v>60</v>
      </c>
      <c r="F259" t="s">
        <v>88</v>
      </c>
      <c r="I259" t="s">
        <v>39</v>
      </c>
      <c r="J259" t="s">
        <v>40</v>
      </c>
      <c r="K259" t="s">
        <v>41</v>
      </c>
      <c r="L259" t="s">
        <v>173</v>
      </c>
      <c r="N259" t="s">
        <v>43</v>
      </c>
      <c r="O259" t="s">
        <v>295</v>
      </c>
      <c r="P259">
        <v>30</v>
      </c>
      <c r="Q259">
        <v>30</v>
      </c>
      <c r="S259" t="s">
        <v>39</v>
      </c>
      <c r="V259" t="s">
        <v>39</v>
      </c>
      <c r="X259">
        <v>14001</v>
      </c>
      <c r="Y259" t="s">
        <v>47</v>
      </c>
      <c r="Z259">
        <v>14</v>
      </c>
      <c r="AA259">
        <v>339</v>
      </c>
      <c r="AB259" t="s">
        <v>47</v>
      </c>
      <c r="AC259">
        <v>0.33800000000000002</v>
      </c>
      <c r="AD259">
        <v>432</v>
      </c>
      <c r="AE259" t="s">
        <v>56</v>
      </c>
      <c r="AF259">
        <v>0.43099999999999999</v>
      </c>
      <c r="AG259">
        <v>507</v>
      </c>
      <c r="AH259" t="s">
        <v>57</v>
      </c>
      <c r="AI259">
        <v>0.50600000000000001</v>
      </c>
      <c r="AJ259" t="s">
        <v>1156</v>
      </c>
    </row>
    <row r="260" spans="1:36" x14ac:dyDescent="0.25">
      <c r="A260" t="s">
        <v>1061</v>
      </c>
      <c r="B260">
        <v>856508549</v>
      </c>
      <c r="C260" t="s">
        <v>1062</v>
      </c>
      <c r="D260" t="s">
        <v>1062</v>
      </c>
      <c r="E260" t="s">
        <v>37</v>
      </c>
      <c r="F260" t="s">
        <v>38</v>
      </c>
      <c r="I260" t="s">
        <v>39</v>
      </c>
      <c r="J260" t="s">
        <v>40</v>
      </c>
      <c r="K260" t="s">
        <v>41</v>
      </c>
      <c r="L260" t="s">
        <v>72</v>
      </c>
      <c r="M260" t="s">
        <v>47</v>
      </c>
      <c r="N260" t="s">
        <v>43</v>
      </c>
      <c r="O260" t="s">
        <v>287</v>
      </c>
      <c r="P260">
        <v>30</v>
      </c>
      <c r="Q260">
        <v>30</v>
      </c>
      <c r="R260">
        <v>101</v>
      </c>
      <c r="S260" t="s">
        <v>56</v>
      </c>
      <c r="T260">
        <v>0.1</v>
      </c>
      <c r="U260">
        <v>8</v>
      </c>
      <c r="V260" t="s">
        <v>55</v>
      </c>
      <c r="W260">
        <v>7.0000000000000001E-3</v>
      </c>
      <c r="X260">
        <v>8001</v>
      </c>
      <c r="Y260" t="s">
        <v>47</v>
      </c>
      <c r="Z260">
        <v>8</v>
      </c>
      <c r="AA260">
        <v>443</v>
      </c>
      <c r="AB260" t="s">
        <v>47</v>
      </c>
      <c r="AC260">
        <v>0.442</v>
      </c>
      <c r="AD260">
        <v>427</v>
      </c>
      <c r="AE260" t="s">
        <v>56</v>
      </c>
      <c r="AF260">
        <v>0.42599999999999999</v>
      </c>
      <c r="AG260">
        <v>507</v>
      </c>
      <c r="AH260" t="s">
        <v>57</v>
      </c>
      <c r="AI260">
        <v>0.50600000000000001</v>
      </c>
      <c r="AJ260" t="s">
        <v>50</v>
      </c>
    </row>
    <row r="261" spans="1:36" x14ac:dyDescent="0.25">
      <c r="A261" t="s">
        <v>1061</v>
      </c>
      <c r="B261">
        <v>856508549</v>
      </c>
      <c r="C261" t="s">
        <v>1062</v>
      </c>
      <c r="D261" t="s">
        <v>1062</v>
      </c>
      <c r="E261" t="s">
        <v>37</v>
      </c>
      <c r="F261" t="s">
        <v>38</v>
      </c>
      <c r="I261" t="s">
        <v>39</v>
      </c>
      <c r="J261" t="s">
        <v>40</v>
      </c>
      <c r="K261" t="s">
        <v>41</v>
      </c>
      <c r="L261" t="s">
        <v>72</v>
      </c>
      <c r="M261" t="s">
        <v>47</v>
      </c>
      <c r="N261" t="s">
        <v>43</v>
      </c>
      <c r="O261" t="s">
        <v>287</v>
      </c>
      <c r="P261">
        <v>30</v>
      </c>
      <c r="Q261">
        <v>30</v>
      </c>
      <c r="R261">
        <v>141</v>
      </c>
      <c r="S261" t="s">
        <v>56</v>
      </c>
      <c r="T261">
        <v>0.14000000000000001</v>
      </c>
      <c r="U261">
        <v>19</v>
      </c>
      <c r="V261" t="s">
        <v>55</v>
      </c>
      <c r="W261">
        <v>1.7999999999999999E-2</v>
      </c>
      <c r="X261">
        <v>8001</v>
      </c>
      <c r="Y261" t="s">
        <v>47</v>
      </c>
      <c r="Z261">
        <v>8</v>
      </c>
      <c r="AA261">
        <v>443</v>
      </c>
      <c r="AB261" t="s">
        <v>47</v>
      </c>
      <c r="AC261">
        <v>0.442</v>
      </c>
      <c r="AD261">
        <v>427</v>
      </c>
      <c r="AE261" t="s">
        <v>56</v>
      </c>
      <c r="AF261">
        <v>0.42599999999999999</v>
      </c>
      <c r="AG261">
        <v>507</v>
      </c>
      <c r="AH261" t="s">
        <v>57</v>
      </c>
      <c r="AI261">
        <v>0.50600000000000001</v>
      </c>
      <c r="AJ261" t="s">
        <v>1141</v>
      </c>
    </row>
    <row r="262" spans="1:36" x14ac:dyDescent="0.25">
      <c r="A262" t="s">
        <v>1061</v>
      </c>
      <c r="B262">
        <v>856508549</v>
      </c>
      <c r="C262" t="s">
        <v>1062</v>
      </c>
      <c r="D262" t="s">
        <v>1062</v>
      </c>
      <c r="E262" t="s">
        <v>37</v>
      </c>
      <c r="F262" t="s">
        <v>38</v>
      </c>
      <c r="I262" t="s">
        <v>39</v>
      </c>
      <c r="J262" t="s">
        <v>40</v>
      </c>
      <c r="K262" t="s">
        <v>41</v>
      </c>
      <c r="L262" t="s">
        <v>72</v>
      </c>
      <c r="M262" t="s">
        <v>47</v>
      </c>
      <c r="N262" t="s">
        <v>43</v>
      </c>
      <c r="O262" t="s">
        <v>287</v>
      </c>
      <c r="P262">
        <v>30</v>
      </c>
      <c r="Q262">
        <v>30</v>
      </c>
      <c r="R262">
        <v>101</v>
      </c>
      <c r="S262" t="s">
        <v>56</v>
      </c>
      <c r="T262">
        <v>0.1</v>
      </c>
      <c r="U262">
        <v>8</v>
      </c>
      <c r="V262" t="s">
        <v>55</v>
      </c>
      <c r="W262">
        <v>7.0000000000000001E-3</v>
      </c>
      <c r="X262">
        <v>8001</v>
      </c>
      <c r="Y262" t="s">
        <v>47</v>
      </c>
      <c r="Z262">
        <v>8</v>
      </c>
      <c r="AA262">
        <v>443</v>
      </c>
      <c r="AB262" t="s">
        <v>47</v>
      </c>
      <c r="AC262">
        <v>0.442</v>
      </c>
      <c r="AD262">
        <v>427</v>
      </c>
      <c r="AE262" t="s">
        <v>56</v>
      </c>
      <c r="AF262">
        <v>0.42599999999999999</v>
      </c>
      <c r="AG262">
        <v>507</v>
      </c>
      <c r="AH262" t="s">
        <v>57</v>
      </c>
      <c r="AI262">
        <v>0.50600000000000001</v>
      </c>
      <c r="AJ262" t="s">
        <v>1153</v>
      </c>
    </row>
    <row r="263" spans="1:36" x14ac:dyDescent="0.25">
      <c r="A263" t="s">
        <v>1061</v>
      </c>
      <c r="B263">
        <v>856508549</v>
      </c>
      <c r="C263" t="s">
        <v>1062</v>
      </c>
      <c r="D263" t="s">
        <v>1062</v>
      </c>
      <c r="E263" t="s">
        <v>37</v>
      </c>
      <c r="F263" t="s">
        <v>38</v>
      </c>
      <c r="I263" t="s">
        <v>39</v>
      </c>
      <c r="J263" t="s">
        <v>40</v>
      </c>
      <c r="K263" t="s">
        <v>41</v>
      </c>
      <c r="L263" t="s">
        <v>72</v>
      </c>
      <c r="M263" t="s">
        <v>47</v>
      </c>
      <c r="N263" t="s">
        <v>43</v>
      </c>
      <c r="O263" t="s">
        <v>287</v>
      </c>
      <c r="P263">
        <v>30</v>
      </c>
      <c r="Q263">
        <v>30</v>
      </c>
      <c r="R263">
        <v>101</v>
      </c>
      <c r="S263" t="s">
        <v>56</v>
      </c>
      <c r="T263">
        <v>0.1</v>
      </c>
      <c r="U263">
        <v>8</v>
      </c>
      <c r="V263" t="s">
        <v>55</v>
      </c>
      <c r="W263">
        <v>7.0000000000000001E-3</v>
      </c>
      <c r="X263">
        <v>8001</v>
      </c>
      <c r="Y263" t="s">
        <v>47</v>
      </c>
      <c r="Z263">
        <v>8</v>
      </c>
      <c r="AA263">
        <v>443</v>
      </c>
      <c r="AB263" t="s">
        <v>47</v>
      </c>
      <c r="AC263">
        <v>0.442</v>
      </c>
      <c r="AD263">
        <v>427</v>
      </c>
      <c r="AE263" t="s">
        <v>56</v>
      </c>
      <c r="AF263">
        <v>0.42599999999999999</v>
      </c>
      <c r="AG263">
        <v>507</v>
      </c>
      <c r="AH263" t="s">
        <v>57</v>
      </c>
      <c r="AI263">
        <v>0.50600000000000001</v>
      </c>
      <c r="AJ263" t="s">
        <v>1154</v>
      </c>
    </row>
    <row r="264" spans="1:36" x14ac:dyDescent="0.25">
      <c r="A264" t="s">
        <v>1061</v>
      </c>
      <c r="B264">
        <v>856508549</v>
      </c>
      <c r="C264" t="s">
        <v>1062</v>
      </c>
      <c r="D264" t="s">
        <v>1062</v>
      </c>
      <c r="E264" t="s">
        <v>37</v>
      </c>
      <c r="F264" t="s">
        <v>38</v>
      </c>
      <c r="I264" t="s">
        <v>39</v>
      </c>
      <c r="J264" t="s">
        <v>40</v>
      </c>
      <c r="K264" t="s">
        <v>41</v>
      </c>
      <c r="L264" t="s">
        <v>72</v>
      </c>
      <c r="M264" t="s">
        <v>47</v>
      </c>
      <c r="N264" t="s">
        <v>43</v>
      </c>
      <c r="O264" t="s">
        <v>287</v>
      </c>
      <c r="P264">
        <v>30</v>
      </c>
      <c r="Q264">
        <v>30</v>
      </c>
      <c r="S264" t="s">
        <v>39</v>
      </c>
      <c r="V264" t="s">
        <v>39</v>
      </c>
      <c r="X264">
        <v>8001</v>
      </c>
      <c r="Y264" t="s">
        <v>47</v>
      </c>
      <c r="Z264">
        <v>8</v>
      </c>
      <c r="AA264">
        <v>443</v>
      </c>
      <c r="AB264" t="s">
        <v>47</v>
      </c>
      <c r="AC264">
        <v>0.442</v>
      </c>
      <c r="AD264">
        <v>427</v>
      </c>
      <c r="AE264" t="s">
        <v>56</v>
      </c>
      <c r="AF264">
        <v>0.42599999999999999</v>
      </c>
      <c r="AG264">
        <v>507</v>
      </c>
      <c r="AH264" t="s">
        <v>57</v>
      </c>
      <c r="AI264">
        <v>0.50600000000000001</v>
      </c>
      <c r="AJ264" t="s">
        <v>1155</v>
      </c>
    </row>
    <row r="265" spans="1:36" x14ac:dyDescent="0.25">
      <c r="A265" t="s">
        <v>1061</v>
      </c>
      <c r="B265">
        <v>856508549</v>
      </c>
      <c r="C265" t="s">
        <v>1062</v>
      </c>
      <c r="D265" t="s">
        <v>1062</v>
      </c>
      <c r="E265" t="s">
        <v>37</v>
      </c>
      <c r="F265" t="s">
        <v>38</v>
      </c>
      <c r="I265" t="s">
        <v>39</v>
      </c>
      <c r="J265" t="s">
        <v>40</v>
      </c>
      <c r="K265" t="s">
        <v>41</v>
      </c>
      <c r="L265" t="s">
        <v>72</v>
      </c>
      <c r="M265" t="s">
        <v>47</v>
      </c>
      <c r="N265" t="s">
        <v>43</v>
      </c>
      <c r="O265" t="s">
        <v>287</v>
      </c>
      <c r="P265">
        <v>30</v>
      </c>
      <c r="Q265">
        <v>30</v>
      </c>
      <c r="S265" t="s">
        <v>39</v>
      </c>
      <c r="V265" t="s">
        <v>39</v>
      </c>
      <c r="X265">
        <v>8001</v>
      </c>
      <c r="Y265" t="s">
        <v>47</v>
      </c>
      <c r="Z265">
        <v>8</v>
      </c>
      <c r="AA265">
        <v>443</v>
      </c>
      <c r="AB265" t="s">
        <v>47</v>
      </c>
      <c r="AC265">
        <v>0.442</v>
      </c>
      <c r="AD265">
        <v>427</v>
      </c>
      <c r="AE265" t="s">
        <v>56</v>
      </c>
      <c r="AF265">
        <v>0.42599999999999999</v>
      </c>
      <c r="AG265">
        <v>507</v>
      </c>
      <c r="AH265" t="s">
        <v>57</v>
      </c>
      <c r="AI265">
        <v>0.50600000000000001</v>
      </c>
      <c r="AJ265" t="s">
        <v>1156</v>
      </c>
    </row>
    <row r="266" spans="1:36" x14ac:dyDescent="0.25">
      <c r="A266" t="s">
        <v>1057</v>
      </c>
      <c r="B266">
        <v>881533350</v>
      </c>
      <c r="C266" t="s">
        <v>1058</v>
      </c>
      <c r="D266" t="s">
        <v>1058</v>
      </c>
      <c r="E266" t="s">
        <v>99</v>
      </c>
      <c r="F266" t="s">
        <v>111</v>
      </c>
      <c r="I266" t="s">
        <v>39</v>
      </c>
      <c r="J266" t="s">
        <v>40</v>
      </c>
      <c r="K266" t="s">
        <v>41</v>
      </c>
      <c r="L266" t="s">
        <v>78</v>
      </c>
      <c r="N266" t="s">
        <v>43</v>
      </c>
      <c r="O266" t="s">
        <v>93</v>
      </c>
      <c r="P266">
        <v>31</v>
      </c>
      <c r="Q266">
        <v>31</v>
      </c>
      <c r="R266">
        <v>201</v>
      </c>
      <c r="S266" t="s">
        <v>56</v>
      </c>
      <c r="T266">
        <v>0.2</v>
      </c>
      <c r="U266">
        <v>145</v>
      </c>
      <c r="V266" t="s">
        <v>55</v>
      </c>
      <c r="W266">
        <v>0.14399999999999999</v>
      </c>
      <c r="X266">
        <v>12001</v>
      </c>
      <c r="Y266" t="s">
        <v>47</v>
      </c>
      <c r="Z266">
        <v>12</v>
      </c>
      <c r="AA266">
        <v>282</v>
      </c>
      <c r="AB266" t="s">
        <v>47</v>
      </c>
      <c r="AC266">
        <v>0.28100000000000003</v>
      </c>
      <c r="AD266">
        <v>499</v>
      </c>
      <c r="AE266" t="s">
        <v>56</v>
      </c>
      <c r="AF266">
        <v>0.498</v>
      </c>
      <c r="AG266">
        <v>502</v>
      </c>
      <c r="AH266" t="s">
        <v>57</v>
      </c>
      <c r="AI266">
        <v>0.501</v>
      </c>
      <c r="AJ266" t="s">
        <v>50</v>
      </c>
    </row>
    <row r="267" spans="1:36" x14ac:dyDescent="0.25">
      <c r="A267" t="s">
        <v>1057</v>
      </c>
      <c r="B267">
        <v>881533350</v>
      </c>
      <c r="C267" t="s">
        <v>1058</v>
      </c>
      <c r="D267" t="s">
        <v>1058</v>
      </c>
      <c r="E267" t="s">
        <v>99</v>
      </c>
      <c r="F267" t="s">
        <v>111</v>
      </c>
      <c r="I267" t="s">
        <v>39</v>
      </c>
      <c r="J267" t="s">
        <v>40</v>
      </c>
      <c r="K267" t="s">
        <v>41</v>
      </c>
      <c r="L267" t="s">
        <v>78</v>
      </c>
      <c r="N267" t="s">
        <v>43</v>
      </c>
      <c r="O267" t="s">
        <v>93</v>
      </c>
      <c r="P267">
        <v>31</v>
      </c>
      <c r="Q267">
        <v>31</v>
      </c>
      <c r="R267">
        <v>161</v>
      </c>
      <c r="S267" t="s">
        <v>56</v>
      </c>
      <c r="T267">
        <v>0.16</v>
      </c>
      <c r="U267">
        <v>93</v>
      </c>
      <c r="V267" t="s">
        <v>55</v>
      </c>
      <c r="W267">
        <v>9.1999999999999998E-2</v>
      </c>
      <c r="X267">
        <v>12001</v>
      </c>
      <c r="Y267" t="s">
        <v>47</v>
      </c>
      <c r="Z267">
        <v>12</v>
      </c>
      <c r="AA267">
        <v>282</v>
      </c>
      <c r="AB267" t="s">
        <v>47</v>
      </c>
      <c r="AC267">
        <v>0.28100000000000003</v>
      </c>
      <c r="AD267">
        <v>499</v>
      </c>
      <c r="AE267" t="s">
        <v>56</v>
      </c>
      <c r="AF267">
        <v>0.498</v>
      </c>
      <c r="AG267">
        <v>502</v>
      </c>
      <c r="AH267" t="s">
        <v>57</v>
      </c>
      <c r="AI267">
        <v>0.501</v>
      </c>
      <c r="AJ267" t="s">
        <v>1141</v>
      </c>
    </row>
    <row r="268" spans="1:36" x14ac:dyDescent="0.25">
      <c r="A268" t="s">
        <v>1057</v>
      </c>
      <c r="B268">
        <v>881533350</v>
      </c>
      <c r="C268" t="s">
        <v>1058</v>
      </c>
      <c r="D268" t="s">
        <v>1058</v>
      </c>
      <c r="E268" t="s">
        <v>99</v>
      </c>
      <c r="F268" t="s">
        <v>111</v>
      </c>
      <c r="I268" t="s">
        <v>39</v>
      </c>
      <c r="J268" t="s">
        <v>40</v>
      </c>
      <c r="K268" t="s">
        <v>41</v>
      </c>
      <c r="L268" t="s">
        <v>78</v>
      </c>
      <c r="N268" t="s">
        <v>43</v>
      </c>
      <c r="O268" t="s">
        <v>93</v>
      </c>
      <c r="P268">
        <v>31</v>
      </c>
      <c r="Q268">
        <v>31</v>
      </c>
      <c r="R268">
        <v>201</v>
      </c>
      <c r="S268" t="s">
        <v>56</v>
      </c>
      <c r="T268">
        <v>0.2</v>
      </c>
      <c r="U268">
        <v>145</v>
      </c>
      <c r="V268" t="s">
        <v>55</v>
      </c>
      <c r="W268">
        <v>0.14399999999999999</v>
      </c>
      <c r="X268">
        <v>12001</v>
      </c>
      <c r="Y268" t="s">
        <v>47</v>
      </c>
      <c r="Z268">
        <v>12</v>
      </c>
      <c r="AA268">
        <v>282</v>
      </c>
      <c r="AB268" t="s">
        <v>47</v>
      </c>
      <c r="AC268">
        <v>0.28100000000000003</v>
      </c>
      <c r="AD268">
        <v>499</v>
      </c>
      <c r="AE268" t="s">
        <v>56</v>
      </c>
      <c r="AF268">
        <v>0.498</v>
      </c>
      <c r="AG268">
        <v>502</v>
      </c>
      <c r="AH268" t="s">
        <v>57</v>
      </c>
      <c r="AI268">
        <v>0.501</v>
      </c>
      <c r="AJ268" t="s">
        <v>1153</v>
      </c>
    </row>
    <row r="269" spans="1:36" x14ac:dyDescent="0.25">
      <c r="A269" t="s">
        <v>1057</v>
      </c>
      <c r="B269">
        <v>881533350</v>
      </c>
      <c r="C269" t="s">
        <v>1058</v>
      </c>
      <c r="D269" t="s">
        <v>1058</v>
      </c>
      <c r="E269" t="s">
        <v>99</v>
      </c>
      <c r="F269" t="s">
        <v>111</v>
      </c>
      <c r="I269" t="s">
        <v>39</v>
      </c>
      <c r="J269" t="s">
        <v>40</v>
      </c>
      <c r="K269" t="s">
        <v>41</v>
      </c>
      <c r="L269" t="s">
        <v>78</v>
      </c>
      <c r="N269" t="s">
        <v>43</v>
      </c>
      <c r="O269" t="s">
        <v>93</v>
      </c>
      <c r="P269">
        <v>31</v>
      </c>
      <c r="Q269">
        <v>31</v>
      </c>
      <c r="R269">
        <v>201</v>
      </c>
      <c r="S269" t="s">
        <v>56</v>
      </c>
      <c r="T269">
        <v>0.2</v>
      </c>
      <c r="U269">
        <v>145</v>
      </c>
      <c r="V269" t="s">
        <v>55</v>
      </c>
      <c r="W269">
        <v>0.14399999999999999</v>
      </c>
      <c r="X269">
        <v>12001</v>
      </c>
      <c r="Y269" t="s">
        <v>47</v>
      </c>
      <c r="Z269">
        <v>12</v>
      </c>
      <c r="AA269">
        <v>282</v>
      </c>
      <c r="AB269" t="s">
        <v>47</v>
      </c>
      <c r="AC269">
        <v>0.28100000000000003</v>
      </c>
      <c r="AD269">
        <v>499</v>
      </c>
      <c r="AE269" t="s">
        <v>56</v>
      </c>
      <c r="AF269">
        <v>0.498</v>
      </c>
      <c r="AG269">
        <v>502</v>
      </c>
      <c r="AH269" t="s">
        <v>57</v>
      </c>
      <c r="AI269">
        <v>0.501</v>
      </c>
      <c r="AJ269" t="s">
        <v>1154</v>
      </c>
    </row>
    <row r="270" spans="1:36" x14ac:dyDescent="0.25">
      <c r="A270" t="s">
        <v>1057</v>
      </c>
      <c r="B270">
        <v>881533350</v>
      </c>
      <c r="C270" t="s">
        <v>1058</v>
      </c>
      <c r="D270" t="s">
        <v>1058</v>
      </c>
      <c r="E270" t="s">
        <v>99</v>
      </c>
      <c r="F270" t="s">
        <v>111</v>
      </c>
      <c r="I270" t="s">
        <v>39</v>
      </c>
      <c r="J270" t="s">
        <v>40</v>
      </c>
      <c r="K270" t="s">
        <v>41</v>
      </c>
      <c r="L270" t="s">
        <v>78</v>
      </c>
      <c r="N270" t="s">
        <v>43</v>
      </c>
      <c r="O270" t="s">
        <v>93</v>
      </c>
      <c r="P270">
        <v>31</v>
      </c>
      <c r="Q270">
        <v>31</v>
      </c>
      <c r="S270" t="s">
        <v>39</v>
      </c>
      <c r="V270" t="s">
        <v>39</v>
      </c>
      <c r="X270">
        <v>12001</v>
      </c>
      <c r="Y270" t="s">
        <v>47</v>
      </c>
      <c r="Z270">
        <v>12</v>
      </c>
      <c r="AA270">
        <v>282</v>
      </c>
      <c r="AB270" t="s">
        <v>47</v>
      </c>
      <c r="AC270">
        <v>0.28100000000000003</v>
      </c>
      <c r="AD270">
        <v>499</v>
      </c>
      <c r="AE270" t="s">
        <v>56</v>
      </c>
      <c r="AF270">
        <v>0.498</v>
      </c>
      <c r="AG270">
        <v>502</v>
      </c>
      <c r="AH270" t="s">
        <v>57</v>
      </c>
      <c r="AI270">
        <v>0.501</v>
      </c>
      <c r="AJ270" t="s">
        <v>1155</v>
      </c>
    </row>
    <row r="271" spans="1:36" x14ac:dyDescent="0.25">
      <c r="A271" t="s">
        <v>1057</v>
      </c>
      <c r="B271">
        <v>881533350</v>
      </c>
      <c r="C271" t="s">
        <v>1058</v>
      </c>
      <c r="D271" t="s">
        <v>1058</v>
      </c>
      <c r="E271" t="s">
        <v>99</v>
      </c>
      <c r="F271" t="s">
        <v>111</v>
      </c>
      <c r="I271" t="s">
        <v>39</v>
      </c>
      <c r="J271" t="s">
        <v>40</v>
      </c>
      <c r="K271" t="s">
        <v>41</v>
      </c>
      <c r="L271" t="s">
        <v>78</v>
      </c>
      <c r="N271" t="s">
        <v>43</v>
      </c>
      <c r="O271" t="s">
        <v>93</v>
      </c>
      <c r="P271">
        <v>31</v>
      </c>
      <c r="Q271">
        <v>31</v>
      </c>
      <c r="S271" t="s">
        <v>39</v>
      </c>
      <c r="V271" t="s">
        <v>39</v>
      </c>
      <c r="X271">
        <v>12001</v>
      </c>
      <c r="Y271" t="s">
        <v>47</v>
      </c>
      <c r="Z271">
        <v>12</v>
      </c>
      <c r="AA271">
        <v>282</v>
      </c>
      <c r="AB271" t="s">
        <v>47</v>
      </c>
      <c r="AC271">
        <v>0.28100000000000003</v>
      </c>
      <c r="AD271">
        <v>499</v>
      </c>
      <c r="AE271" t="s">
        <v>56</v>
      </c>
      <c r="AF271">
        <v>0.498</v>
      </c>
      <c r="AG271">
        <v>502</v>
      </c>
      <c r="AH271" t="s">
        <v>57</v>
      </c>
      <c r="AI271">
        <v>0.501</v>
      </c>
      <c r="AJ271" t="s">
        <v>1156</v>
      </c>
    </row>
    <row r="272" spans="1:36" x14ac:dyDescent="0.25">
      <c r="A272" t="s">
        <v>1059</v>
      </c>
      <c r="B272">
        <v>881533384</v>
      </c>
      <c r="C272" t="s">
        <v>1060</v>
      </c>
      <c r="D272" t="s">
        <v>1060</v>
      </c>
      <c r="E272" t="s">
        <v>65</v>
      </c>
      <c r="F272" t="s">
        <v>166</v>
      </c>
      <c r="I272" t="s">
        <v>39</v>
      </c>
      <c r="J272" t="s">
        <v>40</v>
      </c>
      <c r="K272" t="s">
        <v>41</v>
      </c>
      <c r="L272" t="s">
        <v>42</v>
      </c>
      <c r="N272" t="s">
        <v>43</v>
      </c>
      <c r="O272" t="s">
        <v>325</v>
      </c>
      <c r="P272">
        <v>31</v>
      </c>
      <c r="Q272">
        <v>31</v>
      </c>
      <c r="R272">
        <v>221</v>
      </c>
      <c r="S272" t="s">
        <v>56</v>
      </c>
      <c r="T272">
        <v>0.22</v>
      </c>
      <c r="U272">
        <v>4</v>
      </c>
      <c r="V272" t="s">
        <v>55</v>
      </c>
      <c r="W272">
        <v>3.0000000000000001E-3</v>
      </c>
      <c r="X272">
        <v>4001</v>
      </c>
      <c r="Y272" t="s">
        <v>47</v>
      </c>
      <c r="Z272">
        <v>4</v>
      </c>
      <c r="AA272">
        <v>327</v>
      </c>
      <c r="AB272" t="s">
        <v>47</v>
      </c>
      <c r="AC272">
        <v>0.32600000000000001</v>
      </c>
      <c r="AD272">
        <v>454</v>
      </c>
      <c r="AE272" t="s">
        <v>56</v>
      </c>
      <c r="AF272">
        <v>0.45300000000000001</v>
      </c>
      <c r="AG272">
        <v>502</v>
      </c>
      <c r="AH272" t="s">
        <v>57</v>
      </c>
      <c r="AI272">
        <v>0.501</v>
      </c>
      <c r="AJ272" t="s">
        <v>50</v>
      </c>
    </row>
    <row r="273" spans="1:36" x14ac:dyDescent="0.25">
      <c r="A273" t="s">
        <v>1059</v>
      </c>
      <c r="B273">
        <v>881533384</v>
      </c>
      <c r="C273" t="s">
        <v>1060</v>
      </c>
      <c r="D273" t="s">
        <v>1060</v>
      </c>
      <c r="E273" t="s">
        <v>65</v>
      </c>
      <c r="F273" t="s">
        <v>166</v>
      </c>
      <c r="I273" t="s">
        <v>39</v>
      </c>
      <c r="J273" t="s">
        <v>40</v>
      </c>
      <c r="K273" t="s">
        <v>41</v>
      </c>
      <c r="L273" t="s">
        <v>42</v>
      </c>
      <c r="N273" t="s">
        <v>43</v>
      </c>
      <c r="O273" t="s">
        <v>325</v>
      </c>
      <c r="P273">
        <v>31</v>
      </c>
      <c r="Q273">
        <v>31</v>
      </c>
      <c r="R273">
        <v>191</v>
      </c>
      <c r="S273" t="s">
        <v>56</v>
      </c>
      <c r="T273">
        <v>0.19</v>
      </c>
      <c r="U273">
        <v>32</v>
      </c>
      <c r="V273" t="s">
        <v>55</v>
      </c>
      <c r="W273">
        <v>3.1E-2</v>
      </c>
      <c r="X273">
        <v>4001</v>
      </c>
      <c r="Y273" t="s">
        <v>47</v>
      </c>
      <c r="Z273">
        <v>4</v>
      </c>
      <c r="AA273">
        <v>327</v>
      </c>
      <c r="AB273" t="s">
        <v>47</v>
      </c>
      <c r="AC273">
        <v>0.32600000000000001</v>
      </c>
      <c r="AD273">
        <v>454</v>
      </c>
      <c r="AE273" t="s">
        <v>56</v>
      </c>
      <c r="AF273">
        <v>0.45300000000000001</v>
      </c>
      <c r="AG273">
        <v>502</v>
      </c>
      <c r="AH273" t="s">
        <v>57</v>
      </c>
      <c r="AI273">
        <v>0.501</v>
      </c>
      <c r="AJ273" t="s">
        <v>1141</v>
      </c>
    </row>
    <row r="274" spans="1:36" x14ac:dyDescent="0.25">
      <c r="A274" t="s">
        <v>1059</v>
      </c>
      <c r="B274">
        <v>881533384</v>
      </c>
      <c r="C274" t="s">
        <v>1060</v>
      </c>
      <c r="D274" t="s">
        <v>1060</v>
      </c>
      <c r="E274" t="s">
        <v>65</v>
      </c>
      <c r="F274" t="s">
        <v>166</v>
      </c>
      <c r="I274" t="s">
        <v>39</v>
      </c>
      <c r="J274" t="s">
        <v>40</v>
      </c>
      <c r="K274" t="s">
        <v>41</v>
      </c>
      <c r="L274" t="s">
        <v>42</v>
      </c>
      <c r="N274" t="s">
        <v>43</v>
      </c>
      <c r="O274" t="s">
        <v>325</v>
      </c>
      <c r="P274">
        <v>31</v>
      </c>
      <c r="Q274">
        <v>31</v>
      </c>
      <c r="R274">
        <v>221</v>
      </c>
      <c r="S274" t="s">
        <v>56</v>
      </c>
      <c r="T274">
        <v>0.22</v>
      </c>
      <c r="U274">
        <v>4</v>
      </c>
      <c r="V274" t="s">
        <v>55</v>
      </c>
      <c r="W274">
        <v>3.0000000000000001E-3</v>
      </c>
      <c r="X274">
        <v>4001</v>
      </c>
      <c r="Y274" t="s">
        <v>47</v>
      </c>
      <c r="Z274">
        <v>4</v>
      </c>
      <c r="AA274">
        <v>327</v>
      </c>
      <c r="AB274" t="s">
        <v>47</v>
      </c>
      <c r="AC274">
        <v>0.32600000000000001</v>
      </c>
      <c r="AD274">
        <v>454</v>
      </c>
      <c r="AE274" t="s">
        <v>56</v>
      </c>
      <c r="AF274">
        <v>0.45300000000000001</v>
      </c>
      <c r="AG274">
        <v>502</v>
      </c>
      <c r="AH274" t="s">
        <v>57</v>
      </c>
      <c r="AI274">
        <v>0.501</v>
      </c>
      <c r="AJ274" t="s">
        <v>1153</v>
      </c>
    </row>
    <row r="275" spans="1:36" x14ac:dyDescent="0.25">
      <c r="A275" t="s">
        <v>1059</v>
      </c>
      <c r="B275">
        <v>881533384</v>
      </c>
      <c r="C275" t="s">
        <v>1060</v>
      </c>
      <c r="D275" t="s">
        <v>1060</v>
      </c>
      <c r="E275" t="s">
        <v>65</v>
      </c>
      <c r="F275" t="s">
        <v>166</v>
      </c>
      <c r="I275" t="s">
        <v>39</v>
      </c>
      <c r="J275" t="s">
        <v>40</v>
      </c>
      <c r="K275" t="s">
        <v>41</v>
      </c>
      <c r="L275" t="s">
        <v>42</v>
      </c>
      <c r="N275" t="s">
        <v>43</v>
      </c>
      <c r="O275" t="s">
        <v>325</v>
      </c>
      <c r="P275">
        <v>31</v>
      </c>
      <c r="Q275">
        <v>31</v>
      </c>
      <c r="R275">
        <v>221</v>
      </c>
      <c r="S275" t="s">
        <v>56</v>
      </c>
      <c r="T275">
        <v>0.22</v>
      </c>
      <c r="U275">
        <v>4</v>
      </c>
      <c r="V275" t="s">
        <v>55</v>
      </c>
      <c r="W275">
        <v>3.0000000000000001E-3</v>
      </c>
      <c r="X275">
        <v>4001</v>
      </c>
      <c r="Y275" t="s">
        <v>47</v>
      </c>
      <c r="Z275">
        <v>4</v>
      </c>
      <c r="AA275">
        <v>327</v>
      </c>
      <c r="AB275" t="s">
        <v>47</v>
      </c>
      <c r="AC275">
        <v>0.32600000000000001</v>
      </c>
      <c r="AD275">
        <v>454</v>
      </c>
      <c r="AE275" t="s">
        <v>56</v>
      </c>
      <c r="AF275">
        <v>0.45300000000000001</v>
      </c>
      <c r="AG275">
        <v>502</v>
      </c>
      <c r="AH275" t="s">
        <v>57</v>
      </c>
      <c r="AI275">
        <v>0.501</v>
      </c>
      <c r="AJ275" t="s">
        <v>1154</v>
      </c>
    </row>
    <row r="276" spans="1:36" x14ac:dyDescent="0.25">
      <c r="A276" t="s">
        <v>1059</v>
      </c>
      <c r="B276">
        <v>881533384</v>
      </c>
      <c r="C276" t="s">
        <v>1060</v>
      </c>
      <c r="D276" t="s">
        <v>1060</v>
      </c>
      <c r="E276" t="s">
        <v>65</v>
      </c>
      <c r="F276" t="s">
        <v>166</v>
      </c>
      <c r="I276" t="s">
        <v>39</v>
      </c>
      <c r="J276" t="s">
        <v>40</v>
      </c>
      <c r="K276" t="s">
        <v>41</v>
      </c>
      <c r="L276" t="s">
        <v>42</v>
      </c>
      <c r="N276" t="s">
        <v>43</v>
      </c>
      <c r="O276" t="s">
        <v>325</v>
      </c>
      <c r="P276">
        <v>31</v>
      </c>
      <c r="Q276">
        <v>31</v>
      </c>
      <c r="S276" t="s">
        <v>39</v>
      </c>
      <c r="V276" t="s">
        <v>39</v>
      </c>
      <c r="X276">
        <v>4001</v>
      </c>
      <c r="Y276" t="s">
        <v>47</v>
      </c>
      <c r="Z276">
        <v>4</v>
      </c>
      <c r="AA276">
        <v>327</v>
      </c>
      <c r="AB276" t="s">
        <v>47</v>
      </c>
      <c r="AC276">
        <v>0.32600000000000001</v>
      </c>
      <c r="AD276">
        <v>454</v>
      </c>
      <c r="AE276" t="s">
        <v>56</v>
      </c>
      <c r="AF276">
        <v>0.45300000000000001</v>
      </c>
      <c r="AG276">
        <v>502</v>
      </c>
      <c r="AH276" t="s">
        <v>57</v>
      </c>
      <c r="AI276">
        <v>0.501</v>
      </c>
      <c r="AJ276" t="s">
        <v>1155</v>
      </c>
    </row>
    <row r="277" spans="1:36" x14ac:dyDescent="0.25">
      <c r="A277" t="s">
        <v>1059</v>
      </c>
      <c r="B277">
        <v>881533384</v>
      </c>
      <c r="C277" t="s">
        <v>1060</v>
      </c>
      <c r="D277" t="s">
        <v>1060</v>
      </c>
      <c r="E277" t="s">
        <v>65</v>
      </c>
      <c r="F277" t="s">
        <v>166</v>
      </c>
      <c r="I277" t="s">
        <v>39</v>
      </c>
      <c r="J277" t="s">
        <v>40</v>
      </c>
      <c r="K277" t="s">
        <v>41</v>
      </c>
      <c r="L277" t="s">
        <v>42</v>
      </c>
      <c r="N277" t="s">
        <v>43</v>
      </c>
      <c r="O277" t="s">
        <v>325</v>
      </c>
      <c r="P277">
        <v>31</v>
      </c>
      <c r="Q277">
        <v>31</v>
      </c>
      <c r="S277" t="s">
        <v>39</v>
      </c>
      <c r="V277" t="s">
        <v>39</v>
      </c>
      <c r="X277">
        <v>4001</v>
      </c>
      <c r="Y277" t="s">
        <v>47</v>
      </c>
      <c r="Z277">
        <v>4</v>
      </c>
      <c r="AA277">
        <v>327</v>
      </c>
      <c r="AB277" t="s">
        <v>47</v>
      </c>
      <c r="AC277">
        <v>0.32600000000000001</v>
      </c>
      <c r="AD277">
        <v>454</v>
      </c>
      <c r="AE277" t="s">
        <v>56</v>
      </c>
      <c r="AF277">
        <v>0.45300000000000001</v>
      </c>
      <c r="AG277">
        <v>502</v>
      </c>
      <c r="AH277" t="s">
        <v>57</v>
      </c>
      <c r="AI277">
        <v>0.501</v>
      </c>
      <c r="AJ277" t="s">
        <v>1156</v>
      </c>
    </row>
    <row r="278" spans="1:36" x14ac:dyDescent="0.25">
      <c r="A278" t="s">
        <v>1055</v>
      </c>
      <c r="B278">
        <v>856059309</v>
      </c>
      <c r="C278" t="s">
        <v>1056</v>
      </c>
      <c r="D278" t="s">
        <v>1056</v>
      </c>
      <c r="E278" t="s">
        <v>65</v>
      </c>
      <c r="F278" t="s">
        <v>66</v>
      </c>
      <c r="I278" t="s">
        <v>39</v>
      </c>
      <c r="J278" t="s">
        <v>40</v>
      </c>
      <c r="K278" t="s">
        <v>41</v>
      </c>
      <c r="L278" t="s">
        <v>248</v>
      </c>
      <c r="M278" t="s">
        <v>73</v>
      </c>
      <c r="N278" t="s">
        <v>43</v>
      </c>
      <c r="O278" t="s">
        <v>451</v>
      </c>
      <c r="P278">
        <v>34</v>
      </c>
      <c r="Q278">
        <v>34</v>
      </c>
      <c r="R278">
        <v>111</v>
      </c>
      <c r="S278" t="s">
        <v>56</v>
      </c>
      <c r="T278">
        <v>0.11</v>
      </c>
      <c r="U278">
        <v>11</v>
      </c>
      <c r="V278" t="s">
        <v>55</v>
      </c>
      <c r="W278">
        <v>0.01</v>
      </c>
      <c r="X278">
        <v>11001</v>
      </c>
      <c r="Y278" t="s">
        <v>47</v>
      </c>
      <c r="Z278">
        <v>11</v>
      </c>
      <c r="AA278">
        <v>178</v>
      </c>
      <c r="AB278" t="s">
        <v>47</v>
      </c>
      <c r="AC278">
        <v>0.17699999999999999</v>
      </c>
      <c r="AD278">
        <v>490</v>
      </c>
      <c r="AE278" t="s">
        <v>56</v>
      </c>
      <c r="AF278">
        <v>0.48899999999999999</v>
      </c>
      <c r="AG278">
        <v>237</v>
      </c>
      <c r="AH278" t="s">
        <v>57</v>
      </c>
      <c r="AI278">
        <v>0.23599999999999999</v>
      </c>
      <c r="AJ278" t="s">
        <v>50</v>
      </c>
    </row>
    <row r="279" spans="1:36" x14ac:dyDescent="0.25">
      <c r="A279" t="s">
        <v>1055</v>
      </c>
      <c r="B279">
        <v>856059309</v>
      </c>
      <c r="C279" t="s">
        <v>1056</v>
      </c>
      <c r="D279" t="s">
        <v>1056</v>
      </c>
      <c r="E279" t="s">
        <v>65</v>
      </c>
      <c r="F279" t="s">
        <v>66</v>
      </c>
      <c r="I279" t="s">
        <v>39</v>
      </c>
      <c r="J279" t="s">
        <v>40</v>
      </c>
      <c r="K279" t="s">
        <v>41</v>
      </c>
      <c r="L279" t="s">
        <v>248</v>
      </c>
      <c r="M279" t="s">
        <v>73</v>
      </c>
      <c r="N279" t="s">
        <v>43</v>
      </c>
      <c r="O279" t="s">
        <v>451</v>
      </c>
      <c r="P279">
        <v>34</v>
      </c>
      <c r="Q279">
        <v>34</v>
      </c>
      <c r="R279">
        <v>91</v>
      </c>
      <c r="S279" t="s">
        <v>56</v>
      </c>
      <c r="T279">
        <v>0.09</v>
      </c>
      <c r="U279">
        <v>12</v>
      </c>
      <c r="V279" t="s">
        <v>55</v>
      </c>
      <c r="W279">
        <v>1.0999999999999999E-2</v>
      </c>
      <c r="X279">
        <v>11001</v>
      </c>
      <c r="Y279" t="s">
        <v>47</v>
      </c>
      <c r="Z279">
        <v>11</v>
      </c>
      <c r="AA279">
        <v>178</v>
      </c>
      <c r="AB279" t="s">
        <v>47</v>
      </c>
      <c r="AC279">
        <v>0.17699999999999999</v>
      </c>
      <c r="AD279">
        <v>490</v>
      </c>
      <c r="AE279" t="s">
        <v>56</v>
      </c>
      <c r="AF279">
        <v>0.48899999999999999</v>
      </c>
      <c r="AG279">
        <v>237</v>
      </c>
      <c r="AH279" t="s">
        <v>57</v>
      </c>
      <c r="AI279">
        <v>0.23599999999999999</v>
      </c>
      <c r="AJ279" t="s">
        <v>1141</v>
      </c>
    </row>
    <row r="280" spans="1:36" x14ac:dyDescent="0.25">
      <c r="A280" t="s">
        <v>1055</v>
      </c>
      <c r="B280">
        <v>856059309</v>
      </c>
      <c r="C280" t="s">
        <v>1056</v>
      </c>
      <c r="D280" t="s">
        <v>1056</v>
      </c>
      <c r="E280" t="s">
        <v>65</v>
      </c>
      <c r="F280" t="s">
        <v>66</v>
      </c>
      <c r="I280" t="s">
        <v>39</v>
      </c>
      <c r="J280" t="s">
        <v>40</v>
      </c>
      <c r="K280" t="s">
        <v>41</v>
      </c>
      <c r="L280" t="s">
        <v>248</v>
      </c>
      <c r="M280" t="s">
        <v>73</v>
      </c>
      <c r="N280" t="s">
        <v>43</v>
      </c>
      <c r="O280" t="s">
        <v>451</v>
      </c>
      <c r="P280">
        <v>34</v>
      </c>
      <c r="Q280">
        <v>34</v>
      </c>
      <c r="R280">
        <v>111</v>
      </c>
      <c r="S280" t="s">
        <v>56</v>
      </c>
      <c r="T280">
        <v>0.11</v>
      </c>
      <c r="U280">
        <v>11</v>
      </c>
      <c r="V280" t="s">
        <v>55</v>
      </c>
      <c r="W280">
        <v>0.01</v>
      </c>
      <c r="X280">
        <v>11001</v>
      </c>
      <c r="Y280" t="s">
        <v>47</v>
      </c>
      <c r="Z280">
        <v>11</v>
      </c>
      <c r="AA280">
        <v>178</v>
      </c>
      <c r="AB280" t="s">
        <v>47</v>
      </c>
      <c r="AC280">
        <v>0.17699999999999999</v>
      </c>
      <c r="AD280">
        <v>490</v>
      </c>
      <c r="AE280" t="s">
        <v>56</v>
      </c>
      <c r="AF280">
        <v>0.48899999999999999</v>
      </c>
      <c r="AG280">
        <v>237</v>
      </c>
      <c r="AH280" t="s">
        <v>57</v>
      </c>
      <c r="AI280">
        <v>0.23599999999999999</v>
      </c>
      <c r="AJ280" t="s">
        <v>1153</v>
      </c>
    </row>
    <row r="281" spans="1:36" x14ac:dyDescent="0.25">
      <c r="A281" t="s">
        <v>1055</v>
      </c>
      <c r="B281">
        <v>856059309</v>
      </c>
      <c r="C281" t="s">
        <v>1056</v>
      </c>
      <c r="D281" t="s">
        <v>1056</v>
      </c>
      <c r="E281" t="s">
        <v>65</v>
      </c>
      <c r="F281" t="s">
        <v>66</v>
      </c>
      <c r="I281" t="s">
        <v>39</v>
      </c>
      <c r="J281" t="s">
        <v>40</v>
      </c>
      <c r="K281" t="s">
        <v>41</v>
      </c>
      <c r="L281" t="s">
        <v>248</v>
      </c>
      <c r="M281" t="s">
        <v>73</v>
      </c>
      <c r="N281" t="s">
        <v>43</v>
      </c>
      <c r="O281" t="s">
        <v>451</v>
      </c>
      <c r="P281">
        <v>34</v>
      </c>
      <c r="Q281">
        <v>34</v>
      </c>
      <c r="R281">
        <v>111</v>
      </c>
      <c r="S281" t="s">
        <v>56</v>
      </c>
      <c r="T281">
        <v>0.11</v>
      </c>
      <c r="U281">
        <v>11</v>
      </c>
      <c r="V281" t="s">
        <v>55</v>
      </c>
      <c r="W281">
        <v>0.01</v>
      </c>
      <c r="X281">
        <v>11001</v>
      </c>
      <c r="Y281" t="s">
        <v>47</v>
      </c>
      <c r="Z281">
        <v>11</v>
      </c>
      <c r="AA281">
        <v>178</v>
      </c>
      <c r="AB281" t="s">
        <v>47</v>
      </c>
      <c r="AC281">
        <v>0.17699999999999999</v>
      </c>
      <c r="AD281">
        <v>490</v>
      </c>
      <c r="AE281" t="s">
        <v>56</v>
      </c>
      <c r="AF281">
        <v>0.48899999999999999</v>
      </c>
      <c r="AG281">
        <v>237</v>
      </c>
      <c r="AH281" t="s">
        <v>57</v>
      </c>
      <c r="AI281">
        <v>0.23599999999999999</v>
      </c>
      <c r="AJ281" t="s">
        <v>1154</v>
      </c>
    </row>
    <row r="282" spans="1:36" x14ac:dyDescent="0.25">
      <c r="A282" t="s">
        <v>1055</v>
      </c>
      <c r="B282">
        <v>856059309</v>
      </c>
      <c r="C282" t="s">
        <v>1056</v>
      </c>
      <c r="D282" t="s">
        <v>1056</v>
      </c>
      <c r="E282" t="s">
        <v>65</v>
      </c>
      <c r="F282" t="s">
        <v>66</v>
      </c>
      <c r="I282" t="s">
        <v>39</v>
      </c>
      <c r="J282" t="s">
        <v>40</v>
      </c>
      <c r="K282" t="s">
        <v>41</v>
      </c>
      <c r="L282" t="s">
        <v>248</v>
      </c>
      <c r="M282" t="s">
        <v>73</v>
      </c>
      <c r="N282" t="s">
        <v>43</v>
      </c>
      <c r="O282" t="s">
        <v>451</v>
      </c>
      <c r="P282">
        <v>34</v>
      </c>
      <c r="Q282">
        <v>34</v>
      </c>
      <c r="S282" t="s">
        <v>39</v>
      </c>
      <c r="V282" t="s">
        <v>39</v>
      </c>
      <c r="X282">
        <v>11001</v>
      </c>
      <c r="Y282" t="s">
        <v>47</v>
      </c>
      <c r="Z282">
        <v>11</v>
      </c>
      <c r="AA282">
        <v>178</v>
      </c>
      <c r="AB282" t="s">
        <v>47</v>
      </c>
      <c r="AC282">
        <v>0.17699999999999999</v>
      </c>
      <c r="AD282">
        <v>490</v>
      </c>
      <c r="AE282" t="s">
        <v>56</v>
      </c>
      <c r="AF282">
        <v>0.48899999999999999</v>
      </c>
      <c r="AG282">
        <v>237</v>
      </c>
      <c r="AH282" t="s">
        <v>57</v>
      </c>
      <c r="AI282">
        <v>0.23599999999999999</v>
      </c>
      <c r="AJ282" t="s">
        <v>1155</v>
      </c>
    </row>
    <row r="283" spans="1:36" x14ac:dyDescent="0.25">
      <c r="A283" t="s">
        <v>1055</v>
      </c>
      <c r="B283">
        <v>856059309</v>
      </c>
      <c r="C283" t="s">
        <v>1056</v>
      </c>
      <c r="D283" t="s">
        <v>1056</v>
      </c>
      <c r="E283" t="s">
        <v>65</v>
      </c>
      <c r="F283" t="s">
        <v>66</v>
      </c>
      <c r="I283" t="s">
        <v>39</v>
      </c>
      <c r="J283" t="s">
        <v>40</v>
      </c>
      <c r="K283" t="s">
        <v>41</v>
      </c>
      <c r="L283" t="s">
        <v>248</v>
      </c>
      <c r="M283" t="s">
        <v>73</v>
      </c>
      <c r="N283" t="s">
        <v>43</v>
      </c>
      <c r="O283" t="s">
        <v>451</v>
      </c>
      <c r="P283">
        <v>34</v>
      </c>
      <c r="Q283">
        <v>34</v>
      </c>
      <c r="S283" t="s">
        <v>39</v>
      </c>
      <c r="V283" t="s">
        <v>39</v>
      </c>
      <c r="X283">
        <v>11001</v>
      </c>
      <c r="Y283" t="s">
        <v>47</v>
      </c>
      <c r="Z283">
        <v>11</v>
      </c>
      <c r="AA283">
        <v>178</v>
      </c>
      <c r="AB283" t="s">
        <v>47</v>
      </c>
      <c r="AC283">
        <v>0.17699999999999999</v>
      </c>
      <c r="AD283">
        <v>490</v>
      </c>
      <c r="AE283" t="s">
        <v>56</v>
      </c>
      <c r="AF283">
        <v>0.48899999999999999</v>
      </c>
      <c r="AG283">
        <v>237</v>
      </c>
      <c r="AH283" t="s">
        <v>57</v>
      </c>
      <c r="AI283">
        <v>0.23599999999999999</v>
      </c>
      <c r="AJ283" t="s">
        <v>1156</v>
      </c>
    </row>
    <row r="284" spans="1:36" x14ac:dyDescent="0.25">
      <c r="A284" t="s">
        <v>1053</v>
      </c>
      <c r="B284">
        <v>856508551</v>
      </c>
      <c r="C284" t="s">
        <v>1054</v>
      </c>
      <c r="D284" t="s">
        <v>1054</v>
      </c>
      <c r="E284" t="s">
        <v>37</v>
      </c>
      <c r="F284" t="s">
        <v>191</v>
      </c>
      <c r="I284" t="s">
        <v>39</v>
      </c>
      <c r="J284" t="s">
        <v>40</v>
      </c>
      <c r="K284" t="s">
        <v>41</v>
      </c>
      <c r="L284" t="s">
        <v>197</v>
      </c>
      <c r="M284" t="s">
        <v>47</v>
      </c>
      <c r="N284" t="s">
        <v>43</v>
      </c>
      <c r="O284" t="s">
        <v>128</v>
      </c>
      <c r="P284">
        <v>34</v>
      </c>
      <c r="Q284">
        <v>34</v>
      </c>
      <c r="R284">
        <v>71</v>
      </c>
      <c r="S284" t="s">
        <v>56</v>
      </c>
      <c r="T284">
        <v>7.0000000000000007E-2</v>
      </c>
      <c r="U284">
        <v>18</v>
      </c>
      <c r="V284" t="s">
        <v>55</v>
      </c>
      <c r="W284">
        <v>1.7000000000000001E-2</v>
      </c>
      <c r="X284">
        <v>4001</v>
      </c>
      <c r="Y284" t="s">
        <v>47</v>
      </c>
      <c r="Z284">
        <v>4</v>
      </c>
      <c r="AA284">
        <v>153</v>
      </c>
      <c r="AB284" t="s">
        <v>47</v>
      </c>
      <c r="AC284">
        <v>0.152</v>
      </c>
      <c r="AD284">
        <v>424</v>
      </c>
      <c r="AE284" t="s">
        <v>56</v>
      </c>
      <c r="AF284">
        <v>0.42299999999999999</v>
      </c>
      <c r="AG284">
        <v>377</v>
      </c>
      <c r="AH284" t="s">
        <v>57</v>
      </c>
      <c r="AI284">
        <v>0.376</v>
      </c>
      <c r="AJ284" t="s">
        <v>50</v>
      </c>
    </row>
    <row r="285" spans="1:36" x14ac:dyDescent="0.25">
      <c r="A285" t="s">
        <v>1053</v>
      </c>
      <c r="B285">
        <v>856508551</v>
      </c>
      <c r="C285" t="s">
        <v>1054</v>
      </c>
      <c r="D285" t="s">
        <v>1054</v>
      </c>
      <c r="E285" t="s">
        <v>37</v>
      </c>
      <c r="F285" t="s">
        <v>191</v>
      </c>
      <c r="I285" t="s">
        <v>39</v>
      </c>
      <c r="J285" t="s">
        <v>40</v>
      </c>
      <c r="K285" t="s">
        <v>41</v>
      </c>
      <c r="L285" t="s">
        <v>197</v>
      </c>
      <c r="M285" t="s">
        <v>47</v>
      </c>
      <c r="N285" t="s">
        <v>43</v>
      </c>
      <c r="O285" t="s">
        <v>128</v>
      </c>
      <c r="P285">
        <v>34</v>
      </c>
      <c r="Q285">
        <v>34</v>
      </c>
      <c r="R285">
        <v>51</v>
      </c>
      <c r="S285" t="s">
        <v>45</v>
      </c>
      <c r="T285">
        <v>0.05</v>
      </c>
      <c r="U285">
        <v>144</v>
      </c>
      <c r="V285" t="s">
        <v>55</v>
      </c>
      <c r="W285">
        <v>0.14299999999999999</v>
      </c>
      <c r="X285">
        <v>4001</v>
      </c>
      <c r="Y285" t="s">
        <v>47</v>
      </c>
      <c r="Z285">
        <v>4</v>
      </c>
      <c r="AA285">
        <v>153</v>
      </c>
      <c r="AB285" t="s">
        <v>47</v>
      </c>
      <c r="AC285">
        <v>0.152</v>
      </c>
      <c r="AD285">
        <v>424</v>
      </c>
      <c r="AE285" t="s">
        <v>56</v>
      </c>
      <c r="AF285">
        <v>0.42299999999999999</v>
      </c>
      <c r="AG285">
        <v>377</v>
      </c>
      <c r="AH285" t="s">
        <v>57</v>
      </c>
      <c r="AI285">
        <v>0.376</v>
      </c>
      <c r="AJ285" t="s">
        <v>1141</v>
      </c>
    </row>
    <row r="286" spans="1:36" x14ac:dyDescent="0.25">
      <c r="A286" t="s">
        <v>1053</v>
      </c>
      <c r="B286">
        <v>856508551</v>
      </c>
      <c r="C286" t="s">
        <v>1054</v>
      </c>
      <c r="D286" t="s">
        <v>1054</v>
      </c>
      <c r="E286" t="s">
        <v>37</v>
      </c>
      <c r="F286" t="s">
        <v>191</v>
      </c>
      <c r="I286" t="s">
        <v>39</v>
      </c>
      <c r="J286" t="s">
        <v>40</v>
      </c>
      <c r="K286" t="s">
        <v>41</v>
      </c>
      <c r="L286" t="s">
        <v>197</v>
      </c>
      <c r="M286" t="s">
        <v>47</v>
      </c>
      <c r="N286" t="s">
        <v>43</v>
      </c>
      <c r="O286" t="s">
        <v>128</v>
      </c>
      <c r="P286">
        <v>34</v>
      </c>
      <c r="Q286">
        <v>34</v>
      </c>
      <c r="R286">
        <v>71</v>
      </c>
      <c r="S286" t="s">
        <v>56</v>
      </c>
      <c r="T286">
        <v>7.0000000000000007E-2</v>
      </c>
      <c r="U286">
        <v>18</v>
      </c>
      <c r="V286" t="s">
        <v>55</v>
      </c>
      <c r="W286">
        <v>1.7000000000000001E-2</v>
      </c>
      <c r="X286">
        <v>4001</v>
      </c>
      <c r="Y286" t="s">
        <v>47</v>
      </c>
      <c r="Z286">
        <v>4</v>
      </c>
      <c r="AA286">
        <v>153</v>
      </c>
      <c r="AB286" t="s">
        <v>47</v>
      </c>
      <c r="AC286">
        <v>0.152</v>
      </c>
      <c r="AD286">
        <v>424</v>
      </c>
      <c r="AE286" t="s">
        <v>56</v>
      </c>
      <c r="AF286">
        <v>0.42299999999999999</v>
      </c>
      <c r="AG286">
        <v>377</v>
      </c>
      <c r="AH286" t="s">
        <v>57</v>
      </c>
      <c r="AI286">
        <v>0.376</v>
      </c>
      <c r="AJ286" t="s">
        <v>1153</v>
      </c>
    </row>
    <row r="287" spans="1:36" x14ac:dyDescent="0.25">
      <c r="A287" t="s">
        <v>1053</v>
      </c>
      <c r="B287">
        <v>856508551</v>
      </c>
      <c r="C287" t="s">
        <v>1054</v>
      </c>
      <c r="D287" t="s">
        <v>1054</v>
      </c>
      <c r="E287" t="s">
        <v>37</v>
      </c>
      <c r="F287" t="s">
        <v>191</v>
      </c>
      <c r="I287" t="s">
        <v>39</v>
      </c>
      <c r="J287" t="s">
        <v>40</v>
      </c>
      <c r="K287" t="s">
        <v>41</v>
      </c>
      <c r="L287" t="s">
        <v>197</v>
      </c>
      <c r="M287" t="s">
        <v>47</v>
      </c>
      <c r="N287" t="s">
        <v>43</v>
      </c>
      <c r="O287" t="s">
        <v>128</v>
      </c>
      <c r="P287">
        <v>34</v>
      </c>
      <c r="Q287">
        <v>34</v>
      </c>
      <c r="R287">
        <v>71</v>
      </c>
      <c r="S287" t="s">
        <v>56</v>
      </c>
      <c r="T287">
        <v>7.0000000000000007E-2</v>
      </c>
      <c r="U287">
        <v>18</v>
      </c>
      <c r="V287" t="s">
        <v>55</v>
      </c>
      <c r="W287">
        <v>1.7000000000000001E-2</v>
      </c>
      <c r="X287">
        <v>4001</v>
      </c>
      <c r="Y287" t="s">
        <v>47</v>
      </c>
      <c r="Z287">
        <v>4</v>
      </c>
      <c r="AA287">
        <v>153</v>
      </c>
      <c r="AB287" t="s">
        <v>47</v>
      </c>
      <c r="AC287">
        <v>0.152</v>
      </c>
      <c r="AD287">
        <v>424</v>
      </c>
      <c r="AE287" t="s">
        <v>56</v>
      </c>
      <c r="AF287">
        <v>0.42299999999999999</v>
      </c>
      <c r="AG287">
        <v>377</v>
      </c>
      <c r="AH287" t="s">
        <v>57</v>
      </c>
      <c r="AI287">
        <v>0.376</v>
      </c>
      <c r="AJ287" t="s">
        <v>1154</v>
      </c>
    </row>
    <row r="288" spans="1:36" x14ac:dyDescent="0.25">
      <c r="A288" t="s">
        <v>1053</v>
      </c>
      <c r="B288">
        <v>856508551</v>
      </c>
      <c r="C288" t="s">
        <v>1054</v>
      </c>
      <c r="D288" t="s">
        <v>1054</v>
      </c>
      <c r="E288" t="s">
        <v>37</v>
      </c>
      <c r="F288" t="s">
        <v>191</v>
      </c>
      <c r="I288" t="s">
        <v>39</v>
      </c>
      <c r="J288" t="s">
        <v>40</v>
      </c>
      <c r="K288" t="s">
        <v>41</v>
      </c>
      <c r="L288" t="s">
        <v>197</v>
      </c>
      <c r="M288" t="s">
        <v>47</v>
      </c>
      <c r="N288" t="s">
        <v>43</v>
      </c>
      <c r="O288" t="s">
        <v>128</v>
      </c>
      <c r="P288">
        <v>34</v>
      </c>
      <c r="Q288">
        <v>34</v>
      </c>
      <c r="S288" t="s">
        <v>39</v>
      </c>
      <c r="V288" t="s">
        <v>39</v>
      </c>
      <c r="X288">
        <v>4001</v>
      </c>
      <c r="Y288" t="s">
        <v>47</v>
      </c>
      <c r="Z288">
        <v>4</v>
      </c>
      <c r="AA288">
        <v>153</v>
      </c>
      <c r="AB288" t="s">
        <v>47</v>
      </c>
      <c r="AC288">
        <v>0.152</v>
      </c>
      <c r="AD288">
        <v>424</v>
      </c>
      <c r="AE288" t="s">
        <v>56</v>
      </c>
      <c r="AF288">
        <v>0.42299999999999999</v>
      </c>
      <c r="AG288">
        <v>377</v>
      </c>
      <c r="AH288" t="s">
        <v>57</v>
      </c>
      <c r="AI288">
        <v>0.376</v>
      </c>
      <c r="AJ288" t="s">
        <v>1155</v>
      </c>
    </row>
    <row r="289" spans="1:36" x14ac:dyDescent="0.25">
      <c r="A289" t="s">
        <v>1053</v>
      </c>
      <c r="B289">
        <v>856508551</v>
      </c>
      <c r="C289" t="s">
        <v>1054</v>
      </c>
      <c r="D289" t="s">
        <v>1054</v>
      </c>
      <c r="E289" t="s">
        <v>37</v>
      </c>
      <c r="F289" t="s">
        <v>191</v>
      </c>
      <c r="I289" t="s">
        <v>39</v>
      </c>
      <c r="J289" t="s">
        <v>40</v>
      </c>
      <c r="K289" t="s">
        <v>41</v>
      </c>
      <c r="L289" t="s">
        <v>197</v>
      </c>
      <c r="M289" t="s">
        <v>47</v>
      </c>
      <c r="N289" t="s">
        <v>43</v>
      </c>
      <c r="O289" t="s">
        <v>128</v>
      </c>
      <c r="P289">
        <v>34</v>
      </c>
      <c r="Q289">
        <v>34</v>
      </c>
      <c r="S289" t="s">
        <v>39</v>
      </c>
      <c r="V289" t="s">
        <v>39</v>
      </c>
      <c r="X289">
        <v>4001</v>
      </c>
      <c r="Y289" t="s">
        <v>47</v>
      </c>
      <c r="Z289">
        <v>4</v>
      </c>
      <c r="AA289">
        <v>153</v>
      </c>
      <c r="AB289" t="s">
        <v>47</v>
      </c>
      <c r="AC289">
        <v>0.152</v>
      </c>
      <c r="AD289">
        <v>424</v>
      </c>
      <c r="AE289" t="s">
        <v>56</v>
      </c>
      <c r="AF289">
        <v>0.42299999999999999</v>
      </c>
      <c r="AG289">
        <v>377</v>
      </c>
      <c r="AH289" t="s">
        <v>57</v>
      </c>
      <c r="AI289">
        <v>0.376</v>
      </c>
      <c r="AJ289" t="s">
        <v>1156</v>
      </c>
    </row>
    <row r="290" spans="1:36" x14ac:dyDescent="0.25">
      <c r="A290" t="s">
        <v>1051</v>
      </c>
      <c r="B290">
        <v>869014023</v>
      </c>
      <c r="C290" t="s">
        <v>1052</v>
      </c>
      <c r="D290" t="s">
        <v>1052</v>
      </c>
      <c r="E290" t="s">
        <v>99</v>
      </c>
      <c r="F290" t="s">
        <v>143</v>
      </c>
      <c r="I290" t="s">
        <v>39</v>
      </c>
      <c r="J290" t="s">
        <v>40</v>
      </c>
      <c r="K290" t="s">
        <v>41</v>
      </c>
      <c r="L290" t="s">
        <v>78</v>
      </c>
      <c r="N290" t="s">
        <v>43</v>
      </c>
      <c r="O290" t="s">
        <v>38</v>
      </c>
      <c r="P290">
        <v>35</v>
      </c>
      <c r="Q290">
        <v>35</v>
      </c>
      <c r="R290">
        <v>41</v>
      </c>
      <c r="S290" t="s">
        <v>45</v>
      </c>
      <c r="T290">
        <v>0.04</v>
      </c>
      <c r="U290">
        <v>47</v>
      </c>
      <c r="V290" t="s">
        <v>55</v>
      </c>
      <c r="W290">
        <v>4.5999999999999999E-2</v>
      </c>
      <c r="X290">
        <v>12001</v>
      </c>
      <c r="Y290" t="s">
        <v>47</v>
      </c>
      <c r="Z290">
        <v>12</v>
      </c>
      <c r="AA290">
        <v>420</v>
      </c>
      <c r="AB290" t="s">
        <v>47</v>
      </c>
      <c r="AC290">
        <v>0.41899999999999998</v>
      </c>
      <c r="AD290">
        <v>551</v>
      </c>
      <c r="AE290" t="s">
        <v>48</v>
      </c>
      <c r="AF290">
        <v>0.55000000000000004</v>
      </c>
      <c r="AG290">
        <v>344</v>
      </c>
      <c r="AH290" t="s">
        <v>57</v>
      </c>
      <c r="AI290">
        <v>0.34300000000000003</v>
      </c>
      <c r="AJ290" t="s">
        <v>50</v>
      </c>
    </row>
    <row r="291" spans="1:36" x14ac:dyDescent="0.25">
      <c r="A291" t="s">
        <v>1051</v>
      </c>
      <c r="B291">
        <v>869014023</v>
      </c>
      <c r="C291" t="s">
        <v>1052</v>
      </c>
      <c r="D291" t="s">
        <v>1052</v>
      </c>
      <c r="E291" t="s">
        <v>99</v>
      </c>
      <c r="F291" t="s">
        <v>143</v>
      </c>
      <c r="I291" t="s">
        <v>39</v>
      </c>
      <c r="J291" t="s">
        <v>40</v>
      </c>
      <c r="K291" t="s">
        <v>41</v>
      </c>
      <c r="L291" t="s">
        <v>78</v>
      </c>
      <c r="N291" t="s">
        <v>43</v>
      </c>
      <c r="O291" t="s">
        <v>38</v>
      </c>
      <c r="P291">
        <v>35</v>
      </c>
      <c r="Q291">
        <v>35</v>
      </c>
      <c r="R291">
        <v>31</v>
      </c>
      <c r="S291" t="s">
        <v>45</v>
      </c>
      <c r="T291">
        <v>0.03</v>
      </c>
      <c r="U291">
        <v>101</v>
      </c>
      <c r="V291" t="s">
        <v>55</v>
      </c>
      <c r="W291">
        <v>0.1</v>
      </c>
      <c r="X291">
        <v>12001</v>
      </c>
      <c r="Y291" t="s">
        <v>47</v>
      </c>
      <c r="Z291">
        <v>12</v>
      </c>
      <c r="AA291">
        <v>420</v>
      </c>
      <c r="AB291" t="s">
        <v>47</v>
      </c>
      <c r="AC291">
        <v>0.41899999999999998</v>
      </c>
      <c r="AD291">
        <v>551</v>
      </c>
      <c r="AE291" t="s">
        <v>48</v>
      </c>
      <c r="AF291">
        <v>0.55000000000000004</v>
      </c>
      <c r="AG291">
        <v>344</v>
      </c>
      <c r="AH291" t="s">
        <v>57</v>
      </c>
      <c r="AI291">
        <v>0.34300000000000003</v>
      </c>
      <c r="AJ291" t="s">
        <v>1141</v>
      </c>
    </row>
    <row r="292" spans="1:36" x14ac:dyDescent="0.25">
      <c r="A292" t="s">
        <v>1051</v>
      </c>
      <c r="B292">
        <v>869014023</v>
      </c>
      <c r="C292" t="s">
        <v>1052</v>
      </c>
      <c r="D292" t="s">
        <v>1052</v>
      </c>
      <c r="E292" t="s">
        <v>99</v>
      </c>
      <c r="F292" t="s">
        <v>143</v>
      </c>
      <c r="I292" t="s">
        <v>39</v>
      </c>
      <c r="J292" t="s">
        <v>40</v>
      </c>
      <c r="K292" t="s">
        <v>41</v>
      </c>
      <c r="L292" t="s">
        <v>78</v>
      </c>
      <c r="N292" t="s">
        <v>43</v>
      </c>
      <c r="O292" t="s">
        <v>38</v>
      </c>
      <c r="P292">
        <v>35</v>
      </c>
      <c r="Q292">
        <v>35</v>
      </c>
      <c r="R292">
        <v>41</v>
      </c>
      <c r="S292" t="s">
        <v>45</v>
      </c>
      <c r="T292">
        <v>0.04</v>
      </c>
      <c r="U292">
        <v>47</v>
      </c>
      <c r="V292" t="s">
        <v>55</v>
      </c>
      <c r="W292">
        <v>4.5999999999999999E-2</v>
      </c>
      <c r="X292">
        <v>12001</v>
      </c>
      <c r="Y292" t="s">
        <v>47</v>
      </c>
      <c r="Z292">
        <v>12</v>
      </c>
      <c r="AA292">
        <v>420</v>
      </c>
      <c r="AB292" t="s">
        <v>47</v>
      </c>
      <c r="AC292">
        <v>0.41899999999999998</v>
      </c>
      <c r="AD292">
        <v>551</v>
      </c>
      <c r="AE292" t="s">
        <v>48</v>
      </c>
      <c r="AF292">
        <v>0.55000000000000004</v>
      </c>
      <c r="AG292">
        <v>344</v>
      </c>
      <c r="AH292" t="s">
        <v>57</v>
      </c>
      <c r="AI292">
        <v>0.34300000000000003</v>
      </c>
      <c r="AJ292" t="s">
        <v>1153</v>
      </c>
    </row>
    <row r="293" spans="1:36" x14ac:dyDescent="0.25">
      <c r="A293" t="s">
        <v>1051</v>
      </c>
      <c r="B293">
        <v>869014023</v>
      </c>
      <c r="C293" t="s">
        <v>1052</v>
      </c>
      <c r="D293" t="s">
        <v>1052</v>
      </c>
      <c r="E293" t="s">
        <v>99</v>
      </c>
      <c r="F293" t="s">
        <v>143</v>
      </c>
      <c r="I293" t="s">
        <v>39</v>
      </c>
      <c r="J293" t="s">
        <v>40</v>
      </c>
      <c r="K293" t="s">
        <v>41</v>
      </c>
      <c r="L293" t="s">
        <v>78</v>
      </c>
      <c r="N293" t="s">
        <v>43</v>
      </c>
      <c r="O293" t="s">
        <v>38</v>
      </c>
      <c r="P293">
        <v>35</v>
      </c>
      <c r="Q293">
        <v>35</v>
      </c>
      <c r="R293">
        <v>41</v>
      </c>
      <c r="S293" t="s">
        <v>45</v>
      </c>
      <c r="T293">
        <v>0.04</v>
      </c>
      <c r="U293">
        <v>47</v>
      </c>
      <c r="V293" t="s">
        <v>55</v>
      </c>
      <c r="W293">
        <v>4.5999999999999999E-2</v>
      </c>
      <c r="X293">
        <v>12001</v>
      </c>
      <c r="Y293" t="s">
        <v>47</v>
      </c>
      <c r="Z293">
        <v>12</v>
      </c>
      <c r="AA293">
        <v>420</v>
      </c>
      <c r="AB293" t="s">
        <v>47</v>
      </c>
      <c r="AC293">
        <v>0.41899999999999998</v>
      </c>
      <c r="AD293">
        <v>551</v>
      </c>
      <c r="AE293" t="s">
        <v>48</v>
      </c>
      <c r="AF293">
        <v>0.55000000000000004</v>
      </c>
      <c r="AG293">
        <v>344</v>
      </c>
      <c r="AH293" t="s">
        <v>57</v>
      </c>
      <c r="AI293">
        <v>0.34300000000000003</v>
      </c>
      <c r="AJ293" t="s">
        <v>1154</v>
      </c>
    </row>
    <row r="294" spans="1:36" x14ac:dyDescent="0.25">
      <c r="A294" t="s">
        <v>1051</v>
      </c>
      <c r="B294">
        <v>869014023</v>
      </c>
      <c r="C294" t="s">
        <v>1052</v>
      </c>
      <c r="D294" t="s">
        <v>1052</v>
      </c>
      <c r="E294" t="s">
        <v>99</v>
      </c>
      <c r="F294" t="s">
        <v>143</v>
      </c>
      <c r="I294" t="s">
        <v>39</v>
      </c>
      <c r="J294" t="s">
        <v>40</v>
      </c>
      <c r="K294" t="s">
        <v>41</v>
      </c>
      <c r="L294" t="s">
        <v>78</v>
      </c>
      <c r="N294" t="s">
        <v>43</v>
      </c>
      <c r="O294" t="s">
        <v>38</v>
      </c>
      <c r="P294">
        <v>35</v>
      </c>
      <c r="Q294">
        <v>35</v>
      </c>
      <c r="S294" t="s">
        <v>39</v>
      </c>
      <c r="V294" t="s">
        <v>39</v>
      </c>
      <c r="X294">
        <v>12001</v>
      </c>
      <c r="Y294" t="s">
        <v>47</v>
      </c>
      <c r="Z294">
        <v>12</v>
      </c>
      <c r="AA294">
        <v>420</v>
      </c>
      <c r="AB294" t="s">
        <v>47</v>
      </c>
      <c r="AC294">
        <v>0.41899999999999998</v>
      </c>
      <c r="AD294">
        <v>551</v>
      </c>
      <c r="AE294" t="s">
        <v>48</v>
      </c>
      <c r="AF294">
        <v>0.55000000000000004</v>
      </c>
      <c r="AG294">
        <v>344</v>
      </c>
      <c r="AH294" t="s">
        <v>57</v>
      </c>
      <c r="AI294">
        <v>0.34300000000000003</v>
      </c>
      <c r="AJ294" t="s">
        <v>1155</v>
      </c>
    </row>
    <row r="295" spans="1:36" x14ac:dyDescent="0.25">
      <c r="A295" t="s">
        <v>1051</v>
      </c>
      <c r="B295">
        <v>869014023</v>
      </c>
      <c r="C295" t="s">
        <v>1052</v>
      </c>
      <c r="D295" t="s">
        <v>1052</v>
      </c>
      <c r="E295" t="s">
        <v>99</v>
      </c>
      <c r="F295" t="s">
        <v>143</v>
      </c>
      <c r="I295" t="s">
        <v>39</v>
      </c>
      <c r="J295" t="s">
        <v>40</v>
      </c>
      <c r="K295" t="s">
        <v>41</v>
      </c>
      <c r="L295" t="s">
        <v>78</v>
      </c>
      <c r="N295" t="s">
        <v>43</v>
      </c>
      <c r="O295" t="s">
        <v>38</v>
      </c>
      <c r="P295">
        <v>35</v>
      </c>
      <c r="Q295">
        <v>35</v>
      </c>
      <c r="S295" t="s">
        <v>39</v>
      </c>
      <c r="V295" t="s">
        <v>39</v>
      </c>
      <c r="X295">
        <v>12001</v>
      </c>
      <c r="Y295" t="s">
        <v>47</v>
      </c>
      <c r="Z295">
        <v>12</v>
      </c>
      <c r="AA295">
        <v>420</v>
      </c>
      <c r="AB295" t="s">
        <v>47</v>
      </c>
      <c r="AC295">
        <v>0.41899999999999998</v>
      </c>
      <c r="AD295">
        <v>551</v>
      </c>
      <c r="AE295" t="s">
        <v>48</v>
      </c>
      <c r="AF295">
        <v>0.55000000000000004</v>
      </c>
      <c r="AG295">
        <v>344</v>
      </c>
      <c r="AH295" t="s">
        <v>57</v>
      </c>
      <c r="AI295">
        <v>0.34300000000000003</v>
      </c>
      <c r="AJ295" t="s">
        <v>1156</v>
      </c>
    </row>
    <row r="296" spans="1:36" x14ac:dyDescent="0.25">
      <c r="A296" t="s">
        <v>1049</v>
      </c>
      <c r="B296">
        <v>881533148</v>
      </c>
      <c r="C296" t="s">
        <v>1050</v>
      </c>
      <c r="D296" t="s">
        <v>1050</v>
      </c>
      <c r="E296" t="s">
        <v>99</v>
      </c>
      <c r="F296" t="s">
        <v>111</v>
      </c>
      <c r="I296" t="s">
        <v>39</v>
      </c>
      <c r="J296" t="s">
        <v>40</v>
      </c>
      <c r="K296" t="s">
        <v>41</v>
      </c>
      <c r="L296" t="s">
        <v>89</v>
      </c>
      <c r="N296" t="s">
        <v>43</v>
      </c>
      <c r="O296" t="s">
        <v>372</v>
      </c>
      <c r="P296">
        <v>35</v>
      </c>
      <c r="Q296">
        <v>35</v>
      </c>
      <c r="R296">
        <v>21</v>
      </c>
      <c r="S296" t="s">
        <v>45</v>
      </c>
      <c r="T296">
        <v>0.02</v>
      </c>
      <c r="U296">
        <v>10</v>
      </c>
      <c r="V296" t="s">
        <v>55</v>
      </c>
      <c r="W296">
        <v>8.9999999999999993E-3</v>
      </c>
      <c r="X296">
        <v>10001</v>
      </c>
      <c r="Y296" t="s">
        <v>47</v>
      </c>
      <c r="Z296">
        <v>10</v>
      </c>
      <c r="AA296">
        <v>503</v>
      </c>
      <c r="AB296" t="s">
        <v>75</v>
      </c>
      <c r="AC296">
        <v>0.502</v>
      </c>
      <c r="AD296">
        <v>591</v>
      </c>
      <c r="AE296" t="s">
        <v>48</v>
      </c>
      <c r="AF296">
        <v>0.59</v>
      </c>
      <c r="AG296">
        <v>261</v>
      </c>
      <c r="AH296" t="s">
        <v>57</v>
      </c>
      <c r="AI296">
        <v>0.26</v>
      </c>
      <c r="AJ296" t="s">
        <v>50</v>
      </c>
    </row>
    <row r="297" spans="1:36" x14ac:dyDescent="0.25">
      <c r="A297" t="s">
        <v>1049</v>
      </c>
      <c r="B297">
        <v>881533148</v>
      </c>
      <c r="C297" t="s">
        <v>1050</v>
      </c>
      <c r="D297" t="s">
        <v>1050</v>
      </c>
      <c r="E297" t="s">
        <v>99</v>
      </c>
      <c r="F297" t="s">
        <v>111</v>
      </c>
      <c r="I297" t="s">
        <v>39</v>
      </c>
      <c r="J297" t="s">
        <v>40</v>
      </c>
      <c r="K297" t="s">
        <v>41</v>
      </c>
      <c r="L297" t="s">
        <v>89</v>
      </c>
      <c r="N297" t="s">
        <v>43</v>
      </c>
      <c r="O297" t="s">
        <v>372</v>
      </c>
      <c r="P297">
        <v>35</v>
      </c>
      <c r="Q297">
        <v>35</v>
      </c>
      <c r="R297">
        <v>41</v>
      </c>
      <c r="S297" t="s">
        <v>45</v>
      </c>
      <c r="T297">
        <v>0.04</v>
      </c>
      <c r="U297">
        <v>21</v>
      </c>
      <c r="V297" t="s">
        <v>55</v>
      </c>
      <c r="W297">
        <v>0.02</v>
      </c>
      <c r="X297">
        <v>10001</v>
      </c>
      <c r="Y297" t="s">
        <v>47</v>
      </c>
      <c r="Z297">
        <v>10</v>
      </c>
      <c r="AA297">
        <v>503</v>
      </c>
      <c r="AB297" t="s">
        <v>75</v>
      </c>
      <c r="AC297">
        <v>0.502</v>
      </c>
      <c r="AD297">
        <v>591</v>
      </c>
      <c r="AE297" t="s">
        <v>48</v>
      </c>
      <c r="AF297">
        <v>0.59</v>
      </c>
      <c r="AG297">
        <v>261</v>
      </c>
      <c r="AH297" t="s">
        <v>57</v>
      </c>
      <c r="AI297">
        <v>0.26</v>
      </c>
      <c r="AJ297" t="s">
        <v>1141</v>
      </c>
    </row>
    <row r="298" spans="1:36" x14ac:dyDescent="0.25">
      <c r="A298" t="s">
        <v>1049</v>
      </c>
      <c r="B298">
        <v>881533148</v>
      </c>
      <c r="C298" t="s">
        <v>1050</v>
      </c>
      <c r="D298" t="s">
        <v>1050</v>
      </c>
      <c r="E298" t="s">
        <v>99</v>
      </c>
      <c r="F298" t="s">
        <v>111</v>
      </c>
      <c r="I298" t="s">
        <v>39</v>
      </c>
      <c r="J298" t="s">
        <v>40</v>
      </c>
      <c r="K298" t="s">
        <v>41</v>
      </c>
      <c r="L298" t="s">
        <v>89</v>
      </c>
      <c r="N298" t="s">
        <v>43</v>
      </c>
      <c r="O298" t="s">
        <v>372</v>
      </c>
      <c r="P298">
        <v>35</v>
      </c>
      <c r="Q298">
        <v>35</v>
      </c>
      <c r="R298">
        <v>21</v>
      </c>
      <c r="S298" t="s">
        <v>45</v>
      </c>
      <c r="T298">
        <v>0.02</v>
      </c>
      <c r="U298">
        <v>10</v>
      </c>
      <c r="V298" t="s">
        <v>55</v>
      </c>
      <c r="W298">
        <v>8.9999999999999993E-3</v>
      </c>
      <c r="X298">
        <v>10001</v>
      </c>
      <c r="Y298" t="s">
        <v>47</v>
      </c>
      <c r="Z298">
        <v>10</v>
      </c>
      <c r="AA298">
        <v>503</v>
      </c>
      <c r="AB298" t="s">
        <v>75</v>
      </c>
      <c r="AC298">
        <v>0.502</v>
      </c>
      <c r="AD298">
        <v>591</v>
      </c>
      <c r="AE298" t="s">
        <v>48</v>
      </c>
      <c r="AF298">
        <v>0.59</v>
      </c>
      <c r="AG298">
        <v>261</v>
      </c>
      <c r="AH298" t="s">
        <v>57</v>
      </c>
      <c r="AI298">
        <v>0.26</v>
      </c>
      <c r="AJ298" t="s">
        <v>1153</v>
      </c>
    </row>
    <row r="299" spans="1:36" x14ac:dyDescent="0.25">
      <c r="A299" t="s">
        <v>1049</v>
      </c>
      <c r="B299">
        <v>881533148</v>
      </c>
      <c r="C299" t="s">
        <v>1050</v>
      </c>
      <c r="D299" t="s">
        <v>1050</v>
      </c>
      <c r="E299" t="s">
        <v>99</v>
      </c>
      <c r="F299" t="s">
        <v>111</v>
      </c>
      <c r="I299" t="s">
        <v>39</v>
      </c>
      <c r="J299" t="s">
        <v>40</v>
      </c>
      <c r="K299" t="s">
        <v>41</v>
      </c>
      <c r="L299" t="s">
        <v>89</v>
      </c>
      <c r="N299" t="s">
        <v>43</v>
      </c>
      <c r="O299" t="s">
        <v>372</v>
      </c>
      <c r="P299">
        <v>35</v>
      </c>
      <c r="Q299">
        <v>35</v>
      </c>
      <c r="R299">
        <v>21</v>
      </c>
      <c r="S299" t="s">
        <v>45</v>
      </c>
      <c r="T299">
        <v>0.02</v>
      </c>
      <c r="U299">
        <v>10</v>
      </c>
      <c r="V299" t="s">
        <v>55</v>
      </c>
      <c r="W299">
        <v>8.9999999999999993E-3</v>
      </c>
      <c r="X299">
        <v>10001</v>
      </c>
      <c r="Y299" t="s">
        <v>47</v>
      </c>
      <c r="Z299">
        <v>10</v>
      </c>
      <c r="AA299">
        <v>503</v>
      </c>
      <c r="AB299" t="s">
        <v>75</v>
      </c>
      <c r="AC299">
        <v>0.502</v>
      </c>
      <c r="AD299">
        <v>591</v>
      </c>
      <c r="AE299" t="s">
        <v>48</v>
      </c>
      <c r="AF299">
        <v>0.59</v>
      </c>
      <c r="AG299">
        <v>261</v>
      </c>
      <c r="AH299" t="s">
        <v>57</v>
      </c>
      <c r="AI299">
        <v>0.26</v>
      </c>
      <c r="AJ299" t="s">
        <v>1154</v>
      </c>
    </row>
    <row r="300" spans="1:36" x14ac:dyDescent="0.25">
      <c r="A300" t="s">
        <v>1049</v>
      </c>
      <c r="B300">
        <v>881533148</v>
      </c>
      <c r="C300" t="s">
        <v>1050</v>
      </c>
      <c r="D300" t="s">
        <v>1050</v>
      </c>
      <c r="E300" t="s">
        <v>99</v>
      </c>
      <c r="F300" t="s">
        <v>111</v>
      </c>
      <c r="I300" t="s">
        <v>39</v>
      </c>
      <c r="J300" t="s">
        <v>40</v>
      </c>
      <c r="K300" t="s">
        <v>41</v>
      </c>
      <c r="L300" t="s">
        <v>89</v>
      </c>
      <c r="N300" t="s">
        <v>43</v>
      </c>
      <c r="O300" t="s">
        <v>372</v>
      </c>
      <c r="P300">
        <v>35</v>
      </c>
      <c r="Q300">
        <v>35</v>
      </c>
      <c r="S300" t="s">
        <v>39</v>
      </c>
      <c r="V300" t="s">
        <v>39</v>
      </c>
      <c r="X300">
        <v>10001</v>
      </c>
      <c r="Y300" t="s">
        <v>47</v>
      </c>
      <c r="Z300">
        <v>10</v>
      </c>
      <c r="AA300">
        <v>503</v>
      </c>
      <c r="AB300" t="s">
        <v>75</v>
      </c>
      <c r="AC300">
        <v>0.502</v>
      </c>
      <c r="AD300">
        <v>591</v>
      </c>
      <c r="AE300" t="s">
        <v>48</v>
      </c>
      <c r="AF300">
        <v>0.59</v>
      </c>
      <c r="AG300">
        <v>261</v>
      </c>
      <c r="AH300" t="s">
        <v>57</v>
      </c>
      <c r="AI300">
        <v>0.26</v>
      </c>
      <c r="AJ300" t="s">
        <v>1155</v>
      </c>
    </row>
    <row r="301" spans="1:36" x14ac:dyDescent="0.25">
      <c r="A301" t="s">
        <v>1049</v>
      </c>
      <c r="B301">
        <v>881533148</v>
      </c>
      <c r="C301" t="s">
        <v>1050</v>
      </c>
      <c r="D301" t="s">
        <v>1050</v>
      </c>
      <c r="E301" t="s">
        <v>99</v>
      </c>
      <c r="F301" t="s">
        <v>111</v>
      </c>
      <c r="I301" t="s">
        <v>39</v>
      </c>
      <c r="J301" t="s">
        <v>40</v>
      </c>
      <c r="K301" t="s">
        <v>41</v>
      </c>
      <c r="L301" t="s">
        <v>89</v>
      </c>
      <c r="N301" t="s">
        <v>43</v>
      </c>
      <c r="O301" t="s">
        <v>372</v>
      </c>
      <c r="P301">
        <v>35</v>
      </c>
      <c r="Q301">
        <v>35</v>
      </c>
      <c r="S301" t="s">
        <v>39</v>
      </c>
      <c r="V301" t="s">
        <v>39</v>
      </c>
      <c r="X301">
        <v>10001</v>
      </c>
      <c r="Y301" t="s">
        <v>47</v>
      </c>
      <c r="Z301">
        <v>10</v>
      </c>
      <c r="AA301">
        <v>503</v>
      </c>
      <c r="AB301" t="s">
        <v>75</v>
      </c>
      <c r="AC301">
        <v>0.502</v>
      </c>
      <c r="AD301">
        <v>591</v>
      </c>
      <c r="AE301" t="s">
        <v>48</v>
      </c>
      <c r="AF301">
        <v>0.59</v>
      </c>
      <c r="AG301">
        <v>261</v>
      </c>
      <c r="AH301" t="s">
        <v>57</v>
      </c>
      <c r="AI301">
        <v>0.26</v>
      </c>
      <c r="AJ301" t="s">
        <v>1156</v>
      </c>
    </row>
    <row r="302" spans="1:36" x14ac:dyDescent="0.25">
      <c r="A302" t="s">
        <v>1047</v>
      </c>
      <c r="B302">
        <v>862322657</v>
      </c>
      <c r="C302" t="s">
        <v>1048</v>
      </c>
      <c r="D302" t="s">
        <v>1048</v>
      </c>
      <c r="E302" t="s">
        <v>37</v>
      </c>
      <c r="F302" t="s">
        <v>38</v>
      </c>
      <c r="I302" t="s">
        <v>39</v>
      </c>
      <c r="J302" t="s">
        <v>40</v>
      </c>
      <c r="K302" t="s">
        <v>41</v>
      </c>
      <c r="L302" t="s">
        <v>173</v>
      </c>
      <c r="N302" t="s">
        <v>43</v>
      </c>
      <c r="O302" t="s">
        <v>287</v>
      </c>
      <c r="P302">
        <v>36</v>
      </c>
      <c r="Q302">
        <v>36</v>
      </c>
      <c r="R302">
        <v>41</v>
      </c>
      <c r="S302" t="s">
        <v>45</v>
      </c>
      <c r="T302">
        <v>0.04</v>
      </c>
      <c r="U302">
        <v>385</v>
      </c>
      <c r="V302" t="s">
        <v>55</v>
      </c>
      <c r="W302">
        <v>0.38400000000000001</v>
      </c>
      <c r="X302">
        <v>12001</v>
      </c>
      <c r="Y302" t="s">
        <v>47</v>
      </c>
      <c r="Z302">
        <v>12</v>
      </c>
      <c r="AA302">
        <v>406</v>
      </c>
      <c r="AB302" t="s">
        <v>47</v>
      </c>
      <c r="AC302">
        <v>0.40500000000000003</v>
      </c>
      <c r="AD302">
        <v>521</v>
      </c>
      <c r="AE302" t="s">
        <v>48</v>
      </c>
      <c r="AF302">
        <v>0.52</v>
      </c>
      <c r="AG302">
        <v>471</v>
      </c>
      <c r="AH302" t="s">
        <v>57</v>
      </c>
      <c r="AI302">
        <v>0.47</v>
      </c>
      <c r="AJ302" t="s">
        <v>50</v>
      </c>
    </row>
    <row r="303" spans="1:36" x14ac:dyDescent="0.25">
      <c r="A303" t="s">
        <v>1047</v>
      </c>
      <c r="B303">
        <v>862322657</v>
      </c>
      <c r="C303" t="s">
        <v>1048</v>
      </c>
      <c r="D303" t="s">
        <v>1048</v>
      </c>
      <c r="E303" t="s">
        <v>37</v>
      </c>
      <c r="F303" t="s">
        <v>38</v>
      </c>
      <c r="I303" t="s">
        <v>39</v>
      </c>
      <c r="J303" t="s">
        <v>40</v>
      </c>
      <c r="K303" t="s">
        <v>41</v>
      </c>
      <c r="L303" t="s">
        <v>173</v>
      </c>
      <c r="N303" t="s">
        <v>43</v>
      </c>
      <c r="O303" t="s">
        <v>287</v>
      </c>
      <c r="P303">
        <v>36</v>
      </c>
      <c r="Q303">
        <v>36</v>
      </c>
      <c r="R303">
        <v>31</v>
      </c>
      <c r="S303" t="s">
        <v>45</v>
      </c>
      <c r="T303">
        <v>0.03</v>
      </c>
      <c r="U303">
        <v>213</v>
      </c>
      <c r="V303" t="s">
        <v>55</v>
      </c>
      <c r="W303">
        <v>0.21199999999999999</v>
      </c>
      <c r="X303">
        <v>12001</v>
      </c>
      <c r="Y303" t="s">
        <v>47</v>
      </c>
      <c r="Z303">
        <v>12</v>
      </c>
      <c r="AA303">
        <v>406</v>
      </c>
      <c r="AB303" t="s">
        <v>47</v>
      </c>
      <c r="AC303">
        <v>0.40500000000000003</v>
      </c>
      <c r="AD303">
        <v>521</v>
      </c>
      <c r="AE303" t="s">
        <v>48</v>
      </c>
      <c r="AF303">
        <v>0.52</v>
      </c>
      <c r="AG303">
        <v>471</v>
      </c>
      <c r="AH303" t="s">
        <v>57</v>
      </c>
      <c r="AI303">
        <v>0.47</v>
      </c>
      <c r="AJ303" t="s">
        <v>1141</v>
      </c>
    </row>
    <row r="304" spans="1:36" x14ac:dyDescent="0.25">
      <c r="A304" t="s">
        <v>1047</v>
      </c>
      <c r="B304">
        <v>862322657</v>
      </c>
      <c r="C304" t="s">
        <v>1048</v>
      </c>
      <c r="D304" t="s">
        <v>1048</v>
      </c>
      <c r="E304" t="s">
        <v>37</v>
      </c>
      <c r="F304" t="s">
        <v>38</v>
      </c>
      <c r="I304" t="s">
        <v>39</v>
      </c>
      <c r="J304" t="s">
        <v>40</v>
      </c>
      <c r="K304" t="s">
        <v>41</v>
      </c>
      <c r="L304" t="s">
        <v>173</v>
      </c>
      <c r="N304" t="s">
        <v>43</v>
      </c>
      <c r="O304" t="s">
        <v>287</v>
      </c>
      <c r="P304">
        <v>36</v>
      </c>
      <c r="Q304">
        <v>36</v>
      </c>
      <c r="R304">
        <v>41</v>
      </c>
      <c r="S304" t="s">
        <v>45</v>
      </c>
      <c r="T304">
        <v>0.04</v>
      </c>
      <c r="U304">
        <v>385</v>
      </c>
      <c r="V304" t="s">
        <v>55</v>
      </c>
      <c r="W304">
        <v>0.38400000000000001</v>
      </c>
      <c r="X304">
        <v>12001</v>
      </c>
      <c r="Y304" t="s">
        <v>47</v>
      </c>
      <c r="Z304">
        <v>12</v>
      </c>
      <c r="AA304">
        <v>406</v>
      </c>
      <c r="AB304" t="s">
        <v>47</v>
      </c>
      <c r="AC304">
        <v>0.40500000000000003</v>
      </c>
      <c r="AD304">
        <v>521</v>
      </c>
      <c r="AE304" t="s">
        <v>48</v>
      </c>
      <c r="AF304">
        <v>0.52</v>
      </c>
      <c r="AG304">
        <v>471</v>
      </c>
      <c r="AH304" t="s">
        <v>57</v>
      </c>
      <c r="AI304">
        <v>0.47</v>
      </c>
      <c r="AJ304" t="s">
        <v>1153</v>
      </c>
    </row>
    <row r="305" spans="1:36" x14ac:dyDescent="0.25">
      <c r="A305" t="s">
        <v>1047</v>
      </c>
      <c r="B305">
        <v>862322657</v>
      </c>
      <c r="C305" t="s">
        <v>1048</v>
      </c>
      <c r="D305" t="s">
        <v>1048</v>
      </c>
      <c r="E305" t="s">
        <v>37</v>
      </c>
      <c r="F305" t="s">
        <v>38</v>
      </c>
      <c r="I305" t="s">
        <v>39</v>
      </c>
      <c r="J305" t="s">
        <v>40</v>
      </c>
      <c r="K305" t="s">
        <v>41</v>
      </c>
      <c r="L305" t="s">
        <v>173</v>
      </c>
      <c r="N305" t="s">
        <v>43</v>
      </c>
      <c r="O305" t="s">
        <v>287</v>
      </c>
      <c r="P305">
        <v>36</v>
      </c>
      <c r="Q305">
        <v>36</v>
      </c>
      <c r="R305">
        <v>41</v>
      </c>
      <c r="S305" t="s">
        <v>45</v>
      </c>
      <c r="T305">
        <v>0.04</v>
      </c>
      <c r="U305">
        <v>385</v>
      </c>
      <c r="V305" t="s">
        <v>55</v>
      </c>
      <c r="W305">
        <v>0.38400000000000001</v>
      </c>
      <c r="X305">
        <v>12001</v>
      </c>
      <c r="Y305" t="s">
        <v>47</v>
      </c>
      <c r="Z305">
        <v>12</v>
      </c>
      <c r="AA305">
        <v>406</v>
      </c>
      <c r="AB305" t="s">
        <v>47</v>
      </c>
      <c r="AC305">
        <v>0.40500000000000003</v>
      </c>
      <c r="AD305">
        <v>521</v>
      </c>
      <c r="AE305" t="s">
        <v>48</v>
      </c>
      <c r="AF305">
        <v>0.52</v>
      </c>
      <c r="AG305">
        <v>471</v>
      </c>
      <c r="AH305" t="s">
        <v>57</v>
      </c>
      <c r="AI305">
        <v>0.47</v>
      </c>
      <c r="AJ305" t="s">
        <v>1154</v>
      </c>
    </row>
    <row r="306" spans="1:36" x14ac:dyDescent="0.25">
      <c r="A306" t="s">
        <v>1047</v>
      </c>
      <c r="B306">
        <v>862322657</v>
      </c>
      <c r="C306" t="s">
        <v>1048</v>
      </c>
      <c r="D306" t="s">
        <v>1048</v>
      </c>
      <c r="E306" t="s">
        <v>37</v>
      </c>
      <c r="F306" t="s">
        <v>38</v>
      </c>
      <c r="I306" t="s">
        <v>39</v>
      </c>
      <c r="J306" t="s">
        <v>40</v>
      </c>
      <c r="K306" t="s">
        <v>41</v>
      </c>
      <c r="L306" t="s">
        <v>173</v>
      </c>
      <c r="N306" t="s">
        <v>43</v>
      </c>
      <c r="O306" t="s">
        <v>287</v>
      </c>
      <c r="P306">
        <v>36</v>
      </c>
      <c r="Q306">
        <v>36</v>
      </c>
      <c r="S306" t="s">
        <v>39</v>
      </c>
      <c r="V306" t="s">
        <v>39</v>
      </c>
      <c r="X306">
        <v>12001</v>
      </c>
      <c r="Y306" t="s">
        <v>47</v>
      </c>
      <c r="Z306">
        <v>12</v>
      </c>
      <c r="AA306">
        <v>406</v>
      </c>
      <c r="AB306" t="s">
        <v>47</v>
      </c>
      <c r="AC306">
        <v>0.40500000000000003</v>
      </c>
      <c r="AD306">
        <v>521</v>
      </c>
      <c r="AE306" t="s">
        <v>48</v>
      </c>
      <c r="AF306">
        <v>0.52</v>
      </c>
      <c r="AG306">
        <v>471</v>
      </c>
      <c r="AH306" t="s">
        <v>57</v>
      </c>
      <c r="AI306">
        <v>0.47</v>
      </c>
      <c r="AJ306" t="s">
        <v>1155</v>
      </c>
    </row>
    <row r="307" spans="1:36" x14ac:dyDescent="0.25">
      <c r="A307" t="s">
        <v>1047</v>
      </c>
      <c r="B307">
        <v>862322657</v>
      </c>
      <c r="C307" t="s">
        <v>1048</v>
      </c>
      <c r="D307" t="s">
        <v>1048</v>
      </c>
      <c r="E307" t="s">
        <v>37</v>
      </c>
      <c r="F307" t="s">
        <v>38</v>
      </c>
      <c r="I307" t="s">
        <v>39</v>
      </c>
      <c r="J307" t="s">
        <v>40</v>
      </c>
      <c r="K307" t="s">
        <v>41</v>
      </c>
      <c r="L307" t="s">
        <v>173</v>
      </c>
      <c r="N307" t="s">
        <v>43</v>
      </c>
      <c r="O307" t="s">
        <v>287</v>
      </c>
      <c r="P307">
        <v>36</v>
      </c>
      <c r="Q307">
        <v>36</v>
      </c>
      <c r="S307" t="s">
        <v>39</v>
      </c>
      <c r="V307" t="s">
        <v>39</v>
      </c>
      <c r="X307">
        <v>12001</v>
      </c>
      <c r="Y307" t="s">
        <v>47</v>
      </c>
      <c r="Z307">
        <v>12</v>
      </c>
      <c r="AA307">
        <v>406</v>
      </c>
      <c r="AB307" t="s">
        <v>47</v>
      </c>
      <c r="AC307">
        <v>0.40500000000000003</v>
      </c>
      <c r="AD307">
        <v>521</v>
      </c>
      <c r="AE307" t="s">
        <v>48</v>
      </c>
      <c r="AF307">
        <v>0.52</v>
      </c>
      <c r="AG307">
        <v>471</v>
      </c>
      <c r="AH307" t="s">
        <v>57</v>
      </c>
      <c r="AI307">
        <v>0.47</v>
      </c>
      <c r="AJ307" t="s">
        <v>1156</v>
      </c>
    </row>
    <row r="308" spans="1:36" x14ac:dyDescent="0.25">
      <c r="A308" t="s">
        <v>1045</v>
      </c>
      <c r="B308">
        <v>851831230</v>
      </c>
      <c r="C308" t="s">
        <v>1046</v>
      </c>
      <c r="D308" t="s">
        <v>1046</v>
      </c>
      <c r="E308" t="s">
        <v>99</v>
      </c>
      <c r="F308" t="s">
        <v>143</v>
      </c>
      <c r="I308" t="s">
        <v>39</v>
      </c>
      <c r="J308" t="s">
        <v>40</v>
      </c>
      <c r="K308" t="s">
        <v>41</v>
      </c>
      <c r="L308" t="s">
        <v>89</v>
      </c>
      <c r="N308" t="s">
        <v>43</v>
      </c>
      <c r="O308" t="s">
        <v>38</v>
      </c>
      <c r="P308">
        <v>37</v>
      </c>
      <c r="Q308">
        <v>37</v>
      </c>
      <c r="R308">
        <v>1001</v>
      </c>
      <c r="S308" t="s">
        <v>56</v>
      </c>
      <c r="T308">
        <v>1</v>
      </c>
      <c r="U308">
        <v>1</v>
      </c>
      <c r="V308" t="s">
        <v>55</v>
      </c>
      <c r="W308">
        <v>0</v>
      </c>
      <c r="X308">
        <v>1</v>
      </c>
      <c r="Y308" t="s">
        <v>47</v>
      </c>
      <c r="Z308">
        <v>0</v>
      </c>
      <c r="AA308">
        <v>311</v>
      </c>
      <c r="AB308" t="s">
        <v>47</v>
      </c>
      <c r="AC308">
        <v>0.31</v>
      </c>
      <c r="AD308">
        <v>305</v>
      </c>
      <c r="AE308" t="s">
        <v>56</v>
      </c>
      <c r="AF308">
        <v>0.30399999999999999</v>
      </c>
      <c r="AG308">
        <v>156</v>
      </c>
      <c r="AH308" t="s">
        <v>103</v>
      </c>
      <c r="AI308">
        <v>0.155</v>
      </c>
      <c r="AJ308" t="s">
        <v>50</v>
      </c>
    </row>
    <row r="309" spans="1:36" x14ac:dyDescent="0.25">
      <c r="A309" t="s">
        <v>1045</v>
      </c>
      <c r="B309">
        <v>851831230</v>
      </c>
      <c r="C309" t="s">
        <v>1046</v>
      </c>
      <c r="D309" t="s">
        <v>1046</v>
      </c>
      <c r="E309" t="s">
        <v>99</v>
      </c>
      <c r="F309" t="s">
        <v>143</v>
      </c>
      <c r="I309" t="s">
        <v>39</v>
      </c>
      <c r="J309" t="s">
        <v>40</v>
      </c>
      <c r="K309" t="s">
        <v>41</v>
      </c>
      <c r="L309" t="s">
        <v>89</v>
      </c>
      <c r="N309" t="s">
        <v>43</v>
      </c>
      <c r="O309" t="s">
        <v>38</v>
      </c>
      <c r="P309">
        <v>37</v>
      </c>
      <c r="Q309">
        <v>37</v>
      </c>
      <c r="R309">
        <v>1001</v>
      </c>
      <c r="S309" t="s">
        <v>56</v>
      </c>
      <c r="T309">
        <v>1</v>
      </c>
      <c r="U309">
        <v>6</v>
      </c>
      <c r="V309" t="s">
        <v>55</v>
      </c>
      <c r="W309">
        <v>5.0000000000000001E-3</v>
      </c>
      <c r="X309">
        <v>1</v>
      </c>
      <c r="Y309" t="s">
        <v>47</v>
      </c>
      <c r="Z309">
        <v>0</v>
      </c>
      <c r="AA309">
        <v>311</v>
      </c>
      <c r="AB309" t="s">
        <v>47</v>
      </c>
      <c r="AC309">
        <v>0.31</v>
      </c>
      <c r="AD309">
        <v>305</v>
      </c>
      <c r="AE309" t="s">
        <v>56</v>
      </c>
      <c r="AF309">
        <v>0.30399999999999999</v>
      </c>
      <c r="AG309">
        <v>156</v>
      </c>
      <c r="AH309" t="s">
        <v>103</v>
      </c>
      <c r="AI309">
        <v>0.155</v>
      </c>
      <c r="AJ309" t="s">
        <v>1141</v>
      </c>
    </row>
    <row r="310" spans="1:36" x14ac:dyDescent="0.25">
      <c r="A310" t="s">
        <v>1045</v>
      </c>
      <c r="B310">
        <v>851831230</v>
      </c>
      <c r="C310" t="s">
        <v>1046</v>
      </c>
      <c r="D310" t="s">
        <v>1046</v>
      </c>
      <c r="E310" t="s">
        <v>99</v>
      </c>
      <c r="F310" t="s">
        <v>143</v>
      </c>
      <c r="I310" t="s">
        <v>39</v>
      </c>
      <c r="J310" t="s">
        <v>40</v>
      </c>
      <c r="K310" t="s">
        <v>41</v>
      </c>
      <c r="L310" t="s">
        <v>89</v>
      </c>
      <c r="N310" t="s">
        <v>43</v>
      </c>
      <c r="O310" t="s">
        <v>38</v>
      </c>
      <c r="P310">
        <v>37</v>
      </c>
      <c r="Q310">
        <v>37</v>
      </c>
      <c r="R310">
        <v>1001</v>
      </c>
      <c r="S310" t="s">
        <v>56</v>
      </c>
      <c r="T310">
        <v>1</v>
      </c>
      <c r="U310">
        <v>1</v>
      </c>
      <c r="V310" t="s">
        <v>55</v>
      </c>
      <c r="W310">
        <v>0</v>
      </c>
      <c r="X310">
        <v>1</v>
      </c>
      <c r="Y310" t="s">
        <v>47</v>
      </c>
      <c r="Z310">
        <v>0</v>
      </c>
      <c r="AA310">
        <v>311</v>
      </c>
      <c r="AB310" t="s">
        <v>47</v>
      </c>
      <c r="AC310">
        <v>0.31</v>
      </c>
      <c r="AD310">
        <v>305</v>
      </c>
      <c r="AE310" t="s">
        <v>56</v>
      </c>
      <c r="AF310">
        <v>0.30399999999999999</v>
      </c>
      <c r="AG310">
        <v>156</v>
      </c>
      <c r="AH310" t="s">
        <v>103</v>
      </c>
      <c r="AI310">
        <v>0.155</v>
      </c>
      <c r="AJ310" t="s">
        <v>1153</v>
      </c>
    </row>
    <row r="311" spans="1:36" x14ac:dyDescent="0.25">
      <c r="A311" t="s">
        <v>1045</v>
      </c>
      <c r="B311">
        <v>851831230</v>
      </c>
      <c r="C311" t="s">
        <v>1046</v>
      </c>
      <c r="D311" t="s">
        <v>1046</v>
      </c>
      <c r="E311" t="s">
        <v>99</v>
      </c>
      <c r="F311" t="s">
        <v>143</v>
      </c>
      <c r="I311" t="s">
        <v>39</v>
      </c>
      <c r="J311" t="s">
        <v>40</v>
      </c>
      <c r="K311" t="s">
        <v>41</v>
      </c>
      <c r="L311" t="s">
        <v>89</v>
      </c>
      <c r="N311" t="s">
        <v>43</v>
      </c>
      <c r="O311" t="s">
        <v>38</v>
      </c>
      <c r="P311">
        <v>37</v>
      </c>
      <c r="Q311">
        <v>37</v>
      </c>
      <c r="R311">
        <v>1001</v>
      </c>
      <c r="S311" t="s">
        <v>56</v>
      </c>
      <c r="T311">
        <v>1</v>
      </c>
      <c r="U311">
        <v>1</v>
      </c>
      <c r="V311" t="s">
        <v>55</v>
      </c>
      <c r="W311">
        <v>0</v>
      </c>
      <c r="X311">
        <v>1</v>
      </c>
      <c r="Y311" t="s">
        <v>47</v>
      </c>
      <c r="Z311">
        <v>0</v>
      </c>
      <c r="AA311">
        <v>311</v>
      </c>
      <c r="AB311" t="s">
        <v>47</v>
      </c>
      <c r="AC311">
        <v>0.31</v>
      </c>
      <c r="AD311">
        <v>305</v>
      </c>
      <c r="AE311" t="s">
        <v>56</v>
      </c>
      <c r="AF311">
        <v>0.30399999999999999</v>
      </c>
      <c r="AG311">
        <v>156</v>
      </c>
      <c r="AH311" t="s">
        <v>103</v>
      </c>
      <c r="AI311">
        <v>0.155</v>
      </c>
      <c r="AJ311" t="s">
        <v>1154</v>
      </c>
    </row>
    <row r="312" spans="1:36" x14ac:dyDescent="0.25">
      <c r="A312" t="s">
        <v>1045</v>
      </c>
      <c r="B312">
        <v>851831230</v>
      </c>
      <c r="C312" t="s">
        <v>1046</v>
      </c>
      <c r="D312" t="s">
        <v>1046</v>
      </c>
      <c r="E312" t="s">
        <v>99</v>
      </c>
      <c r="F312" t="s">
        <v>143</v>
      </c>
      <c r="I312" t="s">
        <v>39</v>
      </c>
      <c r="J312" t="s">
        <v>40</v>
      </c>
      <c r="K312" t="s">
        <v>41</v>
      </c>
      <c r="L312" t="s">
        <v>89</v>
      </c>
      <c r="N312" t="s">
        <v>43</v>
      </c>
      <c r="O312" t="s">
        <v>38</v>
      </c>
      <c r="P312">
        <v>37</v>
      </c>
      <c r="Q312">
        <v>37</v>
      </c>
      <c r="S312" t="s">
        <v>39</v>
      </c>
      <c r="V312" t="s">
        <v>39</v>
      </c>
      <c r="X312">
        <v>1</v>
      </c>
      <c r="Y312" t="s">
        <v>47</v>
      </c>
      <c r="Z312">
        <v>0</v>
      </c>
      <c r="AA312">
        <v>311</v>
      </c>
      <c r="AB312" t="s">
        <v>47</v>
      </c>
      <c r="AC312">
        <v>0.31</v>
      </c>
      <c r="AD312">
        <v>305</v>
      </c>
      <c r="AE312" t="s">
        <v>56</v>
      </c>
      <c r="AF312">
        <v>0.30399999999999999</v>
      </c>
      <c r="AG312">
        <v>156</v>
      </c>
      <c r="AH312" t="s">
        <v>103</v>
      </c>
      <c r="AI312">
        <v>0.155</v>
      </c>
      <c r="AJ312" t="s">
        <v>1155</v>
      </c>
    </row>
    <row r="313" spans="1:36" x14ac:dyDescent="0.25">
      <c r="A313" t="s">
        <v>1045</v>
      </c>
      <c r="B313">
        <v>851831230</v>
      </c>
      <c r="C313" t="s">
        <v>1046</v>
      </c>
      <c r="D313" t="s">
        <v>1046</v>
      </c>
      <c r="E313" t="s">
        <v>99</v>
      </c>
      <c r="F313" t="s">
        <v>143</v>
      </c>
      <c r="I313" t="s">
        <v>39</v>
      </c>
      <c r="J313" t="s">
        <v>40</v>
      </c>
      <c r="K313" t="s">
        <v>41</v>
      </c>
      <c r="L313" t="s">
        <v>89</v>
      </c>
      <c r="N313" t="s">
        <v>43</v>
      </c>
      <c r="O313" t="s">
        <v>38</v>
      </c>
      <c r="P313">
        <v>37</v>
      </c>
      <c r="Q313">
        <v>37</v>
      </c>
      <c r="S313" t="s">
        <v>39</v>
      </c>
      <c r="V313" t="s">
        <v>39</v>
      </c>
      <c r="X313">
        <v>1</v>
      </c>
      <c r="Y313" t="s">
        <v>47</v>
      </c>
      <c r="Z313">
        <v>0</v>
      </c>
      <c r="AA313">
        <v>311</v>
      </c>
      <c r="AB313" t="s">
        <v>47</v>
      </c>
      <c r="AC313">
        <v>0.31</v>
      </c>
      <c r="AD313">
        <v>305</v>
      </c>
      <c r="AE313" t="s">
        <v>56</v>
      </c>
      <c r="AF313">
        <v>0.30399999999999999</v>
      </c>
      <c r="AG313">
        <v>156</v>
      </c>
      <c r="AH313" t="s">
        <v>103</v>
      </c>
      <c r="AI313">
        <v>0.155</v>
      </c>
      <c r="AJ313" t="s">
        <v>1156</v>
      </c>
    </row>
    <row r="314" spans="1:36" x14ac:dyDescent="0.25">
      <c r="A314" t="s">
        <v>1041</v>
      </c>
      <c r="B314">
        <v>855306250</v>
      </c>
      <c r="C314" t="s">
        <v>1042</v>
      </c>
      <c r="D314" t="s">
        <v>1042</v>
      </c>
      <c r="E314" t="s">
        <v>37</v>
      </c>
      <c r="F314" t="s">
        <v>71</v>
      </c>
      <c r="I314" t="s">
        <v>39</v>
      </c>
      <c r="J314" t="s">
        <v>40</v>
      </c>
      <c r="K314" t="s">
        <v>41</v>
      </c>
      <c r="L314" t="s">
        <v>131</v>
      </c>
      <c r="M314" t="s">
        <v>73</v>
      </c>
      <c r="N314" t="s">
        <v>43</v>
      </c>
      <c r="O314" t="s">
        <v>123</v>
      </c>
      <c r="P314">
        <v>38</v>
      </c>
      <c r="Q314">
        <v>38</v>
      </c>
      <c r="R314">
        <v>11</v>
      </c>
      <c r="S314" t="s">
        <v>45</v>
      </c>
      <c r="T314">
        <v>0.01</v>
      </c>
      <c r="U314">
        <v>332</v>
      </c>
      <c r="V314" t="s">
        <v>55</v>
      </c>
      <c r="W314">
        <v>0.33100000000000002</v>
      </c>
      <c r="X314">
        <v>16001</v>
      </c>
      <c r="Y314" t="s">
        <v>47</v>
      </c>
      <c r="Z314">
        <v>16</v>
      </c>
      <c r="AA314">
        <v>328</v>
      </c>
      <c r="AB314" t="s">
        <v>47</v>
      </c>
      <c r="AC314">
        <v>0.32700000000000001</v>
      </c>
      <c r="AD314">
        <v>693</v>
      </c>
      <c r="AE314" t="s">
        <v>48</v>
      </c>
      <c r="AF314">
        <v>0.69199999999999995</v>
      </c>
      <c r="AG314">
        <v>486</v>
      </c>
      <c r="AH314" t="s">
        <v>57</v>
      </c>
      <c r="AI314">
        <v>0.48499999999999999</v>
      </c>
      <c r="AJ314" t="s">
        <v>50</v>
      </c>
    </row>
    <row r="315" spans="1:36" x14ac:dyDescent="0.25">
      <c r="A315" t="s">
        <v>1041</v>
      </c>
      <c r="B315">
        <v>855306250</v>
      </c>
      <c r="C315" t="s">
        <v>1042</v>
      </c>
      <c r="D315" t="s">
        <v>1042</v>
      </c>
      <c r="E315" t="s">
        <v>37</v>
      </c>
      <c r="F315" t="s">
        <v>71</v>
      </c>
      <c r="I315" t="s">
        <v>39</v>
      </c>
      <c r="J315" t="s">
        <v>40</v>
      </c>
      <c r="K315" t="s">
        <v>41</v>
      </c>
      <c r="L315" t="s">
        <v>131</v>
      </c>
      <c r="M315" t="s">
        <v>73</v>
      </c>
      <c r="N315" t="s">
        <v>43</v>
      </c>
      <c r="O315" t="s">
        <v>123</v>
      </c>
      <c r="P315">
        <v>38</v>
      </c>
      <c r="Q315">
        <v>38</v>
      </c>
      <c r="R315">
        <v>1</v>
      </c>
      <c r="S315" t="s">
        <v>45</v>
      </c>
      <c r="T315">
        <v>0</v>
      </c>
      <c r="U315">
        <v>652</v>
      </c>
      <c r="V315" t="s">
        <v>113</v>
      </c>
      <c r="W315">
        <v>0.65100000000000002</v>
      </c>
      <c r="X315">
        <v>16001</v>
      </c>
      <c r="Y315" t="s">
        <v>47</v>
      </c>
      <c r="Z315">
        <v>16</v>
      </c>
      <c r="AA315">
        <v>328</v>
      </c>
      <c r="AB315" t="s">
        <v>47</v>
      </c>
      <c r="AC315">
        <v>0.32700000000000001</v>
      </c>
      <c r="AD315">
        <v>693</v>
      </c>
      <c r="AE315" t="s">
        <v>48</v>
      </c>
      <c r="AF315">
        <v>0.69199999999999995</v>
      </c>
      <c r="AG315">
        <v>486</v>
      </c>
      <c r="AH315" t="s">
        <v>57</v>
      </c>
      <c r="AI315">
        <v>0.48499999999999999</v>
      </c>
      <c r="AJ315" t="s">
        <v>1141</v>
      </c>
    </row>
    <row r="316" spans="1:36" x14ac:dyDescent="0.25">
      <c r="A316" t="s">
        <v>1041</v>
      </c>
      <c r="B316">
        <v>855306250</v>
      </c>
      <c r="C316" t="s">
        <v>1042</v>
      </c>
      <c r="D316" t="s">
        <v>1042</v>
      </c>
      <c r="E316" t="s">
        <v>37</v>
      </c>
      <c r="F316" t="s">
        <v>71</v>
      </c>
      <c r="I316" t="s">
        <v>39</v>
      </c>
      <c r="J316" t="s">
        <v>40</v>
      </c>
      <c r="K316" t="s">
        <v>41</v>
      </c>
      <c r="L316" t="s">
        <v>131</v>
      </c>
      <c r="M316" t="s">
        <v>73</v>
      </c>
      <c r="N316" t="s">
        <v>43</v>
      </c>
      <c r="O316" t="s">
        <v>123</v>
      </c>
      <c r="P316">
        <v>38</v>
      </c>
      <c r="Q316">
        <v>38</v>
      </c>
      <c r="R316">
        <v>11</v>
      </c>
      <c r="S316" t="s">
        <v>45</v>
      </c>
      <c r="T316">
        <v>0.01</v>
      </c>
      <c r="U316">
        <v>332</v>
      </c>
      <c r="V316" t="s">
        <v>55</v>
      </c>
      <c r="W316">
        <v>0.33100000000000002</v>
      </c>
      <c r="X316">
        <v>16001</v>
      </c>
      <c r="Y316" t="s">
        <v>47</v>
      </c>
      <c r="Z316">
        <v>16</v>
      </c>
      <c r="AA316">
        <v>328</v>
      </c>
      <c r="AB316" t="s">
        <v>47</v>
      </c>
      <c r="AC316">
        <v>0.32700000000000001</v>
      </c>
      <c r="AD316">
        <v>693</v>
      </c>
      <c r="AE316" t="s">
        <v>48</v>
      </c>
      <c r="AF316">
        <v>0.69199999999999995</v>
      </c>
      <c r="AG316">
        <v>486</v>
      </c>
      <c r="AH316" t="s">
        <v>57</v>
      </c>
      <c r="AI316">
        <v>0.48499999999999999</v>
      </c>
      <c r="AJ316" t="s">
        <v>1153</v>
      </c>
    </row>
    <row r="317" spans="1:36" x14ac:dyDescent="0.25">
      <c r="A317" t="s">
        <v>1041</v>
      </c>
      <c r="B317">
        <v>855306250</v>
      </c>
      <c r="C317" t="s">
        <v>1042</v>
      </c>
      <c r="D317" t="s">
        <v>1042</v>
      </c>
      <c r="E317" t="s">
        <v>37</v>
      </c>
      <c r="F317" t="s">
        <v>71</v>
      </c>
      <c r="I317" t="s">
        <v>39</v>
      </c>
      <c r="J317" t="s">
        <v>40</v>
      </c>
      <c r="K317" t="s">
        <v>41</v>
      </c>
      <c r="L317" t="s">
        <v>131</v>
      </c>
      <c r="M317" t="s">
        <v>73</v>
      </c>
      <c r="N317" t="s">
        <v>43</v>
      </c>
      <c r="O317" t="s">
        <v>123</v>
      </c>
      <c r="P317">
        <v>38</v>
      </c>
      <c r="Q317">
        <v>38</v>
      </c>
      <c r="R317">
        <v>11</v>
      </c>
      <c r="S317" t="s">
        <v>45</v>
      </c>
      <c r="T317">
        <v>0.01</v>
      </c>
      <c r="U317">
        <v>332</v>
      </c>
      <c r="V317" t="s">
        <v>55</v>
      </c>
      <c r="W317">
        <v>0.33100000000000002</v>
      </c>
      <c r="X317">
        <v>16001</v>
      </c>
      <c r="Y317" t="s">
        <v>47</v>
      </c>
      <c r="Z317">
        <v>16</v>
      </c>
      <c r="AA317">
        <v>328</v>
      </c>
      <c r="AB317" t="s">
        <v>47</v>
      </c>
      <c r="AC317">
        <v>0.32700000000000001</v>
      </c>
      <c r="AD317">
        <v>693</v>
      </c>
      <c r="AE317" t="s">
        <v>48</v>
      </c>
      <c r="AF317">
        <v>0.69199999999999995</v>
      </c>
      <c r="AG317">
        <v>486</v>
      </c>
      <c r="AH317" t="s">
        <v>57</v>
      </c>
      <c r="AI317">
        <v>0.48499999999999999</v>
      </c>
      <c r="AJ317" t="s">
        <v>1154</v>
      </c>
    </row>
    <row r="318" spans="1:36" x14ac:dyDescent="0.25">
      <c r="A318" t="s">
        <v>1041</v>
      </c>
      <c r="B318">
        <v>855306250</v>
      </c>
      <c r="C318" t="s">
        <v>1042</v>
      </c>
      <c r="D318" t="s">
        <v>1042</v>
      </c>
      <c r="E318" t="s">
        <v>37</v>
      </c>
      <c r="F318" t="s">
        <v>71</v>
      </c>
      <c r="I318" t="s">
        <v>39</v>
      </c>
      <c r="J318" t="s">
        <v>40</v>
      </c>
      <c r="K318" t="s">
        <v>41</v>
      </c>
      <c r="L318" t="s">
        <v>131</v>
      </c>
      <c r="M318" t="s">
        <v>73</v>
      </c>
      <c r="N318" t="s">
        <v>43</v>
      </c>
      <c r="O318" t="s">
        <v>123</v>
      </c>
      <c r="P318">
        <v>38</v>
      </c>
      <c r="Q318">
        <v>38</v>
      </c>
      <c r="S318" t="s">
        <v>39</v>
      </c>
      <c r="V318" t="s">
        <v>39</v>
      </c>
      <c r="X318">
        <v>16001</v>
      </c>
      <c r="Y318" t="s">
        <v>47</v>
      </c>
      <c r="Z318">
        <v>16</v>
      </c>
      <c r="AA318">
        <v>328</v>
      </c>
      <c r="AB318" t="s">
        <v>47</v>
      </c>
      <c r="AC318">
        <v>0.32700000000000001</v>
      </c>
      <c r="AD318">
        <v>693</v>
      </c>
      <c r="AE318" t="s">
        <v>48</v>
      </c>
      <c r="AF318">
        <v>0.69199999999999995</v>
      </c>
      <c r="AG318">
        <v>486</v>
      </c>
      <c r="AH318" t="s">
        <v>57</v>
      </c>
      <c r="AI318">
        <v>0.48499999999999999</v>
      </c>
      <c r="AJ318" t="s">
        <v>1155</v>
      </c>
    </row>
    <row r="319" spans="1:36" x14ac:dyDescent="0.25">
      <c r="A319" t="s">
        <v>1041</v>
      </c>
      <c r="B319">
        <v>855306250</v>
      </c>
      <c r="C319" t="s">
        <v>1042</v>
      </c>
      <c r="D319" t="s">
        <v>1042</v>
      </c>
      <c r="E319" t="s">
        <v>37</v>
      </c>
      <c r="F319" t="s">
        <v>71</v>
      </c>
      <c r="I319" t="s">
        <v>39</v>
      </c>
      <c r="J319" t="s">
        <v>40</v>
      </c>
      <c r="K319" t="s">
        <v>41</v>
      </c>
      <c r="L319" t="s">
        <v>131</v>
      </c>
      <c r="M319" t="s">
        <v>73</v>
      </c>
      <c r="N319" t="s">
        <v>43</v>
      </c>
      <c r="O319" t="s">
        <v>123</v>
      </c>
      <c r="P319">
        <v>38</v>
      </c>
      <c r="Q319">
        <v>38</v>
      </c>
      <c r="S319" t="s">
        <v>39</v>
      </c>
      <c r="V319" t="s">
        <v>39</v>
      </c>
      <c r="X319">
        <v>16001</v>
      </c>
      <c r="Y319" t="s">
        <v>47</v>
      </c>
      <c r="Z319">
        <v>16</v>
      </c>
      <c r="AA319">
        <v>328</v>
      </c>
      <c r="AB319" t="s">
        <v>47</v>
      </c>
      <c r="AC319">
        <v>0.32700000000000001</v>
      </c>
      <c r="AD319">
        <v>693</v>
      </c>
      <c r="AE319" t="s">
        <v>48</v>
      </c>
      <c r="AF319">
        <v>0.69199999999999995</v>
      </c>
      <c r="AG319">
        <v>486</v>
      </c>
      <c r="AH319" t="s">
        <v>57</v>
      </c>
      <c r="AI319">
        <v>0.48499999999999999</v>
      </c>
      <c r="AJ319" t="s">
        <v>1156</v>
      </c>
    </row>
    <row r="320" spans="1:36" x14ac:dyDescent="0.25">
      <c r="A320" t="s">
        <v>1043</v>
      </c>
      <c r="B320">
        <v>856061326</v>
      </c>
      <c r="C320" t="s">
        <v>1044</v>
      </c>
      <c r="D320" t="s">
        <v>1044</v>
      </c>
      <c r="E320" t="s">
        <v>60</v>
      </c>
      <c r="F320" t="s">
        <v>229</v>
      </c>
      <c r="I320" t="s">
        <v>39</v>
      </c>
      <c r="J320" t="s">
        <v>40</v>
      </c>
      <c r="K320" t="s">
        <v>41</v>
      </c>
      <c r="L320" t="s">
        <v>118</v>
      </c>
      <c r="N320" t="s">
        <v>43</v>
      </c>
      <c r="O320" t="s">
        <v>446</v>
      </c>
      <c r="P320">
        <v>38</v>
      </c>
      <c r="Q320">
        <v>38</v>
      </c>
      <c r="R320">
        <v>111</v>
      </c>
      <c r="S320" t="s">
        <v>56</v>
      </c>
      <c r="T320">
        <v>0.11</v>
      </c>
      <c r="U320">
        <v>4</v>
      </c>
      <c r="V320" t="s">
        <v>55</v>
      </c>
      <c r="W320">
        <v>3.0000000000000001E-3</v>
      </c>
      <c r="X320">
        <v>1</v>
      </c>
      <c r="Y320" t="s">
        <v>47</v>
      </c>
      <c r="Z320">
        <v>0</v>
      </c>
      <c r="AA320">
        <v>305</v>
      </c>
      <c r="AB320" t="s">
        <v>47</v>
      </c>
      <c r="AC320">
        <v>0.30399999999999999</v>
      </c>
      <c r="AD320">
        <v>446</v>
      </c>
      <c r="AE320" t="s">
        <v>56</v>
      </c>
      <c r="AF320">
        <v>0.44500000000000001</v>
      </c>
      <c r="AG320">
        <v>324</v>
      </c>
      <c r="AH320" t="s">
        <v>57</v>
      </c>
      <c r="AI320">
        <v>0.32300000000000001</v>
      </c>
      <c r="AJ320" t="s">
        <v>50</v>
      </c>
    </row>
    <row r="321" spans="1:36" x14ac:dyDescent="0.25">
      <c r="A321" t="s">
        <v>1043</v>
      </c>
      <c r="B321">
        <v>856061326</v>
      </c>
      <c r="C321" t="s">
        <v>1044</v>
      </c>
      <c r="D321" t="s">
        <v>1044</v>
      </c>
      <c r="E321" t="s">
        <v>60</v>
      </c>
      <c r="F321" t="s">
        <v>229</v>
      </c>
      <c r="I321" t="s">
        <v>39</v>
      </c>
      <c r="J321" t="s">
        <v>40</v>
      </c>
      <c r="K321" t="s">
        <v>41</v>
      </c>
      <c r="L321" t="s">
        <v>118</v>
      </c>
      <c r="N321" t="s">
        <v>43</v>
      </c>
      <c r="O321" t="s">
        <v>446</v>
      </c>
      <c r="P321">
        <v>38</v>
      </c>
      <c r="Q321">
        <v>38</v>
      </c>
      <c r="R321">
        <v>121</v>
      </c>
      <c r="S321" t="s">
        <v>56</v>
      </c>
      <c r="T321">
        <v>0.12</v>
      </c>
      <c r="U321">
        <v>15</v>
      </c>
      <c r="V321" t="s">
        <v>55</v>
      </c>
      <c r="W321">
        <v>1.4E-2</v>
      </c>
      <c r="X321">
        <v>1</v>
      </c>
      <c r="Y321" t="s">
        <v>47</v>
      </c>
      <c r="Z321">
        <v>0</v>
      </c>
      <c r="AA321">
        <v>305</v>
      </c>
      <c r="AB321" t="s">
        <v>47</v>
      </c>
      <c r="AC321">
        <v>0.30399999999999999</v>
      </c>
      <c r="AD321">
        <v>446</v>
      </c>
      <c r="AE321" t="s">
        <v>56</v>
      </c>
      <c r="AF321">
        <v>0.44500000000000001</v>
      </c>
      <c r="AG321">
        <v>324</v>
      </c>
      <c r="AH321" t="s">
        <v>57</v>
      </c>
      <c r="AI321">
        <v>0.32300000000000001</v>
      </c>
      <c r="AJ321" t="s">
        <v>1141</v>
      </c>
    </row>
    <row r="322" spans="1:36" x14ac:dyDescent="0.25">
      <c r="A322" t="s">
        <v>1043</v>
      </c>
      <c r="B322">
        <v>856061326</v>
      </c>
      <c r="C322" t="s">
        <v>1044</v>
      </c>
      <c r="D322" t="s">
        <v>1044</v>
      </c>
      <c r="E322" t="s">
        <v>60</v>
      </c>
      <c r="F322" t="s">
        <v>229</v>
      </c>
      <c r="I322" t="s">
        <v>39</v>
      </c>
      <c r="J322" t="s">
        <v>40</v>
      </c>
      <c r="K322" t="s">
        <v>41</v>
      </c>
      <c r="L322" t="s">
        <v>118</v>
      </c>
      <c r="N322" t="s">
        <v>43</v>
      </c>
      <c r="O322" t="s">
        <v>446</v>
      </c>
      <c r="P322">
        <v>38</v>
      </c>
      <c r="Q322">
        <v>38</v>
      </c>
      <c r="R322">
        <v>111</v>
      </c>
      <c r="S322" t="s">
        <v>56</v>
      </c>
      <c r="T322">
        <v>0.11</v>
      </c>
      <c r="U322">
        <v>4</v>
      </c>
      <c r="V322" t="s">
        <v>55</v>
      </c>
      <c r="W322">
        <v>3.0000000000000001E-3</v>
      </c>
      <c r="X322">
        <v>1</v>
      </c>
      <c r="Y322" t="s">
        <v>47</v>
      </c>
      <c r="Z322">
        <v>0</v>
      </c>
      <c r="AA322">
        <v>305</v>
      </c>
      <c r="AB322" t="s">
        <v>47</v>
      </c>
      <c r="AC322">
        <v>0.30399999999999999</v>
      </c>
      <c r="AD322">
        <v>446</v>
      </c>
      <c r="AE322" t="s">
        <v>56</v>
      </c>
      <c r="AF322">
        <v>0.44500000000000001</v>
      </c>
      <c r="AG322">
        <v>324</v>
      </c>
      <c r="AH322" t="s">
        <v>57</v>
      </c>
      <c r="AI322">
        <v>0.32300000000000001</v>
      </c>
      <c r="AJ322" t="s">
        <v>1153</v>
      </c>
    </row>
    <row r="323" spans="1:36" x14ac:dyDescent="0.25">
      <c r="A323" t="s">
        <v>1043</v>
      </c>
      <c r="B323">
        <v>856061326</v>
      </c>
      <c r="C323" t="s">
        <v>1044</v>
      </c>
      <c r="D323" t="s">
        <v>1044</v>
      </c>
      <c r="E323" t="s">
        <v>60</v>
      </c>
      <c r="F323" t="s">
        <v>229</v>
      </c>
      <c r="I323" t="s">
        <v>39</v>
      </c>
      <c r="J323" t="s">
        <v>40</v>
      </c>
      <c r="K323" t="s">
        <v>41</v>
      </c>
      <c r="L323" t="s">
        <v>118</v>
      </c>
      <c r="N323" t="s">
        <v>43</v>
      </c>
      <c r="O323" t="s">
        <v>446</v>
      </c>
      <c r="P323">
        <v>38</v>
      </c>
      <c r="Q323">
        <v>38</v>
      </c>
      <c r="R323">
        <v>111</v>
      </c>
      <c r="S323" t="s">
        <v>56</v>
      </c>
      <c r="T323">
        <v>0.11</v>
      </c>
      <c r="U323">
        <v>4</v>
      </c>
      <c r="V323" t="s">
        <v>55</v>
      </c>
      <c r="W323">
        <v>3.0000000000000001E-3</v>
      </c>
      <c r="X323">
        <v>1</v>
      </c>
      <c r="Y323" t="s">
        <v>47</v>
      </c>
      <c r="Z323">
        <v>0</v>
      </c>
      <c r="AA323">
        <v>305</v>
      </c>
      <c r="AB323" t="s">
        <v>47</v>
      </c>
      <c r="AC323">
        <v>0.30399999999999999</v>
      </c>
      <c r="AD323">
        <v>446</v>
      </c>
      <c r="AE323" t="s">
        <v>56</v>
      </c>
      <c r="AF323">
        <v>0.44500000000000001</v>
      </c>
      <c r="AG323">
        <v>324</v>
      </c>
      <c r="AH323" t="s">
        <v>57</v>
      </c>
      <c r="AI323">
        <v>0.32300000000000001</v>
      </c>
      <c r="AJ323" t="s">
        <v>1154</v>
      </c>
    </row>
    <row r="324" spans="1:36" x14ac:dyDescent="0.25">
      <c r="A324" t="s">
        <v>1043</v>
      </c>
      <c r="B324">
        <v>856061326</v>
      </c>
      <c r="C324" t="s">
        <v>1044</v>
      </c>
      <c r="D324" t="s">
        <v>1044</v>
      </c>
      <c r="E324" t="s">
        <v>60</v>
      </c>
      <c r="F324" t="s">
        <v>229</v>
      </c>
      <c r="I324" t="s">
        <v>39</v>
      </c>
      <c r="J324" t="s">
        <v>40</v>
      </c>
      <c r="K324" t="s">
        <v>41</v>
      </c>
      <c r="L324" t="s">
        <v>118</v>
      </c>
      <c r="N324" t="s">
        <v>43</v>
      </c>
      <c r="O324" t="s">
        <v>446</v>
      </c>
      <c r="P324">
        <v>38</v>
      </c>
      <c r="Q324">
        <v>38</v>
      </c>
      <c r="S324" t="s">
        <v>39</v>
      </c>
      <c r="V324" t="s">
        <v>39</v>
      </c>
      <c r="X324">
        <v>1</v>
      </c>
      <c r="Y324" t="s">
        <v>47</v>
      </c>
      <c r="Z324">
        <v>0</v>
      </c>
      <c r="AA324">
        <v>305</v>
      </c>
      <c r="AB324" t="s">
        <v>47</v>
      </c>
      <c r="AC324">
        <v>0.30399999999999999</v>
      </c>
      <c r="AD324">
        <v>446</v>
      </c>
      <c r="AE324" t="s">
        <v>56</v>
      </c>
      <c r="AF324">
        <v>0.44500000000000001</v>
      </c>
      <c r="AG324">
        <v>324</v>
      </c>
      <c r="AH324" t="s">
        <v>57</v>
      </c>
      <c r="AI324">
        <v>0.32300000000000001</v>
      </c>
      <c r="AJ324" t="s">
        <v>1155</v>
      </c>
    </row>
    <row r="325" spans="1:36" x14ac:dyDescent="0.25">
      <c r="A325" t="s">
        <v>1043</v>
      </c>
      <c r="B325">
        <v>856061326</v>
      </c>
      <c r="C325" t="s">
        <v>1044</v>
      </c>
      <c r="D325" t="s">
        <v>1044</v>
      </c>
      <c r="E325" t="s">
        <v>60</v>
      </c>
      <c r="F325" t="s">
        <v>229</v>
      </c>
      <c r="I325" t="s">
        <v>39</v>
      </c>
      <c r="J325" t="s">
        <v>40</v>
      </c>
      <c r="K325" t="s">
        <v>41</v>
      </c>
      <c r="L325" t="s">
        <v>118</v>
      </c>
      <c r="N325" t="s">
        <v>43</v>
      </c>
      <c r="O325" t="s">
        <v>446</v>
      </c>
      <c r="P325">
        <v>38</v>
      </c>
      <c r="Q325">
        <v>38</v>
      </c>
      <c r="S325" t="s">
        <v>39</v>
      </c>
      <c r="V325" t="s">
        <v>39</v>
      </c>
      <c r="X325">
        <v>1</v>
      </c>
      <c r="Y325" t="s">
        <v>47</v>
      </c>
      <c r="Z325">
        <v>0</v>
      </c>
      <c r="AA325">
        <v>305</v>
      </c>
      <c r="AB325" t="s">
        <v>47</v>
      </c>
      <c r="AC325">
        <v>0.30399999999999999</v>
      </c>
      <c r="AD325">
        <v>446</v>
      </c>
      <c r="AE325" t="s">
        <v>56</v>
      </c>
      <c r="AF325">
        <v>0.44500000000000001</v>
      </c>
      <c r="AG325">
        <v>324</v>
      </c>
      <c r="AH325" t="s">
        <v>57</v>
      </c>
      <c r="AI325">
        <v>0.32300000000000001</v>
      </c>
      <c r="AJ325" t="s">
        <v>1156</v>
      </c>
    </row>
    <row r="326" spans="1:36" x14ac:dyDescent="0.25">
      <c r="A326" t="s">
        <v>1039</v>
      </c>
      <c r="B326">
        <v>852420990</v>
      </c>
      <c r="C326" t="s">
        <v>1040</v>
      </c>
      <c r="D326" t="s">
        <v>1040</v>
      </c>
      <c r="E326" t="s">
        <v>60</v>
      </c>
      <c r="F326" t="s">
        <v>61</v>
      </c>
      <c r="I326" t="s">
        <v>39</v>
      </c>
      <c r="J326" t="s">
        <v>40</v>
      </c>
      <c r="K326" t="s">
        <v>41</v>
      </c>
      <c r="L326" t="s">
        <v>101</v>
      </c>
      <c r="M326" t="s">
        <v>73</v>
      </c>
      <c r="N326" t="s">
        <v>43</v>
      </c>
      <c r="O326" t="s">
        <v>648</v>
      </c>
      <c r="P326">
        <v>39</v>
      </c>
      <c r="Q326">
        <v>39</v>
      </c>
      <c r="R326">
        <v>141</v>
      </c>
      <c r="S326" t="s">
        <v>56</v>
      </c>
      <c r="T326">
        <v>0.14000000000000001</v>
      </c>
      <c r="U326">
        <v>4</v>
      </c>
      <c r="V326" t="s">
        <v>55</v>
      </c>
      <c r="W326">
        <v>3.0000000000000001E-3</v>
      </c>
      <c r="X326">
        <v>1</v>
      </c>
      <c r="Y326" t="s">
        <v>47</v>
      </c>
      <c r="Z326">
        <v>0</v>
      </c>
      <c r="AA326">
        <v>290</v>
      </c>
      <c r="AB326" t="s">
        <v>47</v>
      </c>
      <c r="AC326">
        <v>0.28899999999999998</v>
      </c>
      <c r="AD326">
        <v>366</v>
      </c>
      <c r="AE326" t="s">
        <v>56</v>
      </c>
      <c r="AF326">
        <v>0.36499999999999999</v>
      </c>
      <c r="AG326">
        <v>428</v>
      </c>
      <c r="AH326" t="s">
        <v>57</v>
      </c>
      <c r="AI326">
        <v>0.42699999999999999</v>
      </c>
      <c r="AJ326" t="s">
        <v>50</v>
      </c>
    </row>
    <row r="327" spans="1:36" x14ac:dyDescent="0.25">
      <c r="A327" t="s">
        <v>1039</v>
      </c>
      <c r="B327">
        <v>852420990</v>
      </c>
      <c r="C327" t="s">
        <v>1040</v>
      </c>
      <c r="D327" t="s">
        <v>1040</v>
      </c>
      <c r="E327" t="s">
        <v>60</v>
      </c>
      <c r="F327" t="s">
        <v>61</v>
      </c>
      <c r="I327" t="s">
        <v>39</v>
      </c>
      <c r="J327" t="s">
        <v>40</v>
      </c>
      <c r="K327" t="s">
        <v>41</v>
      </c>
      <c r="L327" t="s">
        <v>101</v>
      </c>
      <c r="M327" t="s">
        <v>73</v>
      </c>
      <c r="N327" t="s">
        <v>43</v>
      </c>
      <c r="O327" t="s">
        <v>648</v>
      </c>
      <c r="P327">
        <v>39</v>
      </c>
      <c r="Q327">
        <v>39</v>
      </c>
      <c r="R327">
        <v>391</v>
      </c>
      <c r="S327" t="s">
        <v>56</v>
      </c>
      <c r="T327">
        <v>0.39</v>
      </c>
      <c r="U327">
        <v>16</v>
      </c>
      <c r="V327" t="s">
        <v>55</v>
      </c>
      <c r="W327">
        <v>1.4999999999999999E-2</v>
      </c>
      <c r="X327">
        <v>1</v>
      </c>
      <c r="Y327" t="s">
        <v>47</v>
      </c>
      <c r="Z327">
        <v>0</v>
      </c>
      <c r="AA327">
        <v>290</v>
      </c>
      <c r="AB327" t="s">
        <v>47</v>
      </c>
      <c r="AC327">
        <v>0.28899999999999998</v>
      </c>
      <c r="AD327">
        <v>366</v>
      </c>
      <c r="AE327" t="s">
        <v>56</v>
      </c>
      <c r="AF327">
        <v>0.36499999999999999</v>
      </c>
      <c r="AG327">
        <v>428</v>
      </c>
      <c r="AH327" t="s">
        <v>57</v>
      </c>
      <c r="AI327">
        <v>0.42699999999999999</v>
      </c>
      <c r="AJ327" t="s">
        <v>1141</v>
      </c>
    </row>
    <row r="328" spans="1:36" x14ac:dyDescent="0.25">
      <c r="A328" t="s">
        <v>1039</v>
      </c>
      <c r="B328">
        <v>852420990</v>
      </c>
      <c r="C328" t="s">
        <v>1040</v>
      </c>
      <c r="D328" t="s">
        <v>1040</v>
      </c>
      <c r="E328" t="s">
        <v>60</v>
      </c>
      <c r="F328" t="s">
        <v>61</v>
      </c>
      <c r="I328" t="s">
        <v>39</v>
      </c>
      <c r="J328" t="s">
        <v>40</v>
      </c>
      <c r="K328" t="s">
        <v>41</v>
      </c>
      <c r="L328" t="s">
        <v>101</v>
      </c>
      <c r="M328" t="s">
        <v>73</v>
      </c>
      <c r="N328" t="s">
        <v>43</v>
      </c>
      <c r="O328" t="s">
        <v>648</v>
      </c>
      <c r="P328">
        <v>39</v>
      </c>
      <c r="Q328">
        <v>39</v>
      </c>
      <c r="R328">
        <v>141</v>
      </c>
      <c r="S328" t="s">
        <v>56</v>
      </c>
      <c r="T328">
        <v>0.14000000000000001</v>
      </c>
      <c r="U328">
        <v>4</v>
      </c>
      <c r="V328" t="s">
        <v>55</v>
      </c>
      <c r="W328">
        <v>3.0000000000000001E-3</v>
      </c>
      <c r="X328">
        <v>1</v>
      </c>
      <c r="Y328" t="s">
        <v>47</v>
      </c>
      <c r="Z328">
        <v>0</v>
      </c>
      <c r="AA328">
        <v>290</v>
      </c>
      <c r="AB328" t="s">
        <v>47</v>
      </c>
      <c r="AC328">
        <v>0.28899999999999998</v>
      </c>
      <c r="AD328">
        <v>366</v>
      </c>
      <c r="AE328" t="s">
        <v>56</v>
      </c>
      <c r="AF328">
        <v>0.36499999999999999</v>
      </c>
      <c r="AG328">
        <v>428</v>
      </c>
      <c r="AH328" t="s">
        <v>57</v>
      </c>
      <c r="AI328">
        <v>0.42699999999999999</v>
      </c>
      <c r="AJ328" t="s">
        <v>1153</v>
      </c>
    </row>
    <row r="329" spans="1:36" x14ac:dyDescent="0.25">
      <c r="A329" t="s">
        <v>1039</v>
      </c>
      <c r="B329">
        <v>852420990</v>
      </c>
      <c r="C329" t="s">
        <v>1040</v>
      </c>
      <c r="D329" t="s">
        <v>1040</v>
      </c>
      <c r="E329" t="s">
        <v>60</v>
      </c>
      <c r="F329" t="s">
        <v>61</v>
      </c>
      <c r="I329" t="s">
        <v>39</v>
      </c>
      <c r="J329" t="s">
        <v>40</v>
      </c>
      <c r="K329" t="s">
        <v>41</v>
      </c>
      <c r="L329" t="s">
        <v>101</v>
      </c>
      <c r="M329" t="s">
        <v>73</v>
      </c>
      <c r="N329" t="s">
        <v>43</v>
      </c>
      <c r="O329" t="s">
        <v>648</v>
      </c>
      <c r="P329">
        <v>39</v>
      </c>
      <c r="Q329">
        <v>39</v>
      </c>
      <c r="R329">
        <v>141</v>
      </c>
      <c r="S329" t="s">
        <v>56</v>
      </c>
      <c r="T329">
        <v>0.14000000000000001</v>
      </c>
      <c r="U329">
        <v>4</v>
      </c>
      <c r="V329" t="s">
        <v>55</v>
      </c>
      <c r="W329">
        <v>3.0000000000000001E-3</v>
      </c>
      <c r="X329">
        <v>1</v>
      </c>
      <c r="Y329" t="s">
        <v>47</v>
      </c>
      <c r="Z329">
        <v>0</v>
      </c>
      <c r="AA329">
        <v>290</v>
      </c>
      <c r="AB329" t="s">
        <v>47</v>
      </c>
      <c r="AC329">
        <v>0.28899999999999998</v>
      </c>
      <c r="AD329">
        <v>366</v>
      </c>
      <c r="AE329" t="s">
        <v>56</v>
      </c>
      <c r="AF329">
        <v>0.36499999999999999</v>
      </c>
      <c r="AG329">
        <v>428</v>
      </c>
      <c r="AH329" t="s">
        <v>57</v>
      </c>
      <c r="AI329">
        <v>0.42699999999999999</v>
      </c>
      <c r="AJ329" t="s">
        <v>1154</v>
      </c>
    </row>
    <row r="330" spans="1:36" x14ac:dyDescent="0.25">
      <c r="A330" t="s">
        <v>1039</v>
      </c>
      <c r="B330">
        <v>852420990</v>
      </c>
      <c r="C330" t="s">
        <v>1040</v>
      </c>
      <c r="D330" t="s">
        <v>1040</v>
      </c>
      <c r="E330" t="s">
        <v>60</v>
      </c>
      <c r="F330" t="s">
        <v>61</v>
      </c>
      <c r="I330" t="s">
        <v>39</v>
      </c>
      <c r="J330" t="s">
        <v>40</v>
      </c>
      <c r="K330" t="s">
        <v>41</v>
      </c>
      <c r="L330" t="s">
        <v>101</v>
      </c>
      <c r="M330" t="s">
        <v>73</v>
      </c>
      <c r="N330" t="s">
        <v>43</v>
      </c>
      <c r="O330" t="s">
        <v>648</v>
      </c>
      <c r="P330">
        <v>39</v>
      </c>
      <c r="Q330">
        <v>39</v>
      </c>
      <c r="S330" t="s">
        <v>39</v>
      </c>
      <c r="V330" t="s">
        <v>39</v>
      </c>
      <c r="X330">
        <v>1</v>
      </c>
      <c r="Y330" t="s">
        <v>47</v>
      </c>
      <c r="Z330">
        <v>0</v>
      </c>
      <c r="AA330">
        <v>290</v>
      </c>
      <c r="AB330" t="s">
        <v>47</v>
      </c>
      <c r="AC330">
        <v>0.28899999999999998</v>
      </c>
      <c r="AD330">
        <v>366</v>
      </c>
      <c r="AE330" t="s">
        <v>56</v>
      </c>
      <c r="AF330">
        <v>0.36499999999999999</v>
      </c>
      <c r="AG330">
        <v>428</v>
      </c>
      <c r="AH330" t="s">
        <v>57</v>
      </c>
      <c r="AI330">
        <v>0.42699999999999999</v>
      </c>
      <c r="AJ330" t="s">
        <v>1155</v>
      </c>
    </row>
    <row r="331" spans="1:36" x14ac:dyDescent="0.25">
      <c r="A331" t="s">
        <v>1039</v>
      </c>
      <c r="B331">
        <v>852420990</v>
      </c>
      <c r="C331" t="s">
        <v>1040</v>
      </c>
      <c r="D331" t="s">
        <v>1040</v>
      </c>
      <c r="E331" t="s">
        <v>60</v>
      </c>
      <c r="F331" t="s">
        <v>61</v>
      </c>
      <c r="I331" t="s">
        <v>39</v>
      </c>
      <c r="J331" t="s">
        <v>40</v>
      </c>
      <c r="K331" t="s">
        <v>41</v>
      </c>
      <c r="L331" t="s">
        <v>101</v>
      </c>
      <c r="M331" t="s">
        <v>73</v>
      </c>
      <c r="N331" t="s">
        <v>43</v>
      </c>
      <c r="O331" t="s">
        <v>648</v>
      </c>
      <c r="P331">
        <v>39</v>
      </c>
      <c r="Q331">
        <v>39</v>
      </c>
      <c r="S331" t="s">
        <v>39</v>
      </c>
      <c r="V331" t="s">
        <v>39</v>
      </c>
      <c r="X331">
        <v>1</v>
      </c>
      <c r="Y331" t="s">
        <v>47</v>
      </c>
      <c r="Z331">
        <v>0</v>
      </c>
      <c r="AA331">
        <v>290</v>
      </c>
      <c r="AB331" t="s">
        <v>47</v>
      </c>
      <c r="AC331">
        <v>0.28899999999999998</v>
      </c>
      <c r="AD331">
        <v>366</v>
      </c>
      <c r="AE331" t="s">
        <v>56</v>
      </c>
      <c r="AF331">
        <v>0.36499999999999999</v>
      </c>
      <c r="AG331">
        <v>428</v>
      </c>
      <c r="AH331" t="s">
        <v>57</v>
      </c>
      <c r="AI331">
        <v>0.42699999999999999</v>
      </c>
      <c r="AJ331" t="s">
        <v>1156</v>
      </c>
    </row>
    <row r="332" spans="1:36" x14ac:dyDescent="0.25">
      <c r="A332" t="s">
        <v>1037</v>
      </c>
      <c r="B332">
        <v>852980605</v>
      </c>
      <c r="C332" t="s">
        <v>1038</v>
      </c>
      <c r="D332" t="s">
        <v>1038</v>
      </c>
      <c r="E332" t="s">
        <v>99</v>
      </c>
      <c r="F332" t="s">
        <v>143</v>
      </c>
      <c r="G332" t="s">
        <v>99</v>
      </c>
      <c r="H332">
        <v>1.9623199999999999E-4</v>
      </c>
      <c r="I332" t="s">
        <v>268</v>
      </c>
      <c r="J332" t="s">
        <v>40</v>
      </c>
      <c r="K332" t="s">
        <v>41</v>
      </c>
      <c r="L332" t="s">
        <v>313</v>
      </c>
      <c r="N332" t="s">
        <v>43</v>
      </c>
      <c r="O332" t="s">
        <v>336</v>
      </c>
      <c r="P332">
        <v>40</v>
      </c>
      <c r="Q332">
        <v>40</v>
      </c>
      <c r="R332">
        <v>241</v>
      </c>
      <c r="S332" t="s">
        <v>56</v>
      </c>
      <c r="T332">
        <v>0.24</v>
      </c>
      <c r="U332">
        <v>10</v>
      </c>
      <c r="V332" t="s">
        <v>55</v>
      </c>
      <c r="W332">
        <v>8.9999999999999993E-3</v>
      </c>
      <c r="X332">
        <v>7001</v>
      </c>
      <c r="Y332" t="s">
        <v>47</v>
      </c>
      <c r="Z332">
        <v>7</v>
      </c>
      <c r="AA332">
        <v>441</v>
      </c>
      <c r="AB332" t="s">
        <v>47</v>
      </c>
      <c r="AC332">
        <v>0.44</v>
      </c>
      <c r="AD332">
        <v>502</v>
      </c>
      <c r="AE332" t="s">
        <v>48</v>
      </c>
      <c r="AF332">
        <v>0.501</v>
      </c>
      <c r="AG332">
        <v>475</v>
      </c>
      <c r="AH332" t="s">
        <v>57</v>
      </c>
      <c r="AI332">
        <v>0.47399999999999998</v>
      </c>
      <c r="AJ332" t="s">
        <v>50</v>
      </c>
    </row>
    <row r="333" spans="1:36" x14ac:dyDescent="0.25">
      <c r="A333" t="s">
        <v>1037</v>
      </c>
      <c r="B333">
        <v>852980605</v>
      </c>
      <c r="C333" t="s">
        <v>1038</v>
      </c>
      <c r="D333" t="s">
        <v>1038</v>
      </c>
      <c r="E333" t="s">
        <v>99</v>
      </c>
      <c r="F333" t="s">
        <v>143</v>
      </c>
      <c r="G333" t="s">
        <v>99</v>
      </c>
      <c r="H333">
        <v>1.9623199999999999E-4</v>
      </c>
      <c r="I333" t="s">
        <v>268</v>
      </c>
      <c r="J333" t="s">
        <v>40</v>
      </c>
      <c r="K333" t="s">
        <v>41</v>
      </c>
      <c r="L333" t="s">
        <v>313</v>
      </c>
      <c r="N333" t="s">
        <v>43</v>
      </c>
      <c r="O333" t="s">
        <v>336</v>
      </c>
      <c r="P333">
        <v>40</v>
      </c>
      <c r="Q333">
        <v>40</v>
      </c>
      <c r="R333">
        <v>41</v>
      </c>
      <c r="S333" t="s">
        <v>45</v>
      </c>
      <c r="T333">
        <v>0.04</v>
      </c>
      <c r="U333">
        <v>13</v>
      </c>
      <c r="V333" t="s">
        <v>55</v>
      </c>
      <c r="W333">
        <v>1.2E-2</v>
      </c>
      <c r="X333">
        <v>7001</v>
      </c>
      <c r="Y333" t="s">
        <v>47</v>
      </c>
      <c r="Z333">
        <v>7</v>
      </c>
      <c r="AA333">
        <v>441</v>
      </c>
      <c r="AB333" t="s">
        <v>47</v>
      </c>
      <c r="AC333">
        <v>0.44</v>
      </c>
      <c r="AD333">
        <v>502</v>
      </c>
      <c r="AE333" t="s">
        <v>48</v>
      </c>
      <c r="AF333">
        <v>0.501</v>
      </c>
      <c r="AG333">
        <v>475</v>
      </c>
      <c r="AH333" t="s">
        <v>57</v>
      </c>
      <c r="AI333">
        <v>0.47399999999999998</v>
      </c>
      <c r="AJ333" t="s">
        <v>1141</v>
      </c>
    </row>
    <row r="334" spans="1:36" x14ac:dyDescent="0.25">
      <c r="A334" t="s">
        <v>1037</v>
      </c>
      <c r="B334">
        <v>852980605</v>
      </c>
      <c r="C334" t="s">
        <v>1038</v>
      </c>
      <c r="D334" t="s">
        <v>1038</v>
      </c>
      <c r="E334" t="s">
        <v>99</v>
      </c>
      <c r="F334" t="s">
        <v>143</v>
      </c>
      <c r="G334" t="s">
        <v>99</v>
      </c>
      <c r="H334">
        <v>1.9623199999999999E-4</v>
      </c>
      <c r="I334" t="s">
        <v>268</v>
      </c>
      <c r="J334" t="s">
        <v>40</v>
      </c>
      <c r="K334" t="s">
        <v>41</v>
      </c>
      <c r="L334" t="s">
        <v>313</v>
      </c>
      <c r="N334" t="s">
        <v>43</v>
      </c>
      <c r="O334" t="s">
        <v>336</v>
      </c>
      <c r="P334">
        <v>40</v>
      </c>
      <c r="Q334">
        <v>40</v>
      </c>
      <c r="R334">
        <v>241</v>
      </c>
      <c r="S334" t="s">
        <v>56</v>
      </c>
      <c r="T334">
        <v>0.24</v>
      </c>
      <c r="U334">
        <v>10</v>
      </c>
      <c r="V334" t="s">
        <v>55</v>
      </c>
      <c r="W334">
        <v>8.9999999999999993E-3</v>
      </c>
      <c r="X334">
        <v>7001</v>
      </c>
      <c r="Y334" t="s">
        <v>47</v>
      </c>
      <c r="Z334">
        <v>7</v>
      </c>
      <c r="AA334">
        <v>441</v>
      </c>
      <c r="AB334" t="s">
        <v>47</v>
      </c>
      <c r="AC334">
        <v>0.44</v>
      </c>
      <c r="AD334">
        <v>502</v>
      </c>
      <c r="AE334" t="s">
        <v>48</v>
      </c>
      <c r="AF334">
        <v>0.501</v>
      </c>
      <c r="AG334">
        <v>475</v>
      </c>
      <c r="AH334" t="s">
        <v>57</v>
      </c>
      <c r="AI334">
        <v>0.47399999999999998</v>
      </c>
      <c r="AJ334" t="s">
        <v>1153</v>
      </c>
    </row>
    <row r="335" spans="1:36" x14ac:dyDescent="0.25">
      <c r="A335" t="s">
        <v>1037</v>
      </c>
      <c r="B335">
        <v>852980605</v>
      </c>
      <c r="C335" t="s">
        <v>1038</v>
      </c>
      <c r="D335" t="s">
        <v>1038</v>
      </c>
      <c r="E335" t="s">
        <v>99</v>
      </c>
      <c r="F335" t="s">
        <v>143</v>
      </c>
      <c r="G335" t="s">
        <v>99</v>
      </c>
      <c r="H335">
        <v>1.9623199999999999E-4</v>
      </c>
      <c r="I335" t="s">
        <v>268</v>
      </c>
      <c r="J335" t="s">
        <v>40</v>
      </c>
      <c r="K335" t="s">
        <v>41</v>
      </c>
      <c r="L335" t="s">
        <v>313</v>
      </c>
      <c r="N335" t="s">
        <v>43</v>
      </c>
      <c r="O335" t="s">
        <v>336</v>
      </c>
      <c r="P335">
        <v>40</v>
      </c>
      <c r="Q335">
        <v>40</v>
      </c>
      <c r="R335">
        <v>241</v>
      </c>
      <c r="S335" t="s">
        <v>56</v>
      </c>
      <c r="T335">
        <v>0.24</v>
      </c>
      <c r="U335">
        <v>10</v>
      </c>
      <c r="V335" t="s">
        <v>55</v>
      </c>
      <c r="W335">
        <v>8.9999999999999993E-3</v>
      </c>
      <c r="X335">
        <v>7001</v>
      </c>
      <c r="Y335" t="s">
        <v>47</v>
      </c>
      <c r="Z335">
        <v>7</v>
      </c>
      <c r="AA335">
        <v>441</v>
      </c>
      <c r="AB335" t="s">
        <v>47</v>
      </c>
      <c r="AC335">
        <v>0.44</v>
      </c>
      <c r="AD335">
        <v>502</v>
      </c>
      <c r="AE335" t="s">
        <v>48</v>
      </c>
      <c r="AF335">
        <v>0.501</v>
      </c>
      <c r="AG335">
        <v>475</v>
      </c>
      <c r="AH335" t="s">
        <v>57</v>
      </c>
      <c r="AI335">
        <v>0.47399999999999998</v>
      </c>
      <c r="AJ335" t="s">
        <v>1154</v>
      </c>
    </row>
    <row r="336" spans="1:36" x14ac:dyDescent="0.25">
      <c r="A336" t="s">
        <v>1037</v>
      </c>
      <c r="B336">
        <v>852980605</v>
      </c>
      <c r="C336" t="s">
        <v>1038</v>
      </c>
      <c r="D336" t="s">
        <v>1038</v>
      </c>
      <c r="E336" t="s">
        <v>99</v>
      </c>
      <c r="F336" t="s">
        <v>143</v>
      </c>
      <c r="G336" t="s">
        <v>99</v>
      </c>
      <c r="H336">
        <v>1.9623199999999999E-4</v>
      </c>
      <c r="I336" t="s">
        <v>268</v>
      </c>
      <c r="J336" t="s">
        <v>40</v>
      </c>
      <c r="K336" t="s">
        <v>41</v>
      </c>
      <c r="L336" t="s">
        <v>313</v>
      </c>
      <c r="N336" t="s">
        <v>43</v>
      </c>
      <c r="O336" t="s">
        <v>336</v>
      </c>
      <c r="P336">
        <v>40</v>
      </c>
      <c r="Q336">
        <v>40</v>
      </c>
      <c r="S336" t="s">
        <v>39</v>
      </c>
      <c r="V336" t="s">
        <v>39</v>
      </c>
      <c r="X336">
        <v>7001</v>
      </c>
      <c r="Y336" t="s">
        <v>47</v>
      </c>
      <c r="Z336">
        <v>7</v>
      </c>
      <c r="AA336">
        <v>441</v>
      </c>
      <c r="AB336" t="s">
        <v>47</v>
      </c>
      <c r="AC336">
        <v>0.44</v>
      </c>
      <c r="AD336">
        <v>502</v>
      </c>
      <c r="AE336" t="s">
        <v>48</v>
      </c>
      <c r="AF336">
        <v>0.501</v>
      </c>
      <c r="AG336">
        <v>475</v>
      </c>
      <c r="AH336" t="s">
        <v>57</v>
      </c>
      <c r="AI336">
        <v>0.47399999999999998</v>
      </c>
      <c r="AJ336" t="s">
        <v>1155</v>
      </c>
    </row>
    <row r="337" spans="1:36" x14ac:dyDescent="0.25">
      <c r="A337" t="s">
        <v>1037</v>
      </c>
      <c r="B337">
        <v>852980605</v>
      </c>
      <c r="C337" t="s">
        <v>1038</v>
      </c>
      <c r="D337" t="s">
        <v>1038</v>
      </c>
      <c r="E337" t="s">
        <v>99</v>
      </c>
      <c r="F337" t="s">
        <v>143</v>
      </c>
      <c r="G337" t="s">
        <v>99</v>
      </c>
      <c r="H337">
        <v>1.9623199999999999E-4</v>
      </c>
      <c r="I337" t="s">
        <v>268</v>
      </c>
      <c r="J337" t="s">
        <v>40</v>
      </c>
      <c r="K337" t="s">
        <v>41</v>
      </c>
      <c r="L337" t="s">
        <v>313</v>
      </c>
      <c r="N337" t="s">
        <v>43</v>
      </c>
      <c r="O337" t="s">
        <v>336</v>
      </c>
      <c r="P337">
        <v>40</v>
      </c>
      <c r="Q337">
        <v>40</v>
      </c>
      <c r="S337" t="s">
        <v>39</v>
      </c>
      <c r="V337" t="s">
        <v>39</v>
      </c>
      <c r="X337">
        <v>7001</v>
      </c>
      <c r="Y337" t="s">
        <v>47</v>
      </c>
      <c r="Z337">
        <v>7</v>
      </c>
      <c r="AA337">
        <v>441</v>
      </c>
      <c r="AB337" t="s">
        <v>47</v>
      </c>
      <c r="AC337">
        <v>0.44</v>
      </c>
      <c r="AD337">
        <v>502</v>
      </c>
      <c r="AE337" t="s">
        <v>48</v>
      </c>
      <c r="AF337">
        <v>0.501</v>
      </c>
      <c r="AG337">
        <v>475</v>
      </c>
      <c r="AH337" t="s">
        <v>57</v>
      </c>
      <c r="AI337">
        <v>0.47399999999999998</v>
      </c>
      <c r="AJ337" t="s">
        <v>1156</v>
      </c>
    </row>
    <row r="338" spans="1:36" x14ac:dyDescent="0.25">
      <c r="A338" t="s">
        <v>1035</v>
      </c>
      <c r="B338">
        <v>881532753</v>
      </c>
      <c r="C338" t="s">
        <v>1036</v>
      </c>
      <c r="D338" t="s">
        <v>1036</v>
      </c>
      <c r="E338" t="s">
        <v>65</v>
      </c>
      <c r="F338" t="s">
        <v>66</v>
      </c>
      <c r="I338" t="s">
        <v>39</v>
      </c>
      <c r="J338" t="s">
        <v>40</v>
      </c>
      <c r="K338" t="s">
        <v>41</v>
      </c>
      <c r="L338" t="s">
        <v>89</v>
      </c>
      <c r="N338" t="s">
        <v>43</v>
      </c>
      <c r="O338" t="s">
        <v>835</v>
      </c>
      <c r="P338">
        <v>43</v>
      </c>
      <c r="Q338">
        <v>43</v>
      </c>
      <c r="R338">
        <v>71</v>
      </c>
      <c r="S338" t="s">
        <v>56</v>
      </c>
      <c r="T338">
        <v>7.0000000000000007E-2</v>
      </c>
      <c r="U338">
        <v>4</v>
      </c>
      <c r="V338" t="s">
        <v>55</v>
      </c>
      <c r="W338">
        <v>3.0000000000000001E-3</v>
      </c>
      <c r="X338">
        <v>9001</v>
      </c>
      <c r="Y338" t="s">
        <v>47</v>
      </c>
      <c r="Z338">
        <v>9</v>
      </c>
      <c r="AA338">
        <v>279</v>
      </c>
      <c r="AB338" t="s">
        <v>47</v>
      </c>
      <c r="AC338">
        <v>0.27800000000000002</v>
      </c>
      <c r="AD338">
        <v>364</v>
      </c>
      <c r="AE338" t="s">
        <v>56</v>
      </c>
      <c r="AF338">
        <v>0.36299999999999999</v>
      </c>
      <c r="AG338">
        <v>261</v>
      </c>
      <c r="AH338" t="s">
        <v>57</v>
      </c>
      <c r="AI338">
        <v>0.26</v>
      </c>
      <c r="AJ338" t="s">
        <v>50</v>
      </c>
    </row>
    <row r="339" spans="1:36" x14ac:dyDescent="0.25">
      <c r="A339" t="s">
        <v>1035</v>
      </c>
      <c r="B339">
        <v>881532753</v>
      </c>
      <c r="C339" t="s">
        <v>1036</v>
      </c>
      <c r="D339" t="s">
        <v>1036</v>
      </c>
      <c r="E339" t="s">
        <v>65</v>
      </c>
      <c r="F339" t="s">
        <v>66</v>
      </c>
      <c r="I339" t="s">
        <v>39</v>
      </c>
      <c r="J339" t="s">
        <v>40</v>
      </c>
      <c r="K339" t="s">
        <v>41</v>
      </c>
      <c r="L339" t="s">
        <v>89</v>
      </c>
      <c r="N339" t="s">
        <v>43</v>
      </c>
      <c r="O339" t="s">
        <v>835</v>
      </c>
      <c r="P339">
        <v>43</v>
      </c>
      <c r="Q339">
        <v>43</v>
      </c>
      <c r="R339">
        <v>51</v>
      </c>
      <c r="S339" t="s">
        <v>56</v>
      </c>
      <c r="T339">
        <v>0.05</v>
      </c>
      <c r="U339">
        <v>43</v>
      </c>
      <c r="V339" t="s">
        <v>55</v>
      </c>
      <c r="W339">
        <v>4.2000000000000003E-2</v>
      </c>
      <c r="X339">
        <v>9001</v>
      </c>
      <c r="Y339" t="s">
        <v>47</v>
      </c>
      <c r="Z339">
        <v>9</v>
      </c>
      <c r="AA339">
        <v>279</v>
      </c>
      <c r="AB339" t="s">
        <v>47</v>
      </c>
      <c r="AC339">
        <v>0.27800000000000002</v>
      </c>
      <c r="AD339">
        <v>364</v>
      </c>
      <c r="AE339" t="s">
        <v>56</v>
      </c>
      <c r="AF339">
        <v>0.36299999999999999</v>
      </c>
      <c r="AG339">
        <v>261</v>
      </c>
      <c r="AH339" t="s">
        <v>57</v>
      </c>
      <c r="AI339">
        <v>0.26</v>
      </c>
      <c r="AJ339" t="s">
        <v>1141</v>
      </c>
    </row>
    <row r="340" spans="1:36" x14ac:dyDescent="0.25">
      <c r="A340" t="s">
        <v>1035</v>
      </c>
      <c r="B340">
        <v>881532753</v>
      </c>
      <c r="C340" t="s">
        <v>1036</v>
      </c>
      <c r="D340" t="s">
        <v>1036</v>
      </c>
      <c r="E340" t="s">
        <v>65</v>
      </c>
      <c r="F340" t="s">
        <v>66</v>
      </c>
      <c r="I340" t="s">
        <v>39</v>
      </c>
      <c r="J340" t="s">
        <v>40</v>
      </c>
      <c r="K340" t="s">
        <v>41</v>
      </c>
      <c r="L340" t="s">
        <v>89</v>
      </c>
      <c r="N340" t="s">
        <v>43</v>
      </c>
      <c r="O340" t="s">
        <v>835</v>
      </c>
      <c r="P340">
        <v>43</v>
      </c>
      <c r="Q340">
        <v>43</v>
      </c>
      <c r="R340">
        <v>71</v>
      </c>
      <c r="S340" t="s">
        <v>56</v>
      </c>
      <c r="T340">
        <v>7.0000000000000007E-2</v>
      </c>
      <c r="U340">
        <v>4</v>
      </c>
      <c r="V340" t="s">
        <v>55</v>
      </c>
      <c r="W340">
        <v>3.0000000000000001E-3</v>
      </c>
      <c r="X340">
        <v>9001</v>
      </c>
      <c r="Y340" t="s">
        <v>47</v>
      </c>
      <c r="Z340">
        <v>9</v>
      </c>
      <c r="AA340">
        <v>279</v>
      </c>
      <c r="AB340" t="s">
        <v>47</v>
      </c>
      <c r="AC340">
        <v>0.27800000000000002</v>
      </c>
      <c r="AD340">
        <v>364</v>
      </c>
      <c r="AE340" t="s">
        <v>56</v>
      </c>
      <c r="AF340">
        <v>0.36299999999999999</v>
      </c>
      <c r="AG340">
        <v>261</v>
      </c>
      <c r="AH340" t="s">
        <v>57</v>
      </c>
      <c r="AI340">
        <v>0.26</v>
      </c>
      <c r="AJ340" t="s">
        <v>1153</v>
      </c>
    </row>
    <row r="341" spans="1:36" x14ac:dyDescent="0.25">
      <c r="A341" t="s">
        <v>1035</v>
      </c>
      <c r="B341">
        <v>881532753</v>
      </c>
      <c r="C341" t="s">
        <v>1036</v>
      </c>
      <c r="D341" t="s">
        <v>1036</v>
      </c>
      <c r="E341" t="s">
        <v>65</v>
      </c>
      <c r="F341" t="s">
        <v>66</v>
      </c>
      <c r="I341" t="s">
        <v>39</v>
      </c>
      <c r="J341" t="s">
        <v>40</v>
      </c>
      <c r="K341" t="s">
        <v>41</v>
      </c>
      <c r="L341" t="s">
        <v>89</v>
      </c>
      <c r="N341" t="s">
        <v>43</v>
      </c>
      <c r="O341" t="s">
        <v>835</v>
      </c>
      <c r="P341">
        <v>43</v>
      </c>
      <c r="Q341">
        <v>43</v>
      </c>
      <c r="R341">
        <v>71</v>
      </c>
      <c r="S341" t="s">
        <v>56</v>
      </c>
      <c r="T341">
        <v>7.0000000000000007E-2</v>
      </c>
      <c r="U341">
        <v>4</v>
      </c>
      <c r="V341" t="s">
        <v>55</v>
      </c>
      <c r="W341">
        <v>3.0000000000000001E-3</v>
      </c>
      <c r="X341">
        <v>9001</v>
      </c>
      <c r="Y341" t="s">
        <v>47</v>
      </c>
      <c r="Z341">
        <v>9</v>
      </c>
      <c r="AA341">
        <v>279</v>
      </c>
      <c r="AB341" t="s">
        <v>47</v>
      </c>
      <c r="AC341">
        <v>0.27800000000000002</v>
      </c>
      <c r="AD341">
        <v>364</v>
      </c>
      <c r="AE341" t="s">
        <v>56</v>
      </c>
      <c r="AF341">
        <v>0.36299999999999999</v>
      </c>
      <c r="AG341">
        <v>261</v>
      </c>
      <c r="AH341" t="s">
        <v>57</v>
      </c>
      <c r="AI341">
        <v>0.26</v>
      </c>
      <c r="AJ341" t="s">
        <v>1154</v>
      </c>
    </row>
    <row r="342" spans="1:36" x14ac:dyDescent="0.25">
      <c r="A342" t="s">
        <v>1035</v>
      </c>
      <c r="B342">
        <v>881532753</v>
      </c>
      <c r="C342" t="s">
        <v>1036</v>
      </c>
      <c r="D342" t="s">
        <v>1036</v>
      </c>
      <c r="E342" t="s">
        <v>65</v>
      </c>
      <c r="F342" t="s">
        <v>66</v>
      </c>
      <c r="I342" t="s">
        <v>39</v>
      </c>
      <c r="J342" t="s">
        <v>40</v>
      </c>
      <c r="K342" t="s">
        <v>41</v>
      </c>
      <c r="L342" t="s">
        <v>89</v>
      </c>
      <c r="N342" t="s">
        <v>43</v>
      </c>
      <c r="O342" t="s">
        <v>835</v>
      </c>
      <c r="P342">
        <v>43</v>
      </c>
      <c r="Q342">
        <v>43</v>
      </c>
      <c r="S342" t="s">
        <v>39</v>
      </c>
      <c r="V342" t="s">
        <v>39</v>
      </c>
      <c r="X342">
        <v>9001</v>
      </c>
      <c r="Y342" t="s">
        <v>47</v>
      </c>
      <c r="Z342">
        <v>9</v>
      </c>
      <c r="AA342">
        <v>279</v>
      </c>
      <c r="AB342" t="s">
        <v>47</v>
      </c>
      <c r="AC342">
        <v>0.27800000000000002</v>
      </c>
      <c r="AD342">
        <v>364</v>
      </c>
      <c r="AE342" t="s">
        <v>56</v>
      </c>
      <c r="AF342">
        <v>0.36299999999999999</v>
      </c>
      <c r="AG342">
        <v>261</v>
      </c>
      <c r="AH342" t="s">
        <v>57</v>
      </c>
      <c r="AI342">
        <v>0.26</v>
      </c>
      <c r="AJ342" t="s">
        <v>1155</v>
      </c>
    </row>
    <row r="343" spans="1:36" x14ac:dyDescent="0.25">
      <c r="A343" t="s">
        <v>1035</v>
      </c>
      <c r="B343">
        <v>881532753</v>
      </c>
      <c r="C343" t="s">
        <v>1036</v>
      </c>
      <c r="D343" t="s">
        <v>1036</v>
      </c>
      <c r="E343" t="s">
        <v>65</v>
      </c>
      <c r="F343" t="s">
        <v>66</v>
      </c>
      <c r="I343" t="s">
        <v>39</v>
      </c>
      <c r="J343" t="s">
        <v>40</v>
      </c>
      <c r="K343" t="s">
        <v>41</v>
      </c>
      <c r="L343" t="s">
        <v>89</v>
      </c>
      <c r="N343" t="s">
        <v>43</v>
      </c>
      <c r="O343" t="s">
        <v>835</v>
      </c>
      <c r="P343">
        <v>43</v>
      </c>
      <c r="Q343">
        <v>43</v>
      </c>
      <c r="S343" t="s">
        <v>39</v>
      </c>
      <c r="V343" t="s">
        <v>39</v>
      </c>
      <c r="X343">
        <v>9001</v>
      </c>
      <c r="Y343" t="s">
        <v>47</v>
      </c>
      <c r="Z343">
        <v>9</v>
      </c>
      <c r="AA343">
        <v>279</v>
      </c>
      <c r="AB343" t="s">
        <v>47</v>
      </c>
      <c r="AC343">
        <v>0.27800000000000002</v>
      </c>
      <c r="AD343">
        <v>364</v>
      </c>
      <c r="AE343" t="s">
        <v>56</v>
      </c>
      <c r="AF343">
        <v>0.36299999999999999</v>
      </c>
      <c r="AG343">
        <v>261</v>
      </c>
      <c r="AH343" t="s">
        <v>57</v>
      </c>
      <c r="AI343">
        <v>0.26</v>
      </c>
      <c r="AJ343" t="s">
        <v>1156</v>
      </c>
    </row>
    <row r="344" spans="1:36" x14ac:dyDescent="0.25">
      <c r="A344" t="s">
        <v>1033</v>
      </c>
      <c r="B344">
        <v>855533772</v>
      </c>
      <c r="C344" t="s">
        <v>1034</v>
      </c>
      <c r="D344" t="s">
        <v>1034</v>
      </c>
      <c r="E344" t="s">
        <v>99</v>
      </c>
      <c r="F344" t="s">
        <v>525</v>
      </c>
      <c r="I344" t="s">
        <v>39</v>
      </c>
      <c r="J344" t="s">
        <v>40</v>
      </c>
      <c r="K344" t="s">
        <v>41</v>
      </c>
      <c r="L344" t="s">
        <v>118</v>
      </c>
      <c r="N344" t="s">
        <v>43</v>
      </c>
      <c r="O344" t="s">
        <v>283</v>
      </c>
      <c r="P344">
        <v>43</v>
      </c>
      <c r="Q344">
        <v>43</v>
      </c>
      <c r="R344">
        <v>1001</v>
      </c>
      <c r="S344" t="s">
        <v>56</v>
      </c>
      <c r="T344">
        <v>1</v>
      </c>
      <c r="U344">
        <v>1</v>
      </c>
      <c r="V344" t="s">
        <v>55</v>
      </c>
      <c r="W344">
        <v>0</v>
      </c>
      <c r="X344">
        <v>1</v>
      </c>
      <c r="Y344" t="s">
        <v>47</v>
      </c>
      <c r="Z344">
        <v>0</v>
      </c>
      <c r="AA344">
        <v>258</v>
      </c>
      <c r="AB344" t="s">
        <v>47</v>
      </c>
      <c r="AC344">
        <v>0.25700000000000001</v>
      </c>
      <c r="AD344">
        <v>195</v>
      </c>
      <c r="AE344" t="s">
        <v>56</v>
      </c>
      <c r="AF344">
        <v>0.19400000000000001</v>
      </c>
      <c r="AG344">
        <v>13</v>
      </c>
      <c r="AH344" t="s">
        <v>103</v>
      </c>
      <c r="AI344">
        <v>1.2E-2</v>
      </c>
      <c r="AJ344" t="s">
        <v>50</v>
      </c>
    </row>
    <row r="345" spans="1:36" x14ac:dyDescent="0.25">
      <c r="A345" t="s">
        <v>1033</v>
      </c>
      <c r="B345">
        <v>855533772</v>
      </c>
      <c r="C345" t="s">
        <v>1034</v>
      </c>
      <c r="D345" t="s">
        <v>1034</v>
      </c>
      <c r="E345" t="s">
        <v>60</v>
      </c>
      <c r="F345" t="s">
        <v>525</v>
      </c>
      <c r="I345" t="s">
        <v>39</v>
      </c>
      <c r="J345" t="s">
        <v>40</v>
      </c>
      <c r="K345" t="s">
        <v>41</v>
      </c>
      <c r="L345" t="s">
        <v>118</v>
      </c>
      <c r="N345" t="s">
        <v>43</v>
      </c>
      <c r="O345" t="s">
        <v>283</v>
      </c>
      <c r="P345">
        <v>43</v>
      </c>
      <c r="Q345">
        <v>43</v>
      </c>
      <c r="R345">
        <v>1001</v>
      </c>
      <c r="S345" t="s">
        <v>56</v>
      </c>
      <c r="T345">
        <v>1</v>
      </c>
      <c r="U345">
        <v>1</v>
      </c>
      <c r="V345" t="s">
        <v>55</v>
      </c>
      <c r="W345">
        <v>0</v>
      </c>
      <c r="X345">
        <v>1</v>
      </c>
      <c r="Y345" t="s">
        <v>47</v>
      </c>
      <c r="Z345">
        <v>0</v>
      </c>
      <c r="AA345">
        <v>258</v>
      </c>
      <c r="AB345" t="s">
        <v>47</v>
      </c>
      <c r="AC345">
        <v>0.25700000000000001</v>
      </c>
      <c r="AD345">
        <v>195</v>
      </c>
      <c r="AE345" t="s">
        <v>56</v>
      </c>
      <c r="AF345">
        <v>0.19400000000000001</v>
      </c>
      <c r="AG345">
        <v>13</v>
      </c>
      <c r="AH345" t="s">
        <v>103</v>
      </c>
      <c r="AI345">
        <v>1.2E-2</v>
      </c>
      <c r="AJ345" t="s">
        <v>50</v>
      </c>
    </row>
    <row r="346" spans="1:36" x14ac:dyDescent="0.25">
      <c r="A346" t="s">
        <v>1033</v>
      </c>
      <c r="B346">
        <v>855533772</v>
      </c>
      <c r="C346" t="s">
        <v>1034</v>
      </c>
      <c r="D346" t="s">
        <v>1034</v>
      </c>
      <c r="E346" t="s">
        <v>99</v>
      </c>
      <c r="F346" t="s">
        <v>525</v>
      </c>
      <c r="I346" t="s">
        <v>39</v>
      </c>
      <c r="J346" t="s">
        <v>40</v>
      </c>
      <c r="K346" t="s">
        <v>41</v>
      </c>
      <c r="L346" t="s">
        <v>118</v>
      </c>
      <c r="N346" t="s">
        <v>43</v>
      </c>
      <c r="O346" t="s">
        <v>283</v>
      </c>
      <c r="P346">
        <v>43</v>
      </c>
      <c r="Q346">
        <v>43</v>
      </c>
      <c r="R346">
        <v>1001</v>
      </c>
      <c r="S346" t="s">
        <v>56</v>
      </c>
      <c r="T346">
        <v>1</v>
      </c>
      <c r="U346">
        <v>4</v>
      </c>
      <c r="V346" t="s">
        <v>55</v>
      </c>
      <c r="W346">
        <v>3.0000000000000001E-3</v>
      </c>
      <c r="X346">
        <v>1</v>
      </c>
      <c r="Y346" t="s">
        <v>47</v>
      </c>
      <c r="Z346">
        <v>0</v>
      </c>
      <c r="AA346">
        <v>258</v>
      </c>
      <c r="AB346" t="s">
        <v>47</v>
      </c>
      <c r="AC346">
        <v>0.25700000000000001</v>
      </c>
      <c r="AD346">
        <v>195</v>
      </c>
      <c r="AE346" t="s">
        <v>56</v>
      </c>
      <c r="AF346">
        <v>0.19400000000000001</v>
      </c>
      <c r="AG346">
        <v>13</v>
      </c>
      <c r="AH346" t="s">
        <v>103</v>
      </c>
      <c r="AI346">
        <v>1.2E-2</v>
      </c>
      <c r="AJ346" t="s">
        <v>1141</v>
      </c>
    </row>
    <row r="347" spans="1:36" x14ac:dyDescent="0.25">
      <c r="A347" t="s">
        <v>1033</v>
      </c>
      <c r="B347">
        <v>855533772</v>
      </c>
      <c r="C347" t="s">
        <v>1034</v>
      </c>
      <c r="D347" t="s">
        <v>1034</v>
      </c>
      <c r="E347" t="s">
        <v>60</v>
      </c>
      <c r="F347" t="s">
        <v>525</v>
      </c>
      <c r="I347" t="s">
        <v>39</v>
      </c>
      <c r="J347" t="s">
        <v>40</v>
      </c>
      <c r="K347" t="s">
        <v>41</v>
      </c>
      <c r="L347" t="s">
        <v>118</v>
      </c>
      <c r="N347" t="s">
        <v>43</v>
      </c>
      <c r="O347" t="s">
        <v>283</v>
      </c>
      <c r="P347">
        <v>43</v>
      </c>
      <c r="Q347">
        <v>43</v>
      </c>
      <c r="R347">
        <v>1001</v>
      </c>
      <c r="S347" t="s">
        <v>56</v>
      </c>
      <c r="T347">
        <v>1</v>
      </c>
      <c r="U347">
        <v>4</v>
      </c>
      <c r="V347" t="s">
        <v>55</v>
      </c>
      <c r="W347">
        <v>3.0000000000000001E-3</v>
      </c>
      <c r="X347">
        <v>1</v>
      </c>
      <c r="Y347" t="s">
        <v>47</v>
      </c>
      <c r="Z347">
        <v>0</v>
      </c>
      <c r="AA347">
        <v>258</v>
      </c>
      <c r="AB347" t="s">
        <v>47</v>
      </c>
      <c r="AC347">
        <v>0.25700000000000001</v>
      </c>
      <c r="AD347">
        <v>195</v>
      </c>
      <c r="AE347" t="s">
        <v>56</v>
      </c>
      <c r="AF347">
        <v>0.19400000000000001</v>
      </c>
      <c r="AG347">
        <v>13</v>
      </c>
      <c r="AH347" t="s">
        <v>103</v>
      </c>
      <c r="AI347">
        <v>1.2E-2</v>
      </c>
      <c r="AJ347" t="s">
        <v>1141</v>
      </c>
    </row>
    <row r="348" spans="1:36" x14ac:dyDescent="0.25">
      <c r="A348" t="s">
        <v>1033</v>
      </c>
      <c r="B348">
        <v>855533772</v>
      </c>
      <c r="C348" t="s">
        <v>1034</v>
      </c>
      <c r="D348" t="s">
        <v>1034</v>
      </c>
      <c r="E348" t="s">
        <v>99</v>
      </c>
      <c r="F348" t="s">
        <v>525</v>
      </c>
      <c r="I348" t="s">
        <v>39</v>
      </c>
      <c r="J348" t="s">
        <v>40</v>
      </c>
      <c r="K348" t="s">
        <v>41</v>
      </c>
      <c r="L348" t="s">
        <v>118</v>
      </c>
      <c r="N348" t="s">
        <v>43</v>
      </c>
      <c r="O348" t="s">
        <v>283</v>
      </c>
      <c r="P348">
        <v>43</v>
      </c>
      <c r="Q348">
        <v>43</v>
      </c>
      <c r="R348">
        <v>1001</v>
      </c>
      <c r="S348" t="s">
        <v>56</v>
      </c>
      <c r="T348">
        <v>1</v>
      </c>
      <c r="U348">
        <v>1</v>
      </c>
      <c r="V348" t="s">
        <v>55</v>
      </c>
      <c r="W348">
        <v>0</v>
      </c>
      <c r="X348">
        <v>1</v>
      </c>
      <c r="Y348" t="s">
        <v>47</v>
      </c>
      <c r="Z348">
        <v>0</v>
      </c>
      <c r="AA348">
        <v>258</v>
      </c>
      <c r="AB348" t="s">
        <v>47</v>
      </c>
      <c r="AC348">
        <v>0.25700000000000001</v>
      </c>
      <c r="AD348">
        <v>195</v>
      </c>
      <c r="AE348" t="s">
        <v>56</v>
      </c>
      <c r="AF348">
        <v>0.19400000000000001</v>
      </c>
      <c r="AG348">
        <v>13</v>
      </c>
      <c r="AH348" t="s">
        <v>103</v>
      </c>
      <c r="AI348">
        <v>1.2E-2</v>
      </c>
      <c r="AJ348" t="s">
        <v>1153</v>
      </c>
    </row>
    <row r="349" spans="1:36" x14ac:dyDescent="0.25">
      <c r="A349" t="s">
        <v>1033</v>
      </c>
      <c r="B349">
        <v>855533772</v>
      </c>
      <c r="C349" t="s">
        <v>1034</v>
      </c>
      <c r="D349" t="s">
        <v>1034</v>
      </c>
      <c r="E349" t="s">
        <v>60</v>
      </c>
      <c r="F349" t="s">
        <v>525</v>
      </c>
      <c r="I349" t="s">
        <v>39</v>
      </c>
      <c r="J349" t="s">
        <v>40</v>
      </c>
      <c r="K349" t="s">
        <v>41</v>
      </c>
      <c r="L349" t="s">
        <v>118</v>
      </c>
      <c r="N349" t="s">
        <v>43</v>
      </c>
      <c r="O349" t="s">
        <v>283</v>
      </c>
      <c r="P349">
        <v>43</v>
      </c>
      <c r="Q349">
        <v>43</v>
      </c>
      <c r="R349">
        <v>1001</v>
      </c>
      <c r="S349" t="s">
        <v>56</v>
      </c>
      <c r="T349">
        <v>1</v>
      </c>
      <c r="U349">
        <v>1</v>
      </c>
      <c r="V349" t="s">
        <v>55</v>
      </c>
      <c r="W349">
        <v>0</v>
      </c>
      <c r="X349">
        <v>1</v>
      </c>
      <c r="Y349" t="s">
        <v>47</v>
      </c>
      <c r="Z349">
        <v>0</v>
      </c>
      <c r="AA349">
        <v>258</v>
      </c>
      <c r="AB349" t="s">
        <v>47</v>
      </c>
      <c r="AC349">
        <v>0.25700000000000001</v>
      </c>
      <c r="AD349">
        <v>195</v>
      </c>
      <c r="AE349" t="s">
        <v>56</v>
      </c>
      <c r="AF349">
        <v>0.19400000000000001</v>
      </c>
      <c r="AG349">
        <v>13</v>
      </c>
      <c r="AH349" t="s">
        <v>103</v>
      </c>
      <c r="AI349">
        <v>1.2E-2</v>
      </c>
      <c r="AJ349" t="s">
        <v>1153</v>
      </c>
    </row>
    <row r="350" spans="1:36" x14ac:dyDescent="0.25">
      <c r="A350" t="s">
        <v>1033</v>
      </c>
      <c r="B350">
        <v>855533772</v>
      </c>
      <c r="C350" t="s">
        <v>1034</v>
      </c>
      <c r="D350" t="s">
        <v>1034</v>
      </c>
      <c r="E350" t="s">
        <v>99</v>
      </c>
      <c r="F350" t="s">
        <v>525</v>
      </c>
      <c r="I350" t="s">
        <v>39</v>
      </c>
      <c r="J350" t="s">
        <v>40</v>
      </c>
      <c r="K350" t="s">
        <v>41</v>
      </c>
      <c r="L350" t="s">
        <v>118</v>
      </c>
      <c r="N350" t="s">
        <v>43</v>
      </c>
      <c r="O350" t="s">
        <v>283</v>
      </c>
      <c r="P350">
        <v>43</v>
      </c>
      <c r="Q350">
        <v>43</v>
      </c>
      <c r="R350">
        <v>1001</v>
      </c>
      <c r="S350" t="s">
        <v>56</v>
      </c>
      <c r="T350">
        <v>1</v>
      </c>
      <c r="U350">
        <v>1</v>
      </c>
      <c r="V350" t="s">
        <v>55</v>
      </c>
      <c r="W350">
        <v>0</v>
      </c>
      <c r="X350">
        <v>1</v>
      </c>
      <c r="Y350" t="s">
        <v>47</v>
      </c>
      <c r="Z350">
        <v>0</v>
      </c>
      <c r="AA350">
        <v>258</v>
      </c>
      <c r="AB350" t="s">
        <v>47</v>
      </c>
      <c r="AC350">
        <v>0.25700000000000001</v>
      </c>
      <c r="AD350">
        <v>195</v>
      </c>
      <c r="AE350" t="s">
        <v>56</v>
      </c>
      <c r="AF350">
        <v>0.19400000000000001</v>
      </c>
      <c r="AG350">
        <v>13</v>
      </c>
      <c r="AH350" t="s">
        <v>103</v>
      </c>
      <c r="AI350">
        <v>1.2E-2</v>
      </c>
      <c r="AJ350" t="s">
        <v>1154</v>
      </c>
    </row>
    <row r="351" spans="1:36" x14ac:dyDescent="0.25">
      <c r="A351" t="s">
        <v>1033</v>
      </c>
      <c r="B351">
        <v>855533772</v>
      </c>
      <c r="C351" t="s">
        <v>1034</v>
      </c>
      <c r="D351" t="s">
        <v>1034</v>
      </c>
      <c r="E351" t="s">
        <v>60</v>
      </c>
      <c r="F351" t="s">
        <v>525</v>
      </c>
      <c r="I351" t="s">
        <v>39</v>
      </c>
      <c r="J351" t="s">
        <v>40</v>
      </c>
      <c r="K351" t="s">
        <v>41</v>
      </c>
      <c r="L351" t="s">
        <v>118</v>
      </c>
      <c r="N351" t="s">
        <v>43</v>
      </c>
      <c r="O351" t="s">
        <v>283</v>
      </c>
      <c r="P351">
        <v>43</v>
      </c>
      <c r="Q351">
        <v>43</v>
      </c>
      <c r="R351">
        <v>1001</v>
      </c>
      <c r="S351" t="s">
        <v>56</v>
      </c>
      <c r="T351">
        <v>1</v>
      </c>
      <c r="U351">
        <v>1</v>
      </c>
      <c r="V351" t="s">
        <v>55</v>
      </c>
      <c r="W351">
        <v>0</v>
      </c>
      <c r="X351">
        <v>1</v>
      </c>
      <c r="Y351" t="s">
        <v>47</v>
      </c>
      <c r="Z351">
        <v>0</v>
      </c>
      <c r="AA351">
        <v>258</v>
      </c>
      <c r="AB351" t="s">
        <v>47</v>
      </c>
      <c r="AC351">
        <v>0.25700000000000001</v>
      </c>
      <c r="AD351">
        <v>195</v>
      </c>
      <c r="AE351" t="s">
        <v>56</v>
      </c>
      <c r="AF351">
        <v>0.19400000000000001</v>
      </c>
      <c r="AG351">
        <v>13</v>
      </c>
      <c r="AH351" t="s">
        <v>103</v>
      </c>
      <c r="AI351">
        <v>1.2E-2</v>
      </c>
      <c r="AJ351" t="s">
        <v>1154</v>
      </c>
    </row>
    <row r="352" spans="1:36" x14ac:dyDescent="0.25">
      <c r="A352" t="s">
        <v>1033</v>
      </c>
      <c r="B352">
        <v>855533772</v>
      </c>
      <c r="C352" t="s">
        <v>1034</v>
      </c>
      <c r="D352" t="s">
        <v>1034</v>
      </c>
      <c r="E352" t="s">
        <v>99</v>
      </c>
      <c r="F352" t="s">
        <v>525</v>
      </c>
      <c r="I352" t="s">
        <v>39</v>
      </c>
      <c r="J352" t="s">
        <v>40</v>
      </c>
      <c r="K352" t="s">
        <v>41</v>
      </c>
      <c r="L352" t="s">
        <v>118</v>
      </c>
      <c r="N352" t="s">
        <v>43</v>
      </c>
      <c r="O352" t="s">
        <v>283</v>
      </c>
      <c r="P352">
        <v>43</v>
      </c>
      <c r="Q352">
        <v>43</v>
      </c>
      <c r="S352" t="s">
        <v>39</v>
      </c>
      <c r="V352" t="s">
        <v>39</v>
      </c>
      <c r="X352">
        <v>1</v>
      </c>
      <c r="Y352" t="s">
        <v>47</v>
      </c>
      <c r="Z352">
        <v>0</v>
      </c>
      <c r="AA352">
        <v>258</v>
      </c>
      <c r="AB352" t="s">
        <v>47</v>
      </c>
      <c r="AC352">
        <v>0.25700000000000001</v>
      </c>
      <c r="AD352">
        <v>195</v>
      </c>
      <c r="AE352" t="s">
        <v>56</v>
      </c>
      <c r="AF352">
        <v>0.19400000000000001</v>
      </c>
      <c r="AG352">
        <v>13</v>
      </c>
      <c r="AH352" t="s">
        <v>103</v>
      </c>
      <c r="AI352">
        <v>1.2E-2</v>
      </c>
      <c r="AJ352" t="s">
        <v>1155</v>
      </c>
    </row>
    <row r="353" spans="1:36" x14ac:dyDescent="0.25">
      <c r="A353" t="s">
        <v>1033</v>
      </c>
      <c r="B353">
        <v>855533772</v>
      </c>
      <c r="C353" t="s">
        <v>1034</v>
      </c>
      <c r="D353" t="s">
        <v>1034</v>
      </c>
      <c r="E353" t="s">
        <v>60</v>
      </c>
      <c r="F353" t="s">
        <v>525</v>
      </c>
      <c r="I353" t="s">
        <v>39</v>
      </c>
      <c r="J353" t="s">
        <v>40</v>
      </c>
      <c r="K353" t="s">
        <v>41</v>
      </c>
      <c r="L353" t="s">
        <v>118</v>
      </c>
      <c r="N353" t="s">
        <v>43</v>
      </c>
      <c r="O353" t="s">
        <v>283</v>
      </c>
      <c r="P353">
        <v>43</v>
      </c>
      <c r="Q353">
        <v>43</v>
      </c>
      <c r="S353" t="s">
        <v>39</v>
      </c>
      <c r="V353" t="s">
        <v>39</v>
      </c>
      <c r="X353">
        <v>1</v>
      </c>
      <c r="Y353" t="s">
        <v>47</v>
      </c>
      <c r="Z353">
        <v>0</v>
      </c>
      <c r="AA353">
        <v>258</v>
      </c>
      <c r="AB353" t="s">
        <v>47</v>
      </c>
      <c r="AC353">
        <v>0.25700000000000001</v>
      </c>
      <c r="AD353">
        <v>195</v>
      </c>
      <c r="AE353" t="s">
        <v>56</v>
      </c>
      <c r="AF353">
        <v>0.19400000000000001</v>
      </c>
      <c r="AG353">
        <v>13</v>
      </c>
      <c r="AH353" t="s">
        <v>103</v>
      </c>
      <c r="AI353">
        <v>1.2E-2</v>
      </c>
      <c r="AJ353" t="s">
        <v>1155</v>
      </c>
    </row>
    <row r="354" spans="1:36" x14ac:dyDescent="0.25">
      <c r="A354" t="s">
        <v>1033</v>
      </c>
      <c r="B354">
        <v>855533772</v>
      </c>
      <c r="C354" t="s">
        <v>1034</v>
      </c>
      <c r="D354" t="s">
        <v>1034</v>
      </c>
      <c r="E354" t="s">
        <v>99</v>
      </c>
      <c r="F354" t="s">
        <v>525</v>
      </c>
      <c r="I354" t="s">
        <v>39</v>
      </c>
      <c r="J354" t="s">
        <v>40</v>
      </c>
      <c r="K354" t="s">
        <v>41</v>
      </c>
      <c r="L354" t="s">
        <v>118</v>
      </c>
      <c r="N354" t="s">
        <v>43</v>
      </c>
      <c r="O354" t="s">
        <v>283</v>
      </c>
      <c r="P354">
        <v>43</v>
      </c>
      <c r="Q354">
        <v>43</v>
      </c>
      <c r="S354" t="s">
        <v>39</v>
      </c>
      <c r="V354" t="s">
        <v>39</v>
      </c>
      <c r="X354">
        <v>1</v>
      </c>
      <c r="Y354" t="s">
        <v>47</v>
      </c>
      <c r="Z354">
        <v>0</v>
      </c>
      <c r="AA354">
        <v>258</v>
      </c>
      <c r="AB354" t="s">
        <v>47</v>
      </c>
      <c r="AC354">
        <v>0.25700000000000001</v>
      </c>
      <c r="AD354">
        <v>195</v>
      </c>
      <c r="AE354" t="s">
        <v>56</v>
      </c>
      <c r="AF354">
        <v>0.19400000000000001</v>
      </c>
      <c r="AG354">
        <v>13</v>
      </c>
      <c r="AH354" t="s">
        <v>103</v>
      </c>
      <c r="AI354">
        <v>1.2E-2</v>
      </c>
      <c r="AJ354" t="s">
        <v>1156</v>
      </c>
    </row>
    <row r="355" spans="1:36" x14ac:dyDescent="0.25">
      <c r="A355" t="s">
        <v>1033</v>
      </c>
      <c r="B355">
        <v>855533772</v>
      </c>
      <c r="C355" t="s">
        <v>1034</v>
      </c>
      <c r="D355" t="s">
        <v>1034</v>
      </c>
      <c r="E355" t="s">
        <v>60</v>
      </c>
      <c r="F355" t="s">
        <v>525</v>
      </c>
      <c r="I355" t="s">
        <v>39</v>
      </c>
      <c r="J355" t="s">
        <v>40</v>
      </c>
      <c r="K355" t="s">
        <v>41</v>
      </c>
      <c r="L355" t="s">
        <v>118</v>
      </c>
      <c r="N355" t="s">
        <v>43</v>
      </c>
      <c r="O355" t="s">
        <v>283</v>
      </c>
      <c r="P355">
        <v>43</v>
      </c>
      <c r="Q355">
        <v>43</v>
      </c>
      <c r="S355" t="s">
        <v>39</v>
      </c>
      <c r="V355" t="s">
        <v>39</v>
      </c>
      <c r="X355">
        <v>1</v>
      </c>
      <c r="Y355" t="s">
        <v>47</v>
      </c>
      <c r="Z355">
        <v>0</v>
      </c>
      <c r="AA355">
        <v>258</v>
      </c>
      <c r="AB355" t="s">
        <v>47</v>
      </c>
      <c r="AC355">
        <v>0.25700000000000001</v>
      </c>
      <c r="AD355">
        <v>195</v>
      </c>
      <c r="AE355" t="s">
        <v>56</v>
      </c>
      <c r="AF355">
        <v>0.19400000000000001</v>
      </c>
      <c r="AG355">
        <v>13</v>
      </c>
      <c r="AH355" t="s">
        <v>103</v>
      </c>
      <c r="AI355">
        <v>1.2E-2</v>
      </c>
      <c r="AJ355" t="s">
        <v>1156</v>
      </c>
    </row>
    <row r="356" spans="1:36" x14ac:dyDescent="0.25">
      <c r="A356" t="s">
        <v>1031</v>
      </c>
      <c r="B356">
        <v>864063371</v>
      </c>
      <c r="C356" t="s">
        <v>1032</v>
      </c>
      <c r="D356" t="s">
        <v>1032</v>
      </c>
      <c r="E356" t="s">
        <v>60</v>
      </c>
      <c r="F356" t="s">
        <v>61</v>
      </c>
      <c r="I356" t="s">
        <v>39</v>
      </c>
      <c r="J356" t="s">
        <v>40</v>
      </c>
      <c r="K356" t="s">
        <v>41</v>
      </c>
      <c r="L356" t="s">
        <v>173</v>
      </c>
      <c r="N356" t="s">
        <v>43</v>
      </c>
      <c r="O356" t="s">
        <v>495</v>
      </c>
      <c r="P356">
        <v>44</v>
      </c>
      <c r="Q356">
        <v>44</v>
      </c>
      <c r="R356">
        <v>91</v>
      </c>
      <c r="S356" t="s">
        <v>56</v>
      </c>
      <c r="T356">
        <v>0.09</v>
      </c>
      <c r="U356">
        <v>8</v>
      </c>
      <c r="V356" t="s">
        <v>55</v>
      </c>
      <c r="W356">
        <v>7.0000000000000001E-3</v>
      </c>
      <c r="X356">
        <v>1</v>
      </c>
      <c r="Y356" t="s">
        <v>47</v>
      </c>
      <c r="Z356">
        <v>0</v>
      </c>
      <c r="AA356">
        <v>295</v>
      </c>
      <c r="AB356" t="s">
        <v>47</v>
      </c>
      <c r="AC356">
        <v>0.29399999999999998</v>
      </c>
      <c r="AD356">
        <v>375</v>
      </c>
      <c r="AE356" t="s">
        <v>56</v>
      </c>
      <c r="AF356">
        <v>0.374</v>
      </c>
      <c r="AG356">
        <v>321</v>
      </c>
      <c r="AH356" t="s">
        <v>57</v>
      </c>
      <c r="AI356">
        <v>0.32</v>
      </c>
      <c r="AJ356" t="s">
        <v>50</v>
      </c>
    </row>
    <row r="357" spans="1:36" x14ac:dyDescent="0.25">
      <c r="A357" t="s">
        <v>1031</v>
      </c>
      <c r="B357">
        <v>864063371</v>
      </c>
      <c r="C357" t="s">
        <v>1032</v>
      </c>
      <c r="D357" t="s">
        <v>1032</v>
      </c>
      <c r="E357" t="s">
        <v>60</v>
      </c>
      <c r="F357" t="s">
        <v>61</v>
      </c>
      <c r="I357" t="s">
        <v>39</v>
      </c>
      <c r="J357" t="s">
        <v>40</v>
      </c>
      <c r="K357" t="s">
        <v>41</v>
      </c>
      <c r="L357" t="s">
        <v>173</v>
      </c>
      <c r="N357" t="s">
        <v>43</v>
      </c>
      <c r="O357" t="s">
        <v>495</v>
      </c>
      <c r="P357">
        <v>44</v>
      </c>
      <c r="Q357">
        <v>44</v>
      </c>
      <c r="R357">
        <v>131</v>
      </c>
      <c r="S357" t="s">
        <v>56</v>
      </c>
      <c r="T357">
        <v>0.13</v>
      </c>
      <c r="U357">
        <v>13</v>
      </c>
      <c r="V357" t="s">
        <v>55</v>
      </c>
      <c r="W357">
        <v>1.2E-2</v>
      </c>
      <c r="X357">
        <v>1</v>
      </c>
      <c r="Y357" t="s">
        <v>47</v>
      </c>
      <c r="Z357">
        <v>0</v>
      </c>
      <c r="AA357">
        <v>295</v>
      </c>
      <c r="AB357" t="s">
        <v>47</v>
      </c>
      <c r="AC357">
        <v>0.29399999999999998</v>
      </c>
      <c r="AD357">
        <v>375</v>
      </c>
      <c r="AE357" t="s">
        <v>56</v>
      </c>
      <c r="AF357">
        <v>0.374</v>
      </c>
      <c r="AG357">
        <v>321</v>
      </c>
      <c r="AH357" t="s">
        <v>57</v>
      </c>
      <c r="AI357">
        <v>0.32</v>
      </c>
      <c r="AJ357" t="s">
        <v>1141</v>
      </c>
    </row>
    <row r="358" spans="1:36" x14ac:dyDescent="0.25">
      <c r="A358" t="s">
        <v>1031</v>
      </c>
      <c r="B358">
        <v>864063371</v>
      </c>
      <c r="C358" t="s">
        <v>1032</v>
      </c>
      <c r="D358" t="s">
        <v>1032</v>
      </c>
      <c r="E358" t="s">
        <v>60</v>
      </c>
      <c r="F358" t="s">
        <v>61</v>
      </c>
      <c r="I358" t="s">
        <v>39</v>
      </c>
      <c r="J358" t="s">
        <v>40</v>
      </c>
      <c r="K358" t="s">
        <v>41</v>
      </c>
      <c r="L358" t="s">
        <v>173</v>
      </c>
      <c r="N358" t="s">
        <v>43</v>
      </c>
      <c r="O358" t="s">
        <v>495</v>
      </c>
      <c r="P358">
        <v>44</v>
      </c>
      <c r="Q358">
        <v>44</v>
      </c>
      <c r="R358">
        <v>91</v>
      </c>
      <c r="S358" t="s">
        <v>56</v>
      </c>
      <c r="T358">
        <v>0.09</v>
      </c>
      <c r="U358">
        <v>8</v>
      </c>
      <c r="V358" t="s">
        <v>55</v>
      </c>
      <c r="W358">
        <v>7.0000000000000001E-3</v>
      </c>
      <c r="X358">
        <v>1</v>
      </c>
      <c r="Y358" t="s">
        <v>47</v>
      </c>
      <c r="Z358">
        <v>0</v>
      </c>
      <c r="AA358">
        <v>295</v>
      </c>
      <c r="AB358" t="s">
        <v>47</v>
      </c>
      <c r="AC358">
        <v>0.29399999999999998</v>
      </c>
      <c r="AD358">
        <v>375</v>
      </c>
      <c r="AE358" t="s">
        <v>56</v>
      </c>
      <c r="AF358">
        <v>0.374</v>
      </c>
      <c r="AG358">
        <v>321</v>
      </c>
      <c r="AH358" t="s">
        <v>57</v>
      </c>
      <c r="AI358">
        <v>0.32</v>
      </c>
      <c r="AJ358" t="s">
        <v>1153</v>
      </c>
    </row>
    <row r="359" spans="1:36" x14ac:dyDescent="0.25">
      <c r="A359" t="s">
        <v>1031</v>
      </c>
      <c r="B359">
        <v>864063371</v>
      </c>
      <c r="C359" t="s">
        <v>1032</v>
      </c>
      <c r="D359" t="s">
        <v>1032</v>
      </c>
      <c r="E359" t="s">
        <v>60</v>
      </c>
      <c r="F359" t="s">
        <v>61</v>
      </c>
      <c r="I359" t="s">
        <v>39</v>
      </c>
      <c r="J359" t="s">
        <v>40</v>
      </c>
      <c r="K359" t="s">
        <v>41</v>
      </c>
      <c r="L359" t="s">
        <v>173</v>
      </c>
      <c r="N359" t="s">
        <v>43</v>
      </c>
      <c r="O359" t="s">
        <v>495</v>
      </c>
      <c r="P359">
        <v>44</v>
      </c>
      <c r="Q359">
        <v>44</v>
      </c>
      <c r="R359">
        <v>91</v>
      </c>
      <c r="S359" t="s">
        <v>56</v>
      </c>
      <c r="T359">
        <v>0.09</v>
      </c>
      <c r="U359">
        <v>8</v>
      </c>
      <c r="V359" t="s">
        <v>55</v>
      </c>
      <c r="W359">
        <v>7.0000000000000001E-3</v>
      </c>
      <c r="X359">
        <v>1</v>
      </c>
      <c r="Y359" t="s">
        <v>47</v>
      </c>
      <c r="Z359">
        <v>0</v>
      </c>
      <c r="AA359">
        <v>295</v>
      </c>
      <c r="AB359" t="s">
        <v>47</v>
      </c>
      <c r="AC359">
        <v>0.29399999999999998</v>
      </c>
      <c r="AD359">
        <v>375</v>
      </c>
      <c r="AE359" t="s">
        <v>56</v>
      </c>
      <c r="AF359">
        <v>0.374</v>
      </c>
      <c r="AG359">
        <v>321</v>
      </c>
      <c r="AH359" t="s">
        <v>57</v>
      </c>
      <c r="AI359">
        <v>0.32</v>
      </c>
      <c r="AJ359" t="s">
        <v>1154</v>
      </c>
    </row>
    <row r="360" spans="1:36" x14ac:dyDescent="0.25">
      <c r="A360" t="s">
        <v>1031</v>
      </c>
      <c r="B360">
        <v>864063371</v>
      </c>
      <c r="C360" t="s">
        <v>1032</v>
      </c>
      <c r="D360" t="s">
        <v>1032</v>
      </c>
      <c r="E360" t="s">
        <v>60</v>
      </c>
      <c r="F360" t="s">
        <v>61</v>
      </c>
      <c r="I360" t="s">
        <v>39</v>
      </c>
      <c r="J360" t="s">
        <v>40</v>
      </c>
      <c r="K360" t="s">
        <v>41</v>
      </c>
      <c r="L360" t="s">
        <v>173</v>
      </c>
      <c r="N360" t="s">
        <v>43</v>
      </c>
      <c r="O360" t="s">
        <v>495</v>
      </c>
      <c r="P360">
        <v>44</v>
      </c>
      <c r="Q360">
        <v>44</v>
      </c>
      <c r="S360" t="s">
        <v>39</v>
      </c>
      <c r="V360" t="s">
        <v>39</v>
      </c>
      <c r="X360">
        <v>1</v>
      </c>
      <c r="Y360" t="s">
        <v>47</v>
      </c>
      <c r="Z360">
        <v>0</v>
      </c>
      <c r="AA360">
        <v>295</v>
      </c>
      <c r="AB360" t="s">
        <v>47</v>
      </c>
      <c r="AC360">
        <v>0.29399999999999998</v>
      </c>
      <c r="AD360">
        <v>375</v>
      </c>
      <c r="AE360" t="s">
        <v>56</v>
      </c>
      <c r="AF360">
        <v>0.374</v>
      </c>
      <c r="AG360">
        <v>321</v>
      </c>
      <c r="AH360" t="s">
        <v>57</v>
      </c>
      <c r="AI360">
        <v>0.32</v>
      </c>
      <c r="AJ360" t="s">
        <v>1155</v>
      </c>
    </row>
    <row r="361" spans="1:36" x14ac:dyDescent="0.25">
      <c r="A361" t="s">
        <v>1031</v>
      </c>
      <c r="B361">
        <v>864063371</v>
      </c>
      <c r="C361" t="s">
        <v>1032</v>
      </c>
      <c r="D361" t="s">
        <v>1032</v>
      </c>
      <c r="E361" t="s">
        <v>60</v>
      </c>
      <c r="F361" t="s">
        <v>61</v>
      </c>
      <c r="I361" t="s">
        <v>39</v>
      </c>
      <c r="J361" t="s">
        <v>40</v>
      </c>
      <c r="K361" t="s">
        <v>41</v>
      </c>
      <c r="L361" t="s">
        <v>173</v>
      </c>
      <c r="N361" t="s">
        <v>43</v>
      </c>
      <c r="O361" t="s">
        <v>495</v>
      </c>
      <c r="P361">
        <v>44</v>
      </c>
      <c r="Q361">
        <v>44</v>
      </c>
      <c r="S361" t="s">
        <v>39</v>
      </c>
      <c r="V361" t="s">
        <v>39</v>
      </c>
      <c r="X361">
        <v>1</v>
      </c>
      <c r="Y361" t="s">
        <v>47</v>
      </c>
      <c r="Z361">
        <v>0</v>
      </c>
      <c r="AA361">
        <v>295</v>
      </c>
      <c r="AB361" t="s">
        <v>47</v>
      </c>
      <c r="AC361">
        <v>0.29399999999999998</v>
      </c>
      <c r="AD361">
        <v>375</v>
      </c>
      <c r="AE361" t="s">
        <v>56</v>
      </c>
      <c r="AF361">
        <v>0.374</v>
      </c>
      <c r="AG361">
        <v>321</v>
      </c>
      <c r="AH361" t="s">
        <v>57</v>
      </c>
      <c r="AI361">
        <v>0.32</v>
      </c>
      <c r="AJ361" t="s">
        <v>1156</v>
      </c>
    </row>
    <row r="362" spans="1:36" x14ac:dyDescent="0.25">
      <c r="A362" t="s">
        <v>1029</v>
      </c>
      <c r="B362">
        <v>867399219</v>
      </c>
      <c r="C362" t="s">
        <v>1030</v>
      </c>
      <c r="D362" t="s">
        <v>1030</v>
      </c>
      <c r="E362" t="s">
        <v>60</v>
      </c>
      <c r="F362" t="s">
        <v>61</v>
      </c>
      <c r="I362" t="s">
        <v>39</v>
      </c>
      <c r="J362" t="s">
        <v>40</v>
      </c>
      <c r="K362" t="s">
        <v>41</v>
      </c>
      <c r="L362" t="s">
        <v>42</v>
      </c>
      <c r="N362" t="s">
        <v>43</v>
      </c>
      <c r="O362" t="s">
        <v>119</v>
      </c>
      <c r="P362">
        <v>45</v>
      </c>
      <c r="Q362">
        <v>45</v>
      </c>
      <c r="R362">
        <v>111</v>
      </c>
      <c r="S362" t="s">
        <v>56</v>
      </c>
      <c r="T362">
        <v>0.11</v>
      </c>
      <c r="U362">
        <v>2</v>
      </c>
      <c r="V362" t="s">
        <v>55</v>
      </c>
      <c r="W362">
        <v>1E-3</v>
      </c>
      <c r="X362">
        <v>1001</v>
      </c>
      <c r="Y362" t="s">
        <v>47</v>
      </c>
      <c r="Z362">
        <v>1</v>
      </c>
      <c r="AA362">
        <v>264</v>
      </c>
      <c r="AB362" t="s">
        <v>47</v>
      </c>
      <c r="AC362">
        <v>0.26300000000000001</v>
      </c>
      <c r="AD362">
        <v>450</v>
      </c>
      <c r="AE362" t="s">
        <v>56</v>
      </c>
      <c r="AF362">
        <v>0.44900000000000001</v>
      </c>
      <c r="AG362">
        <v>453</v>
      </c>
      <c r="AH362" t="s">
        <v>57</v>
      </c>
      <c r="AI362">
        <v>0.45200000000000001</v>
      </c>
      <c r="AJ362" t="s">
        <v>50</v>
      </c>
    </row>
    <row r="363" spans="1:36" x14ac:dyDescent="0.25">
      <c r="A363" t="s">
        <v>1029</v>
      </c>
      <c r="B363">
        <v>867399219</v>
      </c>
      <c r="C363" t="s">
        <v>1030</v>
      </c>
      <c r="D363" t="s">
        <v>1030</v>
      </c>
      <c r="E363" t="s">
        <v>60</v>
      </c>
      <c r="F363" t="s">
        <v>61</v>
      </c>
      <c r="I363" t="s">
        <v>39</v>
      </c>
      <c r="J363" t="s">
        <v>40</v>
      </c>
      <c r="K363" t="s">
        <v>41</v>
      </c>
      <c r="L363" t="s">
        <v>42</v>
      </c>
      <c r="N363" t="s">
        <v>43</v>
      </c>
      <c r="O363" t="s">
        <v>119</v>
      </c>
      <c r="P363">
        <v>45</v>
      </c>
      <c r="Q363">
        <v>45</v>
      </c>
      <c r="R363">
        <v>191</v>
      </c>
      <c r="S363" t="s">
        <v>56</v>
      </c>
      <c r="T363">
        <v>0.19</v>
      </c>
      <c r="U363">
        <v>10</v>
      </c>
      <c r="V363" t="s">
        <v>55</v>
      </c>
      <c r="W363">
        <v>8.9999999999999993E-3</v>
      </c>
      <c r="X363">
        <v>1001</v>
      </c>
      <c r="Y363" t="s">
        <v>47</v>
      </c>
      <c r="Z363">
        <v>1</v>
      </c>
      <c r="AA363">
        <v>264</v>
      </c>
      <c r="AB363" t="s">
        <v>47</v>
      </c>
      <c r="AC363">
        <v>0.26300000000000001</v>
      </c>
      <c r="AD363">
        <v>450</v>
      </c>
      <c r="AE363" t="s">
        <v>56</v>
      </c>
      <c r="AF363">
        <v>0.44900000000000001</v>
      </c>
      <c r="AG363">
        <v>453</v>
      </c>
      <c r="AH363" t="s">
        <v>57</v>
      </c>
      <c r="AI363">
        <v>0.45200000000000001</v>
      </c>
      <c r="AJ363" t="s">
        <v>1141</v>
      </c>
    </row>
    <row r="364" spans="1:36" x14ac:dyDescent="0.25">
      <c r="A364" t="s">
        <v>1029</v>
      </c>
      <c r="B364">
        <v>867399219</v>
      </c>
      <c r="C364" t="s">
        <v>1030</v>
      </c>
      <c r="D364" t="s">
        <v>1030</v>
      </c>
      <c r="E364" t="s">
        <v>60</v>
      </c>
      <c r="F364" t="s">
        <v>61</v>
      </c>
      <c r="I364" t="s">
        <v>39</v>
      </c>
      <c r="J364" t="s">
        <v>40</v>
      </c>
      <c r="K364" t="s">
        <v>41</v>
      </c>
      <c r="L364" t="s">
        <v>42</v>
      </c>
      <c r="N364" t="s">
        <v>43</v>
      </c>
      <c r="O364" t="s">
        <v>119</v>
      </c>
      <c r="P364">
        <v>45</v>
      </c>
      <c r="Q364">
        <v>45</v>
      </c>
      <c r="R364">
        <v>111</v>
      </c>
      <c r="S364" t="s">
        <v>56</v>
      </c>
      <c r="T364">
        <v>0.11</v>
      </c>
      <c r="U364">
        <v>2</v>
      </c>
      <c r="V364" t="s">
        <v>55</v>
      </c>
      <c r="W364">
        <v>1E-3</v>
      </c>
      <c r="X364">
        <v>1001</v>
      </c>
      <c r="Y364" t="s">
        <v>47</v>
      </c>
      <c r="Z364">
        <v>1</v>
      </c>
      <c r="AA364">
        <v>264</v>
      </c>
      <c r="AB364" t="s">
        <v>47</v>
      </c>
      <c r="AC364">
        <v>0.26300000000000001</v>
      </c>
      <c r="AD364">
        <v>450</v>
      </c>
      <c r="AE364" t="s">
        <v>56</v>
      </c>
      <c r="AF364">
        <v>0.44900000000000001</v>
      </c>
      <c r="AG364">
        <v>453</v>
      </c>
      <c r="AH364" t="s">
        <v>57</v>
      </c>
      <c r="AI364">
        <v>0.45200000000000001</v>
      </c>
      <c r="AJ364" t="s">
        <v>1153</v>
      </c>
    </row>
    <row r="365" spans="1:36" x14ac:dyDescent="0.25">
      <c r="A365" t="s">
        <v>1029</v>
      </c>
      <c r="B365">
        <v>867399219</v>
      </c>
      <c r="C365" t="s">
        <v>1030</v>
      </c>
      <c r="D365" t="s">
        <v>1030</v>
      </c>
      <c r="E365" t="s">
        <v>60</v>
      </c>
      <c r="F365" t="s">
        <v>61</v>
      </c>
      <c r="I365" t="s">
        <v>39</v>
      </c>
      <c r="J365" t="s">
        <v>40</v>
      </c>
      <c r="K365" t="s">
        <v>41</v>
      </c>
      <c r="L365" t="s">
        <v>42</v>
      </c>
      <c r="N365" t="s">
        <v>43</v>
      </c>
      <c r="O365" t="s">
        <v>119</v>
      </c>
      <c r="P365">
        <v>45</v>
      </c>
      <c r="Q365">
        <v>45</v>
      </c>
      <c r="R365">
        <v>111</v>
      </c>
      <c r="S365" t="s">
        <v>56</v>
      </c>
      <c r="T365">
        <v>0.11</v>
      </c>
      <c r="U365">
        <v>2</v>
      </c>
      <c r="V365" t="s">
        <v>55</v>
      </c>
      <c r="W365">
        <v>1E-3</v>
      </c>
      <c r="X365">
        <v>1001</v>
      </c>
      <c r="Y365" t="s">
        <v>47</v>
      </c>
      <c r="Z365">
        <v>1</v>
      </c>
      <c r="AA365">
        <v>264</v>
      </c>
      <c r="AB365" t="s">
        <v>47</v>
      </c>
      <c r="AC365">
        <v>0.26300000000000001</v>
      </c>
      <c r="AD365">
        <v>450</v>
      </c>
      <c r="AE365" t="s">
        <v>56</v>
      </c>
      <c r="AF365">
        <v>0.44900000000000001</v>
      </c>
      <c r="AG365">
        <v>453</v>
      </c>
      <c r="AH365" t="s">
        <v>57</v>
      </c>
      <c r="AI365">
        <v>0.45200000000000001</v>
      </c>
      <c r="AJ365" t="s">
        <v>1154</v>
      </c>
    </row>
    <row r="366" spans="1:36" x14ac:dyDescent="0.25">
      <c r="A366" t="s">
        <v>1029</v>
      </c>
      <c r="B366">
        <v>867399219</v>
      </c>
      <c r="C366" t="s">
        <v>1030</v>
      </c>
      <c r="D366" t="s">
        <v>1030</v>
      </c>
      <c r="E366" t="s">
        <v>60</v>
      </c>
      <c r="F366" t="s">
        <v>61</v>
      </c>
      <c r="I366" t="s">
        <v>39</v>
      </c>
      <c r="J366" t="s">
        <v>40</v>
      </c>
      <c r="K366" t="s">
        <v>41</v>
      </c>
      <c r="L366" t="s">
        <v>42</v>
      </c>
      <c r="N366" t="s">
        <v>43</v>
      </c>
      <c r="O366" t="s">
        <v>119</v>
      </c>
      <c r="P366">
        <v>45</v>
      </c>
      <c r="Q366">
        <v>45</v>
      </c>
      <c r="S366" t="s">
        <v>39</v>
      </c>
      <c r="V366" t="s">
        <v>39</v>
      </c>
      <c r="X366">
        <v>1001</v>
      </c>
      <c r="Y366" t="s">
        <v>47</v>
      </c>
      <c r="Z366">
        <v>1</v>
      </c>
      <c r="AA366">
        <v>264</v>
      </c>
      <c r="AB366" t="s">
        <v>47</v>
      </c>
      <c r="AC366">
        <v>0.26300000000000001</v>
      </c>
      <c r="AD366">
        <v>450</v>
      </c>
      <c r="AE366" t="s">
        <v>56</v>
      </c>
      <c r="AF366">
        <v>0.44900000000000001</v>
      </c>
      <c r="AG366">
        <v>453</v>
      </c>
      <c r="AH366" t="s">
        <v>57</v>
      </c>
      <c r="AI366">
        <v>0.45200000000000001</v>
      </c>
      <c r="AJ366" t="s">
        <v>1155</v>
      </c>
    </row>
    <row r="367" spans="1:36" x14ac:dyDescent="0.25">
      <c r="A367" t="s">
        <v>1029</v>
      </c>
      <c r="B367">
        <v>867399219</v>
      </c>
      <c r="C367" t="s">
        <v>1030</v>
      </c>
      <c r="D367" t="s">
        <v>1030</v>
      </c>
      <c r="E367" t="s">
        <v>60</v>
      </c>
      <c r="F367" t="s">
        <v>61</v>
      </c>
      <c r="I367" t="s">
        <v>39</v>
      </c>
      <c r="J367" t="s">
        <v>40</v>
      </c>
      <c r="K367" t="s">
        <v>41</v>
      </c>
      <c r="L367" t="s">
        <v>42</v>
      </c>
      <c r="N367" t="s">
        <v>43</v>
      </c>
      <c r="O367" t="s">
        <v>119</v>
      </c>
      <c r="P367">
        <v>45</v>
      </c>
      <c r="Q367">
        <v>45</v>
      </c>
      <c r="S367" t="s">
        <v>39</v>
      </c>
      <c r="V367" t="s">
        <v>39</v>
      </c>
      <c r="X367">
        <v>1001</v>
      </c>
      <c r="Y367" t="s">
        <v>47</v>
      </c>
      <c r="Z367">
        <v>1</v>
      </c>
      <c r="AA367">
        <v>264</v>
      </c>
      <c r="AB367" t="s">
        <v>47</v>
      </c>
      <c r="AC367">
        <v>0.26300000000000001</v>
      </c>
      <c r="AD367">
        <v>450</v>
      </c>
      <c r="AE367" t="s">
        <v>56</v>
      </c>
      <c r="AF367">
        <v>0.44900000000000001</v>
      </c>
      <c r="AG367">
        <v>453</v>
      </c>
      <c r="AH367" t="s">
        <v>57</v>
      </c>
      <c r="AI367">
        <v>0.45200000000000001</v>
      </c>
      <c r="AJ367" t="s">
        <v>1156</v>
      </c>
    </row>
    <row r="368" spans="1:36" x14ac:dyDescent="0.25">
      <c r="A368" t="s">
        <v>1027</v>
      </c>
      <c r="B368">
        <v>855712452</v>
      </c>
      <c r="C368" t="s">
        <v>1028</v>
      </c>
      <c r="D368" t="s">
        <v>1028</v>
      </c>
      <c r="E368" t="s">
        <v>37</v>
      </c>
      <c r="F368" t="s">
        <v>71</v>
      </c>
      <c r="I368" t="s">
        <v>39</v>
      </c>
      <c r="J368" t="s">
        <v>40</v>
      </c>
      <c r="K368" t="s">
        <v>41</v>
      </c>
      <c r="L368" t="s">
        <v>118</v>
      </c>
      <c r="N368" t="s">
        <v>43</v>
      </c>
      <c r="O368" t="s">
        <v>74</v>
      </c>
      <c r="P368">
        <v>45</v>
      </c>
      <c r="Q368">
        <v>45</v>
      </c>
      <c r="R368">
        <v>331</v>
      </c>
      <c r="S368" t="s">
        <v>56</v>
      </c>
      <c r="T368">
        <v>0.33</v>
      </c>
      <c r="U368">
        <v>1</v>
      </c>
      <c r="V368" t="s">
        <v>55</v>
      </c>
      <c r="W368">
        <v>0</v>
      </c>
      <c r="X368">
        <v>1</v>
      </c>
      <c r="Y368" t="s">
        <v>47</v>
      </c>
      <c r="Z368">
        <v>0</v>
      </c>
      <c r="AA368">
        <v>271</v>
      </c>
      <c r="AB368" t="s">
        <v>47</v>
      </c>
      <c r="AC368">
        <v>0.27</v>
      </c>
      <c r="AD368">
        <v>423</v>
      </c>
      <c r="AE368" t="s">
        <v>56</v>
      </c>
      <c r="AF368">
        <v>0.42199999999999999</v>
      </c>
      <c r="AG368">
        <v>268</v>
      </c>
      <c r="AH368" t="s">
        <v>57</v>
      </c>
      <c r="AI368">
        <v>0.26700000000000002</v>
      </c>
      <c r="AJ368" t="s">
        <v>50</v>
      </c>
    </row>
    <row r="369" spans="1:36" x14ac:dyDescent="0.25">
      <c r="A369" t="s">
        <v>1027</v>
      </c>
      <c r="B369">
        <v>855712452</v>
      </c>
      <c r="C369" t="s">
        <v>1028</v>
      </c>
      <c r="D369" t="s">
        <v>1028</v>
      </c>
      <c r="E369" t="s">
        <v>37</v>
      </c>
      <c r="F369" t="s">
        <v>71</v>
      </c>
      <c r="I369" t="s">
        <v>39</v>
      </c>
      <c r="J369" t="s">
        <v>40</v>
      </c>
      <c r="K369" t="s">
        <v>41</v>
      </c>
      <c r="L369" t="s">
        <v>118</v>
      </c>
      <c r="N369" t="s">
        <v>43</v>
      </c>
      <c r="O369" t="s">
        <v>74</v>
      </c>
      <c r="P369">
        <v>45</v>
      </c>
      <c r="Q369">
        <v>45</v>
      </c>
      <c r="R369">
        <v>211</v>
      </c>
      <c r="S369" t="s">
        <v>56</v>
      </c>
      <c r="T369">
        <v>0.21</v>
      </c>
      <c r="U369">
        <v>4</v>
      </c>
      <c r="V369" t="s">
        <v>55</v>
      </c>
      <c r="W369">
        <v>3.0000000000000001E-3</v>
      </c>
      <c r="X369">
        <v>1</v>
      </c>
      <c r="Y369" t="s">
        <v>47</v>
      </c>
      <c r="Z369">
        <v>0</v>
      </c>
      <c r="AA369">
        <v>271</v>
      </c>
      <c r="AB369" t="s">
        <v>47</v>
      </c>
      <c r="AC369">
        <v>0.27</v>
      </c>
      <c r="AD369">
        <v>423</v>
      </c>
      <c r="AE369" t="s">
        <v>56</v>
      </c>
      <c r="AF369">
        <v>0.42199999999999999</v>
      </c>
      <c r="AG369">
        <v>268</v>
      </c>
      <c r="AH369" t="s">
        <v>57</v>
      </c>
      <c r="AI369">
        <v>0.26700000000000002</v>
      </c>
      <c r="AJ369" t="s">
        <v>1141</v>
      </c>
    </row>
    <row r="370" spans="1:36" x14ac:dyDescent="0.25">
      <c r="A370" t="s">
        <v>1027</v>
      </c>
      <c r="B370">
        <v>855712452</v>
      </c>
      <c r="C370" t="s">
        <v>1028</v>
      </c>
      <c r="D370" t="s">
        <v>1028</v>
      </c>
      <c r="E370" t="s">
        <v>37</v>
      </c>
      <c r="F370" t="s">
        <v>71</v>
      </c>
      <c r="I370" t="s">
        <v>39</v>
      </c>
      <c r="J370" t="s">
        <v>40</v>
      </c>
      <c r="K370" t="s">
        <v>41</v>
      </c>
      <c r="L370" t="s">
        <v>118</v>
      </c>
      <c r="N370" t="s">
        <v>43</v>
      </c>
      <c r="O370" t="s">
        <v>74</v>
      </c>
      <c r="P370">
        <v>45</v>
      </c>
      <c r="Q370">
        <v>45</v>
      </c>
      <c r="R370">
        <v>331</v>
      </c>
      <c r="S370" t="s">
        <v>56</v>
      </c>
      <c r="T370">
        <v>0.33</v>
      </c>
      <c r="U370">
        <v>1</v>
      </c>
      <c r="V370" t="s">
        <v>55</v>
      </c>
      <c r="W370">
        <v>0</v>
      </c>
      <c r="X370">
        <v>1</v>
      </c>
      <c r="Y370" t="s">
        <v>47</v>
      </c>
      <c r="Z370">
        <v>0</v>
      </c>
      <c r="AA370">
        <v>271</v>
      </c>
      <c r="AB370" t="s">
        <v>47</v>
      </c>
      <c r="AC370">
        <v>0.27</v>
      </c>
      <c r="AD370">
        <v>423</v>
      </c>
      <c r="AE370" t="s">
        <v>56</v>
      </c>
      <c r="AF370">
        <v>0.42199999999999999</v>
      </c>
      <c r="AG370">
        <v>268</v>
      </c>
      <c r="AH370" t="s">
        <v>57</v>
      </c>
      <c r="AI370">
        <v>0.26700000000000002</v>
      </c>
      <c r="AJ370" t="s">
        <v>1153</v>
      </c>
    </row>
    <row r="371" spans="1:36" x14ac:dyDescent="0.25">
      <c r="A371" t="s">
        <v>1027</v>
      </c>
      <c r="B371">
        <v>855712452</v>
      </c>
      <c r="C371" t="s">
        <v>1028</v>
      </c>
      <c r="D371" t="s">
        <v>1028</v>
      </c>
      <c r="E371" t="s">
        <v>37</v>
      </c>
      <c r="F371" t="s">
        <v>71</v>
      </c>
      <c r="I371" t="s">
        <v>39</v>
      </c>
      <c r="J371" t="s">
        <v>40</v>
      </c>
      <c r="K371" t="s">
        <v>41</v>
      </c>
      <c r="L371" t="s">
        <v>118</v>
      </c>
      <c r="N371" t="s">
        <v>43</v>
      </c>
      <c r="O371" t="s">
        <v>74</v>
      </c>
      <c r="P371">
        <v>45</v>
      </c>
      <c r="Q371">
        <v>45</v>
      </c>
      <c r="R371">
        <v>331</v>
      </c>
      <c r="S371" t="s">
        <v>56</v>
      </c>
      <c r="T371">
        <v>0.33</v>
      </c>
      <c r="U371">
        <v>1</v>
      </c>
      <c r="V371" t="s">
        <v>55</v>
      </c>
      <c r="W371">
        <v>0</v>
      </c>
      <c r="X371">
        <v>1</v>
      </c>
      <c r="Y371" t="s">
        <v>47</v>
      </c>
      <c r="Z371">
        <v>0</v>
      </c>
      <c r="AA371">
        <v>271</v>
      </c>
      <c r="AB371" t="s">
        <v>47</v>
      </c>
      <c r="AC371">
        <v>0.27</v>
      </c>
      <c r="AD371">
        <v>423</v>
      </c>
      <c r="AE371" t="s">
        <v>56</v>
      </c>
      <c r="AF371">
        <v>0.42199999999999999</v>
      </c>
      <c r="AG371">
        <v>268</v>
      </c>
      <c r="AH371" t="s">
        <v>57</v>
      </c>
      <c r="AI371">
        <v>0.26700000000000002</v>
      </c>
      <c r="AJ371" t="s">
        <v>1154</v>
      </c>
    </row>
    <row r="372" spans="1:36" x14ac:dyDescent="0.25">
      <c r="A372" t="s">
        <v>1027</v>
      </c>
      <c r="B372">
        <v>855712452</v>
      </c>
      <c r="C372" t="s">
        <v>1028</v>
      </c>
      <c r="D372" t="s">
        <v>1028</v>
      </c>
      <c r="E372" t="s">
        <v>37</v>
      </c>
      <c r="F372" t="s">
        <v>71</v>
      </c>
      <c r="I372" t="s">
        <v>39</v>
      </c>
      <c r="J372" t="s">
        <v>40</v>
      </c>
      <c r="K372" t="s">
        <v>41</v>
      </c>
      <c r="L372" t="s">
        <v>118</v>
      </c>
      <c r="N372" t="s">
        <v>43</v>
      </c>
      <c r="O372" t="s">
        <v>74</v>
      </c>
      <c r="P372">
        <v>45</v>
      </c>
      <c r="Q372">
        <v>45</v>
      </c>
      <c r="S372" t="s">
        <v>39</v>
      </c>
      <c r="V372" t="s">
        <v>39</v>
      </c>
      <c r="X372">
        <v>1</v>
      </c>
      <c r="Y372" t="s">
        <v>47</v>
      </c>
      <c r="Z372">
        <v>0</v>
      </c>
      <c r="AA372">
        <v>271</v>
      </c>
      <c r="AB372" t="s">
        <v>47</v>
      </c>
      <c r="AC372">
        <v>0.27</v>
      </c>
      <c r="AD372">
        <v>423</v>
      </c>
      <c r="AE372" t="s">
        <v>56</v>
      </c>
      <c r="AF372">
        <v>0.42199999999999999</v>
      </c>
      <c r="AG372">
        <v>268</v>
      </c>
      <c r="AH372" t="s">
        <v>57</v>
      </c>
      <c r="AI372">
        <v>0.26700000000000002</v>
      </c>
      <c r="AJ372" t="s">
        <v>1155</v>
      </c>
    </row>
    <row r="373" spans="1:36" x14ac:dyDescent="0.25">
      <c r="A373" t="s">
        <v>1027</v>
      </c>
      <c r="B373">
        <v>855712452</v>
      </c>
      <c r="C373" t="s">
        <v>1028</v>
      </c>
      <c r="D373" t="s">
        <v>1028</v>
      </c>
      <c r="E373" t="s">
        <v>37</v>
      </c>
      <c r="F373" t="s">
        <v>71</v>
      </c>
      <c r="I373" t="s">
        <v>39</v>
      </c>
      <c r="J373" t="s">
        <v>40</v>
      </c>
      <c r="K373" t="s">
        <v>41</v>
      </c>
      <c r="L373" t="s">
        <v>118</v>
      </c>
      <c r="N373" t="s">
        <v>43</v>
      </c>
      <c r="O373" t="s">
        <v>74</v>
      </c>
      <c r="P373">
        <v>45</v>
      </c>
      <c r="Q373">
        <v>45</v>
      </c>
      <c r="S373" t="s">
        <v>39</v>
      </c>
      <c r="V373" t="s">
        <v>39</v>
      </c>
      <c r="X373">
        <v>1</v>
      </c>
      <c r="Y373" t="s">
        <v>47</v>
      </c>
      <c r="Z373">
        <v>0</v>
      </c>
      <c r="AA373">
        <v>271</v>
      </c>
      <c r="AB373" t="s">
        <v>47</v>
      </c>
      <c r="AC373">
        <v>0.27</v>
      </c>
      <c r="AD373">
        <v>423</v>
      </c>
      <c r="AE373" t="s">
        <v>56</v>
      </c>
      <c r="AF373">
        <v>0.42199999999999999</v>
      </c>
      <c r="AG373">
        <v>268</v>
      </c>
      <c r="AH373" t="s">
        <v>57</v>
      </c>
      <c r="AI373">
        <v>0.26700000000000002</v>
      </c>
      <c r="AJ373" t="s">
        <v>1156</v>
      </c>
    </row>
    <row r="374" spans="1:36" x14ac:dyDescent="0.25">
      <c r="A374" t="s">
        <v>1025</v>
      </c>
      <c r="B374">
        <v>864967461</v>
      </c>
      <c r="C374" t="s">
        <v>1026</v>
      </c>
      <c r="D374" t="s">
        <v>1026</v>
      </c>
      <c r="E374" t="s">
        <v>99</v>
      </c>
      <c r="F374" t="s">
        <v>143</v>
      </c>
      <c r="I374" t="s">
        <v>39</v>
      </c>
      <c r="J374" t="s">
        <v>40</v>
      </c>
      <c r="K374" t="s">
        <v>41</v>
      </c>
      <c r="L374" t="s">
        <v>197</v>
      </c>
      <c r="M374" t="s">
        <v>47</v>
      </c>
      <c r="N374" t="s">
        <v>43</v>
      </c>
      <c r="O374" t="s">
        <v>38</v>
      </c>
      <c r="P374">
        <v>46</v>
      </c>
      <c r="Q374">
        <v>46</v>
      </c>
      <c r="R374">
        <v>1001</v>
      </c>
      <c r="S374" t="s">
        <v>56</v>
      </c>
      <c r="T374">
        <v>1</v>
      </c>
      <c r="U374">
        <v>1</v>
      </c>
      <c r="V374" t="s">
        <v>55</v>
      </c>
      <c r="W374">
        <v>0</v>
      </c>
      <c r="X374">
        <v>1</v>
      </c>
      <c r="Y374" t="s">
        <v>47</v>
      </c>
      <c r="Z374">
        <v>0</v>
      </c>
      <c r="AA374">
        <v>222</v>
      </c>
      <c r="AB374" t="s">
        <v>47</v>
      </c>
      <c r="AC374">
        <v>0.221</v>
      </c>
      <c r="AD374">
        <v>199</v>
      </c>
      <c r="AE374" t="s">
        <v>56</v>
      </c>
      <c r="AF374">
        <v>0.19800000000000001</v>
      </c>
      <c r="AG374">
        <v>8</v>
      </c>
      <c r="AH374" t="s">
        <v>103</v>
      </c>
      <c r="AI374">
        <v>7.0000000000000001E-3</v>
      </c>
      <c r="AJ374" t="s">
        <v>50</v>
      </c>
    </row>
    <row r="375" spans="1:36" x14ac:dyDescent="0.25">
      <c r="A375" t="s">
        <v>1025</v>
      </c>
      <c r="B375">
        <v>864967461</v>
      </c>
      <c r="C375" t="s">
        <v>1026</v>
      </c>
      <c r="D375" t="s">
        <v>1026</v>
      </c>
      <c r="E375" t="s">
        <v>99</v>
      </c>
      <c r="F375" t="s">
        <v>143</v>
      </c>
      <c r="I375" t="s">
        <v>39</v>
      </c>
      <c r="J375" t="s">
        <v>40</v>
      </c>
      <c r="K375" t="s">
        <v>41</v>
      </c>
      <c r="L375" t="s">
        <v>197</v>
      </c>
      <c r="M375" t="s">
        <v>47</v>
      </c>
      <c r="N375" t="s">
        <v>43</v>
      </c>
      <c r="O375" t="s">
        <v>38</v>
      </c>
      <c r="P375">
        <v>46</v>
      </c>
      <c r="Q375">
        <v>46</v>
      </c>
      <c r="R375">
        <v>1001</v>
      </c>
      <c r="S375" t="s">
        <v>56</v>
      </c>
      <c r="T375">
        <v>1</v>
      </c>
      <c r="U375">
        <v>1</v>
      </c>
      <c r="V375" t="s">
        <v>55</v>
      </c>
      <c r="W375">
        <v>0</v>
      </c>
      <c r="X375">
        <v>1</v>
      </c>
      <c r="Y375" t="s">
        <v>47</v>
      </c>
      <c r="Z375">
        <v>0</v>
      </c>
      <c r="AA375">
        <v>222</v>
      </c>
      <c r="AB375" t="s">
        <v>47</v>
      </c>
      <c r="AC375">
        <v>0.221</v>
      </c>
      <c r="AD375">
        <v>199</v>
      </c>
      <c r="AE375" t="s">
        <v>56</v>
      </c>
      <c r="AF375">
        <v>0.19800000000000001</v>
      </c>
      <c r="AG375">
        <v>8</v>
      </c>
      <c r="AH375" t="s">
        <v>103</v>
      </c>
      <c r="AI375">
        <v>7.0000000000000001E-3</v>
      </c>
      <c r="AJ375" t="s">
        <v>1141</v>
      </c>
    </row>
    <row r="376" spans="1:36" x14ac:dyDescent="0.25">
      <c r="A376" t="s">
        <v>1025</v>
      </c>
      <c r="B376">
        <v>864967461</v>
      </c>
      <c r="C376" t="s">
        <v>1026</v>
      </c>
      <c r="D376" t="s">
        <v>1026</v>
      </c>
      <c r="E376" t="s">
        <v>99</v>
      </c>
      <c r="F376" t="s">
        <v>143</v>
      </c>
      <c r="I376" t="s">
        <v>39</v>
      </c>
      <c r="J376" t="s">
        <v>40</v>
      </c>
      <c r="K376" t="s">
        <v>41</v>
      </c>
      <c r="L376" t="s">
        <v>197</v>
      </c>
      <c r="M376" t="s">
        <v>47</v>
      </c>
      <c r="N376" t="s">
        <v>43</v>
      </c>
      <c r="O376" t="s">
        <v>38</v>
      </c>
      <c r="P376">
        <v>46</v>
      </c>
      <c r="Q376">
        <v>46</v>
      </c>
      <c r="R376">
        <v>1001</v>
      </c>
      <c r="S376" t="s">
        <v>56</v>
      </c>
      <c r="T376">
        <v>1</v>
      </c>
      <c r="U376">
        <v>1</v>
      </c>
      <c r="V376" t="s">
        <v>55</v>
      </c>
      <c r="W376">
        <v>0</v>
      </c>
      <c r="X376">
        <v>1</v>
      </c>
      <c r="Y376" t="s">
        <v>47</v>
      </c>
      <c r="Z376">
        <v>0</v>
      </c>
      <c r="AA376">
        <v>222</v>
      </c>
      <c r="AB376" t="s">
        <v>47</v>
      </c>
      <c r="AC376">
        <v>0.221</v>
      </c>
      <c r="AD376">
        <v>199</v>
      </c>
      <c r="AE376" t="s">
        <v>56</v>
      </c>
      <c r="AF376">
        <v>0.19800000000000001</v>
      </c>
      <c r="AG376">
        <v>8</v>
      </c>
      <c r="AH376" t="s">
        <v>103</v>
      </c>
      <c r="AI376">
        <v>7.0000000000000001E-3</v>
      </c>
      <c r="AJ376" t="s">
        <v>1153</v>
      </c>
    </row>
    <row r="377" spans="1:36" x14ac:dyDescent="0.25">
      <c r="A377" t="s">
        <v>1025</v>
      </c>
      <c r="B377">
        <v>864967461</v>
      </c>
      <c r="C377" t="s">
        <v>1026</v>
      </c>
      <c r="D377" t="s">
        <v>1026</v>
      </c>
      <c r="E377" t="s">
        <v>99</v>
      </c>
      <c r="F377" t="s">
        <v>143</v>
      </c>
      <c r="I377" t="s">
        <v>39</v>
      </c>
      <c r="J377" t="s">
        <v>40</v>
      </c>
      <c r="K377" t="s">
        <v>41</v>
      </c>
      <c r="L377" t="s">
        <v>197</v>
      </c>
      <c r="M377" t="s">
        <v>47</v>
      </c>
      <c r="N377" t="s">
        <v>43</v>
      </c>
      <c r="O377" t="s">
        <v>38</v>
      </c>
      <c r="P377">
        <v>46</v>
      </c>
      <c r="Q377">
        <v>46</v>
      </c>
      <c r="R377">
        <v>1001</v>
      </c>
      <c r="S377" t="s">
        <v>56</v>
      </c>
      <c r="T377">
        <v>1</v>
      </c>
      <c r="U377">
        <v>1</v>
      </c>
      <c r="V377" t="s">
        <v>55</v>
      </c>
      <c r="W377">
        <v>0</v>
      </c>
      <c r="X377">
        <v>1</v>
      </c>
      <c r="Y377" t="s">
        <v>47</v>
      </c>
      <c r="Z377">
        <v>0</v>
      </c>
      <c r="AA377">
        <v>222</v>
      </c>
      <c r="AB377" t="s">
        <v>47</v>
      </c>
      <c r="AC377">
        <v>0.221</v>
      </c>
      <c r="AD377">
        <v>199</v>
      </c>
      <c r="AE377" t="s">
        <v>56</v>
      </c>
      <c r="AF377">
        <v>0.19800000000000001</v>
      </c>
      <c r="AG377">
        <v>8</v>
      </c>
      <c r="AH377" t="s">
        <v>103</v>
      </c>
      <c r="AI377">
        <v>7.0000000000000001E-3</v>
      </c>
      <c r="AJ377" t="s">
        <v>1154</v>
      </c>
    </row>
    <row r="378" spans="1:36" x14ac:dyDescent="0.25">
      <c r="A378" t="s">
        <v>1025</v>
      </c>
      <c r="B378">
        <v>864967461</v>
      </c>
      <c r="C378" t="s">
        <v>1026</v>
      </c>
      <c r="D378" t="s">
        <v>1026</v>
      </c>
      <c r="E378" t="s">
        <v>99</v>
      </c>
      <c r="F378" t="s">
        <v>143</v>
      </c>
      <c r="I378" t="s">
        <v>39</v>
      </c>
      <c r="J378" t="s">
        <v>40</v>
      </c>
      <c r="K378" t="s">
        <v>41</v>
      </c>
      <c r="L378" t="s">
        <v>197</v>
      </c>
      <c r="M378" t="s">
        <v>47</v>
      </c>
      <c r="N378" t="s">
        <v>43</v>
      </c>
      <c r="O378" t="s">
        <v>38</v>
      </c>
      <c r="P378">
        <v>46</v>
      </c>
      <c r="Q378">
        <v>46</v>
      </c>
      <c r="S378" t="s">
        <v>39</v>
      </c>
      <c r="V378" t="s">
        <v>39</v>
      </c>
      <c r="X378">
        <v>1</v>
      </c>
      <c r="Y378" t="s">
        <v>47</v>
      </c>
      <c r="Z378">
        <v>0</v>
      </c>
      <c r="AA378">
        <v>222</v>
      </c>
      <c r="AB378" t="s">
        <v>47</v>
      </c>
      <c r="AC378">
        <v>0.221</v>
      </c>
      <c r="AD378">
        <v>199</v>
      </c>
      <c r="AE378" t="s">
        <v>56</v>
      </c>
      <c r="AF378">
        <v>0.19800000000000001</v>
      </c>
      <c r="AG378">
        <v>8</v>
      </c>
      <c r="AH378" t="s">
        <v>103</v>
      </c>
      <c r="AI378">
        <v>7.0000000000000001E-3</v>
      </c>
      <c r="AJ378" t="s">
        <v>1155</v>
      </c>
    </row>
    <row r="379" spans="1:36" x14ac:dyDescent="0.25">
      <c r="A379" t="s">
        <v>1025</v>
      </c>
      <c r="B379">
        <v>864967461</v>
      </c>
      <c r="C379" t="s">
        <v>1026</v>
      </c>
      <c r="D379" t="s">
        <v>1026</v>
      </c>
      <c r="E379" t="s">
        <v>99</v>
      </c>
      <c r="F379" t="s">
        <v>143</v>
      </c>
      <c r="I379" t="s">
        <v>39</v>
      </c>
      <c r="J379" t="s">
        <v>40</v>
      </c>
      <c r="K379" t="s">
        <v>41</v>
      </c>
      <c r="L379" t="s">
        <v>197</v>
      </c>
      <c r="M379" t="s">
        <v>47</v>
      </c>
      <c r="N379" t="s">
        <v>43</v>
      </c>
      <c r="O379" t="s">
        <v>38</v>
      </c>
      <c r="P379">
        <v>46</v>
      </c>
      <c r="Q379">
        <v>46</v>
      </c>
      <c r="S379" t="s">
        <v>39</v>
      </c>
      <c r="V379" t="s">
        <v>39</v>
      </c>
      <c r="X379">
        <v>1</v>
      </c>
      <c r="Y379" t="s">
        <v>47</v>
      </c>
      <c r="Z379">
        <v>0</v>
      </c>
      <c r="AA379">
        <v>222</v>
      </c>
      <c r="AB379" t="s">
        <v>47</v>
      </c>
      <c r="AC379">
        <v>0.221</v>
      </c>
      <c r="AD379">
        <v>199</v>
      </c>
      <c r="AE379" t="s">
        <v>56</v>
      </c>
      <c r="AF379">
        <v>0.19800000000000001</v>
      </c>
      <c r="AG379">
        <v>8</v>
      </c>
      <c r="AH379" t="s">
        <v>103</v>
      </c>
      <c r="AI379">
        <v>7.0000000000000001E-3</v>
      </c>
      <c r="AJ379" t="s">
        <v>1156</v>
      </c>
    </row>
    <row r="380" spans="1:36" x14ac:dyDescent="0.25">
      <c r="A380" t="s">
        <v>1023</v>
      </c>
      <c r="B380">
        <v>869254812</v>
      </c>
      <c r="C380" t="s">
        <v>1024</v>
      </c>
      <c r="D380" t="s">
        <v>1024</v>
      </c>
      <c r="E380" t="s">
        <v>60</v>
      </c>
      <c r="F380" t="s">
        <v>61</v>
      </c>
      <c r="I380" t="s">
        <v>39</v>
      </c>
      <c r="J380" t="s">
        <v>40</v>
      </c>
      <c r="K380" t="s">
        <v>41</v>
      </c>
      <c r="L380" t="s">
        <v>173</v>
      </c>
      <c r="N380" t="s">
        <v>43</v>
      </c>
      <c r="O380" t="s">
        <v>140</v>
      </c>
      <c r="P380">
        <v>46</v>
      </c>
      <c r="Q380">
        <v>46</v>
      </c>
      <c r="R380">
        <v>11</v>
      </c>
      <c r="S380" t="s">
        <v>45</v>
      </c>
      <c r="T380">
        <v>0.01</v>
      </c>
      <c r="U380">
        <v>410</v>
      </c>
      <c r="V380" t="s">
        <v>55</v>
      </c>
      <c r="W380">
        <v>0.40899999999999997</v>
      </c>
      <c r="X380">
        <v>12001</v>
      </c>
      <c r="Y380" t="s">
        <v>47</v>
      </c>
      <c r="Z380">
        <v>12</v>
      </c>
      <c r="AA380">
        <v>195</v>
      </c>
      <c r="AB380" t="s">
        <v>47</v>
      </c>
      <c r="AC380">
        <v>0.19400000000000001</v>
      </c>
      <c r="AD380">
        <v>506</v>
      </c>
      <c r="AE380" t="s">
        <v>48</v>
      </c>
      <c r="AF380">
        <v>0.505</v>
      </c>
      <c r="AG380">
        <v>169</v>
      </c>
      <c r="AH380" t="s">
        <v>103</v>
      </c>
      <c r="AI380">
        <v>0.16800000000000001</v>
      </c>
      <c r="AJ380" t="s">
        <v>50</v>
      </c>
    </row>
    <row r="381" spans="1:36" x14ac:dyDescent="0.25">
      <c r="A381" t="s">
        <v>1023</v>
      </c>
      <c r="B381">
        <v>869254812</v>
      </c>
      <c r="C381" t="s">
        <v>1024</v>
      </c>
      <c r="D381" t="s">
        <v>1024</v>
      </c>
      <c r="E381" t="s">
        <v>60</v>
      </c>
      <c r="F381" t="s">
        <v>61</v>
      </c>
      <c r="I381" t="s">
        <v>39</v>
      </c>
      <c r="J381" t="s">
        <v>40</v>
      </c>
      <c r="K381" t="s">
        <v>41</v>
      </c>
      <c r="L381" t="s">
        <v>173</v>
      </c>
      <c r="N381" t="s">
        <v>43</v>
      </c>
      <c r="O381" t="s">
        <v>140</v>
      </c>
      <c r="P381">
        <v>46</v>
      </c>
      <c r="Q381">
        <v>46</v>
      </c>
      <c r="R381">
        <v>11</v>
      </c>
      <c r="S381" t="s">
        <v>45</v>
      </c>
      <c r="T381">
        <v>0.01</v>
      </c>
      <c r="U381">
        <v>614</v>
      </c>
      <c r="V381" t="s">
        <v>113</v>
      </c>
      <c r="W381">
        <v>0.61299999999999999</v>
      </c>
      <c r="X381">
        <v>12001</v>
      </c>
      <c r="Y381" t="s">
        <v>47</v>
      </c>
      <c r="Z381">
        <v>12</v>
      </c>
      <c r="AA381">
        <v>195</v>
      </c>
      <c r="AB381" t="s">
        <v>47</v>
      </c>
      <c r="AC381">
        <v>0.19400000000000001</v>
      </c>
      <c r="AD381">
        <v>506</v>
      </c>
      <c r="AE381" t="s">
        <v>48</v>
      </c>
      <c r="AF381">
        <v>0.505</v>
      </c>
      <c r="AG381">
        <v>169</v>
      </c>
      <c r="AH381" t="s">
        <v>103</v>
      </c>
      <c r="AI381">
        <v>0.16800000000000001</v>
      </c>
      <c r="AJ381" t="s">
        <v>1141</v>
      </c>
    </row>
    <row r="382" spans="1:36" x14ac:dyDescent="0.25">
      <c r="A382" t="s">
        <v>1023</v>
      </c>
      <c r="B382">
        <v>869254812</v>
      </c>
      <c r="C382" t="s">
        <v>1024</v>
      </c>
      <c r="D382" t="s">
        <v>1024</v>
      </c>
      <c r="E382" t="s">
        <v>60</v>
      </c>
      <c r="F382" t="s">
        <v>61</v>
      </c>
      <c r="I382" t="s">
        <v>39</v>
      </c>
      <c r="J382" t="s">
        <v>40</v>
      </c>
      <c r="K382" t="s">
        <v>41</v>
      </c>
      <c r="L382" t="s">
        <v>173</v>
      </c>
      <c r="N382" t="s">
        <v>43</v>
      </c>
      <c r="O382" t="s">
        <v>140</v>
      </c>
      <c r="P382">
        <v>46</v>
      </c>
      <c r="Q382">
        <v>46</v>
      </c>
      <c r="R382">
        <v>11</v>
      </c>
      <c r="S382" t="s">
        <v>45</v>
      </c>
      <c r="T382">
        <v>0.01</v>
      </c>
      <c r="U382">
        <v>410</v>
      </c>
      <c r="V382" t="s">
        <v>55</v>
      </c>
      <c r="W382">
        <v>0.40899999999999997</v>
      </c>
      <c r="X382">
        <v>12001</v>
      </c>
      <c r="Y382" t="s">
        <v>47</v>
      </c>
      <c r="Z382">
        <v>12</v>
      </c>
      <c r="AA382">
        <v>195</v>
      </c>
      <c r="AB382" t="s">
        <v>47</v>
      </c>
      <c r="AC382">
        <v>0.19400000000000001</v>
      </c>
      <c r="AD382">
        <v>506</v>
      </c>
      <c r="AE382" t="s">
        <v>48</v>
      </c>
      <c r="AF382">
        <v>0.505</v>
      </c>
      <c r="AG382">
        <v>169</v>
      </c>
      <c r="AH382" t="s">
        <v>103</v>
      </c>
      <c r="AI382">
        <v>0.16800000000000001</v>
      </c>
      <c r="AJ382" t="s">
        <v>1153</v>
      </c>
    </row>
    <row r="383" spans="1:36" x14ac:dyDescent="0.25">
      <c r="A383" t="s">
        <v>1023</v>
      </c>
      <c r="B383">
        <v>869254812</v>
      </c>
      <c r="C383" t="s">
        <v>1024</v>
      </c>
      <c r="D383" t="s">
        <v>1024</v>
      </c>
      <c r="E383" t="s">
        <v>60</v>
      </c>
      <c r="F383" t="s">
        <v>61</v>
      </c>
      <c r="I383" t="s">
        <v>39</v>
      </c>
      <c r="J383" t="s">
        <v>40</v>
      </c>
      <c r="K383" t="s">
        <v>41</v>
      </c>
      <c r="L383" t="s">
        <v>173</v>
      </c>
      <c r="N383" t="s">
        <v>43</v>
      </c>
      <c r="O383" t="s">
        <v>140</v>
      </c>
      <c r="P383">
        <v>46</v>
      </c>
      <c r="Q383">
        <v>46</v>
      </c>
      <c r="R383">
        <v>11</v>
      </c>
      <c r="S383" t="s">
        <v>45</v>
      </c>
      <c r="T383">
        <v>0.01</v>
      </c>
      <c r="U383">
        <v>410</v>
      </c>
      <c r="V383" t="s">
        <v>55</v>
      </c>
      <c r="W383">
        <v>0.40899999999999997</v>
      </c>
      <c r="X383">
        <v>12001</v>
      </c>
      <c r="Y383" t="s">
        <v>47</v>
      </c>
      <c r="Z383">
        <v>12</v>
      </c>
      <c r="AA383">
        <v>195</v>
      </c>
      <c r="AB383" t="s">
        <v>47</v>
      </c>
      <c r="AC383">
        <v>0.19400000000000001</v>
      </c>
      <c r="AD383">
        <v>506</v>
      </c>
      <c r="AE383" t="s">
        <v>48</v>
      </c>
      <c r="AF383">
        <v>0.505</v>
      </c>
      <c r="AG383">
        <v>169</v>
      </c>
      <c r="AH383" t="s">
        <v>103</v>
      </c>
      <c r="AI383">
        <v>0.16800000000000001</v>
      </c>
      <c r="AJ383" t="s">
        <v>1154</v>
      </c>
    </row>
    <row r="384" spans="1:36" x14ac:dyDescent="0.25">
      <c r="A384" t="s">
        <v>1023</v>
      </c>
      <c r="B384">
        <v>869254812</v>
      </c>
      <c r="C384" t="s">
        <v>1024</v>
      </c>
      <c r="D384" t="s">
        <v>1024</v>
      </c>
      <c r="E384" t="s">
        <v>60</v>
      </c>
      <c r="F384" t="s">
        <v>61</v>
      </c>
      <c r="I384" t="s">
        <v>39</v>
      </c>
      <c r="J384" t="s">
        <v>40</v>
      </c>
      <c r="K384" t="s">
        <v>41</v>
      </c>
      <c r="L384" t="s">
        <v>173</v>
      </c>
      <c r="N384" t="s">
        <v>43</v>
      </c>
      <c r="O384" t="s">
        <v>140</v>
      </c>
      <c r="P384">
        <v>46</v>
      </c>
      <c r="Q384">
        <v>46</v>
      </c>
      <c r="S384" t="s">
        <v>39</v>
      </c>
      <c r="V384" t="s">
        <v>39</v>
      </c>
      <c r="X384">
        <v>12001</v>
      </c>
      <c r="Y384" t="s">
        <v>47</v>
      </c>
      <c r="Z384">
        <v>12</v>
      </c>
      <c r="AA384">
        <v>195</v>
      </c>
      <c r="AB384" t="s">
        <v>47</v>
      </c>
      <c r="AC384">
        <v>0.19400000000000001</v>
      </c>
      <c r="AD384">
        <v>506</v>
      </c>
      <c r="AE384" t="s">
        <v>48</v>
      </c>
      <c r="AF384">
        <v>0.505</v>
      </c>
      <c r="AG384">
        <v>169</v>
      </c>
      <c r="AH384" t="s">
        <v>103</v>
      </c>
      <c r="AI384">
        <v>0.16800000000000001</v>
      </c>
      <c r="AJ384" t="s">
        <v>1155</v>
      </c>
    </row>
    <row r="385" spans="1:36" x14ac:dyDescent="0.25">
      <c r="A385" t="s">
        <v>1023</v>
      </c>
      <c r="B385">
        <v>869254812</v>
      </c>
      <c r="C385" t="s">
        <v>1024</v>
      </c>
      <c r="D385" t="s">
        <v>1024</v>
      </c>
      <c r="E385" t="s">
        <v>60</v>
      </c>
      <c r="F385" t="s">
        <v>61</v>
      </c>
      <c r="I385" t="s">
        <v>39</v>
      </c>
      <c r="J385" t="s">
        <v>40</v>
      </c>
      <c r="K385" t="s">
        <v>41</v>
      </c>
      <c r="L385" t="s">
        <v>173</v>
      </c>
      <c r="N385" t="s">
        <v>43</v>
      </c>
      <c r="O385" t="s">
        <v>140</v>
      </c>
      <c r="P385">
        <v>46</v>
      </c>
      <c r="Q385">
        <v>46</v>
      </c>
      <c r="S385" t="s">
        <v>39</v>
      </c>
      <c r="V385" t="s">
        <v>39</v>
      </c>
      <c r="X385">
        <v>12001</v>
      </c>
      <c r="Y385" t="s">
        <v>47</v>
      </c>
      <c r="Z385">
        <v>12</v>
      </c>
      <c r="AA385">
        <v>195</v>
      </c>
      <c r="AB385" t="s">
        <v>47</v>
      </c>
      <c r="AC385">
        <v>0.19400000000000001</v>
      </c>
      <c r="AD385">
        <v>506</v>
      </c>
      <c r="AE385" t="s">
        <v>48</v>
      </c>
      <c r="AF385">
        <v>0.505</v>
      </c>
      <c r="AG385">
        <v>169</v>
      </c>
      <c r="AH385" t="s">
        <v>103</v>
      </c>
      <c r="AI385">
        <v>0.16800000000000001</v>
      </c>
      <c r="AJ385" t="s">
        <v>1156</v>
      </c>
    </row>
    <row r="386" spans="1:36" x14ac:dyDescent="0.25">
      <c r="A386" t="s">
        <v>1021</v>
      </c>
      <c r="B386">
        <v>855917750</v>
      </c>
      <c r="C386" t="s">
        <v>1022</v>
      </c>
      <c r="D386" t="s">
        <v>1022</v>
      </c>
      <c r="E386" t="s">
        <v>65</v>
      </c>
      <c r="F386" t="s">
        <v>93</v>
      </c>
      <c r="I386" t="s">
        <v>39</v>
      </c>
      <c r="J386" t="s">
        <v>40</v>
      </c>
      <c r="K386" t="s">
        <v>41</v>
      </c>
      <c r="L386" t="s">
        <v>89</v>
      </c>
      <c r="N386" t="s">
        <v>43</v>
      </c>
      <c r="O386" t="s">
        <v>483</v>
      </c>
      <c r="P386">
        <v>47</v>
      </c>
      <c r="Q386">
        <v>47</v>
      </c>
      <c r="R386">
        <v>521</v>
      </c>
      <c r="S386" t="s">
        <v>56</v>
      </c>
      <c r="T386">
        <v>0.52</v>
      </c>
      <c r="U386">
        <v>1</v>
      </c>
      <c r="V386" t="s">
        <v>55</v>
      </c>
      <c r="W386">
        <v>0</v>
      </c>
      <c r="X386">
        <v>1</v>
      </c>
      <c r="Y386" t="s">
        <v>47</v>
      </c>
      <c r="Z386">
        <v>0</v>
      </c>
      <c r="AA386">
        <v>319</v>
      </c>
      <c r="AB386" t="s">
        <v>47</v>
      </c>
      <c r="AC386">
        <v>0.318</v>
      </c>
      <c r="AD386">
        <v>260</v>
      </c>
      <c r="AE386" t="s">
        <v>56</v>
      </c>
      <c r="AF386">
        <v>0.25900000000000001</v>
      </c>
      <c r="AG386">
        <v>66</v>
      </c>
      <c r="AH386" t="s">
        <v>103</v>
      </c>
      <c r="AI386">
        <v>6.5000000000000002E-2</v>
      </c>
      <c r="AJ386" t="s">
        <v>50</v>
      </c>
    </row>
    <row r="387" spans="1:36" x14ac:dyDescent="0.25">
      <c r="A387" t="s">
        <v>1021</v>
      </c>
      <c r="B387">
        <v>855917750</v>
      </c>
      <c r="C387" t="s">
        <v>1022</v>
      </c>
      <c r="D387" t="s">
        <v>1022</v>
      </c>
      <c r="E387" t="s">
        <v>65</v>
      </c>
      <c r="F387" t="s">
        <v>93</v>
      </c>
      <c r="I387" t="s">
        <v>39</v>
      </c>
      <c r="J387" t="s">
        <v>40</v>
      </c>
      <c r="K387" t="s">
        <v>41</v>
      </c>
      <c r="L387" t="s">
        <v>89</v>
      </c>
      <c r="N387" t="s">
        <v>43</v>
      </c>
      <c r="O387" t="s">
        <v>483</v>
      </c>
      <c r="P387">
        <v>47</v>
      </c>
      <c r="Q387">
        <v>47</v>
      </c>
      <c r="R387">
        <v>541</v>
      </c>
      <c r="S387" t="s">
        <v>56</v>
      </c>
      <c r="T387">
        <v>0.54</v>
      </c>
      <c r="U387">
        <v>1</v>
      </c>
      <c r="V387" t="s">
        <v>55</v>
      </c>
      <c r="W387">
        <v>0</v>
      </c>
      <c r="X387">
        <v>1</v>
      </c>
      <c r="Y387" t="s">
        <v>47</v>
      </c>
      <c r="Z387">
        <v>0</v>
      </c>
      <c r="AA387">
        <v>319</v>
      </c>
      <c r="AB387" t="s">
        <v>47</v>
      </c>
      <c r="AC387">
        <v>0.318</v>
      </c>
      <c r="AD387">
        <v>260</v>
      </c>
      <c r="AE387" t="s">
        <v>56</v>
      </c>
      <c r="AF387">
        <v>0.25900000000000001</v>
      </c>
      <c r="AG387">
        <v>66</v>
      </c>
      <c r="AH387" t="s">
        <v>103</v>
      </c>
      <c r="AI387">
        <v>6.5000000000000002E-2</v>
      </c>
      <c r="AJ387" t="s">
        <v>1141</v>
      </c>
    </row>
    <row r="388" spans="1:36" x14ac:dyDescent="0.25">
      <c r="A388" t="s">
        <v>1021</v>
      </c>
      <c r="B388">
        <v>855917750</v>
      </c>
      <c r="C388" t="s">
        <v>1022</v>
      </c>
      <c r="D388" t="s">
        <v>1022</v>
      </c>
      <c r="E388" t="s">
        <v>65</v>
      </c>
      <c r="F388" t="s">
        <v>93</v>
      </c>
      <c r="I388" t="s">
        <v>39</v>
      </c>
      <c r="J388" t="s">
        <v>40</v>
      </c>
      <c r="K388" t="s">
        <v>41</v>
      </c>
      <c r="L388" t="s">
        <v>89</v>
      </c>
      <c r="N388" t="s">
        <v>43</v>
      </c>
      <c r="O388" t="s">
        <v>483</v>
      </c>
      <c r="P388">
        <v>47</v>
      </c>
      <c r="Q388">
        <v>47</v>
      </c>
      <c r="R388">
        <v>521</v>
      </c>
      <c r="S388" t="s">
        <v>56</v>
      </c>
      <c r="T388">
        <v>0.52</v>
      </c>
      <c r="U388">
        <v>1</v>
      </c>
      <c r="V388" t="s">
        <v>55</v>
      </c>
      <c r="W388">
        <v>0</v>
      </c>
      <c r="X388">
        <v>1</v>
      </c>
      <c r="Y388" t="s">
        <v>47</v>
      </c>
      <c r="Z388">
        <v>0</v>
      </c>
      <c r="AA388">
        <v>319</v>
      </c>
      <c r="AB388" t="s">
        <v>47</v>
      </c>
      <c r="AC388">
        <v>0.318</v>
      </c>
      <c r="AD388">
        <v>260</v>
      </c>
      <c r="AE388" t="s">
        <v>56</v>
      </c>
      <c r="AF388">
        <v>0.25900000000000001</v>
      </c>
      <c r="AG388">
        <v>66</v>
      </c>
      <c r="AH388" t="s">
        <v>103</v>
      </c>
      <c r="AI388">
        <v>6.5000000000000002E-2</v>
      </c>
      <c r="AJ388" t="s">
        <v>1153</v>
      </c>
    </row>
    <row r="389" spans="1:36" x14ac:dyDescent="0.25">
      <c r="A389" t="s">
        <v>1021</v>
      </c>
      <c r="B389">
        <v>855917750</v>
      </c>
      <c r="C389" t="s">
        <v>1022</v>
      </c>
      <c r="D389" t="s">
        <v>1022</v>
      </c>
      <c r="E389" t="s">
        <v>65</v>
      </c>
      <c r="F389" t="s">
        <v>93</v>
      </c>
      <c r="I389" t="s">
        <v>39</v>
      </c>
      <c r="J389" t="s">
        <v>40</v>
      </c>
      <c r="K389" t="s">
        <v>41</v>
      </c>
      <c r="L389" t="s">
        <v>89</v>
      </c>
      <c r="N389" t="s">
        <v>43</v>
      </c>
      <c r="O389" t="s">
        <v>483</v>
      </c>
      <c r="P389">
        <v>47</v>
      </c>
      <c r="Q389">
        <v>47</v>
      </c>
      <c r="R389">
        <v>521</v>
      </c>
      <c r="S389" t="s">
        <v>56</v>
      </c>
      <c r="T389">
        <v>0.52</v>
      </c>
      <c r="U389">
        <v>1</v>
      </c>
      <c r="V389" t="s">
        <v>55</v>
      </c>
      <c r="W389">
        <v>0</v>
      </c>
      <c r="X389">
        <v>1</v>
      </c>
      <c r="Y389" t="s">
        <v>47</v>
      </c>
      <c r="Z389">
        <v>0</v>
      </c>
      <c r="AA389">
        <v>319</v>
      </c>
      <c r="AB389" t="s">
        <v>47</v>
      </c>
      <c r="AC389">
        <v>0.318</v>
      </c>
      <c r="AD389">
        <v>260</v>
      </c>
      <c r="AE389" t="s">
        <v>56</v>
      </c>
      <c r="AF389">
        <v>0.25900000000000001</v>
      </c>
      <c r="AG389">
        <v>66</v>
      </c>
      <c r="AH389" t="s">
        <v>103</v>
      </c>
      <c r="AI389">
        <v>6.5000000000000002E-2</v>
      </c>
      <c r="AJ389" t="s">
        <v>1154</v>
      </c>
    </row>
    <row r="390" spans="1:36" x14ac:dyDescent="0.25">
      <c r="A390" t="s">
        <v>1021</v>
      </c>
      <c r="B390">
        <v>855917750</v>
      </c>
      <c r="C390" t="s">
        <v>1022</v>
      </c>
      <c r="D390" t="s">
        <v>1022</v>
      </c>
      <c r="E390" t="s">
        <v>65</v>
      </c>
      <c r="F390" t="s">
        <v>93</v>
      </c>
      <c r="I390" t="s">
        <v>39</v>
      </c>
      <c r="J390" t="s">
        <v>40</v>
      </c>
      <c r="K390" t="s">
        <v>41</v>
      </c>
      <c r="L390" t="s">
        <v>89</v>
      </c>
      <c r="N390" t="s">
        <v>43</v>
      </c>
      <c r="O390" t="s">
        <v>483</v>
      </c>
      <c r="P390">
        <v>47</v>
      </c>
      <c r="Q390">
        <v>47</v>
      </c>
      <c r="S390" t="s">
        <v>39</v>
      </c>
      <c r="V390" t="s">
        <v>39</v>
      </c>
      <c r="X390">
        <v>1</v>
      </c>
      <c r="Y390" t="s">
        <v>47</v>
      </c>
      <c r="Z390">
        <v>0</v>
      </c>
      <c r="AA390">
        <v>319</v>
      </c>
      <c r="AB390" t="s">
        <v>47</v>
      </c>
      <c r="AC390">
        <v>0.318</v>
      </c>
      <c r="AD390">
        <v>260</v>
      </c>
      <c r="AE390" t="s">
        <v>56</v>
      </c>
      <c r="AF390">
        <v>0.25900000000000001</v>
      </c>
      <c r="AG390">
        <v>66</v>
      </c>
      <c r="AH390" t="s">
        <v>103</v>
      </c>
      <c r="AI390">
        <v>6.5000000000000002E-2</v>
      </c>
      <c r="AJ390" t="s">
        <v>1155</v>
      </c>
    </row>
    <row r="391" spans="1:36" x14ac:dyDescent="0.25">
      <c r="A391" t="s">
        <v>1021</v>
      </c>
      <c r="B391">
        <v>855917750</v>
      </c>
      <c r="C391" t="s">
        <v>1022</v>
      </c>
      <c r="D391" t="s">
        <v>1022</v>
      </c>
      <c r="E391" t="s">
        <v>65</v>
      </c>
      <c r="F391" t="s">
        <v>93</v>
      </c>
      <c r="I391" t="s">
        <v>39</v>
      </c>
      <c r="J391" t="s">
        <v>40</v>
      </c>
      <c r="K391" t="s">
        <v>41</v>
      </c>
      <c r="L391" t="s">
        <v>89</v>
      </c>
      <c r="N391" t="s">
        <v>43</v>
      </c>
      <c r="O391" t="s">
        <v>483</v>
      </c>
      <c r="P391">
        <v>47</v>
      </c>
      <c r="Q391">
        <v>47</v>
      </c>
      <c r="S391" t="s">
        <v>39</v>
      </c>
      <c r="V391" t="s">
        <v>39</v>
      </c>
      <c r="X391">
        <v>1</v>
      </c>
      <c r="Y391" t="s">
        <v>47</v>
      </c>
      <c r="Z391">
        <v>0</v>
      </c>
      <c r="AA391">
        <v>319</v>
      </c>
      <c r="AB391" t="s">
        <v>47</v>
      </c>
      <c r="AC391">
        <v>0.318</v>
      </c>
      <c r="AD391">
        <v>260</v>
      </c>
      <c r="AE391" t="s">
        <v>56</v>
      </c>
      <c r="AF391">
        <v>0.25900000000000001</v>
      </c>
      <c r="AG391">
        <v>66</v>
      </c>
      <c r="AH391" t="s">
        <v>103</v>
      </c>
      <c r="AI391">
        <v>6.5000000000000002E-2</v>
      </c>
      <c r="AJ391" t="s">
        <v>1156</v>
      </c>
    </row>
    <row r="392" spans="1:36" x14ac:dyDescent="0.25">
      <c r="A392" t="s">
        <v>1019</v>
      </c>
      <c r="B392">
        <v>859196971</v>
      </c>
      <c r="C392" t="s">
        <v>1020</v>
      </c>
      <c r="D392" t="s">
        <v>1020</v>
      </c>
      <c r="E392" t="s">
        <v>99</v>
      </c>
      <c r="F392" t="s">
        <v>100</v>
      </c>
      <c r="I392" t="s">
        <v>39</v>
      </c>
      <c r="J392" t="s">
        <v>40</v>
      </c>
      <c r="K392" t="s">
        <v>41</v>
      </c>
      <c r="L392" t="s">
        <v>78</v>
      </c>
      <c r="N392" t="s">
        <v>43</v>
      </c>
      <c r="O392" t="s">
        <v>163</v>
      </c>
      <c r="P392">
        <v>50</v>
      </c>
      <c r="Q392">
        <v>50</v>
      </c>
      <c r="R392">
        <v>91</v>
      </c>
      <c r="S392" t="s">
        <v>56</v>
      </c>
      <c r="T392">
        <v>0.09</v>
      </c>
      <c r="U392">
        <v>40</v>
      </c>
      <c r="V392" t="s">
        <v>55</v>
      </c>
      <c r="W392">
        <v>3.9E-2</v>
      </c>
      <c r="X392">
        <v>4001</v>
      </c>
      <c r="Y392" t="s">
        <v>47</v>
      </c>
      <c r="Z392">
        <v>4</v>
      </c>
      <c r="AA392">
        <v>301</v>
      </c>
      <c r="AB392" t="s">
        <v>47</v>
      </c>
      <c r="AC392">
        <v>0.3</v>
      </c>
      <c r="AD392">
        <v>546</v>
      </c>
      <c r="AE392" t="s">
        <v>48</v>
      </c>
      <c r="AF392">
        <v>0.54500000000000004</v>
      </c>
      <c r="AG392">
        <v>428</v>
      </c>
      <c r="AH392" t="s">
        <v>57</v>
      </c>
      <c r="AI392">
        <v>0.42699999999999999</v>
      </c>
      <c r="AJ392" t="s">
        <v>50</v>
      </c>
    </row>
    <row r="393" spans="1:36" x14ac:dyDescent="0.25">
      <c r="A393" t="s">
        <v>1019</v>
      </c>
      <c r="B393">
        <v>859196971</v>
      </c>
      <c r="C393" t="s">
        <v>1020</v>
      </c>
      <c r="D393" t="s">
        <v>1020</v>
      </c>
      <c r="E393" t="s">
        <v>65</v>
      </c>
      <c r="F393" t="s">
        <v>100</v>
      </c>
      <c r="I393" t="s">
        <v>39</v>
      </c>
      <c r="J393" t="s">
        <v>40</v>
      </c>
      <c r="K393" t="s">
        <v>41</v>
      </c>
      <c r="L393" t="s">
        <v>78</v>
      </c>
      <c r="N393" t="s">
        <v>43</v>
      </c>
      <c r="O393" t="s">
        <v>443</v>
      </c>
      <c r="P393">
        <v>50</v>
      </c>
      <c r="Q393">
        <v>50</v>
      </c>
      <c r="R393">
        <v>181</v>
      </c>
      <c r="S393" t="s">
        <v>56</v>
      </c>
      <c r="T393">
        <v>0.18</v>
      </c>
      <c r="U393">
        <v>101</v>
      </c>
      <c r="V393" t="s">
        <v>55</v>
      </c>
      <c r="W393">
        <v>0.1</v>
      </c>
      <c r="X393">
        <v>5001</v>
      </c>
      <c r="Y393" t="s">
        <v>47</v>
      </c>
      <c r="Z393">
        <v>5</v>
      </c>
      <c r="AA393">
        <v>381</v>
      </c>
      <c r="AB393" t="s">
        <v>47</v>
      </c>
      <c r="AC393">
        <v>0.38</v>
      </c>
      <c r="AD393">
        <v>565</v>
      </c>
      <c r="AE393" t="s">
        <v>48</v>
      </c>
      <c r="AF393">
        <v>0.56399999999999995</v>
      </c>
      <c r="AG393">
        <v>628</v>
      </c>
      <c r="AH393" t="s">
        <v>49</v>
      </c>
      <c r="AI393">
        <v>0.627</v>
      </c>
      <c r="AJ393" t="s">
        <v>50</v>
      </c>
    </row>
    <row r="394" spans="1:36" x14ac:dyDescent="0.25">
      <c r="A394" t="s">
        <v>1019</v>
      </c>
      <c r="B394">
        <v>859196971</v>
      </c>
      <c r="C394" t="s">
        <v>1020</v>
      </c>
      <c r="D394" t="s">
        <v>1020</v>
      </c>
      <c r="E394" t="s">
        <v>99</v>
      </c>
      <c r="F394" t="s">
        <v>100</v>
      </c>
      <c r="I394" t="s">
        <v>39</v>
      </c>
      <c r="J394" t="s">
        <v>40</v>
      </c>
      <c r="K394" t="s">
        <v>41</v>
      </c>
      <c r="L394" t="s">
        <v>78</v>
      </c>
      <c r="N394" t="s">
        <v>43</v>
      </c>
      <c r="O394" t="s">
        <v>163</v>
      </c>
      <c r="P394">
        <v>50</v>
      </c>
      <c r="Q394">
        <v>50</v>
      </c>
      <c r="R394">
        <v>201</v>
      </c>
      <c r="S394" t="s">
        <v>56</v>
      </c>
      <c r="T394">
        <v>0.2</v>
      </c>
      <c r="U394">
        <v>86</v>
      </c>
      <c r="V394" t="s">
        <v>55</v>
      </c>
      <c r="W394">
        <v>8.5000000000000006E-2</v>
      </c>
      <c r="X394">
        <v>4001</v>
      </c>
      <c r="Y394" t="s">
        <v>47</v>
      </c>
      <c r="Z394">
        <v>4</v>
      </c>
      <c r="AA394">
        <v>301</v>
      </c>
      <c r="AB394" t="s">
        <v>47</v>
      </c>
      <c r="AC394">
        <v>0.3</v>
      </c>
      <c r="AD394">
        <v>546</v>
      </c>
      <c r="AE394" t="s">
        <v>48</v>
      </c>
      <c r="AF394">
        <v>0.54500000000000004</v>
      </c>
      <c r="AG394">
        <v>428</v>
      </c>
      <c r="AH394" t="s">
        <v>57</v>
      </c>
      <c r="AI394">
        <v>0.42699999999999999</v>
      </c>
      <c r="AJ394" t="s">
        <v>1141</v>
      </c>
    </row>
    <row r="395" spans="1:36" x14ac:dyDescent="0.25">
      <c r="A395" t="s">
        <v>1019</v>
      </c>
      <c r="B395">
        <v>859196971</v>
      </c>
      <c r="C395" t="s">
        <v>1020</v>
      </c>
      <c r="D395" t="s">
        <v>1020</v>
      </c>
      <c r="E395" t="s">
        <v>65</v>
      </c>
      <c r="F395" t="s">
        <v>100</v>
      </c>
      <c r="I395" t="s">
        <v>39</v>
      </c>
      <c r="J395" t="s">
        <v>40</v>
      </c>
      <c r="K395" t="s">
        <v>41</v>
      </c>
      <c r="L395" t="s">
        <v>78</v>
      </c>
      <c r="N395" t="s">
        <v>43</v>
      </c>
      <c r="O395" t="s">
        <v>443</v>
      </c>
      <c r="P395">
        <v>50</v>
      </c>
      <c r="Q395">
        <v>50</v>
      </c>
      <c r="R395">
        <v>111</v>
      </c>
      <c r="S395" t="s">
        <v>56</v>
      </c>
      <c r="T395">
        <v>0.11</v>
      </c>
      <c r="U395">
        <v>302</v>
      </c>
      <c r="V395" t="s">
        <v>55</v>
      </c>
      <c r="W395">
        <v>0.30099999999999999</v>
      </c>
      <c r="X395">
        <v>5001</v>
      </c>
      <c r="Y395" t="s">
        <v>47</v>
      </c>
      <c r="Z395">
        <v>5</v>
      </c>
      <c r="AA395">
        <v>381</v>
      </c>
      <c r="AB395" t="s">
        <v>47</v>
      </c>
      <c r="AC395">
        <v>0.38</v>
      </c>
      <c r="AD395">
        <v>565</v>
      </c>
      <c r="AE395" t="s">
        <v>48</v>
      </c>
      <c r="AF395">
        <v>0.56399999999999995</v>
      </c>
      <c r="AG395">
        <v>628</v>
      </c>
      <c r="AH395" t="s">
        <v>49</v>
      </c>
      <c r="AI395">
        <v>0.627</v>
      </c>
      <c r="AJ395" t="s">
        <v>1141</v>
      </c>
    </row>
    <row r="396" spans="1:36" x14ac:dyDescent="0.25">
      <c r="A396" t="s">
        <v>1019</v>
      </c>
      <c r="B396">
        <v>859196971</v>
      </c>
      <c r="C396" t="s">
        <v>1020</v>
      </c>
      <c r="D396" t="s">
        <v>1020</v>
      </c>
      <c r="E396" t="s">
        <v>99</v>
      </c>
      <c r="F396" t="s">
        <v>100</v>
      </c>
      <c r="I396" t="s">
        <v>39</v>
      </c>
      <c r="J396" t="s">
        <v>40</v>
      </c>
      <c r="K396" t="s">
        <v>41</v>
      </c>
      <c r="L396" t="s">
        <v>78</v>
      </c>
      <c r="N396" t="s">
        <v>43</v>
      </c>
      <c r="O396" t="s">
        <v>163</v>
      </c>
      <c r="P396">
        <v>50</v>
      </c>
      <c r="Q396">
        <v>50</v>
      </c>
      <c r="R396">
        <v>91</v>
      </c>
      <c r="S396" t="s">
        <v>56</v>
      </c>
      <c r="T396">
        <v>0.09</v>
      </c>
      <c r="U396">
        <v>40</v>
      </c>
      <c r="V396" t="s">
        <v>55</v>
      </c>
      <c r="W396">
        <v>3.9E-2</v>
      </c>
      <c r="X396">
        <v>4001</v>
      </c>
      <c r="Y396" t="s">
        <v>47</v>
      </c>
      <c r="Z396">
        <v>4</v>
      </c>
      <c r="AA396">
        <v>301</v>
      </c>
      <c r="AB396" t="s">
        <v>47</v>
      </c>
      <c r="AC396">
        <v>0.3</v>
      </c>
      <c r="AD396">
        <v>546</v>
      </c>
      <c r="AE396" t="s">
        <v>48</v>
      </c>
      <c r="AF396">
        <v>0.54500000000000004</v>
      </c>
      <c r="AG396">
        <v>428</v>
      </c>
      <c r="AH396" t="s">
        <v>57</v>
      </c>
      <c r="AI396">
        <v>0.42699999999999999</v>
      </c>
      <c r="AJ396" t="s">
        <v>1153</v>
      </c>
    </row>
    <row r="397" spans="1:36" x14ac:dyDescent="0.25">
      <c r="A397" t="s">
        <v>1019</v>
      </c>
      <c r="B397">
        <v>859196971</v>
      </c>
      <c r="C397" t="s">
        <v>1020</v>
      </c>
      <c r="D397" t="s">
        <v>1020</v>
      </c>
      <c r="E397" t="s">
        <v>65</v>
      </c>
      <c r="F397" t="s">
        <v>100</v>
      </c>
      <c r="I397" t="s">
        <v>39</v>
      </c>
      <c r="J397" t="s">
        <v>40</v>
      </c>
      <c r="K397" t="s">
        <v>41</v>
      </c>
      <c r="L397" t="s">
        <v>78</v>
      </c>
      <c r="N397" t="s">
        <v>43</v>
      </c>
      <c r="O397" t="s">
        <v>443</v>
      </c>
      <c r="P397">
        <v>50</v>
      </c>
      <c r="Q397">
        <v>50</v>
      </c>
      <c r="R397">
        <v>181</v>
      </c>
      <c r="S397" t="s">
        <v>56</v>
      </c>
      <c r="T397">
        <v>0.18</v>
      </c>
      <c r="U397">
        <v>101</v>
      </c>
      <c r="V397" t="s">
        <v>55</v>
      </c>
      <c r="W397">
        <v>0.1</v>
      </c>
      <c r="X397">
        <v>5001</v>
      </c>
      <c r="Y397" t="s">
        <v>47</v>
      </c>
      <c r="Z397">
        <v>5</v>
      </c>
      <c r="AA397">
        <v>381</v>
      </c>
      <c r="AB397" t="s">
        <v>47</v>
      </c>
      <c r="AC397">
        <v>0.38</v>
      </c>
      <c r="AD397">
        <v>565</v>
      </c>
      <c r="AE397" t="s">
        <v>48</v>
      </c>
      <c r="AF397">
        <v>0.56399999999999995</v>
      </c>
      <c r="AG397">
        <v>628</v>
      </c>
      <c r="AH397" t="s">
        <v>49</v>
      </c>
      <c r="AI397">
        <v>0.627</v>
      </c>
      <c r="AJ397" t="s">
        <v>1153</v>
      </c>
    </row>
    <row r="398" spans="1:36" x14ac:dyDescent="0.25">
      <c r="A398" t="s">
        <v>1019</v>
      </c>
      <c r="B398">
        <v>859196971</v>
      </c>
      <c r="C398" t="s">
        <v>1020</v>
      </c>
      <c r="D398" t="s">
        <v>1020</v>
      </c>
      <c r="E398" t="s">
        <v>99</v>
      </c>
      <c r="F398" t="s">
        <v>100</v>
      </c>
      <c r="I398" t="s">
        <v>39</v>
      </c>
      <c r="J398" t="s">
        <v>40</v>
      </c>
      <c r="K398" t="s">
        <v>41</v>
      </c>
      <c r="L398" t="s">
        <v>78</v>
      </c>
      <c r="N398" t="s">
        <v>43</v>
      </c>
      <c r="O398" t="s">
        <v>163</v>
      </c>
      <c r="P398">
        <v>50</v>
      </c>
      <c r="Q398">
        <v>50</v>
      </c>
      <c r="R398">
        <v>91</v>
      </c>
      <c r="S398" t="s">
        <v>56</v>
      </c>
      <c r="T398">
        <v>0.09</v>
      </c>
      <c r="U398">
        <v>40</v>
      </c>
      <c r="V398" t="s">
        <v>55</v>
      </c>
      <c r="W398">
        <v>3.9E-2</v>
      </c>
      <c r="X398">
        <v>4001</v>
      </c>
      <c r="Y398" t="s">
        <v>47</v>
      </c>
      <c r="Z398">
        <v>4</v>
      </c>
      <c r="AA398">
        <v>301</v>
      </c>
      <c r="AB398" t="s">
        <v>47</v>
      </c>
      <c r="AC398">
        <v>0.3</v>
      </c>
      <c r="AD398">
        <v>546</v>
      </c>
      <c r="AE398" t="s">
        <v>48</v>
      </c>
      <c r="AF398">
        <v>0.54500000000000004</v>
      </c>
      <c r="AG398">
        <v>428</v>
      </c>
      <c r="AH398" t="s">
        <v>57</v>
      </c>
      <c r="AI398">
        <v>0.42699999999999999</v>
      </c>
      <c r="AJ398" t="s">
        <v>1154</v>
      </c>
    </row>
    <row r="399" spans="1:36" x14ac:dyDescent="0.25">
      <c r="A399" t="s">
        <v>1019</v>
      </c>
      <c r="B399">
        <v>859196971</v>
      </c>
      <c r="C399" t="s">
        <v>1020</v>
      </c>
      <c r="D399" t="s">
        <v>1020</v>
      </c>
      <c r="E399" t="s">
        <v>65</v>
      </c>
      <c r="F399" t="s">
        <v>100</v>
      </c>
      <c r="I399" t="s">
        <v>39</v>
      </c>
      <c r="J399" t="s">
        <v>40</v>
      </c>
      <c r="K399" t="s">
        <v>41</v>
      </c>
      <c r="L399" t="s">
        <v>78</v>
      </c>
      <c r="N399" t="s">
        <v>43</v>
      </c>
      <c r="O399" t="s">
        <v>443</v>
      </c>
      <c r="P399">
        <v>50</v>
      </c>
      <c r="Q399">
        <v>50</v>
      </c>
      <c r="R399">
        <v>181</v>
      </c>
      <c r="S399" t="s">
        <v>56</v>
      </c>
      <c r="T399">
        <v>0.18</v>
      </c>
      <c r="U399">
        <v>101</v>
      </c>
      <c r="V399" t="s">
        <v>55</v>
      </c>
      <c r="W399">
        <v>0.1</v>
      </c>
      <c r="X399">
        <v>5001</v>
      </c>
      <c r="Y399" t="s">
        <v>47</v>
      </c>
      <c r="Z399">
        <v>5</v>
      </c>
      <c r="AA399">
        <v>381</v>
      </c>
      <c r="AB399" t="s">
        <v>47</v>
      </c>
      <c r="AC399">
        <v>0.38</v>
      </c>
      <c r="AD399">
        <v>565</v>
      </c>
      <c r="AE399" t="s">
        <v>48</v>
      </c>
      <c r="AF399">
        <v>0.56399999999999995</v>
      </c>
      <c r="AG399">
        <v>628</v>
      </c>
      <c r="AH399" t="s">
        <v>49</v>
      </c>
      <c r="AI399">
        <v>0.627</v>
      </c>
      <c r="AJ399" t="s">
        <v>1154</v>
      </c>
    </row>
    <row r="400" spans="1:36" x14ac:dyDescent="0.25">
      <c r="A400" t="s">
        <v>1019</v>
      </c>
      <c r="B400">
        <v>859196971</v>
      </c>
      <c r="C400" t="s">
        <v>1020</v>
      </c>
      <c r="D400" t="s">
        <v>1020</v>
      </c>
      <c r="E400" t="s">
        <v>99</v>
      </c>
      <c r="F400" t="s">
        <v>100</v>
      </c>
      <c r="I400" t="s">
        <v>39</v>
      </c>
      <c r="J400" t="s">
        <v>40</v>
      </c>
      <c r="K400" t="s">
        <v>41</v>
      </c>
      <c r="L400" t="s">
        <v>78</v>
      </c>
      <c r="N400" t="s">
        <v>43</v>
      </c>
      <c r="O400" t="s">
        <v>163</v>
      </c>
      <c r="P400">
        <v>50</v>
      </c>
      <c r="Q400">
        <v>50</v>
      </c>
      <c r="S400" t="s">
        <v>39</v>
      </c>
      <c r="V400" t="s">
        <v>39</v>
      </c>
      <c r="X400">
        <v>4001</v>
      </c>
      <c r="Y400" t="s">
        <v>47</v>
      </c>
      <c r="Z400">
        <v>4</v>
      </c>
      <c r="AA400">
        <v>301</v>
      </c>
      <c r="AB400" t="s">
        <v>47</v>
      </c>
      <c r="AC400">
        <v>0.3</v>
      </c>
      <c r="AD400">
        <v>546</v>
      </c>
      <c r="AE400" t="s">
        <v>48</v>
      </c>
      <c r="AF400">
        <v>0.54500000000000004</v>
      </c>
      <c r="AG400">
        <v>428</v>
      </c>
      <c r="AH400" t="s">
        <v>57</v>
      </c>
      <c r="AI400">
        <v>0.42699999999999999</v>
      </c>
      <c r="AJ400" t="s">
        <v>1155</v>
      </c>
    </row>
    <row r="401" spans="1:36" x14ac:dyDescent="0.25">
      <c r="A401" t="s">
        <v>1019</v>
      </c>
      <c r="B401">
        <v>859196971</v>
      </c>
      <c r="C401" t="s">
        <v>1020</v>
      </c>
      <c r="D401" t="s">
        <v>1020</v>
      </c>
      <c r="E401" t="s">
        <v>65</v>
      </c>
      <c r="F401" t="s">
        <v>100</v>
      </c>
      <c r="I401" t="s">
        <v>39</v>
      </c>
      <c r="J401" t="s">
        <v>40</v>
      </c>
      <c r="K401" t="s">
        <v>41</v>
      </c>
      <c r="L401" t="s">
        <v>78</v>
      </c>
      <c r="N401" t="s">
        <v>43</v>
      </c>
      <c r="O401" t="s">
        <v>443</v>
      </c>
      <c r="P401">
        <v>50</v>
      </c>
      <c r="Q401">
        <v>50</v>
      </c>
      <c r="S401" t="s">
        <v>39</v>
      </c>
      <c r="V401" t="s">
        <v>39</v>
      </c>
      <c r="X401">
        <v>5001</v>
      </c>
      <c r="Y401" t="s">
        <v>47</v>
      </c>
      <c r="Z401">
        <v>5</v>
      </c>
      <c r="AA401">
        <v>381</v>
      </c>
      <c r="AB401" t="s">
        <v>47</v>
      </c>
      <c r="AC401">
        <v>0.38</v>
      </c>
      <c r="AD401">
        <v>565</v>
      </c>
      <c r="AE401" t="s">
        <v>48</v>
      </c>
      <c r="AF401">
        <v>0.56399999999999995</v>
      </c>
      <c r="AG401">
        <v>628</v>
      </c>
      <c r="AH401" t="s">
        <v>49</v>
      </c>
      <c r="AI401">
        <v>0.627</v>
      </c>
      <c r="AJ401" t="s">
        <v>1155</v>
      </c>
    </row>
    <row r="402" spans="1:36" x14ac:dyDescent="0.25">
      <c r="A402" t="s">
        <v>1019</v>
      </c>
      <c r="B402">
        <v>859196971</v>
      </c>
      <c r="C402" t="s">
        <v>1020</v>
      </c>
      <c r="D402" t="s">
        <v>1020</v>
      </c>
      <c r="E402" t="s">
        <v>99</v>
      </c>
      <c r="F402" t="s">
        <v>100</v>
      </c>
      <c r="I402" t="s">
        <v>39</v>
      </c>
      <c r="J402" t="s">
        <v>40</v>
      </c>
      <c r="K402" t="s">
        <v>41</v>
      </c>
      <c r="L402" t="s">
        <v>78</v>
      </c>
      <c r="N402" t="s">
        <v>43</v>
      </c>
      <c r="O402" t="s">
        <v>163</v>
      </c>
      <c r="P402">
        <v>50</v>
      </c>
      <c r="Q402">
        <v>50</v>
      </c>
      <c r="S402" t="s">
        <v>39</v>
      </c>
      <c r="V402" t="s">
        <v>39</v>
      </c>
      <c r="X402">
        <v>4001</v>
      </c>
      <c r="Y402" t="s">
        <v>47</v>
      </c>
      <c r="Z402">
        <v>4</v>
      </c>
      <c r="AA402">
        <v>301</v>
      </c>
      <c r="AB402" t="s">
        <v>47</v>
      </c>
      <c r="AC402">
        <v>0.3</v>
      </c>
      <c r="AD402">
        <v>546</v>
      </c>
      <c r="AE402" t="s">
        <v>48</v>
      </c>
      <c r="AF402">
        <v>0.54500000000000004</v>
      </c>
      <c r="AG402">
        <v>428</v>
      </c>
      <c r="AH402" t="s">
        <v>57</v>
      </c>
      <c r="AI402">
        <v>0.42699999999999999</v>
      </c>
      <c r="AJ402" t="s">
        <v>1156</v>
      </c>
    </row>
    <row r="403" spans="1:36" x14ac:dyDescent="0.25">
      <c r="A403" t="s">
        <v>1019</v>
      </c>
      <c r="B403">
        <v>859196971</v>
      </c>
      <c r="C403" t="s">
        <v>1020</v>
      </c>
      <c r="D403" t="s">
        <v>1020</v>
      </c>
      <c r="E403" t="s">
        <v>65</v>
      </c>
      <c r="F403" t="s">
        <v>100</v>
      </c>
      <c r="I403" t="s">
        <v>39</v>
      </c>
      <c r="J403" t="s">
        <v>40</v>
      </c>
      <c r="K403" t="s">
        <v>41</v>
      </c>
      <c r="L403" t="s">
        <v>78</v>
      </c>
      <c r="N403" t="s">
        <v>43</v>
      </c>
      <c r="O403" t="s">
        <v>443</v>
      </c>
      <c r="P403">
        <v>50</v>
      </c>
      <c r="Q403">
        <v>50</v>
      </c>
      <c r="S403" t="s">
        <v>39</v>
      </c>
      <c r="V403" t="s">
        <v>39</v>
      </c>
      <c r="X403">
        <v>5001</v>
      </c>
      <c r="Y403" t="s">
        <v>47</v>
      </c>
      <c r="Z403">
        <v>5</v>
      </c>
      <c r="AA403">
        <v>381</v>
      </c>
      <c r="AB403" t="s">
        <v>47</v>
      </c>
      <c r="AC403">
        <v>0.38</v>
      </c>
      <c r="AD403">
        <v>565</v>
      </c>
      <c r="AE403" t="s">
        <v>48</v>
      </c>
      <c r="AF403">
        <v>0.56399999999999995</v>
      </c>
      <c r="AG403">
        <v>628</v>
      </c>
      <c r="AH403" t="s">
        <v>49</v>
      </c>
      <c r="AI403">
        <v>0.627</v>
      </c>
      <c r="AJ403" t="s">
        <v>1156</v>
      </c>
    </row>
    <row r="404" spans="1:36" x14ac:dyDescent="0.25">
      <c r="A404" t="s">
        <v>1017</v>
      </c>
      <c r="B404">
        <v>874102811</v>
      </c>
      <c r="C404" t="s">
        <v>1018</v>
      </c>
      <c r="D404" t="s">
        <v>1018</v>
      </c>
      <c r="E404" t="s">
        <v>65</v>
      </c>
      <c r="F404" t="s">
        <v>66</v>
      </c>
      <c r="I404" t="s">
        <v>39</v>
      </c>
      <c r="J404" t="s">
        <v>40</v>
      </c>
      <c r="K404" t="s">
        <v>41</v>
      </c>
      <c r="L404" t="s">
        <v>89</v>
      </c>
      <c r="N404" t="s">
        <v>43</v>
      </c>
      <c r="O404" t="s">
        <v>68</v>
      </c>
      <c r="P404">
        <v>51</v>
      </c>
      <c r="Q404">
        <v>51</v>
      </c>
      <c r="R404">
        <v>21</v>
      </c>
      <c r="S404" t="s">
        <v>45</v>
      </c>
      <c r="T404">
        <v>0.02</v>
      </c>
      <c r="U404">
        <v>19</v>
      </c>
      <c r="V404" t="s">
        <v>55</v>
      </c>
      <c r="W404">
        <v>1.7999999999999999E-2</v>
      </c>
      <c r="X404">
        <v>1</v>
      </c>
      <c r="Y404" t="s">
        <v>47</v>
      </c>
      <c r="Z404">
        <v>0</v>
      </c>
      <c r="AA404">
        <v>462</v>
      </c>
      <c r="AB404" t="s">
        <v>47</v>
      </c>
      <c r="AC404">
        <v>0.46100000000000002</v>
      </c>
      <c r="AD404">
        <v>233</v>
      </c>
      <c r="AE404" t="s">
        <v>56</v>
      </c>
      <c r="AF404">
        <v>0.23200000000000001</v>
      </c>
      <c r="AG404">
        <v>66</v>
      </c>
      <c r="AH404" t="s">
        <v>103</v>
      </c>
      <c r="AI404">
        <v>6.5000000000000002E-2</v>
      </c>
      <c r="AJ404" t="s">
        <v>50</v>
      </c>
    </row>
    <row r="405" spans="1:36" x14ac:dyDescent="0.25">
      <c r="A405" t="s">
        <v>1017</v>
      </c>
      <c r="B405">
        <v>874102811</v>
      </c>
      <c r="C405" t="s">
        <v>1018</v>
      </c>
      <c r="D405" t="s">
        <v>1018</v>
      </c>
      <c r="E405" t="s">
        <v>65</v>
      </c>
      <c r="F405" t="s">
        <v>66</v>
      </c>
      <c r="I405" t="s">
        <v>39</v>
      </c>
      <c r="J405" t="s">
        <v>40</v>
      </c>
      <c r="K405" t="s">
        <v>41</v>
      </c>
      <c r="L405" t="s">
        <v>89</v>
      </c>
      <c r="N405" t="s">
        <v>43</v>
      </c>
      <c r="O405" t="s">
        <v>68</v>
      </c>
      <c r="P405">
        <v>51</v>
      </c>
      <c r="Q405">
        <v>51</v>
      </c>
      <c r="R405">
        <v>31</v>
      </c>
      <c r="S405" t="s">
        <v>45</v>
      </c>
      <c r="T405">
        <v>0.03</v>
      </c>
      <c r="U405">
        <v>42</v>
      </c>
      <c r="V405" t="s">
        <v>55</v>
      </c>
      <c r="W405">
        <v>4.1000000000000002E-2</v>
      </c>
      <c r="X405">
        <v>1</v>
      </c>
      <c r="Y405" t="s">
        <v>47</v>
      </c>
      <c r="Z405">
        <v>0</v>
      </c>
      <c r="AA405">
        <v>462</v>
      </c>
      <c r="AB405" t="s">
        <v>47</v>
      </c>
      <c r="AC405">
        <v>0.46100000000000002</v>
      </c>
      <c r="AD405">
        <v>233</v>
      </c>
      <c r="AE405" t="s">
        <v>56</v>
      </c>
      <c r="AF405">
        <v>0.23200000000000001</v>
      </c>
      <c r="AG405">
        <v>66</v>
      </c>
      <c r="AH405" t="s">
        <v>103</v>
      </c>
      <c r="AI405">
        <v>6.5000000000000002E-2</v>
      </c>
      <c r="AJ405" t="s">
        <v>1141</v>
      </c>
    </row>
    <row r="406" spans="1:36" x14ac:dyDescent="0.25">
      <c r="A406" t="s">
        <v>1017</v>
      </c>
      <c r="B406">
        <v>874102811</v>
      </c>
      <c r="C406" t="s">
        <v>1018</v>
      </c>
      <c r="D406" t="s">
        <v>1018</v>
      </c>
      <c r="E406" t="s">
        <v>65</v>
      </c>
      <c r="F406" t="s">
        <v>66</v>
      </c>
      <c r="I406" t="s">
        <v>39</v>
      </c>
      <c r="J406" t="s">
        <v>40</v>
      </c>
      <c r="K406" t="s">
        <v>41</v>
      </c>
      <c r="L406" t="s">
        <v>89</v>
      </c>
      <c r="N406" t="s">
        <v>43</v>
      </c>
      <c r="O406" t="s">
        <v>68</v>
      </c>
      <c r="P406">
        <v>51</v>
      </c>
      <c r="Q406">
        <v>51</v>
      </c>
      <c r="R406">
        <v>21</v>
      </c>
      <c r="S406" t="s">
        <v>45</v>
      </c>
      <c r="T406">
        <v>0.02</v>
      </c>
      <c r="U406">
        <v>19</v>
      </c>
      <c r="V406" t="s">
        <v>55</v>
      </c>
      <c r="W406">
        <v>1.7999999999999999E-2</v>
      </c>
      <c r="X406">
        <v>1</v>
      </c>
      <c r="Y406" t="s">
        <v>47</v>
      </c>
      <c r="Z406">
        <v>0</v>
      </c>
      <c r="AA406">
        <v>462</v>
      </c>
      <c r="AB406" t="s">
        <v>47</v>
      </c>
      <c r="AC406">
        <v>0.46100000000000002</v>
      </c>
      <c r="AD406">
        <v>233</v>
      </c>
      <c r="AE406" t="s">
        <v>56</v>
      </c>
      <c r="AF406">
        <v>0.23200000000000001</v>
      </c>
      <c r="AG406">
        <v>66</v>
      </c>
      <c r="AH406" t="s">
        <v>103</v>
      </c>
      <c r="AI406">
        <v>6.5000000000000002E-2</v>
      </c>
      <c r="AJ406" t="s">
        <v>1153</v>
      </c>
    </row>
    <row r="407" spans="1:36" x14ac:dyDescent="0.25">
      <c r="A407" t="s">
        <v>1017</v>
      </c>
      <c r="B407">
        <v>874102811</v>
      </c>
      <c r="C407" t="s">
        <v>1018</v>
      </c>
      <c r="D407" t="s">
        <v>1018</v>
      </c>
      <c r="E407" t="s">
        <v>65</v>
      </c>
      <c r="F407" t="s">
        <v>66</v>
      </c>
      <c r="I407" t="s">
        <v>39</v>
      </c>
      <c r="J407" t="s">
        <v>40</v>
      </c>
      <c r="K407" t="s">
        <v>41</v>
      </c>
      <c r="L407" t="s">
        <v>89</v>
      </c>
      <c r="N407" t="s">
        <v>43</v>
      </c>
      <c r="O407" t="s">
        <v>68</v>
      </c>
      <c r="P407">
        <v>51</v>
      </c>
      <c r="Q407">
        <v>51</v>
      </c>
      <c r="R407">
        <v>21</v>
      </c>
      <c r="S407" t="s">
        <v>45</v>
      </c>
      <c r="T407">
        <v>0.02</v>
      </c>
      <c r="U407">
        <v>19</v>
      </c>
      <c r="V407" t="s">
        <v>55</v>
      </c>
      <c r="W407">
        <v>1.7999999999999999E-2</v>
      </c>
      <c r="X407">
        <v>1</v>
      </c>
      <c r="Y407" t="s">
        <v>47</v>
      </c>
      <c r="Z407">
        <v>0</v>
      </c>
      <c r="AA407">
        <v>462</v>
      </c>
      <c r="AB407" t="s">
        <v>47</v>
      </c>
      <c r="AC407">
        <v>0.46100000000000002</v>
      </c>
      <c r="AD407">
        <v>233</v>
      </c>
      <c r="AE407" t="s">
        <v>56</v>
      </c>
      <c r="AF407">
        <v>0.23200000000000001</v>
      </c>
      <c r="AG407">
        <v>66</v>
      </c>
      <c r="AH407" t="s">
        <v>103</v>
      </c>
      <c r="AI407">
        <v>6.5000000000000002E-2</v>
      </c>
      <c r="AJ407" t="s">
        <v>1154</v>
      </c>
    </row>
    <row r="408" spans="1:36" x14ac:dyDescent="0.25">
      <c r="A408" t="s">
        <v>1017</v>
      </c>
      <c r="B408">
        <v>874102811</v>
      </c>
      <c r="C408" t="s">
        <v>1018</v>
      </c>
      <c r="D408" t="s">
        <v>1018</v>
      </c>
      <c r="E408" t="s">
        <v>65</v>
      </c>
      <c r="F408" t="s">
        <v>66</v>
      </c>
      <c r="I408" t="s">
        <v>39</v>
      </c>
      <c r="J408" t="s">
        <v>40</v>
      </c>
      <c r="K408" t="s">
        <v>41</v>
      </c>
      <c r="L408" t="s">
        <v>89</v>
      </c>
      <c r="N408" t="s">
        <v>43</v>
      </c>
      <c r="O408" t="s">
        <v>68</v>
      </c>
      <c r="P408">
        <v>51</v>
      </c>
      <c r="Q408">
        <v>51</v>
      </c>
      <c r="S408" t="s">
        <v>39</v>
      </c>
      <c r="V408" t="s">
        <v>39</v>
      </c>
      <c r="X408">
        <v>1</v>
      </c>
      <c r="Y408" t="s">
        <v>47</v>
      </c>
      <c r="Z408">
        <v>0</v>
      </c>
      <c r="AA408">
        <v>462</v>
      </c>
      <c r="AB408" t="s">
        <v>47</v>
      </c>
      <c r="AC408">
        <v>0.46100000000000002</v>
      </c>
      <c r="AD408">
        <v>233</v>
      </c>
      <c r="AE408" t="s">
        <v>56</v>
      </c>
      <c r="AF408">
        <v>0.23200000000000001</v>
      </c>
      <c r="AG408">
        <v>66</v>
      </c>
      <c r="AH408" t="s">
        <v>103</v>
      </c>
      <c r="AI408">
        <v>6.5000000000000002E-2</v>
      </c>
      <c r="AJ408" t="s">
        <v>1155</v>
      </c>
    </row>
    <row r="409" spans="1:36" x14ac:dyDescent="0.25">
      <c r="A409" t="s">
        <v>1017</v>
      </c>
      <c r="B409">
        <v>874102811</v>
      </c>
      <c r="C409" t="s">
        <v>1018</v>
      </c>
      <c r="D409" t="s">
        <v>1018</v>
      </c>
      <c r="E409" t="s">
        <v>65</v>
      </c>
      <c r="F409" t="s">
        <v>66</v>
      </c>
      <c r="I409" t="s">
        <v>39</v>
      </c>
      <c r="J409" t="s">
        <v>40</v>
      </c>
      <c r="K409" t="s">
        <v>41</v>
      </c>
      <c r="L409" t="s">
        <v>89</v>
      </c>
      <c r="N409" t="s">
        <v>43</v>
      </c>
      <c r="O409" t="s">
        <v>68</v>
      </c>
      <c r="P409">
        <v>51</v>
      </c>
      <c r="Q409">
        <v>51</v>
      </c>
      <c r="S409" t="s">
        <v>39</v>
      </c>
      <c r="V409" t="s">
        <v>39</v>
      </c>
      <c r="X409">
        <v>1</v>
      </c>
      <c r="Y409" t="s">
        <v>47</v>
      </c>
      <c r="Z409">
        <v>0</v>
      </c>
      <c r="AA409">
        <v>462</v>
      </c>
      <c r="AB409" t="s">
        <v>47</v>
      </c>
      <c r="AC409">
        <v>0.46100000000000002</v>
      </c>
      <c r="AD409">
        <v>233</v>
      </c>
      <c r="AE409" t="s">
        <v>56</v>
      </c>
      <c r="AF409">
        <v>0.23200000000000001</v>
      </c>
      <c r="AG409">
        <v>66</v>
      </c>
      <c r="AH409" t="s">
        <v>103</v>
      </c>
      <c r="AI409">
        <v>6.5000000000000002E-2</v>
      </c>
      <c r="AJ409" t="s">
        <v>1156</v>
      </c>
    </row>
    <row r="410" spans="1:36" x14ac:dyDescent="0.25">
      <c r="A410" t="s">
        <v>1015</v>
      </c>
      <c r="B410">
        <v>881532292</v>
      </c>
      <c r="C410" t="s">
        <v>1016</v>
      </c>
      <c r="D410" t="s">
        <v>1016</v>
      </c>
      <c r="E410" t="s">
        <v>99</v>
      </c>
      <c r="F410" t="s">
        <v>111</v>
      </c>
      <c r="I410" t="s">
        <v>39</v>
      </c>
      <c r="J410" t="s">
        <v>40</v>
      </c>
      <c r="K410" t="s">
        <v>41</v>
      </c>
      <c r="L410" t="s">
        <v>42</v>
      </c>
      <c r="N410" t="s">
        <v>43</v>
      </c>
      <c r="O410" t="s">
        <v>200</v>
      </c>
      <c r="P410">
        <v>52</v>
      </c>
      <c r="Q410">
        <v>52</v>
      </c>
      <c r="R410">
        <v>21</v>
      </c>
      <c r="S410" t="s">
        <v>45</v>
      </c>
      <c r="T410">
        <v>0.02</v>
      </c>
      <c r="U410">
        <v>792</v>
      </c>
      <c r="V410" t="s">
        <v>113</v>
      </c>
      <c r="W410">
        <v>0.79100000000000004</v>
      </c>
      <c r="X410">
        <v>13001</v>
      </c>
      <c r="Y410" t="s">
        <v>47</v>
      </c>
      <c r="Z410">
        <v>13</v>
      </c>
      <c r="AA410">
        <v>229</v>
      </c>
      <c r="AB410" t="s">
        <v>47</v>
      </c>
      <c r="AC410">
        <v>0.22800000000000001</v>
      </c>
      <c r="AD410">
        <v>455</v>
      </c>
      <c r="AE410" t="s">
        <v>56</v>
      </c>
      <c r="AF410">
        <v>0.45400000000000001</v>
      </c>
      <c r="AG410">
        <v>573</v>
      </c>
      <c r="AH410" t="s">
        <v>49</v>
      </c>
      <c r="AI410">
        <v>0.57199999999999995</v>
      </c>
      <c r="AJ410" t="s">
        <v>50</v>
      </c>
    </row>
    <row r="411" spans="1:36" x14ac:dyDescent="0.25">
      <c r="A411" t="s">
        <v>1015</v>
      </c>
      <c r="B411">
        <v>881532292</v>
      </c>
      <c r="C411" t="s">
        <v>1016</v>
      </c>
      <c r="D411" t="s">
        <v>1016</v>
      </c>
      <c r="E411" t="s">
        <v>99</v>
      </c>
      <c r="F411" t="s">
        <v>111</v>
      </c>
      <c r="I411" t="s">
        <v>39</v>
      </c>
      <c r="J411" t="s">
        <v>40</v>
      </c>
      <c r="K411" t="s">
        <v>41</v>
      </c>
      <c r="L411" t="s">
        <v>42</v>
      </c>
      <c r="N411" t="s">
        <v>43</v>
      </c>
      <c r="O411" t="s">
        <v>200</v>
      </c>
      <c r="P411">
        <v>52</v>
      </c>
      <c r="Q411">
        <v>52</v>
      </c>
      <c r="R411">
        <v>61</v>
      </c>
      <c r="S411" t="s">
        <v>56</v>
      </c>
      <c r="T411">
        <v>0.06</v>
      </c>
      <c r="U411">
        <v>281</v>
      </c>
      <c r="V411" t="s">
        <v>55</v>
      </c>
      <c r="W411">
        <v>0.28000000000000003</v>
      </c>
      <c r="X411">
        <v>13001</v>
      </c>
      <c r="Y411" t="s">
        <v>47</v>
      </c>
      <c r="Z411">
        <v>13</v>
      </c>
      <c r="AA411">
        <v>229</v>
      </c>
      <c r="AB411" t="s">
        <v>47</v>
      </c>
      <c r="AC411">
        <v>0.22800000000000001</v>
      </c>
      <c r="AD411">
        <v>455</v>
      </c>
      <c r="AE411" t="s">
        <v>56</v>
      </c>
      <c r="AF411">
        <v>0.45400000000000001</v>
      </c>
      <c r="AG411">
        <v>573</v>
      </c>
      <c r="AH411" t="s">
        <v>49</v>
      </c>
      <c r="AI411">
        <v>0.57199999999999995</v>
      </c>
      <c r="AJ411" t="s">
        <v>1141</v>
      </c>
    </row>
    <row r="412" spans="1:36" x14ac:dyDescent="0.25">
      <c r="A412" t="s">
        <v>1015</v>
      </c>
      <c r="B412">
        <v>881532292</v>
      </c>
      <c r="C412" t="s">
        <v>1016</v>
      </c>
      <c r="D412" t="s">
        <v>1016</v>
      </c>
      <c r="E412" t="s">
        <v>99</v>
      </c>
      <c r="F412" t="s">
        <v>111</v>
      </c>
      <c r="I412" t="s">
        <v>39</v>
      </c>
      <c r="J412" t="s">
        <v>40</v>
      </c>
      <c r="K412" t="s">
        <v>41</v>
      </c>
      <c r="L412" t="s">
        <v>42</v>
      </c>
      <c r="N412" t="s">
        <v>43</v>
      </c>
      <c r="O412" t="s">
        <v>200</v>
      </c>
      <c r="P412">
        <v>52</v>
      </c>
      <c r="Q412">
        <v>52</v>
      </c>
      <c r="R412">
        <v>21</v>
      </c>
      <c r="S412" t="s">
        <v>45</v>
      </c>
      <c r="T412">
        <v>0.02</v>
      </c>
      <c r="U412">
        <v>792</v>
      </c>
      <c r="V412" t="s">
        <v>113</v>
      </c>
      <c r="W412">
        <v>0.79100000000000004</v>
      </c>
      <c r="X412">
        <v>13001</v>
      </c>
      <c r="Y412" t="s">
        <v>47</v>
      </c>
      <c r="Z412">
        <v>13</v>
      </c>
      <c r="AA412">
        <v>229</v>
      </c>
      <c r="AB412" t="s">
        <v>47</v>
      </c>
      <c r="AC412">
        <v>0.22800000000000001</v>
      </c>
      <c r="AD412">
        <v>455</v>
      </c>
      <c r="AE412" t="s">
        <v>56</v>
      </c>
      <c r="AF412">
        <v>0.45400000000000001</v>
      </c>
      <c r="AG412">
        <v>573</v>
      </c>
      <c r="AH412" t="s">
        <v>49</v>
      </c>
      <c r="AI412">
        <v>0.57199999999999995</v>
      </c>
      <c r="AJ412" t="s">
        <v>1153</v>
      </c>
    </row>
    <row r="413" spans="1:36" x14ac:dyDescent="0.25">
      <c r="A413" t="s">
        <v>1015</v>
      </c>
      <c r="B413">
        <v>881532292</v>
      </c>
      <c r="C413" t="s">
        <v>1016</v>
      </c>
      <c r="D413" t="s">
        <v>1016</v>
      </c>
      <c r="E413" t="s">
        <v>99</v>
      </c>
      <c r="F413" t="s">
        <v>111</v>
      </c>
      <c r="I413" t="s">
        <v>39</v>
      </c>
      <c r="J413" t="s">
        <v>40</v>
      </c>
      <c r="K413" t="s">
        <v>41</v>
      </c>
      <c r="L413" t="s">
        <v>42</v>
      </c>
      <c r="N413" t="s">
        <v>43</v>
      </c>
      <c r="O413" t="s">
        <v>200</v>
      </c>
      <c r="P413">
        <v>52</v>
      </c>
      <c r="Q413">
        <v>52</v>
      </c>
      <c r="R413">
        <v>21</v>
      </c>
      <c r="S413" t="s">
        <v>45</v>
      </c>
      <c r="T413">
        <v>0.02</v>
      </c>
      <c r="U413">
        <v>792</v>
      </c>
      <c r="V413" t="s">
        <v>113</v>
      </c>
      <c r="W413">
        <v>0.79100000000000004</v>
      </c>
      <c r="X413">
        <v>13001</v>
      </c>
      <c r="Y413" t="s">
        <v>47</v>
      </c>
      <c r="Z413">
        <v>13</v>
      </c>
      <c r="AA413">
        <v>229</v>
      </c>
      <c r="AB413" t="s">
        <v>47</v>
      </c>
      <c r="AC413">
        <v>0.22800000000000001</v>
      </c>
      <c r="AD413">
        <v>455</v>
      </c>
      <c r="AE413" t="s">
        <v>56</v>
      </c>
      <c r="AF413">
        <v>0.45400000000000001</v>
      </c>
      <c r="AG413">
        <v>573</v>
      </c>
      <c r="AH413" t="s">
        <v>49</v>
      </c>
      <c r="AI413">
        <v>0.57199999999999995</v>
      </c>
      <c r="AJ413" t="s">
        <v>1154</v>
      </c>
    </row>
    <row r="414" spans="1:36" x14ac:dyDescent="0.25">
      <c r="A414" t="s">
        <v>1015</v>
      </c>
      <c r="B414">
        <v>881532292</v>
      </c>
      <c r="C414" t="s">
        <v>1016</v>
      </c>
      <c r="D414" t="s">
        <v>1016</v>
      </c>
      <c r="E414" t="s">
        <v>99</v>
      </c>
      <c r="F414" t="s">
        <v>111</v>
      </c>
      <c r="I414" t="s">
        <v>39</v>
      </c>
      <c r="J414" t="s">
        <v>40</v>
      </c>
      <c r="K414" t="s">
        <v>41</v>
      </c>
      <c r="L414" t="s">
        <v>42</v>
      </c>
      <c r="N414" t="s">
        <v>43</v>
      </c>
      <c r="O414" t="s">
        <v>200</v>
      </c>
      <c r="P414">
        <v>52</v>
      </c>
      <c r="Q414">
        <v>52</v>
      </c>
      <c r="S414" t="s">
        <v>39</v>
      </c>
      <c r="V414" t="s">
        <v>39</v>
      </c>
      <c r="X414">
        <v>13001</v>
      </c>
      <c r="Y414" t="s">
        <v>47</v>
      </c>
      <c r="Z414">
        <v>13</v>
      </c>
      <c r="AA414">
        <v>229</v>
      </c>
      <c r="AB414" t="s">
        <v>47</v>
      </c>
      <c r="AC414">
        <v>0.22800000000000001</v>
      </c>
      <c r="AD414">
        <v>455</v>
      </c>
      <c r="AE414" t="s">
        <v>56</v>
      </c>
      <c r="AF414">
        <v>0.45400000000000001</v>
      </c>
      <c r="AG414">
        <v>573</v>
      </c>
      <c r="AH414" t="s">
        <v>49</v>
      </c>
      <c r="AI414">
        <v>0.57199999999999995</v>
      </c>
      <c r="AJ414" t="s">
        <v>1155</v>
      </c>
    </row>
    <row r="415" spans="1:36" x14ac:dyDescent="0.25">
      <c r="A415" t="s">
        <v>1015</v>
      </c>
      <c r="B415">
        <v>881532292</v>
      </c>
      <c r="C415" t="s">
        <v>1016</v>
      </c>
      <c r="D415" t="s">
        <v>1016</v>
      </c>
      <c r="E415" t="s">
        <v>99</v>
      </c>
      <c r="F415" t="s">
        <v>111</v>
      </c>
      <c r="I415" t="s">
        <v>39</v>
      </c>
      <c r="J415" t="s">
        <v>40</v>
      </c>
      <c r="K415" t="s">
        <v>41</v>
      </c>
      <c r="L415" t="s">
        <v>42</v>
      </c>
      <c r="N415" t="s">
        <v>43</v>
      </c>
      <c r="O415" t="s">
        <v>200</v>
      </c>
      <c r="P415">
        <v>52</v>
      </c>
      <c r="Q415">
        <v>52</v>
      </c>
      <c r="S415" t="s">
        <v>39</v>
      </c>
      <c r="V415" t="s">
        <v>39</v>
      </c>
      <c r="X415">
        <v>13001</v>
      </c>
      <c r="Y415" t="s">
        <v>47</v>
      </c>
      <c r="Z415">
        <v>13</v>
      </c>
      <c r="AA415">
        <v>229</v>
      </c>
      <c r="AB415" t="s">
        <v>47</v>
      </c>
      <c r="AC415">
        <v>0.22800000000000001</v>
      </c>
      <c r="AD415">
        <v>455</v>
      </c>
      <c r="AE415" t="s">
        <v>56</v>
      </c>
      <c r="AF415">
        <v>0.45400000000000001</v>
      </c>
      <c r="AG415">
        <v>573</v>
      </c>
      <c r="AH415" t="s">
        <v>49</v>
      </c>
      <c r="AI415">
        <v>0.57199999999999995</v>
      </c>
      <c r="AJ415" t="s">
        <v>1156</v>
      </c>
    </row>
    <row r="416" spans="1:36" x14ac:dyDescent="0.25">
      <c r="A416" t="s">
        <v>1013</v>
      </c>
      <c r="B416">
        <v>858565137</v>
      </c>
      <c r="C416" t="s">
        <v>1014</v>
      </c>
      <c r="D416" t="s">
        <v>1014</v>
      </c>
      <c r="E416" t="s">
        <v>37</v>
      </c>
      <c r="F416" t="s">
        <v>280</v>
      </c>
      <c r="I416" t="s">
        <v>39</v>
      </c>
      <c r="J416" t="s">
        <v>40</v>
      </c>
      <c r="K416" t="s">
        <v>41</v>
      </c>
      <c r="L416" t="s">
        <v>286</v>
      </c>
      <c r="M416" t="s">
        <v>335</v>
      </c>
      <c r="N416" t="s">
        <v>43</v>
      </c>
      <c r="O416" t="s">
        <v>74</v>
      </c>
      <c r="P416">
        <v>52</v>
      </c>
      <c r="Q416">
        <v>52</v>
      </c>
      <c r="R416">
        <v>51</v>
      </c>
      <c r="S416" t="s">
        <v>56</v>
      </c>
      <c r="T416">
        <v>0.05</v>
      </c>
      <c r="U416">
        <v>313</v>
      </c>
      <c r="V416" t="s">
        <v>55</v>
      </c>
      <c r="W416">
        <v>0.312</v>
      </c>
      <c r="X416">
        <v>9001</v>
      </c>
      <c r="Y416" t="s">
        <v>47</v>
      </c>
      <c r="Z416">
        <v>9</v>
      </c>
      <c r="AA416">
        <v>388</v>
      </c>
      <c r="AB416" t="s">
        <v>47</v>
      </c>
      <c r="AC416">
        <v>0.38700000000000001</v>
      </c>
      <c r="AD416">
        <v>666</v>
      </c>
      <c r="AE416" t="s">
        <v>48</v>
      </c>
      <c r="AF416">
        <v>0.66500000000000004</v>
      </c>
      <c r="AG416">
        <v>829</v>
      </c>
      <c r="AH416" t="s">
        <v>49</v>
      </c>
      <c r="AI416">
        <v>0.82799999999999996</v>
      </c>
      <c r="AJ416" t="s">
        <v>50</v>
      </c>
    </row>
    <row r="417" spans="1:36" x14ac:dyDescent="0.25">
      <c r="A417" t="s">
        <v>1013</v>
      </c>
      <c r="B417">
        <v>858565137</v>
      </c>
      <c r="C417" t="s">
        <v>1014</v>
      </c>
      <c r="D417" t="s">
        <v>1014</v>
      </c>
      <c r="E417" t="s">
        <v>99</v>
      </c>
      <c r="F417" t="s">
        <v>280</v>
      </c>
      <c r="I417" t="s">
        <v>39</v>
      </c>
      <c r="J417" t="s">
        <v>40</v>
      </c>
      <c r="K417" t="s">
        <v>41</v>
      </c>
      <c r="L417" t="s">
        <v>286</v>
      </c>
      <c r="M417" t="s">
        <v>335</v>
      </c>
      <c r="N417" t="s">
        <v>43</v>
      </c>
      <c r="O417" t="s">
        <v>179</v>
      </c>
      <c r="P417">
        <v>52</v>
      </c>
      <c r="Q417">
        <v>52</v>
      </c>
      <c r="R417">
        <v>31</v>
      </c>
      <c r="S417" t="s">
        <v>45</v>
      </c>
      <c r="T417">
        <v>0.03</v>
      </c>
      <c r="U417">
        <v>208</v>
      </c>
      <c r="V417" t="s">
        <v>55</v>
      </c>
      <c r="W417">
        <v>0.20699999999999999</v>
      </c>
      <c r="X417">
        <v>12001</v>
      </c>
      <c r="Y417" t="s">
        <v>47</v>
      </c>
      <c r="Z417">
        <v>12</v>
      </c>
      <c r="AA417">
        <v>336</v>
      </c>
      <c r="AB417" t="s">
        <v>47</v>
      </c>
      <c r="AC417">
        <v>0.33500000000000002</v>
      </c>
      <c r="AD417">
        <v>624</v>
      </c>
      <c r="AE417" t="s">
        <v>48</v>
      </c>
      <c r="AF417">
        <v>0.623</v>
      </c>
      <c r="AG417">
        <v>686</v>
      </c>
      <c r="AH417" t="s">
        <v>49</v>
      </c>
      <c r="AI417">
        <v>0.68500000000000005</v>
      </c>
      <c r="AJ417" t="s">
        <v>50</v>
      </c>
    </row>
    <row r="418" spans="1:36" x14ac:dyDescent="0.25">
      <c r="A418" t="s">
        <v>1013</v>
      </c>
      <c r="B418">
        <v>858565137</v>
      </c>
      <c r="C418" t="s">
        <v>1014</v>
      </c>
      <c r="D418" t="s">
        <v>1014</v>
      </c>
      <c r="E418" t="s">
        <v>37</v>
      </c>
      <c r="F418" t="s">
        <v>280</v>
      </c>
      <c r="I418" t="s">
        <v>39</v>
      </c>
      <c r="J418" t="s">
        <v>40</v>
      </c>
      <c r="K418" t="s">
        <v>41</v>
      </c>
      <c r="L418" t="s">
        <v>286</v>
      </c>
      <c r="M418" t="s">
        <v>335</v>
      </c>
      <c r="N418" t="s">
        <v>43</v>
      </c>
      <c r="O418" t="s">
        <v>74</v>
      </c>
      <c r="P418">
        <v>52</v>
      </c>
      <c r="Q418">
        <v>52</v>
      </c>
      <c r="R418">
        <v>91</v>
      </c>
      <c r="S418" t="s">
        <v>56</v>
      </c>
      <c r="T418">
        <v>0.09</v>
      </c>
      <c r="U418">
        <v>80</v>
      </c>
      <c r="V418" t="s">
        <v>55</v>
      </c>
      <c r="W418">
        <v>7.9000000000000001E-2</v>
      </c>
      <c r="X418">
        <v>9001</v>
      </c>
      <c r="Y418" t="s">
        <v>47</v>
      </c>
      <c r="Z418">
        <v>9</v>
      </c>
      <c r="AA418">
        <v>388</v>
      </c>
      <c r="AB418" t="s">
        <v>47</v>
      </c>
      <c r="AC418">
        <v>0.38700000000000001</v>
      </c>
      <c r="AD418">
        <v>666</v>
      </c>
      <c r="AE418" t="s">
        <v>48</v>
      </c>
      <c r="AF418">
        <v>0.66500000000000004</v>
      </c>
      <c r="AG418">
        <v>829</v>
      </c>
      <c r="AH418" t="s">
        <v>49</v>
      </c>
      <c r="AI418">
        <v>0.82799999999999996</v>
      </c>
      <c r="AJ418" t="s">
        <v>1141</v>
      </c>
    </row>
    <row r="419" spans="1:36" x14ac:dyDescent="0.25">
      <c r="A419" t="s">
        <v>1013</v>
      </c>
      <c r="B419">
        <v>858565137</v>
      </c>
      <c r="C419" t="s">
        <v>1014</v>
      </c>
      <c r="D419" t="s">
        <v>1014</v>
      </c>
      <c r="E419" t="s">
        <v>99</v>
      </c>
      <c r="F419" t="s">
        <v>280</v>
      </c>
      <c r="I419" t="s">
        <v>39</v>
      </c>
      <c r="J419" t="s">
        <v>40</v>
      </c>
      <c r="K419" t="s">
        <v>41</v>
      </c>
      <c r="L419" t="s">
        <v>286</v>
      </c>
      <c r="M419" t="s">
        <v>335</v>
      </c>
      <c r="N419" t="s">
        <v>43</v>
      </c>
      <c r="O419" t="s">
        <v>179</v>
      </c>
      <c r="P419">
        <v>52</v>
      </c>
      <c r="Q419">
        <v>52</v>
      </c>
      <c r="R419">
        <v>51</v>
      </c>
      <c r="S419" t="s">
        <v>45</v>
      </c>
      <c r="T419">
        <v>0.05</v>
      </c>
      <c r="U419">
        <v>40</v>
      </c>
      <c r="V419" t="s">
        <v>55</v>
      </c>
      <c r="W419">
        <v>3.9E-2</v>
      </c>
      <c r="X419">
        <v>12001</v>
      </c>
      <c r="Y419" t="s">
        <v>47</v>
      </c>
      <c r="Z419">
        <v>12</v>
      </c>
      <c r="AA419">
        <v>336</v>
      </c>
      <c r="AB419" t="s">
        <v>47</v>
      </c>
      <c r="AC419">
        <v>0.33500000000000002</v>
      </c>
      <c r="AD419">
        <v>624</v>
      </c>
      <c r="AE419" t="s">
        <v>48</v>
      </c>
      <c r="AF419">
        <v>0.623</v>
      </c>
      <c r="AG419">
        <v>686</v>
      </c>
      <c r="AH419" t="s">
        <v>49</v>
      </c>
      <c r="AI419">
        <v>0.68500000000000005</v>
      </c>
      <c r="AJ419" t="s">
        <v>1141</v>
      </c>
    </row>
    <row r="420" spans="1:36" x14ac:dyDescent="0.25">
      <c r="A420" t="s">
        <v>1013</v>
      </c>
      <c r="B420">
        <v>858565137</v>
      </c>
      <c r="C420" t="s">
        <v>1014</v>
      </c>
      <c r="D420" t="s">
        <v>1014</v>
      </c>
      <c r="E420" t="s">
        <v>37</v>
      </c>
      <c r="F420" t="s">
        <v>280</v>
      </c>
      <c r="I420" t="s">
        <v>39</v>
      </c>
      <c r="J420" t="s">
        <v>40</v>
      </c>
      <c r="K420" t="s">
        <v>41</v>
      </c>
      <c r="L420" t="s">
        <v>286</v>
      </c>
      <c r="M420" t="s">
        <v>335</v>
      </c>
      <c r="N420" t="s">
        <v>43</v>
      </c>
      <c r="O420" t="s">
        <v>74</v>
      </c>
      <c r="P420">
        <v>52</v>
      </c>
      <c r="Q420">
        <v>52</v>
      </c>
      <c r="R420">
        <v>51</v>
      </c>
      <c r="S420" t="s">
        <v>56</v>
      </c>
      <c r="T420">
        <v>0.05</v>
      </c>
      <c r="U420">
        <v>313</v>
      </c>
      <c r="V420" t="s">
        <v>55</v>
      </c>
      <c r="W420">
        <v>0.312</v>
      </c>
      <c r="X420">
        <v>9001</v>
      </c>
      <c r="Y420" t="s">
        <v>47</v>
      </c>
      <c r="Z420">
        <v>9</v>
      </c>
      <c r="AA420">
        <v>388</v>
      </c>
      <c r="AB420" t="s">
        <v>47</v>
      </c>
      <c r="AC420">
        <v>0.38700000000000001</v>
      </c>
      <c r="AD420">
        <v>666</v>
      </c>
      <c r="AE420" t="s">
        <v>48</v>
      </c>
      <c r="AF420">
        <v>0.66500000000000004</v>
      </c>
      <c r="AG420">
        <v>829</v>
      </c>
      <c r="AH420" t="s">
        <v>49</v>
      </c>
      <c r="AI420">
        <v>0.82799999999999996</v>
      </c>
      <c r="AJ420" t="s">
        <v>1153</v>
      </c>
    </row>
    <row r="421" spans="1:36" x14ac:dyDescent="0.25">
      <c r="A421" t="s">
        <v>1013</v>
      </c>
      <c r="B421">
        <v>858565137</v>
      </c>
      <c r="C421" t="s">
        <v>1014</v>
      </c>
      <c r="D421" t="s">
        <v>1014</v>
      </c>
      <c r="E421" t="s">
        <v>99</v>
      </c>
      <c r="F421" t="s">
        <v>280</v>
      </c>
      <c r="I421" t="s">
        <v>39</v>
      </c>
      <c r="J421" t="s">
        <v>40</v>
      </c>
      <c r="K421" t="s">
        <v>41</v>
      </c>
      <c r="L421" t="s">
        <v>286</v>
      </c>
      <c r="M421" t="s">
        <v>335</v>
      </c>
      <c r="N421" t="s">
        <v>43</v>
      </c>
      <c r="O421" t="s">
        <v>179</v>
      </c>
      <c r="P421">
        <v>52</v>
      </c>
      <c r="Q421">
        <v>52</v>
      </c>
      <c r="R421">
        <v>31</v>
      </c>
      <c r="S421" t="s">
        <v>45</v>
      </c>
      <c r="T421">
        <v>0.03</v>
      </c>
      <c r="U421">
        <v>208</v>
      </c>
      <c r="V421" t="s">
        <v>55</v>
      </c>
      <c r="W421">
        <v>0.20699999999999999</v>
      </c>
      <c r="X421">
        <v>12001</v>
      </c>
      <c r="Y421" t="s">
        <v>47</v>
      </c>
      <c r="Z421">
        <v>12</v>
      </c>
      <c r="AA421">
        <v>336</v>
      </c>
      <c r="AB421" t="s">
        <v>47</v>
      </c>
      <c r="AC421">
        <v>0.33500000000000002</v>
      </c>
      <c r="AD421">
        <v>624</v>
      </c>
      <c r="AE421" t="s">
        <v>48</v>
      </c>
      <c r="AF421">
        <v>0.623</v>
      </c>
      <c r="AG421">
        <v>686</v>
      </c>
      <c r="AH421" t="s">
        <v>49</v>
      </c>
      <c r="AI421">
        <v>0.68500000000000005</v>
      </c>
      <c r="AJ421" t="s">
        <v>1153</v>
      </c>
    </row>
    <row r="422" spans="1:36" x14ac:dyDescent="0.25">
      <c r="A422" t="s">
        <v>1013</v>
      </c>
      <c r="B422">
        <v>858565137</v>
      </c>
      <c r="C422" t="s">
        <v>1014</v>
      </c>
      <c r="D422" t="s">
        <v>1014</v>
      </c>
      <c r="E422" t="s">
        <v>37</v>
      </c>
      <c r="F422" t="s">
        <v>280</v>
      </c>
      <c r="I422" t="s">
        <v>39</v>
      </c>
      <c r="J422" t="s">
        <v>40</v>
      </c>
      <c r="K422" t="s">
        <v>41</v>
      </c>
      <c r="L422" t="s">
        <v>286</v>
      </c>
      <c r="M422" t="s">
        <v>335</v>
      </c>
      <c r="N422" t="s">
        <v>43</v>
      </c>
      <c r="O422" t="s">
        <v>74</v>
      </c>
      <c r="P422">
        <v>52</v>
      </c>
      <c r="Q422">
        <v>52</v>
      </c>
      <c r="R422">
        <v>51</v>
      </c>
      <c r="S422" t="s">
        <v>56</v>
      </c>
      <c r="T422">
        <v>0.05</v>
      </c>
      <c r="U422">
        <v>313</v>
      </c>
      <c r="V422" t="s">
        <v>55</v>
      </c>
      <c r="W422">
        <v>0.312</v>
      </c>
      <c r="X422">
        <v>9001</v>
      </c>
      <c r="Y422" t="s">
        <v>47</v>
      </c>
      <c r="Z422">
        <v>9</v>
      </c>
      <c r="AA422">
        <v>388</v>
      </c>
      <c r="AB422" t="s">
        <v>47</v>
      </c>
      <c r="AC422">
        <v>0.38700000000000001</v>
      </c>
      <c r="AD422">
        <v>666</v>
      </c>
      <c r="AE422" t="s">
        <v>48</v>
      </c>
      <c r="AF422">
        <v>0.66500000000000004</v>
      </c>
      <c r="AG422">
        <v>829</v>
      </c>
      <c r="AH422" t="s">
        <v>49</v>
      </c>
      <c r="AI422">
        <v>0.82799999999999996</v>
      </c>
      <c r="AJ422" t="s">
        <v>1154</v>
      </c>
    </row>
    <row r="423" spans="1:36" x14ac:dyDescent="0.25">
      <c r="A423" t="s">
        <v>1013</v>
      </c>
      <c r="B423">
        <v>858565137</v>
      </c>
      <c r="C423" t="s">
        <v>1014</v>
      </c>
      <c r="D423" t="s">
        <v>1014</v>
      </c>
      <c r="E423" t="s">
        <v>99</v>
      </c>
      <c r="F423" t="s">
        <v>280</v>
      </c>
      <c r="I423" t="s">
        <v>39</v>
      </c>
      <c r="J423" t="s">
        <v>40</v>
      </c>
      <c r="K423" t="s">
        <v>41</v>
      </c>
      <c r="L423" t="s">
        <v>286</v>
      </c>
      <c r="M423" t="s">
        <v>335</v>
      </c>
      <c r="N423" t="s">
        <v>43</v>
      </c>
      <c r="O423" t="s">
        <v>179</v>
      </c>
      <c r="P423">
        <v>52</v>
      </c>
      <c r="Q423">
        <v>52</v>
      </c>
      <c r="R423">
        <v>31</v>
      </c>
      <c r="S423" t="s">
        <v>45</v>
      </c>
      <c r="T423">
        <v>0.03</v>
      </c>
      <c r="U423">
        <v>208</v>
      </c>
      <c r="V423" t="s">
        <v>55</v>
      </c>
      <c r="W423">
        <v>0.20699999999999999</v>
      </c>
      <c r="X423">
        <v>12001</v>
      </c>
      <c r="Y423" t="s">
        <v>47</v>
      </c>
      <c r="Z423">
        <v>12</v>
      </c>
      <c r="AA423">
        <v>336</v>
      </c>
      <c r="AB423" t="s">
        <v>47</v>
      </c>
      <c r="AC423">
        <v>0.33500000000000002</v>
      </c>
      <c r="AD423">
        <v>624</v>
      </c>
      <c r="AE423" t="s">
        <v>48</v>
      </c>
      <c r="AF423">
        <v>0.623</v>
      </c>
      <c r="AG423">
        <v>686</v>
      </c>
      <c r="AH423" t="s">
        <v>49</v>
      </c>
      <c r="AI423">
        <v>0.68500000000000005</v>
      </c>
      <c r="AJ423" t="s">
        <v>1154</v>
      </c>
    </row>
    <row r="424" spans="1:36" x14ac:dyDescent="0.25">
      <c r="A424" t="s">
        <v>1013</v>
      </c>
      <c r="B424">
        <v>858565137</v>
      </c>
      <c r="C424" t="s">
        <v>1014</v>
      </c>
      <c r="D424" t="s">
        <v>1014</v>
      </c>
      <c r="E424" t="s">
        <v>37</v>
      </c>
      <c r="F424" t="s">
        <v>280</v>
      </c>
      <c r="I424" t="s">
        <v>39</v>
      </c>
      <c r="J424" t="s">
        <v>40</v>
      </c>
      <c r="K424" t="s">
        <v>41</v>
      </c>
      <c r="L424" t="s">
        <v>286</v>
      </c>
      <c r="M424" t="s">
        <v>335</v>
      </c>
      <c r="N424" t="s">
        <v>43</v>
      </c>
      <c r="O424" t="s">
        <v>74</v>
      </c>
      <c r="P424">
        <v>52</v>
      </c>
      <c r="Q424">
        <v>52</v>
      </c>
      <c r="S424" t="s">
        <v>39</v>
      </c>
      <c r="V424" t="s">
        <v>39</v>
      </c>
      <c r="X424">
        <v>9001</v>
      </c>
      <c r="Y424" t="s">
        <v>47</v>
      </c>
      <c r="Z424">
        <v>9</v>
      </c>
      <c r="AA424">
        <v>388</v>
      </c>
      <c r="AB424" t="s">
        <v>47</v>
      </c>
      <c r="AC424">
        <v>0.38700000000000001</v>
      </c>
      <c r="AD424">
        <v>666</v>
      </c>
      <c r="AE424" t="s">
        <v>48</v>
      </c>
      <c r="AF424">
        <v>0.66500000000000004</v>
      </c>
      <c r="AG424">
        <v>829</v>
      </c>
      <c r="AH424" t="s">
        <v>49</v>
      </c>
      <c r="AI424">
        <v>0.82799999999999996</v>
      </c>
      <c r="AJ424" t="s">
        <v>1155</v>
      </c>
    </row>
    <row r="425" spans="1:36" x14ac:dyDescent="0.25">
      <c r="A425" t="s">
        <v>1013</v>
      </c>
      <c r="B425">
        <v>858565137</v>
      </c>
      <c r="C425" t="s">
        <v>1014</v>
      </c>
      <c r="D425" t="s">
        <v>1014</v>
      </c>
      <c r="E425" t="s">
        <v>99</v>
      </c>
      <c r="F425" t="s">
        <v>280</v>
      </c>
      <c r="I425" t="s">
        <v>39</v>
      </c>
      <c r="J425" t="s">
        <v>40</v>
      </c>
      <c r="K425" t="s">
        <v>41</v>
      </c>
      <c r="L425" t="s">
        <v>286</v>
      </c>
      <c r="M425" t="s">
        <v>335</v>
      </c>
      <c r="N425" t="s">
        <v>43</v>
      </c>
      <c r="O425" t="s">
        <v>179</v>
      </c>
      <c r="P425">
        <v>52</v>
      </c>
      <c r="Q425">
        <v>52</v>
      </c>
      <c r="S425" t="s">
        <v>39</v>
      </c>
      <c r="V425" t="s">
        <v>39</v>
      </c>
      <c r="X425">
        <v>12001</v>
      </c>
      <c r="Y425" t="s">
        <v>47</v>
      </c>
      <c r="Z425">
        <v>12</v>
      </c>
      <c r="AA425">
        <v>336</v>
      </c>
      <c r="AB425" t="s">
        <v>47</v>
      </c>
      <c r="AC425">
        <v>0.33500000000000002</v>
      </c>
      <c r="AD425">
        <v>624</v>
      </c>
      <c r="AE425" t="s">
        <v>48</v>
      </c>
      <c r="AF425">
        <v>0.623</v>
      </c>
      <c r="AG425">
        <v>686</v>
      </c>
      <c r="AH425" t="s">
        <v>49</v>
      </c>
      <c r="AI425">
        <v>0.68500000000000005</v>
      </c>
      <c r="AJ425" t="s">
        <v>1155</v>
      </c>
    </row>
    <row r="426" spans="1:36" x14ac:dyDescent="0.25">
      <c r="A426" t="s">
        <v>1013</v>
      </c>
      <c r="B426">
        <v>858565137</v>
      </c>
      <c r="C426" t="s">
        <v>1014</v>
      </c>
      <c r="D426" t="s">
        <v>1014</v>
      </c>
      <c r="E426" t="s">
        <v>37</v>
      </c>
      <c r="F426" t="s">
        <v>280</v>
      </c>
      <c r="I426" t="s">
        <v>39</v>
      </c>
      <c r="J426" t="s">
        <v>40</v>
      </c>
      <c r="K426" t="s">
        <v>41</v>
      </c>
      <c r="L426" t="s">
        <v>286</v>
      </c>
      <c r="M426" t="s">
        <v>335</v>
      </c>
      <c r="N426" t="s">
        <v>43</v>
      </c>
      <c r="O426" t="s">
        <v>74</v>
      </c>
      <c r="P426">
        <v>52</v>
      </c>
      <c r="Q426">
        <v>52</v>
      </c>
      <c r="S426" t="s">
        <v>39</v>
      </c>
      <c r="V426" t="s">
        <v>39</v>
      </c>
      <c r="X426">
        <v>9001</v>
      </c>
      <c r="Y426" t="s">
        <v>47</v>
      </c>
      <c r="Z426">
        <v>9</v>
      </c>
      <c r="AA426">
        <v>388</v>
      </c>
      <c r="AB426" t="s">
        <v>47</v>
      </c>
      <c r="AC426">
        <v>0.38700000000000001</v>
      </c>
      <c r="AD426">
        <v>666</v>
      </c>
      <c r="AE426" t="s">
        <v>48</v>
      </c>
      <c r="AF426">
        <v>0.66500000000000004</v>
      </c>
      <c r="AG426">
        <v>829</v>
      </c>
      <c r="AH426" t="s">
        <v>49</v>
      </c>
      <c r="AI426">
        <v>0.82799999999999996</v>
      </c>
      <c r="AJ426" t="s">
        <v>1156</v>
      </c>
    </row>
    <row r="427" spans="1:36" x14ac:dyDescent="0.25">
      <c r="A427" t="s">
        <v>1013</v>
      </c>
      <c r="B427">
        <v>858565137</v>
      </c>
      <c r="C427" t="s">
        <v>1014</v>
      </c>
      <c r="D427" t="s">
        <v>1014</v>
      </c>
      <c r="E427" t="s">
        <v>99</v>
      </c>
      <c r="F427" t="s">
        <v>280</v>
      </c>
      <c r="I427" t="s">
        <v>39</v>
      </c>
      <c r="J427" t="s">
        <v>40</v>
      </c>
      <c r="K427" t="s">
        <v>41</v>
      </c>
      <c r="L427" t="s">
        <v>286</v>
      </c>
      <c r="M427" t="s">
        <v>335</v>
      </c>
      <c r="N427" t="s">
        <v>43</v>
      </c>
      <c r="O427" t="s">
        <v>179</v>
      </c>
      <c r="P427">
        <v>52</v>
      </c>
      <c r="Q427">
        <v>52</v>
      </c>
      <c r="S427" t="s">
        <v>39</v>
      </c>
      <c r="V427" t="s">
        <v>39</v>
      </c>
      <c r="X427">
        <v>12001</v>
      </c>
      <c r="Y427" t="s">
        <v>47</v>
      </c>
      <c r="Z427">
        <v>12</v>
      </c>
      <c r="AA427">
        <v>336</v>
      </c>
      <c r="AB427" t="s">
        <v>47</v>
      </c>
      <c r="AC427">
        <v>0.33500000000000002</v>
      </c>
      <c r="AD427">
        <v>624</v>
      </c>
      <c r="AE427" t="s">
        <v>48</v>
      </c>
      <c r="AF427">
        <v>0.623</v>
      </c>
      <c r="AG427">
        <v>686</v>
      </c>
      <c r="AH427" t="s">
        <v>49</v>
      </c>
      <c r="AI427">
        <v>0.68500000000000005</v>
      </c>
      <c r="AJ427" t="s">
        <v>1156</v>
      </c>
    </row>
    <row r="428" spans="1:36" x14ac:dyDescent="0.25">
      <c r="A428" t="s">
        <v>1010</v>
      </c>
      <c r="B428">
        <v>855731945</v>
      </c>
      <c r="C428" t="s">
        <v>1011</v>
      </c>
      <c r="D428" t="s">
        <v>1011</v>
      </c>
      <c r="E428" t="s">
        <v>37</v>
      </c>
      <c r="F428" t="s">
        <v>220</v>
      </c>
      <c r="I428" t="s">
        <v>39</v>
      </c>
      <c r="J428" t="s">
        <v>40</v>
      </c>
      <c r="K428" t="s">
        <v>41</v>
      </c>
      <c r="L428" t="s">
        <v>78</v>
      </c>
      <c r="N428" t="s">
        <v>43</v>
      </c>
      <c r="O428" t="s">
        <v>79</v>
      </c>
      <c r="P428">
        <v>53</v>
      </c>
      <c r="Q428">
        <v>53</v>
      </c>
      <c r="R428">
        <v>11</v>
      </c>
      <c r="S428" t="s">
        <v>45</v>
      </c>
      <c r="T428">
        <v>0.01</v>
      </c>
      <c r="U428">
        <v>83</v>
      </c>
      <c r="V428" t="s">
        <v>55</v>
      </c>
      <c r="W428">
        <v>8.2000000000000003E-2</v>
      </c>
      <c r="X428">
        <v>8001</v>
      </c>
      <c r="Y428" t="s">
        <v>47</v>
      </c>
      <c r="Z428">
        <v>8</v>
      </c>
      <c r="AA428">
        <v>374</v>
      </c>
      <c r="AB428" t="s">
        <v>47</v>
      </c>
      <c r="AC428">
        <v>0.373</v>
      </c>
      <c r="AD428">
        <v>534</v>
      </c>
      <c r="AE428" t="s">
        <v>48</v>
      </c>
      <c r="AF428">
        <v>0.53300000000000003</v>
      </c>
      <c r="AG428">
        <v>402</v>
      </c>
      <c r="AH428" t="s">
        <v>57</v>
      </c>
      <c r="AI428">
        <v>0.40100000000000002</v>
      </c>
      <c r="AJ428" t="s">
        <v>50</v>
      </c>
    </row>
    <row r="429" spans="1:36" x14ac:dyDescent="0.25">
      <c r="A429" t="s">
        <v>1010</v>
      </c>
      <c r="B429">
        <v>855731945</v>
      </c>
      <c r="C429" t="s">
        <v>1011</v>
      </c>
      <c r="D429" t="s">
        <v>1011</v>
      </c>
      <c r="E429" t="s">
        <v>99</v>
      </c>
      <c r="F429" t="s">
        <v>220</v>
      </c>
      <c r="I429" t="s">
        <v>39</v>
      </c>
      <c r="J429" t="s">
        <v>40</v>
      </c>
      <c r="K429" t="s">
        <v>41</v>
      </c>
      <c r="L429" t="s">
        <v>78</v>
      </c>
      <c r="N429" t="s">
        <v>43</v>
      </c>
      <c r="O429" t="s">
        <v>1012</v>
      </c>
      <c r="P429">
        <v>53</v>
      </c>
      <c r="Q429">
        <v>53</v>
      </c>
      <c r="R429">
        <v>1001</v>
      </c>
      <c r="S429" t="s">
        <v>56</v>
      </c>
      <c r="T429">
        <v>1</v>
      </c>
      <c r="U429">
        <v>2</v>
      </c>
      <c r="V429" t="s">
        <v>55</v>
      </c>
      <c r="W429">
        <v>1E-3</v>
      </c>
      <c r="X429">
        <v>1</v>
      </c>
      <c r="Y429" t="s">
        <v>47</v>
      </c>
      <c r="Z429">
        <v>0</v>
      </c>
      <c r="AA429">
        <v>269</v>
      </c>
      <c r="AB429" t="s">
        <v>47</v>
      </c>
      <c r="AC429">
        <v>0.26800000000000002</v>
      </c>
      <c r="AD429">
        <v>370</v>
      </c>
      <c r="AE429" t="s">
        <v>56</v>
      </c>
      <c r="AF429">
        <v>0.36899999999999999</v>
      </c>
      <c r="AG429">
        <v>127</v>
      </c>
      <c r="AH429" t="s">
        <v>103</v>
      </c>
      <c r="AI429">
        <v>0.126</v>
      </c>
      <c r="AJ429" t="s">
        <v>50</v>
      </c>
    </row>
    <row r="430" spans="1:36" x14ac:dyDescent="0.25">
      <c r="A430" t="s">
        <v>1010</v>
      </c>
      <c r="B430">
        <v>855731945</v>
      </c>
      <c r="C430" t="s">
        <v>1011</v>
      </c>
      <c r="D430" t="s">
        <v>1011</v>
      </c>
      <c r="E430" t="s">
        <v>37</v>
      </c>
      <c r="F430" t="s">
        <v>220</v>
      </c>
      <c r="I430" t="s">
        <v>39</v>
      </c>
      <c r="J430" t="s">
        <v>40</v>
      </c>
      <c r="K430" t="s">
        <v>41</v>
      </c>
      <c r="L430" t="s">
        <v>78</v>
      </c>
      <c r="N430" t="s">
        <v>43</v>
      </c>
      <c r="O430" t="s">
        <v>79</v>
      </c>
      <c r="P430">
        <v>53</v>
      </c>
      <c r="Q430">
        <v>53</v>
      </c>
      <c r="R430">
        <v>41</v>
      </c>
      <c r="S430" t="s">
        <v>45</v>
      </c>
      <c r="T430">
        <v>0.04</v>
      </c>
      <c r="U430">
        <v>117</v>
      </c>
      <c r="V430" t="s">
        <v>55</v>
      </c>
      <c r="W430">
        <v>0.11600000000000001</v>
      </c>
      <c r="X430">
        <v>8001</v>
      </c>
      <c r="Y430" t="s">
        <v>47</v>
      </c>
      <c r="Z430">
        <v>8</v>
      </c>
      <c r="AA430">
        <v>374</v>
      </c>
      <c r="AB430" t="s">
        <v>47</v>
      </c>
      <c r="AC430">
        <v>0.373</v>
      </c>
      <c r="AD430">
        <v>534</v>
      </c>
      <c r="AE430" t="s">
        <v>48</v>
      </c>
      <c r="AF430">
        <v>0.53300000000000003</v>
      </c>
      <c r="AG430">
        <v>402</v>
      </c>
      <c r="AH430" t="s">
        <v>57</v>
      </c>
      <c r="AI430">
        <v>0.40100000000000002</v>
      </c>
      <c r="AJ430" t="s">
        <v>1141</v>
      </c>
    </row>
    <row r="431" spans="1:36" x14ac:dyDescent="0.25">
      <c r="A431" t="s">
        <v>1010</v>
      </c>
      <c r="B431">
        <v>855731945</v>
      </c>
      <c r="C431" t="s">
        <v>1011</v>
      </c>
      <c r="D431" t="s">
        <v>1011</v>
      </c>
      <c r="E431" t="s">
        <v>99</v>
      </c>
      <c r="F431" t="s">
        <v>220</v>
      </c>
      <c r="I431" t="s">
        <v>39</v>
      </c>
      <c r="J431" t="s">
        <v>40</v>
      </c>
      <c r="K431" t="s">
        <v>41</v>
      </c>
      <c r="L431" t="s">
        <v>78</v>
      </c>
      <c r="N431" t="s">
        <v>43</v>
      </c>
      <c r="O431" t="s">
        <v>1012</v>
      </c>
      <c r="P431">
        <v>53</v>
      </c>
      <c r="Q431">
        <v>53</v>
      </c>
      <c r="R431">
        <v>341</v>
      </c>
      <c r="S431" t="s">
        <v>56</v>
      </c>
      <c r="T431">
        <v>0.34</v>
      </c>
      <c r="U431">
        <v>11</v>
      </c>
      <c r="V431" t="s">
        <v>55</v>
      </c>
      <c r="W431">
        <v>0.01</v>
      </c>
      <c r="X431">
        <v>1</v>
      </c>
      <c r="Y431" t="s">
        <v>47</v>
      </c>
      <c r="Z431">
        <v>0</v>
      </c>
      <c r="AA431">
        <v>269</v>
      </c>
      <c r="AB431" t="s">
        <v>47</v>
      </c>
      <c r="AC431">
        <v>0.26800000000000002</v>
      </c>
      <c r="AD431">
        <v>370</v>
      </c>
      <c r="AE431" t="s">
        <v>56</v>
      </c>
      <c r="AF431">
        <v>0.36899999999999999</v>
      </c>
      <c r="AG431">
        <v>127</v>
      </c>
      <c r="AH431" t="s">
        <v>103</v>
      </c>
      <c r="AI431">
        <v>0.126</v>
      </c>
      <c r="AJ431" t="s">
        <v>1141</v>
      </c>
    </row>
    <row r="432" spans="1:36" x14ac:dyDescent="0.25">
      <c r="A432" t="s">
        <v>1010</v>
      </c>
      <c r="B432">
        <v>855731945</v>
      </c>
      <c r="C432" t="s">
        <v>1011</v>
      </c>
      <c r="D432" t="s">
        <v>1011</v>
      </c>
      <c r="E432" t="s">
        <v>37</v>
      </c>
      <c r="F432" t="s">
        <v>220</v>
      </c>
      <c r="I432" t="s">
        <v>39</v>
      </c>
      <c r="J432" t="s">
        <v>40</v>
      </c>
      <c r="K432" t="s">
        <v>41</v>
      </c>
      <c r="L432" t="s">
        <v>78</v>
      </c>
      <c r="N432" t="s">
        <v>43</v>
      </c>
      <c r="O432" t="s">
        <v>79</v>
      </c>
      <c r="P432">
        <v>53</v>
      </c>
      <c r="Q432">
        <v>53</v>
      </c>
      <c r="R432">
        <v>11</v>
      </c>
      <c r="S432" t="s">
        <v>45</v>
      </c>
      <c r="T432">
        <v>0.01</v>
      </c>
      <c r="U432">
        <v>83</v>
      </c>
      <c r="V432" t="s">
        <v>55</v>
      </c>
      <c r="W432">
        <v>8.2000000000000003E-2</v>
      </c>
      <c r="X432">
        <v>8001</v>
      </c>
      <c r="Y432" t="s">
        <v>47</v>
      </c>
      <c r="Z432">
        <v>8</v>
      </c>
      <c r="AA432">
        <v>374</v>
      </c>
      <c r="AB432" t="s">
        <v>47</v>
      </c>
      <c r="AC432">
        <v>0.373</v>
      </c>
      <c r="AD432">
        <v>534</v>
      </c>
      <c r="AE432" t="s">
        <v>48</v>
      </c>
      <c r="AF432">
        <v>0.53300000000000003</v>
      </c>
      <c r="AG432">
        <v>402</v>
      </c>
      <c r="AH432" t="s">
        <v>57</v>
      </c>
      <c r="AI432">
        <v>0.40100000000000002</v>
      </c>
      <c r="AJ432" t="s">
        <v>1153</v>
      </c>
    </row>
    <row r="433" spans="1:36" x14ac:dyDescent="0.25">
      <c r="A433" t="s">
        <v>1010</v>
      </c>
      <c r="B433">
        <v>855731945</v>
      </c>
      <c r="C433" t="s">
        <v>1011</v>
      </c>
      <c r="D433" t="s">
        <v>1011</v>
      </c>
      <c r="E433" t="s">
        <v>99</v>
      </c>
      <c r="F433" t="s">
        <v>220</v>
      </c>
      <c r="I433" t="s">
        <v>39</v>
      </c>
      <c r="J433" t="s">
        <v>40</v>
      </c>
      <c r="K433" t="s">
        <v>41</v>
      </c>
      <c r="L433" t="s">
        <v>78</v>
      </c>
      <c r="N433" t="s">
        <v>43</v>
      </c>
      <c r="O433" t="s">
        <v>1012</v>
      </c>
      <c r="P433">
        <v>53</v>
      </c>
      <c r="Q433">
        <v>53</v>
      </c>
      <c r="R433">
        <v>1001</v>
      </c>
      <c r="S433" t="s">
        <v>56</v>
      </c>
      <c r="T433">
        <v>1</v>
      </c>
      <c r="U433">
        <v>2</v>
      </c>
      <c r="V433" t="s">
        <v>55</v>
      </c>
      <c r="W433">
        <v>1E-3</v>
      </c>
      <c r="X433">
        <v>1</v>
      </c>
      <c r="Y433" t="s">
        <v>47</v>
      </c>
      <c r="Z433">
        <v>0</v>
      </c>
      <c r="AA433">
        <v>269</v>
      </c>
      <c r="AB433" t="s">
        <v>47</v>
      </c>
      <c r="AC433">
        <v>0.26800000000000002</v>
      </c>
      <c r="AD433">
        <v>370</v>
      </c>
      <c r="AE433" t="s">
        <v>56</v>
      </c>
      <c r="AF433">
        <v>0.36899999999999999</v>
      </c>
      <c r="AG433">
        <v>127</v>
      </c>
      <c r="AH433" t="s">
        <v>103</v>
      </c>
      <c r="AI433">
        <v>0.126</v>
      </c>
      <c r="AJ433" t="s">
        <v>1153</v>
      </c>
    </row>
    <row r="434" spans="1:36" x14ac:dyDescent="0.25">
      <c r="A434" t="s">
        <v>1010</v>
      </c>
      <c r="B434">
        <v>855731945</v>
      </c>
      <c r="C434" t="s">
        <v>1011</v>
      </c>
      <c r="D434" t="s">
        <v>1011</v>
      </c>
      <c r="E434" t="s">
        <v>37</v>
      </c>
      <c r="F434" t="s">
        <v>220</v>
      </c>
      <c r="I434" t="s">
        <v>39</v>
      </c>
      <c r="J434" t="s">
        <v>40</v>
      </c>
      <c r="K434" t="s">
        <v>41</v>
      </c>
      <c r="L434" t="s">
        <v>78</v>
      </c>
      <c r="N434" t="s">
        <v>43</v>
      </c>
      <c r="O434" t="s">
        <v>79</v>
      </c>
      <c r="P434">
        <v>53</v>
      </c>
      <c r="Q434">
        <v>53</v>
      </c>
      <c r="R434">
        <v>11</v>
      </c>
      <c r="S434" t="s">
        <v>45</v>
      </c>
      <c r="T434">
        <v>0.01</v>
      </c>
      <c r="U434">
        <v>83</v>
      </c>
      <c r="V434" t="s">
        <v>55</v>
      </c>
      <c r="W434">
        <v>8.2000000000000003E-2</v>
      </c>
      <c r="X434">
        <v>8001</v>
      </c>
      <c r="Y434" t="s">
        <v>47</v>
      </c>
      <c r="Z434">
        <v>8</v>
      </c>
      <c r="AA434">
        <v>374</v>
      </c>
      <c r="AB434" t="s">
        <v>47</v>
      </c>
      <c r="AC434">
        <v>0.373</v>
      </c>
      <c r="AD434">
        <v>534</v>
      </c>
      <c r="AE434" t="s">
        <v>48</v>
      </c>
      <c r="AF434">
        <v>0.53300000000000003</v>
      </c>
      <c r="AG434">
        <v>402</v>
      </c>
      <c r="AH434" t="s">
        <v>57</v>
      </c>
      <c r="AI434">
        <v>0.40100000000000002</v>
      </c>
      <c r="AJ434" t="s">
        <v>1154</v>
      </c>
    </row>
    <row r="435" spans="1:36" x14ac:dyDescent="0.25">
      <c r="A435" t="s">
        <v>1010</v>
      </c>
      <c r="B435">
        <v>855731945</v>
      </c>
      <c r="C435" t="s">
        <v>1011</v>
      </c>
      <c r="D435" t="s">
        <v>1011</v>
      </c>
      <c r="E435" t="s">
        <v>99</v>
      </c>
      <c r="F435" t="s">
        <v>220</v>
      </c>
      <c r="I435" t="s">
        <v>39</v>
      </c>
      <c r="J435" t="s">
        <v>40</v>
      </c>
      <c r="K435" t="s">
        <v>41</v>
      </c>
      <c r="L435" t="s">
        <v>78</v>
      </c>
      <c r="N435" t="s">
        <v>43</v>
      </c>
      <c r="O435" t="s">
        <v>1012</v>
      </c>
      <c r="P435">
        <v>53</v>
      </c>
      <c r="Q435">
        <v>53</v>
      </c>
      <c r="R435">
        <v>1001</v>
      </c>
      <c r="S435" t="s">
        <v>56</v>
      </c>
      <c r="T435">
        <v>1</v>
      </c>
      <c r="U435">
        <v>2</v>
      </c>
      <c r="V435" t="s">
        <v>55</v>
      </c>
      <c r="W435">
        <v>1E-3</v>
      </c>
      <c r="X435">
        <v>1</v>
      </c>
      <c r="Y435" t="s">
        <v>47</v>
      </c>
      <c r="Z435">
        <v>0</v>
      </c>
      <c r="AA435">
        <v>269</v>
      </c>
      <c r="AB435" t="s">
        <v>47</v>
      </c>
      <c r="AC435">
        <v>0.26800000000000002</v>
      </c>
      <c r="AD435">
        <v>370</v>
      </c>
      <c r="AE435" t="s">
        <v>56</v>
      </c>
      <c r="AF435">
        <v>0.36899999999999999</v>
      </c>
      <c r="AG435">
        <v>127</v>
      </c>
      <c r="AH435" t="s">
        <v>103</v>
      </c>
      <c r="AI435">
        <v>0.126</v>
      </c>
      <c r="AJ435" t="s">
        <v>1154</v>
      </c>
    </row>
    <row r="436" spans="1:36" x14ac:dyDescent="0.25">
      <c r="A436" t="s">
        <v>1010</v>
      </c>
      <c r="B436">
        <v>855731945</v>
      </c>
      <c r="C436" t="s">
        <v>1011</v>
      </c>
      <c r="D436" t="s">
        <v>1011</v>
      </c>
      <c r="E436" t="s">
        <v>37</v>
      </c>
      <c r="F436" t="s">
        <v>220</v>
      </c>
      <c r="I436" t="s">
        <v>39</v>
      </c>
      <c r="J436" t="s">
        <v>40</v>
      </c>
      <c r="K436" t="s">
        <v>41</v>
      </c>
      <c r="L436" t="s">
        <v>78</v>
      </c>
      <c r="N436" t="s">
        <v>43</v>
      </c>
      <c r="O436" t="s">
        <v>79</v>
      </c>
      <c r="P436">
        <v>53</v>
      </c>
      <c r="Q436">
        <v>53</v>
      </c>
      <c r="S436" t="s">
        <v>39</v>
      </c>
      <c r="V436" t="s">
        <v>39</v>
      </c>
      <c r="X436">
        <v>8001</v>
      </c>
      <c r="Y436" t="s">
        <v>47</v>
      </c>
      <c r="Z436">
        <v>8</v>
      </c>
      <c r="AA436">
        <v>374</v>
      </c>
      <c r="AB436" t="s">
        <v>47</v>
      </c>
      <c r="AC436">
        <v>0.373</v>
      </c>
      <c r="AD436">
        <v>534</v>
      </c>
      <c r="AE436" t="s">
        <v>48</v>
      </c>
      <c r="AF436">
        <v>0.53300000000000003</v>
      </c>
      <c r="AG436">
        <v>402</v>
      </c>
      <c r="AH436" t="s">
        <v>57</v>
      </c>
      <c r="AI436">
        <v>0.40100000000000002</v>
      </c>
      <c r="AJ436" t="s">
        <v>1155</v>
      </c>
    </row>
    <row r="437" spans="1:36" x14ac:dyDescent="0.25">
      <c r="A437" t="s">
        <v>1010</v>
      </c>
      <c r="B437">
        <v>855731945</v>
      </c>
      <c r="C437" t="s">
        <v>1011</v>
      </c>
      <c r="D437" t="s">
        <v>1011</v>
      </c>
      <c r="E437" t="s">
        <v>99</v>
      </c>
      <c r="F437" t="s">
        <v>220</v>
      </c>
      <c r="I437" t="s">
        <v>39</v>
      </c>
      <c r="J437" t="s">
        <v>40</v>
      </c>
      <c r="K437" t="s">
        <v>41</v>
      </c>
      <c r="L437" t="s">
        <v>78</v>
      </c>
      <c r="N437" t="s">
        <v>43</v>
      </c>
      <c r="O437" t="s">
        <v>1012</v>
      </c>
      <c r="P437">
        <v>53</v>
      </c>
      <c r="Q437">
        <v>53</v>
      </c>
      <c r="S437" t="s">
        <v>39</v>
      </c>
      <c r="V437" t="s">
        <v>39</v>
      </c>
      <c r="X437">
        <v>1</v>
      </c>
      <c r="Y437" t="s">
        <v>47</v>
      </c>
      <c r="Z437">
        <v>0</v>
      </c>
      <c r="AA437">
        <v>269</v>
      </c>
      <c r="AB437" t="s">
        <v>47</v>
      </c>
      <c r="AC437">
        <v>0.26800000000000002</v>
      </c>
      <c r="AD437">
        <v>370</v>
      </c>
      <c r="AE437" t="s">
        <v>56</v>
      </c>
      <c r="AF437">
        <v>0.36899999999999999</v>
      </c>
      <c r="AG437">
        <v>127</v>
      </c>
      <c r="AH437" t="s">
        <v>103</v>
      </c>
      <c r="AI437">
        <v>0.126</v>
      </c>
      <c r="AJ437" t="s">
        <v>1155</v>
      </c>
    </row>
    <row r="438" spans="1:36" x14ac:dyDescent="0.25">
      <c r="A438" t="s">
        <v>1010</v>
      </c>
      <c r="B438">
        <v>855731945</v>
      </c>
      <c r="C438" t="s">
        <v>1011</v>
      </c>
      <c r="D438" t="s">
        <v>1011</v>
      </c>
      <c r="E438" t="s">
        <v>37</v>
      </c>
      <c r="F438" t="s">
        <v>220</v>
      </c>
      <c r="I438" t="s">
        <v>39</v>
      </c>
      <c r="J438" t="s">
        <v>40</v>
      </c>
      <c r="K438" t="s">
        <v>41</v>
      </c>
      <c r="L438" t="s">
        <v>78</v>
      </c>
      <c r="N438" t="s">
        <v>43</v>
      </c>
      <c r="O438" t="s">
        <v>79</v>
      </c>
      <c r="P438">
        <v>53</v>
      </c>
      <c r="Q438">
        <v>53</v>
      </c>
      <c r="S438" t="s">
        <v>39</v>
      </c>
      <c r="V438" t="s">
        <v>39</v>
      </c>
      <c r="X438">
        <v>8001</v>
      </c>
      <c r="Y438" t="s">
        <v>47</v>
      </c>
      <c r="Z438">
        <v>8</v>
      </c>
      <c r="AA438">
        <v>374</v>
      </c>
      <c r="AB438" t="s">
        <v>47</v>
      </c>
      <c r="AC438">
        <v>0.373</v>
      </c>
      <c r="AD438">
        <v>534</v>
      </c>
      <c r="AE438" t="s">
        <v>48</v>
      </c>
      <c r="AF438">
        <v>0.53300000000000003</v>
      </c>
      <c r="AG438">
        <v>402</v>
      </c>
      <c r="AH438" t="s">
        <v>57</v>
      </c>
      <c r="AI438">
        <v>0.40100000000000002</v>
      </c>
      <c r="AJ438" t="s">
        <v>1156</v>
      </c>
    </row>
    <row r="439" spans="1:36" x14ac:dyDescent="0.25">
      <c r="A439" t="s">
        <v>1010</v>
      </c>
      <c r="B439">
        <v>855731945</v>
      </c>
      <c r="C439" t="s">
        <v>1011</v>
      </c>
      <c r="D439" t="s">
        <v>1011</v>
      </c>
      <c r="E439" t="s">
        <v>99</v>
      </c>
      <c r="F439" t="s">
        <v>220</v>
      </c>
      <c r="I439" t="s">
        <v>39</v>
      </c>
      <c r="J439" t="s">
        <v>40</v>
      </c>
      <c r="K439" t="s">
        <v>41</v>
      </c>
      <c r="L439" t="s">
        <v>78</v>
      </c>
      <c r="N439" t="s">
        <v>43</v>
      </c>
      <c r="O439" t="s">
        <v>1012</v>
      </c>
      <c r="P439">
        <v>53</v>
      </c>
      <c r="Q439">
        <v>53</v>
      </c>
      <c r="S439" t="s">
        <v>39</v>
      </c>
      <c r="V439" t="s">
        <v>39</v>
      </c>
      <c r="X439">
        <v>1</v>
      </c>
      <c r="Y439" t="s">
        <v>47</v>
      </c>
      <c r="Z439">
        <v>0</v>
      </c>
      <c r="AA439">
        <v>269</v>
      </c>
      <c r="AB439" t="s">
        <v>47</v>
      </c>
      <c r="AC439">
        <v>0.26800000000000002</v>
      </c>
      <c r="AD439">
        <v>370</v>
      </c>
      <c r="AE439" t="s">
        <v>56</v>
      </c>
      <c r="AF439">
        <v>0.36899999999999999</v>
      </c>
      <c r="AG439">
        <v>127</v>
      </c>
      <c r="AH439" t="s">
        <v>103</v>
      </c>
      <c r="AI439">
        <v>0.126</v>
      </c>
      <c r="AJ439" t="s">
        <v>1156</v>
      </c>
    </row>
    <row r="440" spans="1:36" x14ac:dyDescent="0.25">
      <c r="A440" t="s">
        <v>1008</v>
      </c>
      <c r="B440">
        <v>855574093</v>
      </c>
      <c r="C440" t="s">
        <v>1009</v>
      </c>
      <c r="D440" t="s">
        <v>1009</v>
      </c>
      <c r="E440" t="s">
        <v>65</v>
      </c>
      <c r="F440" t="s">
        <v>83</v>
      </c>
      <c r="I440" t="s">
        <v>39</v>
      </c>
      <c r="J440" t="s">
        <v>40</v>
      </c>
      <c r="K440" t="s">
        <v>41</v>
      </c>
      <c r="L440" t="s">
        <v>53</v>
      </c>
      <c r="N440" t="s">
        <v>43</v>
      </c>
      <c r="O440" t="s">
        <v>325</v>
      </c>
      <c r="P440">
        <v>55</v>
      </c>
      <c r="Q440">
        <v>55</v>
      </c>
      <c r="R440">
        <v>1</v>
      </c>
      <c r="S440" t="s">
        <v>45</v>
      </c>
      <c r="T440">
        <v>0</v>
      </c>
      <c r="U440">
        <v>889</v>
      </c>
      <c r="V440" t="s">
        <v>113</v>
      </c>
      <c r="W440">
        <v>0.88800000000000001</v>
      </c>
      <c r="X440">
        <v>18001</v>
      </c>
      <c r="Y440" t="s">
        <v>47</v>
      </c>
      <c r="Z440">
        <v>18</v>
      </c>
      <c r="AA440">
        <v>616</v>
      </c>
      <c r="AB440" t="s">
        <v>75</v>
      </c>
      <c r="AC440">
        <v>0.61499999999999999</v>
      </c>
      <c r="AD440">
        <v>787</v>
      </c>
      <c r="AE440" t="s">
        <v>48</v>
      </c>
      <c r="AF440">
        <v>0.78600000000000003</v>
      </c>
      <c r="AG440">
        <v>929</v>
      </c>
      <c r="AH440" t="s">
        <v>49</v>
      </c>
      <c r="AI440">
        <v>0.92800000000000005</v>
      </c>
      <c r="AJ440" t="s">
        <v>50</v>
      </c>
    </row>
    <row r="441" spans="1:36" x14ac:dyDescent="0.25">
      <c r="A441" t="s">
        <v>1008</v>
      </c>
      <c r="B441">
        <v>855574093</v>
      </c>
      <c r="C441" t="s">
        <v>1009</v>
      </c>
      <c r="D441" t="s">
        <v>1009</v>
      </c>
      <c r="E441" t="s">
        <v>60</v>
      </c>
      <c r="F441" t="s">
        <v>83</v>
      </c>
      <c r="I441" t="s">
        <v>39</v>
      </c>
      <c r="J441" t="s">
        <v>40</v>
      </c>
      <c r="K441" t="s">
        <v>41</v>
      </c>
      <c r="L441" t="s">
        <v>53</v>
      </c>
      <c r="N441" t="s">
        <v>43</v>
      </c>
      <c r="O441" t="s">
        <v>229</v>
      </c>
      <c r="P441">
        <v>55</v>
      </c>
      <c r="Q441">
        <v>55</v>
      </c>
      <c r="R441">
        <v>221</v>
      </c>
      <c r="S441" t="s">
        <v>56</v>
      </c>
      <c r="T441">
        <v>0.22</v>
      </c>
      <c r="U441">
        <v>58</v>
      </c>
      <c r="V441" t="s">
        <v>55</v>
      </c>
      <c r="W441">
        <v>5.7000000000000002E-2</v>
      </c>
      <c r="X441">
        <v>7001</v>
      </c>
      <c r="Y441" t="s">
        <v>47</v>
      </c>
      <c r="Z441">
        <v>7</v>
      </c>
      <c r="AA441">
        <v>286</v>
      </c>
      <c r="AB441" t="s">
        <v>47</v>
      </c>
      <c r="AC441">
        <v>0.28499999999999998</v>
      </c>
      <c r="AD441">
        <v>335</v>
      </c>
      <c r="AE441" t="s">
        <v>56</v>
      </c>
      <c r="AF441">
        <v>0.33400000000000002</v>
      </c>
      <c r="AG441">
        <v>313</v>
      </c>
      <c r="AH441" t="s">
        <v>57</v>
      </c>
      <c r="AI441">
        <v>0.312</v>
      </c>
      <c r="AJ441" t="s">
        <v>50</v>
      </c>
    </row>
    <row r="442" spans="1:36" x14ac:dyDescent="0.25">
      <c r="A442" t="s">
        <v>1008</v>
      </c>
      <c r="B442">
        <v>855574093</v>
      </c>
      <c r="C442" t="s">
        <v>1009</v>
      </c>
      <c r="D442" t="s">
        <v>1009</v>
      </c>
      <c r="E442" t="s">
        <v>65</v>
      </c>
      <c r="F442" t="s">
        <v>83</v>
      </c>
      <c r="I442" t="s">
        <v>39</v>
      </c>
      <c r="J442" t="s">
        <v>40</v>
      </c>
      <c r="K442" t="s">
        <v>41</v>
      </c>
      <c r="L442" t="s">
        <v>53</v>
      </c>
      <c r="N442" t="s">
        <v>43</v>
      </c>
      <c r="O442" t="s">
        <v>325</v>
      </c>
      <c r="P442">
        <v>55</v>
      </c>
      <c r="Q442">
        <v>55</v>
      </c>
      <c r="R442">
        <v>21</v>
      </c>
      <c r="S442" t="s">
        <v>45</v>
      </c>
      <c r="T442">
        <v>0.02</v>
      </c>
      <c r="U442">
        <v>752</v>
      </c>
      <c r="V442" t="s">
        <v>113</v>
      </c>
      <c r="W442">
        <v>0.751</v>
      </c>
      <c r="X442">
        <v>18001</v>
      </c>
      <c r="Y442" t="s">
        <v>47</v>
      </c>
      <c r="Z442">
        <v>18</v>
      </c>
      <c r="AA442">
        <v>616</v>
      </c>
      <c r="AB442" t="s">
        <v>75</v>
      </c>
      <c r="AC442">
        <v>0.61499999999999999</v>
      </c>
      <c r="AD442">
        <v>787</v>
      </c>
      <c r="AE442" t="s">
        <v>48</v>
      </c>
      <c r="AF442">
        <v>0.78600000000000003</v>
      </c>
      <c r="AG442">
        <v>929</v>
      </c>
      <c r="AH442" t="s">
        <v>49</v>
      </c>
      <c r="AI442">
        <v>0.92800000000000005</v>
      </c>
      <c r="AJ442" t="s">
        <v>1141</v>
      </c>
    </row>
    <row r="443" spans="1:36" x14ac:dyDescent="0.25">
      <c r="A443" t="s">
        <v>1008</v>
      </c>
      <c r="B443">
        <v>855574093</v>
      </c>
      <c r="C443" t="s">
        <v>1009</v>
      </c>
      <c r="D443" t="s">
        <v>1009</v>
      </c>
      <c r="E443" t="s">
        <v>60</v>
      </c>
      <c r="F443" t="s">
        <v>83</v>
      </c>
      <c r="I443" t="s">
        <v>39</v>
      </c>
      <c r="J443" t="s">
        <v>40</v>
      </c>
      <c r="K443" t="s">
        <v>41</v>
      </c>
      <c r="L443" t="s">
        <v>53</v>
      </c>
      <c r="N443" t="s">
        <v>43</v>
      </c>
      <c r="O443" t="s">
        <v>229</v>
      </c>
      <c r="P443">
        <v>55</v>
      </c>
      <c r="Q443">
        <v>55</v>
      </c>
      <c r="R443">
        <v>161</v>
      </c>
      <c r="S443" t="s">
        <v>56</v>
      </c>
      <c r="T443">
        <v>0.16</v>
      </c>
      <c r="U443">
        <v>23</v>
      </c>
      <c r="V443" t="s">
        <v>55</v>
      </c>
      <c r="W443">
        <v>2.1999999999999999E-2</v>
      </c>
      <c r="X443">
        <v>7001</v>
      </c>
      <c r="Y443" t="s">
        <v>47</v>
      </c>
      <c r="Z443">
        <v>7</v>
      </c>
      <c r="AA443">
        <v>286</v>
      </c>
      <c r="AB443" t="s">
        <v>47</v>
      </c>
      <c r="AC443">
        <v>0.28499999999999998</v>
      </c>
      <c r="AD443">
        <v>335</v>
      </c>
      <c r="AE443" t="s">
        <v>56</v>
      </c>
      <c r="AF443">
        <v>0.33400000000000002</v>
      </c>
      <c r="AG443">
        <v>313</v>
      </c>
      <c r="AH443" t="s">
        <v>57</v>
      </c>
      <c r="AI443">
        <v>0.312</v>
      </c>
      <c r="AJ443" t="s">
        <v>1141</v>
      </c>
    </row>
    <row r="444" spans="1:36" x14ac:dyDescent="0.25">
      <c r="A444" t="s">
        <v>1008</v>
      </c>
      <c r="B444">
        <v>855574093</v>
      </c>
      <c r="C444" t="s">
        <v>1009</v>
      </c>
      <c r="D444" t="s">
        <v>1009</v>
      </c>
      <c r="E444" t="s">
        <v>65</v>
      </c>
      <c r="F444" t="s">
        <v>83</v>
      </c>
      <c r="I444" t="s">
        <v>39</v>
      </c>
      <c r="J444" t="s">
        <v>40</v>
      </c>
      <c r="K444" t="s">
        <v>41</v>
      </c>
      <c r="L444" t="s">
        <v>53</v>
      </c>
      <c r="N444" t="s">
        <v>43</v>
      </c>
      <c r="O444" t="s">
        <v>325</v>
      </c>
      <c r="P444">
        <v>55</v>
      </c>
      <c r="Q444">
        <v>55</v>
      </c>
      <c r="R444">
        <v>1</v>
      </c>
      <c r="S444" t="s">
        <v>45</v>
      </c>
      <c r="T444">
        <v>0</v>
      </c>
      <c r="U444">
        <v>889</v>
      </c>
      <c r="V444" t="s">
        <v>113</v>
      </c>
      <c r="W444">
        <v>0.88800000000000001</v>
      </c>
      <c r="X444">
        <v>18001</v>
      </c>
      <c r="Y444" t="s">
        <v>47</v>
      </c>
      <c r="Z444">
        <v>18</v>
      </c>
      <c r="AA444">
        <v>616</v>
      </c>
      <c r="AB444" t="s">
        <v>75</v>
      </c>
      <c r="AC444">
        <v>0.61499999999999999</v>
      </c>
      <c r="AD444">
        <v>787</v>
      </c>
      <c r="AE444" t="s">
        <v>48</v>
      </c>
      <c r="AF444">
        <v>0.78600000000000003</v>
      </c>
      <c r="AG444">
        <v>929</v>
      </c>
      <c r="AH444" t="s">
        <v>49</v>
      </c>
      <c r="AI444">
        <v>0.92800000000000005</v>
      </c>
      <c r="AJ444" t="s">
        <v>1153</v>
      </c>
    </row>
    <row r="445" spans="1:36" x14ac:dyDescent="0.25">
      <c r="A445" t="s">
        <v>1008</v>
      </c>
      <c r="B445">
        <v>855574093</v>
      </c>
      <c r="C445" t="s">
        <v>1009</v>
      </c>
      <c r="D445" t="s">
        <v>1009</v>
      </c>
      <c r="E445" t="s">
        <v>60</v>
      </c>
      <c r="F445" t="s">
        <v>83</v>
      </c>
      <c r="I445" t="s">
        <v>39</v>
      </c>
      <c r="J445" t="s">
        <v>40</v>
      </c>
      <c r="K445" t="s">
        <v>41</v>
      </c>
      <c r="L445" t="s">
        <v>53</v>
      </c>
      <c r="N445" t="s">
        <v>43</v>
      </c>
      <c r="O445" t="s">
        <v>229</v>
      </c>
      <c r="P445">
        <v>55</v>
      </c>
      <c r="Q445">
        <v>55</v>
      </c>
      <c r="R445">
        <v>221</v>
      </c>
      <c r="S445" t="s">
        <v>56</v>
      </c>
      <c r="T445">
        <v>0.22</v>
      </c>
      <c r="U445">
        <v>58</v>
      </c>
      <c r="V445" t="s">
        <v>55</v>
      </c>
      <c r="W445">
        <v>5.7000000000000002E-2</v>
      </c>
      <c r="X445">
        <v>7001</v>
      </c>
      <c r="Y445" t="s">
        <v>47</v>
      </c>
      <c r="Z445">
        <v>7</v>
      </c>
      <c r="AA445">
        <v>286</v>
      </c>
      <c r="AB445" t="s">
        <v>47</v>
      </c>
      <c r="AC445">
        <v>0.28499999999999998</v>
      </c>
      <c r="AD445">
        <v>335</v>
      </c>
      <c r="AE445" t="s">
        <v>56</v>
      </c>
      <c r="AF445">
        <v>0.33400000000000002</v>
      </c>
      <c r="AG445">
        <v>313</v>
      </c>
      <c r="AH445" t="s">
        <v>57</v>
      </c>
      <c r="AI445">
        <v>0.312</v>
      </c>
      <c r="AJ445" t="s">
        <v>1153</v>
      </c>
    </row>
    <row r="446" spans="1:36" x14ac:dyDescent="0.25">
      <c r="A446" t="s">
        <v>1008</v>
      </c>
      <c r="B446">
        <v>855574093</v>
      </c>
      <c r="C446" t="s">
        <v>1009</v>
      </c>
      <c r="D446" t="s">
        <v>1009</v>
      </c>
      <c r="E446" t="s">
        <v>65</v>
      </c>
      <c r="F446" t="s">
        <v>83</v>
      </c>
      <c r="I446" t="s">
        <v>39</v>
      </c>
      <c r="J446" t="s">
        <v>40</v>
      </c>
      <c r="K446" t="s">
        <v>41</v>
      </c>
      <c r="L446" t="s">
        <v>53</v>
      </c>
      <c r="N446" t="s">
        <v>43</v>
      </c>
      <c r="O446" t="s">
        <v>325</v>
      </c>
      <c r="P446">
        <v>55</v>
      </c>
      <c r="Q446">
        <v>55</v>
      </c>
      <c r="R446">
        <v>1</v>
      </c>
      <c r="S446" t="s">
        <v>45</v>
      </c>
      <c r="T446">
        <v>0</v>
      </c>
      <c r="U446">
        <v>889</v>
      </c>
      <c r="V446" t="s">
        <v>113</v>
      </c>
      <c r="W446">
        <v>0.88800000000000001</v>
      </c>
      <c r="X446">
        <v>18001</v>
      </c>
      <c r="Y446" t="s">
        <v>47</v>
      </c>
      <c r="Z446">
        <v>18</v>
      </c>
      <c r="AA446">
        <v>616</v>
      </c>
      <c r="AB446" t="s">
        <v>75</v>
      </c>
      <c r="AC446">
        <v>0.61499999999999999</v>
      </c>
      <c r="AD446">
        <v>787</v>
      </c>
      <c r="AE446" t="s">
        <v>48</v>
      </c>
      <c r="AF446">
        <v>0.78600000000000003</v>
      </c>
      <c r="AG446">
        <v>929</v>
      </c>
      <c r="AH446" t="s">
        <v>49</v>
      </c>
      <c r="AI446">
        <v>0.92800000000000005</v>
      </c>
      <c r="AJ446" t="s">
        <v>1154</v>
      </c>
    </row>
    <row r="447" spans="1:36" x14ac:dyDescent="0.25">
      <c r="A447" t="s">
        <v>1008</v>
      </c>
      <c r="B447">
        <v>855574093</v>
      </c>
      <c r="C447" t="s">
        <v>1009</v>
      </c>
      <c r="D447" t="s">
        <v>1009</v>
      </c>
      <c r="E447" t="s">
        <v>60</v>
      </c>
      <c r="F447" t="s">
        <v>83</v>
      </c>
      <c r="I447" t="s">
        <v>39</v>
      </c>
      <c r="J447" t="s">
        <v>40</v>
      </c>
      <c r="K447" t="s">
        <v>41</v>
      </c>
      <c r="L447" t="s">
        <v>53</v>
      </c>
      <c r="N447" t="s">
        <v>43</v>
      </c>
      <c r="O447" t="s">
        <v>229</v>
      </c>
      <c r="P447">
        <v>55</v>
      </c>
      <c r="Q447">
        <v>55</v>
      </c>
      <c r="R447">
        <v>221</v>
      </c>
      <c r="S447" t="s">
        <v>56</v>
      </c>
      <c r="T447">
        <v>0.22</v>
      </c>
      <c r="U447">
        <v>58</v>
      </c>
      <c r="V447" t="s">
        <v>55</v>
      </c>
      <c r="W447">
        <v>5.7000000000000002E-2</v>
      </c>
      <c r="X447">
        <v>7001</v>
      </c>
      <c r="Y447" t="s">
        <v>47</v>
      </c>
      <c r="Z447">
        <v>7</v>
      </c>
      <c r="AA447">
        <v>286</v>
      </c>
      <c r="AB447" t="s">
        <v>47</v>
      </c>
      <c r="AC447">
        <v>0.28499999999999998</v>
      </c>
      <c r="AD447">
        <v>335</v>
      </c>
      <c r="AE447" t="s">
        <v>56</v>
      </c>
      <c r="AF447">
        <v>0.33400000000000002</v>
      </c>
      <c r="AG447">
        <v>313</v>
      </c>
      <c r="AH447" t="s">
        <v>57</v>
      </c>
      <c r="AI447">
        <v>0.312</v>
      </c>
      <c r="AJ447" t="s">
        <v>1154</v>
      </c>
    </row>
    <row r="448" spans="1:36" x14ac:dyDescent="0.25">
      <c r="A448" t="s">
        <v>1008</v>
      </c>
      <c r="B448">
        <v>855574093</v>
      </c>
      <c r="C448" t="s">
        <v>1009</v>
      </c>
      <c r="D448" t="s">
        <v>1009</v>
      </c>
      <c r="E448" t="s">
        <v>65</v>
      </c>
      <c r="F448" t="s">
        <v>83</v>
      </c>
      <c r="I448" t="s">
        <v>39</v>
      </c>
      <c r="J448" t="s">
        <v>40</v>
      </c>
      <c r="K448" t="s">
        <v>41</v>
      </c>
      <c r="L448" t="s">
        <v>53</v>
      </c>
      <c r="N448" t="s">
        <v>43</v>
      </c>
      <c r="O448" t="s">
        <v>325</v>
      </c>
      <c r="P448">
        <v>55</v>
      </c>
      <c r="Q448">
        <v>55</v>
      </c>
      <c r="S448" t="s">
        <v>39</v>
      </c>
      <c r="V448" t="s">
        <v>39</v>
      </c>
      <c r="X448">
        <v>18001</v>
      </c>
      <c r="Y448" t="s">
        <v>47</v>
      </c>
      <c r="Z448">
        <v>18</v>
      </c>
      <c r="AA448">
        <v>616</v>
      </c>
      <c r="AB448" t="s">
        <v>75</v>
      </c>
      <c r="AC448">
        <v>0.61499999999999999</v>
      </c>
      <c r="AD448">
        <v>787</v>
      </c>
      <c r="AE448" t="s">
        <v>48</v>
      </c>
      <c r="AF448">
        <v>0.78600000000000003</v>
      </c>
      <c r="AG448">
        <v>929</v>
      </c>
      <c r="AH448" t="s">
        <v>49</v>
      </c>
      <c r="AI448">
        <v>0.92800000000000005</v>
      </c>
      <c r="AJ448" t="s">
        <v>1155</v>
      </c>
    </row>
    <row r="449" spans="1:36" x14ac:dyDescent="0.25">
      <c r="A449" t="s">
        <v>1008</v>
      </c>
      <c r="B449">
        <v>855574093</v>
      </c>
      <c r="C449" t="s">
        <v>1009</v>
      </c>
      <c r="D449" t="s">
        <v>1009</v>
      </c>
      <c r="E449" t="s">
        <v>60</v>
      </c>
      <c r="F449" t="s">
        <v>83</v>
      </c>
      <c r="I449" t="s">
        <v>39</v>
      </c>
      <c r="J449" t="s">
        <v>40</v>
      </c>
      <c r="K449" t="s">
        <v>41</v>
      </c>
      <c r="L449" t="s">
        <v>53</v>
      </c>
      <c r="N449" t="s">
        <v>43</v>
      </c>
      <c r="O449" t="s">
        <v>229</v>
      </c>
      <c r="P449">
        <v>55</v>
      </c>
      <c r="Q449">
        <v>55</v>
      </c>
      <c r="S449" t="s">
        <v>39</v>
      </c>
      <c r="V449" t="s">
        <v>39</v>
      </c>
      <c r="X449">
        <v>7001</v>
      </c>
      <c r="Y449" t="s">
        <v>47</v>
      </c>
      <c r="Z449">
        <v>7</v>
      </c>
      <c r="AA449">
        <v>286</v>
      </c>
      <c r="AB449" t="s">
        <v>47</v>
      </c>
      <c r="AC449">
        <v>0.28499999999999998</v>
      </c>
      <c r="AD449">
        <v>335</v>
      </c>
      <c r="AE449" t="s">
        <v>56</v>
      </c>
      <c r="AF449">
        <v>0.33400000000000002</v>
      </c>
      <c r="AG449">
        <v>313</v>
      </c>
      <c r="AH449" t="s">
        <v>57</v>
      </c>
      <c r="AI449">
        <v>0.312</v>
      </c>
      <c r="AJ449" t="s">
        <v>1155</v>
      </c>
    </row>
    <row r="450" spans="1:36" x14ac:dyDescent="0.25">
      <c r="A450" t="s">
        <v>1008</v>
      </c>
      <c r="B450">
        <v>855574093</v>
      </c>
      <c r="C450" t="s">
        <v>1009</v>
      </c>
      <c r="D450" t="s">
        <v>1009</v>
      </c>
      <c r="E450" t="s">
        <v>65</v>
      </c>
      <c r="F450" t="s">
        <v>83</v>
      </c>
      <c r="I450" t="s">
        <v>39</v>
      </c>
      <c r="J450" t="s">
        <v>40</v>
      </c>
      <c r="K450" t="s">
        <v>41</v>
      </c>
      <c r="L450" t="s">
        <v>53</v>
      </c>
      <c r="N450" t="s">
        <v>43</v>
      </c>
      <c r="O450" t="s">
        <v>325</v>
      </c>
      <c r="P450">
        <v>55</v>
      </c>
      <c r="Q450">
        <v>55</v>
      </c>
      <c r="S450" t="s">
        <v>39</v>
      </c>
      <c r="V450" t="s">
        <v>39</v>
      </c>
      <c r="X450">
        <v>18001</v>
      </c>
      <c r="Y450" t="s">
        <v>47</v>
      </c>
      <c r="Z450">
        <v>18</v>
      </c>
      <c r="AA450">
        <v>616</v>
      </c>
      <c r="AB450" t="s">
        <v>75</v>
      </c>
      <c r="AC450">
        <v>0.61499999999999999</v>
      </c>
      <c r="AD450">
        <v>787</v>
      </c>
      <c r="AE450" t="s">
        <v>48</v>
      </c>
      <c r="AF450">
        <v>0.78600000000000003</v>
      </c>
      <c r="AG450">
        <v>929</v>
      </c>
      <c r="AH450" t="s">
        <v>49</v>
      </c>
      <c r="AI450">
        <v>0.92800000000000005</v>
      </c>
      <c r="AJ450" t="s">
        <v>1156</v>
      </c>
    </row>
    <row r="451" spans="1:36" x14ac:dyDescent="0.25">
      <c r="A451" t="s">
        <v>1008</v>
      </c>
      <c r="B451">
        <v>855574093</v>
      </c>
      <c r="C451" t="s">
        <v>1009</v>
      </c>
      <c r="D451" t="s">
        <v>1009</v>
      </c>
      <c r="E451" t="s">
        <v>60</v>
      </c>
      <c r="F451" t="s">
        <v>83</v>
      </c>
      <c r="I451" t="s">
        <v>39</v>
      </c>
      <c r="J451" t="s">
        <v>40</v>
      </c>
      <c r="K451" t="s">
        <v>41</v>
      </c>
      <c r="L451" t="s">
        <v>53</v>
      </c>
      <c r="N451" t="s">
        <v>43</v>
      </c>
      <c r="O451" t="s">
        <v>229</v>
      </c>
      <c r="P451">
        <v>55</v>
      </c>
      <c r="Q451">
        <v>55</v>
      </c>
      <c r="S451" t="s">
        <v>39</v>
      </c>
      <c r="V451" t="s">
        <v>39</v>
      </c>
      <c r="X451">
        <v>7001</v>
      </c>
      <c r="Y451" t="s">
        <v>47</v>
      </c>
      <c r="Z451">
        <v>7</v>
      </c>
      <c r="AA451">
        <v>286</v>
      </c>
      <c r="AB451" t="s">
        <v>47</v>
      </c>
      <c r="AC451">
        <v>0.28499999999999998</v>
      </c>
      <c r="AD451">
        <v>335</v>
      </c>
      <c r="AE451" t="s">
        <v>56</v>
      </c>
      <c r="AF451">
        <v>0.33400000000000002</v>
      </c>
      <c r="AG451">
        <v>313</v>
      </c>
      <c r="AH451" t="s">
        <v>57</v>
      </c>
      <c r="AI451">
        <v>0.312</v>
      </c>
      <c r="AJ451" t="s">
        <v>1156</v>
      </c>
    </row>
    <row r="452" spans="1:36" x14ac:dyDescent="0.25">
      <c r="A452" t="s">
        <v>1006</v>
      </c>
      <c r="B452">
        <v>871596396</v>
      </c>
      <c r="C452" t="s">
        <v>1007</v>
      </c>
      <c r="D452" t="s">
        <v>1007</v>
      </c>
      <c r="E452" t="s">
        <v>65</v>
      </c>
      <c r="F452" t="s">
        <v>93</v>
      </c>
      <c r="I452" t="s">
        <v>39</v>
      </c>
      <c r="J452" t="s">
        <v>40</v>
      </c>
      <c r="K452" t="s">
        <v>41</v>
      </c>
      <c r="L452" t="s">
        <v>197</v>
      </c>
      <c r="M452" t="s">
        <v>335</v>
      </c>
      <c r="N452" t="s">
        <v>43</v>
      </c>
      <c r="O452" t="s">
        <v>483</v>
      </c>
      <c r="P452">
        <v>57</v>
      </c>
      <c r="Q452">
        <v>57</v>
      </c>
      <c r="R452">
        <v>41</v>
      </c>
      <c r="S452" t="s">
        <v>45</v>
      </c>
      <c r="T452">
        <v>0.04</v>
      </c>
      <c r="U452">
        <v>625</v>
      </c>
      <c r="V452" t="s">
        <v>113</v>
      </c>
      <c r="W452">
        <v>0.624</v>
      </c>
      <c r="X452">
        <v>21001</v>
      </c>
      <c r="Y452" t="s">
        <v>47</v>
      </c>
      <c r="Z452">
        <v>21</v>
      </c>
      <c r="AA452">
        <v>747</v>
      </c>
      <c r="AB452" t="s">
        <v>75</v>
      </c>
      <c r="AC452">
        <v>0.746</v>
      </c>
      <c r="AD452">
        <v>831</v>
      </c>
      <c r="AE452" t="s">
        <v>48</v>
      </c>
      <c r="AF452">
        <v>0.83</v>
      </c>
      <c r="AG452">
        <v>863</v>
      </c>
      <c r="AH452" t="s">
        <v>49</v>
      </c>
      <c r="AI452">
        <v>0.86199999999999999</v>
      </c>
      <c r="AJ452" t="s">
        <v>50</v>
      </c>
    </row>
    <row r="453" spans="1:36" x14ac:dyDescent="0.25">
      <c r="A453" t="s">
        <v>1006</v>
      </c>
      <c r="B453">
        <v>871596396</v>
      </c>
      <c r="C453" t="s">
        <v>1007</v>
      </c>
      <c r="D453" t="s">
        <v>1007</v>
      </c>
      <c r="E453" t="s">
        <v>65</v>
      </c>
      <c r="F453" t="s">
        <v>93</v>
      </c>
      <c r="I453" t="s">
        <v>39</v>
      </c>
      <c r="J453" t="s">
        <v>40</v>
      </c>
      <c r="K453" t="s">
        <v>41</v>
      </c>
      <c r="L453" t="s">
        <v>197</v>
      </c>
      <c r="M453" t="s">
        <v>335</v>
      </c>
      <c r="N453" t="s">
        <v>43</v>
      </c>
      <c r="O453" t="s">
        <v>483</v>
      </c>
      <c r="P453">
        <v>57</v>
      </c>
      <c r="Q453">
        <v>57</v>
      </c>
      <c r="R453">
        <v>151</v>
      </c>
      <c r="S453" t="s">
        <v>56</v>
      </c>
      <c r="T453">
        <v>0.15</v>
      </c>
      <c r="U453">
        <v>711</v>
      </c>
      <c r="V453" t="s">
        <v>113</v>
      </c>
      <c r="W453">
        <v>0.71</v>
      </c>
      <c r="X453">
        <v>21001</v>
      </c>
      <c r="Y453" t="s">
        <v>47</v>
      </c>
      <c r="Z453">
        <v>21</v>
      </c>
      <c r="AA453">
        <v>747</v>
      </c>
      <c r="AB453" t="s">
        <v>75</v>
      </c>
      <c r="AC453">
        <v>0.746</v>
      </c>
      <c r="AD453">
        <v>831</v>
      </c>
      <c r="AE453" t="s">
        <v>48</v>
      </c>
      <c r="AF453">
        <v>0.83</v>
      </c>
      <c r="AG453">
        <v>863</v>
      </c>
      <c r="AH453" t="s">
        <v>49</v>
      </c>
      <c r="AI453">
        <v>0.86199999999999999</v>
      </c>
      <c r="AJ453" t="s">
        <v>1141</v>
      </c>
    </row>
    <row r="454" spans="1:36" x14ac:dyDescent="0.25">
      <c r="A454" t="s">
        <v>1006</v>
      </c>
      <c r="B454">
        <v>871596396</v>
      </c>
      <c r="C454" t="s">
        <v>1007</v>
      </c>
      <c r="D454" t="s">
        <v>1007</v>
      </c>
      <c r="E454" t="s">
        <v>65</v>
      </c>
      <c r="F454" t="s">
        <v>93</v>
      </c>
      <c r="I454" t="s">
        <v>39</v>
      </c>
      <c r="J454" t="s">
        <v>40</v>
      </c>
      <c r="K454" t="s">
        <v>41</v>
      </c>
      <c r="L454" t="s">
        <v>197</v>
      </c>
      <c r="M454" t="s">
        <v>335</v>
      </c>
      <c r="N454" t="s">
        <v>43</v>
      </c>
      <c r="O454" t="s">
        <v>483</v>
      </c>
      <c r="P454">
        <v>57</v>
      </c>
      <c r="Q454">
        <v>57</v>
      </c>
      <c r="R454">
        <v>41</v>
      </c>
      <c r="S454" t="s">
        <v>45</v>
      </c>
      <c r="T454">
        <v>0.04</v>
      </c>
      <c r="U454">
        <v>625</v>
      </c>
      <c r="V454" t="s">
        <v>113</v>
      </c>
      <c r="W454">
        <v>0.624</v>
      </c>
      <c r="X454">
        <v>21001</v>
      </c>
      <c r="Y454" t="s">
        <v>47</v>
      </c>
      <c r="Z454">
        <v>21</v>
      </c>
      <c r="AA454">
        <v>747</v>
      </c>
      <c r="AB454" t="s">
        <v>75</v>
      </c>
      <c r="AC454">
        <v>0.746</v>
      </c>
      <c r="AD454">
        <v>831</v>
      </c>
      <c r="AE454" t="s">
        <v>48</v>
      </c>
      <c r="AF454">
        <v>0.83</v>
      </c>
      <c r="AG454">
        <v>863</v>
      </c>
      <c r="AH454" t="s">
        <v>49</v>
      </c>
      <c r="AI454">
        <v>0.86199999999999999</v>
      </c>
      <c r="AJ454" t="s">
        <v>1153</v>
      </c>
    </row>
    <row r="455" spans="1:36" x14ac:dyDescent="0.25">
      <c r="A455" t="s">
        <v>1006</v>
      </c>
      <c r="B455">
        <v>871596396</v>
      </c>
      <c r="C455" t="s">
        <v>1007</v>
      </c>
      <c r="D455" t="s">
        <v>1007</v>
      </c>
      <c r="E455" t="s">
        <v>65</v>
      </c>
      <c r="F455" t="s">
        <v>93</v>
      </c>
      <c r="I455" t="s">
        <v>39</v>
      </c>
      <c r="J455" t="s">
        <v>40</v>
      </c>
      <c r="K455" t="s">
        <v>41</v>
      </c>
      <c r="L455" t="s">
        <v>197</v>
      </c>
      <c r="M455" t="s">
        <v>335</v>
      </c>
      <c r="N455" t="s">
        <v>43</v>
      </c>
      <c r="O455" t="s">
        <v>483</v>
      </c>
      <c r="P455">
        <v>57</v>
      </c>
      <c r="Q455">
        <v>57</v>
      </c>
      <c r="R455">
        <v>41</v>
      </c>
      <c r="S455" t="s">
        <v>45</v>
      </c>
      <c r="T455">
        <v>0.04</v>
      </c>
      <c r="U455">
        <v>625</v>
      </c>
      <c r="V455" t="s">
        <v>113</v>
      </c>
      <c r="W455">
        <v>0.624</v>
      </c>
      <c r="X455">
        <v>21001</v>
      </c>
      <c r="Y455" t="s">
        <v>47</v>
      </c>
      <c r="Z455">
        <v>21</v>
      </c>
      <c r="AA455">
        <v>747</v>
      </c>
      <c r="AB455" t="s">
        <v>75</v>
      </c>
      <c r="AC455">
        <v>0.746</v>
      </c>
      <c r="AD455">
        <v>831</v>
      </c>
      <c r="AE455" t="s">
        <v>48</v>
      </c>
      <c r="AF455">
        <v>0.83</v>
      </c>
      <c r="AG455">
        <v>863</v>
      </c>
      <c r="AH455" t="s">
        <v>49</v>
      </c>
      <c r="AI455">
        <v>0.86199999999999999</v>
      </c>
      <c r="AJ455" t="s">
        <v>1154</v>
      </c>
    </row>
    <row r="456" spans="1:36" x14ac:dyDescent="0.25">
      <c r="A456" t="s">
        <v>1006</v>
      </c>
      <c r="B456">
        <v>871596396</v>
      </c>
      <c r="C456" t="s">
        <v>1007</v>
      </c>
      <c r="D456" t="s">
        <v>1007</v>
      </c>
      <c r="E456" t="s">
        <v>65</v>
      </c>
      <c r="F456" t="s">
        <v>93</v>
      </c>
      <c r="I456" t="s">
        <v>39</v>
      </c>
      <c r="J456" t="s">
        <v>40</v>
      </c>
      <c r="K456" t="s">
        <v>41</v>
      </c>
      <c r="L456" t="s">
        <v>197</v>
      </c>
      <c r="M456" t="s">
        <v>335</v>
      </c>
      <c r="N456" t="s">
        <v>43</v>
      </c>
      <c r="O456" t="s">
        <v>483</v>
      </c>
      <c r="P456">
        <v>57</v>
      </c>
      <c r="Q456">
        <v>57</v>
      </c>
      <c r="S456" t="s">
        <v>39</v>
      </c>
      <c r="V456" t="s">
        <v>39</v>
      </c>
      <c r="X456">
        <v>21001</v>
      </c>
      <c r="Y456" t="s">
        <v>47</v>
      </c>
      <c r="Z456">
        <v>21</v>
      </c>
      <c r="AA456">
        <v>747</v>
      </c>
      <c r="AB456" t="s">
        <v>75</v>
      </c>
      <c r="AC456">
        <v>0.746</v>
      </c>
      <c r="AD456">
        <v>831</v>
      </c>
      <c r="AE456" t="s">
        <v>48</v>
      </c>
      <c r="AF456">
        <v>0.83</v>
      </c>
      <c r="AG456">
        <v>863</v>
      </c>
      <c r="AH456" t="s">
        <v>49</v>
      </c>
      <c r="AI456">
        <v>0.86199999999999999</v>
      </c>
      <c r="AJ456" t="s">
        <v>1155</v>
      </c>
    </row>
    <row r="457" spans="1:36" x14ac:dyDescent="0.25">
      <c r="A457" t="s">
        <v>1006</v>
      </c>
      <c r="B457">
        <v>871596396</v>
      </c>
      <c r="C457" t="s">
        <v>1007</v>
      </c>
      <c r="D457" t="s">
        <v>1007</v>
      </c>
      <c r="E457" t="s">
        <v>65</v>
      </c>
      <c r="F457" t="s">
        <v>93</v>
      </c>
      <c r="I457" t="s">
        <v>39</v>
      </c>
      <c r="J457" t="s">
        <v>40</v>
      </c>
      <c r="K457" t="s">
        <v>41</v>
      </c>
      <c r="L457" t="s">
        <v>197</v>
      </c>
      <c r="M457" t="s">
        <v>335</v>
      </c>
      <c r="N457" t="s">
        <v>43</v>
      </c>
      <c r="O457" t="s">
        <v>483</v>
      </c>
      <c r="P457">
        <v>57</v>
      </c>
      <c r="Q457">
        <v>57</v>
      </c>
      <c r="S457" t="s">
        <v>39</v>
      </c>
      <c r="V457" t="s">
        <v>39</v>
      </c>
      <c r="X457">
        <v>21001</v>
      </c>
      <c r="Y457" t="s">
        <v>47</v>
      </c>
      <c r="Z457">
        <v>21</v>
      </c>
      <c r="AA457">
        <v>747</v>
      </c>
      <c r="AB457" t="s">
        <v>75</v>
      </c>
      <c r="AC457">
        <v>0.746</v>
      </c>
      <c r="AD457">
        <v>831</v>
      </c>
      <c r="AE457" t="s">
        <v>48</v>
      </c>
      <c r="AF457">
        <v>0.83</v>
      </c>
      <c r="AG457">
        <v>863</v>
      </c>
      <c r="AH457" t="s">
        <v>49</v>
      </c>
      <c r="AI457">
        <v>0.86199999999999999</v>
      </c>
      <c r="AJ457" t="s">
        <v>1156</v>
      </c>
    </row>
    <row r="458" spans="1:36" x14ac:dyDescent="0.25">
      <c r="A458" t="s">
        <v>1004</v>
      </c>
      <c r="B458">
        <v>852784480</v>
      </c>
      <c r="C458" t="s">
        <v>1005</v>
      </c>
      <c r="D458" t="s">
        <v>1005</v>
      </c>
      <c r="E458" t="s">
        <v>60</v>
      </c>
      <c r="F458" t="s">
        <v>122</v>
      </c>
      <c r="I458" t="s">
        <v>39</v>
      </c>
      <c r="J458" t="s">
        <v>40</v>
      </c>
      <c r="K458" t="s">
        <v>41</v>
      </c>
      <c r="L458" t="s">
        <v>151</v>
      </c>
      <c r="M458" t="s">
        <v>282</v>
      </c>
      <c r="N458" t="s">
        <v>43</v>
      </c>
      <c r="O458" t="s">
        <v>483</v>
      </c>
      <c r="P458">
        <v>57</v>
      </c>
      <c r="Q458">
        <v>57</v>
      </c>
      <c r="R458">
        <v>41</v>
      </c>
      <c r="S458" t="s">
        <v>45</v>
      </c>
      <c r="T458">
        <v>0.04</v>
      </c>
      <c r="U458">
        <v>625</v>
      </c>
      <c r="V458" t="s">
        <v>113</v>
      </c>
      <c r="W458">
        <v>0.624</v>
      </c>
      <c r="X458">
        <v>21001</v>
      </c>
      <c r="Y458" t="s">
        <v>47</v>
      </c>
      <c r="Z458">
        <v>21</v>
      </c>
      <c r="AA458">
        <v>747</v>
      </c>
      <c r="AB458" t="s">
        <v>75</v>
      </c>
      <c r="AC458">
        <v>0.746</v>
      </c>
      <c r="AD458">
        <v>831</v>
      </c>
      <c r="AE458" t="s">
        <v>48</v>
      </c>
      <c r="AF458">
        <v>0.83</v>
      </c>
      <c r="AG458">
        <v>863</v>
      </c>
      <c r="AH458" t="s">
        <v>49</v>
      </c>
      <c r="AI458">
        <v>0.86199999999999999</v>
      </c>
      <c r="AJ458" t="s">
        <v>50</v>
      </c>
    </row>
    <row r="459" spans="1:36" x14ac:dyDescent="0.25">
      <c r="A459" t="s">
        <v>1004</v>
      </c>
      <c r="B459">
        <v>852784480</v>
      </c>
      <c r="C459" t="s">
        <v>1005</v>
      </c>
      <c r="D459" t="s">
        <v>1005</v>
      </c>
      <c r="E459" t="s">
        <v>60</v>
      </c>
      <c r="F459" t="s">
        <v>122</v>
      </c>
      <c r="I459" t="s">
        <v>39</v>
      </c>
      <c r="J459" t="s">
        <v>40</v>
      </c>
      <c r="K459" t="s">
        <v>41</v>
      </c>
      <c r="L459" t="s">
        <v>151</v>
      </c>
      <c r="M459" t="s">
        <v>282</v>
      </c>
      <c r="N459" t="s">
        <v>43</v>
      </c>
      <c r="O459" t="s">
        <v>483</v>
      </c>
      <c r="P459">
        <v>57</v>
      </c>
      <c r="Q459">
        <v>57</v>
      </c>
      <c r="R459">
        <v>151</v>
      </c>
      <c r="S459" t="s">
        <v>56</v>
      </c>
      <c r="T459">
        <v>0.15</v>
      </c>
      <c r="U459">
        <v>711</v>
      </c>
      <c r="V459" t="s">
        <v>113</v>
      </c>
      <c r="W459">
        <v>0.71</v>
      </c>
      <c r="X459">
        <v>21001</v>
      </c>
      <c r="Y459" t="s">
        <v>47</v>
      </c>
      <c r="Z459">
        <v>21</v>
      </c>
      <c r="AA459">
        <v>747</v>
      </c>
      <c r="AB459" t="s">
        <v>75</v>
      </c>
      <c r="AC459">
        <v>0.746</v>
      </c>
      <c r="AD459">
        <v>831</v>
      </c>
      <c r="AE459" t="s">
        <v>48</v>
      </c>
      <c r="AF459">
        <v>0.83</v>
      </c>
      <c r="AG459">
        <v>863</v>
      </c>
      <c r="AH459" t="s">
        <v>49</v>
      </c>
      <c r="AI459">
        <v>0.86199999999999999</v>
      </c>
      <c r="AJ459" t="s">
        <v>1141</v>
      </c>
    </row>
    <row r="460" spans="1:36" x14ac:dyDescent="0.25">
      <c r="A460" t="s">
        <v>1004</v>
      </c>
      <c r="B460">
        <v>852784480</v>
      </c>
      <c r="C460" t="s">
        <v>1005</v>
      </c>
      <c r="D460" t="s">
        <v>1005</v>
      </c>
      <c r="E460" t="s">
        <v>60</v>
      </c>
      <c r="F460" t="s">
        <v>122</v>
      </c>
      <c r="I460" t="s">
        <v>39</v>
      </c>
      <c r="J460" t="s">
        <v>40</v>
      </c>
      <c r="K460" t="s">
        <v>41</v>
      </c>
      <c r="L460" t="s">
        <v>151</v>
      </c>
      <c r="M460" t="s">
        <v>282</v>
      </c>
      <c r="N460" t="s">
        <v>43</v>
      </c>
      <c r="O460" t="s">
        <v>483</v>
      </c>
      <c r="P460">
        <v>57</v>
      </c>
      <c r="Q460">
        <v>57</v>
      </c>
      <c r="R460">
        <v>41</v>
      </c>
      <c r="S460" t="s">
        <v>45</v>
      </c>
      <c r="T460">
        <v>0.04</v>
      </c>
      <c r="U460">
        <v>625</v>
      </c>
      <c r="V460" t="s">
        <v>113</v>
      </c>
      <c r="W460">
        <v>0.624</v>
      </c>
      <c r="X460">
        <v>21001</v>
      </c>
      <c r="Y460" t="s">
        <v>47</v>
      </c>
      <c r="Z460">
        <v>21</v>
      </c>
      <c r="AA460">
        <v>747</v>
      </c>
      <c r="AB460" t="s">
        <v>75</v>
      </c>
      <c r="AC460">
        <v>0.746</v>
      </c>
      <c r="AD460">
        <v>831</v>
      </c>
      <c r="AE460" t="s">
        <v>48</v>
      </c>
      <c r="AF460">
        <v>0.83</v>
      </c>
      <c r="AG460">
        <v>863</v>
      </c>
      <c r="AH460" t="s">
        <v>49</v>
      </c>
      <c r="AI460">
        <v>0.86199999999999999</v>
      </c>
      <c r="AJ460" t="s">
        <v>1153</v>
      </c>
    </row>
    <row r="461" spans="1:36" x14ac:dyDescent="0.25">
      <c r="A461" t="s">
        <v>1004</v>
      </c>
      <c r="B461">
        <v>852784480</v>
      </c>
      <c r="C461" t="s">
        <v>1005</v>
      </c>
      <c r="D461" t="s">
        <v>1005</v>
      </c>
      <c r="E461" t="s">
        <v>60</v>
      </c>
      <c r="F461" t="s">
        <v>122</v>
      </c>
      <c r="I461" t="s">
        <v>39</v>
      </c>
      <c r="J461" t="s">
        <v>40</v>
      </c>
      <c r="K461" t="s">
        <v>41</v>
      </c>
      <c r="L461" t="s">
        <v>151</v>
      </c>
      <c r="M461" t="s">
        <v>282</v>
      </c>
      <c r="N461" t="s">
        <v>43</v>
      </c>
      <c r="O461" t="s">
        <v>483</v>
      </c>
      <c r="P461">
        <v>57</v>
      </c>
      <c r="Q461">
        <v>57</v>
      </c>
      <c r="R461">
        <v>41</v>
      </c>
      <c r="S461" t="s">
        <v>45</v>
      </c>
      <c r="T461">
        <v>0.04</v>
      </c>
      <c r="U461">
        <v>625</v>
      </c>
      <c r="V461" t="s">
        <v>113</v>
      </c>
      <c r="W461">
        <v>0.624</v>
      </c>
      <c r="X461">
        <v>21001</v>
      </c>
      <c r="Y461" t="s">
        <v>47</v>
      </c>
      <c r="Z461">
        <v>21</v>
      </c>
      <c r="AA461">
        <v>747</v>
      </c>
      <c r="AB461" t="s">
        <v>75</v>
      </c>
      <c r="AC461">
        <v>0.746</v>
      </c>
      <c r="AD461">
        <v>831</v>
      </c>
      <c r="AE461" t="s">
        <v>48</v>
      </c>
      <c r="AF461">
        <v>0.83</v>
      </c>
      <c r="AG461">
        <v>863</v>
      </c>
      <c r="AH461" t="s">
        <v>49</v>
      </c>
      <c r="AI461">
        <v>0.86199999999999999</v>
      </c>
      <c r="AJ461" t="s">
        <v>1154</v>
      </c>
    </row>
    <row r="462" spans="1:36" x14ac:dyDescent="0.25">
      <c r="A462" t="s">
        <v>1004</v>
      </c>
      <c r="B462">
        <v>852784480</v>
      </c>
      <c r="C462" t="s">
        <v>1005</v>
      </c>
      <c r="D462" t="s">
        <v>1005</v>
      </c>
      <c r="E462" t="s">
        <v>60</v>
      </c>
      <c r="F462" t="s">
        <v>122</v>
      </c>
      <c r="I462" t="s">
        <v>39</v>
      </c>
      <c r="J462" t="s">
        <v>40</v>
      </c>
      <c r="K462" t="s">
        <v>41</v>
      </c>
      <c r="L462" t="s">
        <v>151</v>
      </c>
      <c r="M462" t="s">
        <v>282</v>
      </c>
      <c r="N462" t="s">
        <v>43</v>
      </c>
      <c r="O462" t="s">
        <v>483</v>
      </c>
      <c r="P462">
        <v>57</v>
      </c>
      <c r="Q462">
        <v>57</v>
      </c>
      <c r="S462" t="s">
        <v>39</v>
      </c>
      <c r="V462" t="s">
        <v>39</v>
      </c>
      <c r="X462">
        <v>21001</v>
      </c>
      <c r="Y462" t="s">
        <v>47</v>
      </c>
      <c r="Z462">
        <v>21</v>
      </c>
      <c r="AA462">
        <v>747</v>
      </c>
      <c r="AB462" t="s">
        <v>75</v>
      </c>
      <c r="AC462">
        <v>0.746</v>
      </c>
      <c r="AD462">
        <v>831</v>
      </c>
      <c r="AE462" t="s">
        <v>48</v>
      </c>
      <c r="AF462">
        <v>0.83</v>
      </c>
      <c r="AG462">
        <v>863</v>
      </c>
      <c r="AH462" t="s">
        <v>49</v>
      </c>
      <c r="AI462">
        <v>0.86199999999999999</v>
      </c>
      <c r="AJ462" t="s">
        <v>1155</v>
      </c>
    </row>
    <row r="463" spans="1:36" x14ac:dyDescent="0.25">
      <c r="A463" t="s">
        <v>1004</v>
      </c>
      <c r="B463">
        <v>852784480</v>
      </c>
      <c r="C463" t="s">
        <v>1005</v>
      </c>
      <c r="D463" t="s">
        <v>1005</v>
      </c>
      <c r="E463" t="s">
        <v>60</v>
      </c>
      <c r="F463" t="s">
        <v>122</v>
      </c>
      <c r="I463" t="s">
        <v>39</v>
      </c>
      <c r="J463" t="s">
        <v>40</v>
      </c>
      <c r="K463" t="s">
        <v>41</v>
      </c>
      <c r="L463" t="s">
        <v>151</v>
      </c>
      <c r="M463" t="s">
        <v>282</v>
      </c>
      <c r="N463" t="s">
        <v>43</v>
      </c>
      <c r="O463" t="s">
        <v>483</v>
      </c>
      <c r="P463">
        <v>57</v>
      </c>
      <c r="Q463">
        <v>57</v>
      </c>
      <c r="S463" t="s">
        <v>39</v>
      </c>
      <c r="V463" t="s">
        <v>39</v>
      </c>
      <c r="X463">
        <v>21001</v>
      </c>
      <c r="Y463" t="s">
        <v>47</v>
      </c>
      <c r="Z463">
        <v>21</v>
      </c>
      <c r="AA463">
        <v>747</v>
      </c>
      <c r="AB463" t="s">
        <v>75</v>
      </c>
      <c r="AC463">
        <v>0.746</v>
      </c>
      <c r="AD463">
        <v>831</v>
      </c>
      <c r="AE463" t="s">
        <v>48</v>
      </c>
      <c r="AF463">
        <v>0.83</v>
      </c>
      <c r="AG463">
        <v>863</v>
      </c>
      <c r="AH463" t="s">
        <v>49</v>
      </c>
      <c r="AI463">
        <v>0.86199999999999999</v>
      </c>
      <c r="AJ463" t="s">
        <v>1156</v>
      </c>
    </row>
    <row r="464" spans="1:36" x14ac:dyDescent="0.25">
      <c r="A464" t="s">
        <v>1002</v>
      </c>
      <c r="B464">
        <v>852742783</v>
      </c>
      <c r="C464" t="s">
        <v>1003</v>
      </c>
      <c r="D464" t="s">
        <v>1003</v>
      </c>
      <c r="E464" t="s">
        <v>37</v>
      </c>
      <c r="F464" t="s">
        <v>191</v>
      </c>
      <c r="I464" t="s">
        <v>39</v>
      </c>
      <c r="J464" t="s">
        <v>40</v>
      </c>
      <c r="K464" t="s">
        <v>41</v>
      </c>
      <c r="L464" t="s">
        <v>177</v>
      </c>
      <c r="M464" t="s">
        <v>73</v>
      </c>
      <c r="N464" t="s">
        <v>43</v>
      </c>
      <c r="O464" t="s">
        <v>324</v>
      </c>
      <c r="P464">
        <v>58</v>
      </c>
      <c r="Q464">
        <v>58</v>
      </c>
      <c r="R464">
        <v>61</v>
      </c>
      <c r="S464" t="s">
        <v>56</v>
      </c>
      <c r="T464">
        <v>0.06</v>
      </c>
      <c r="U464">
        <v>28</v>
      </c>
      <c r="V464" t="s">
        <v>55</v>
      </c>
      <c r="W464">
        <v>2.7E-2</v>
      </c>
      <c r="X464">
        <v>3001</v>
      </c>
      <c r="Y464" t="s">
        <v>47</v>
      </c>
      <c r="Z464">
        <v>3</v>
      </c>
      <c r="AA464">
        <v>448</v>
      </c>
      <c r="AB464" t="s">
        <v>47</v>
      </c>
      <c r="AC464">
        <v>0.44700000000000001</v>
      </c>
      <c r="AD464">
        <v>561</v>
      </c>
      <c r="AE464" t="s">
        <v>48</v>
      </c>
      <c r="AF464">
        <v>0.56000000000000005</v>
      </c>
      <c r="AG464">
        <v>714</v>
      </c>
      <c r="AH464" t="s">
        <v>49</v>
      </c>
      <c r="AI464">
        <v>0.71299999999999997</v>
      </c>
      <c r="AJ464" t="s">
        <v>50</v>
      </c>
    </row>
    <row r="465" spans="1:36" x14ac:dyDescent="0.25">
      <c r="A465" t="s">
        <v>1002</v>
      </c>
      <c r="B465">
        <v>852742783</v>
      </c>
      <c r="C465" t="s">
        <v>1003</v>
      </c>
      <c r="D465" t="s">
        <v>1003</v>
      </c>
      <c r="E465" t="s">
        <v>60</v>
      </c>
      <c r="F465" t="s">
        <v>191</v>
      </c>
      <c r="I465" t="s">
        <v>39</v>
      </c>
      <c r="J465" t="s">
        <v>40</v>
      </c>
      <c r="K465" t="s">
        <v>41</v>
      </c>
      <c r="L465" t="s">
        <v>177</v>
      </c>
      <c r="M465" t="s">
        <v>73</v>
      </c>
      <c r="N465" t="s">
        <v>43</v>
      </c>
      <c r="O465" t="s">
        <v>229</v>
      </c>
      <c r="P465">
        <v>58</v>
      </c>
      <c r="Q465">
        <v>58</v>
      </c>
      <c r="R465">
        <v>51</v>
      </c>
      <c r="S465" t="s">
        <v>45</v>
      </c>
      <c r="T465">
        <v>0.05</v>
      </c>
      <c r="U465">
        <v>48</v>
      </c>
      <c r="V465" t="s">
        <v>55</v>
      </c>
      <c r="W465">
        <v>4.7E-2</v>
      </c>
      <c r="X465">
        <v>13001</v>
      </c>
      <c r="Y465" t="s">
        <v>47</v>
      </c>
      <c r="Z465">
        <v>13</v>
      </c>
      <c r="AA465">
        <v>451</v>
      </c>
      <c r="AB465" t="s">
        <v>47</v>
      </c>
      <c r="AC465">
        <v>0.45</v>
      </c>
      <c r="AD465">
        <v>555</v>
      </c>
      <c r="AE465" t="s">
        <v>48</v>
      </c>
      <c r="AF465">
        <v>0.55400000000000005</v>
      </c>
      <c r="AG465">
        <v>775</v>
      </c>
      <c r="AH465" t="s">
        <v>49</v>
      </c>
      <c r="AI465">
        <v>0.77400000000000002</v>
      </c>
      <c r="AJ465" t="s">
        <v>50</v>
      </c>
    </row>
    <row r="466" spans="1:36" x14ac:dyDescent="0.25">
      <c r="A466" t="s">
        <v>1002</v>
      </c>
      <c r="B466">
        <v>852742783</v>
      </c>
      <c r="C466" t="s">
        <v>1003</v>
      </c>
      <c r="D466" t="s">
        <v>1003</v>
      </c>
      <c r="E466" t="s">
        <v>37</v>
      </c>
      <c r="F466" t="s">
        <v>191</v>
      </c>
      <c r="I466" t="s">
        <v>39</v>
      </c>
      <c r="J466" t="s">
        <v>40</v>
      </c>
      <c r="K466" t="s">
        <v>41</v>
      </c>
      <c r="L466" t="s">
        <v>177</v>
      </c>
      <c r="M466" t="s">
        <v>73</v>
      </c>
      <c r="N466" t="s">
        <v>43</v>
      </c>
      <c r="O466" t="s">
        <v>324</v>
      </c>
      <c r="P466">
        <v>58</v>
      </c>
      <c r="Q466">
        <v>58</v>
      </c>
      <c r="R466">
        <v>81</v>
      </c>
      <c r="S466" t="s">
        <v>56</v>
      </c>
      <c r="T466">
        <v>0.08</v>
      </c>
      <c r="U466">
        <v>70</v>
      </c>
      <c r="V466" t="s">
        <v>55</v>
      </c>
      <c r="W466">
        <v>6.9000000000000006E-2</v>
      </c>
      <c r="X466">
        <v>3001</v>
      </c>
      <c r="Y466" t="s">
        <v>47</v>
      </c>
      <c r="Z466">
        <v>3</v>
      </c>
      <c r="AA466">
        <v>448</v>
      </c>
      <c r="AB466" t="s">
        <v>47</v>
      </c>
      <c r="AC466">
        <v>0.44700000000000001</v>
      </c>
      <c r="AD466">
        <v>561</v>
      </c>
      <c r="AE466" t="s">
        <v>48</v>
      </c>
      <c r="AF466">
        <v>0.56000000000000005</v>
      </c>
      <c r="AG466">
        <v>714</v>
      </c>
      <c r="AH466" t="s">
        <v>49</v>
      </c>
      <c r="AI466">
        <v>0.71299999999999997</v>
      </c>
      <c r="AJ466" t="s">
        <v>1141</v>
      </c>
    </row>
    <row r="467" spans="1:36" x14ac:dyDescent="0.25">
      <c r="A467" t="s">
        <v>1002</v>
      </c>
      <c r="B467">
        <v>852742783</v>
      </c>
      <c r="C467" t="s">
        <v>1003</v>
      </c>
      <c r="D467" t="s">
        <v>1003</v>
      </c>
      <c r="E467" t="s">
        <v>60</v>
      </c>
      <c r="F467" t="s">
        <v>191</v>
      </c>
      <c r="I467" t="s">
        <v>39</v>
      </c>
      <c r="J467" t="s">
        <v>40</v>
      </c>
      <c r="K467" t="s">
        <v>41</v>
      </c>
      <c r="L467" t="s">
        <v>177</v>
      </c>
      <c r="M467" t="s">
        <v>73</v>
      </c>
      <c r="N467" t="s">
        <v>43</v>
      </c>
      <c r="O467" t="s">
        <v>229</v>
      </c>
      <c r="P467">
        <v>58</v>
      </c>
      <c r="Q467">
        <v>58</v>
      </c>
      <c r="R467">
        <v>181</v>
      </c>
      <c r="S467" t="s">
        <v>56</v>
      </c>
      <c r="T467">
        <v>0.18</v>
      </c>
      <c r="U467">
        <v>32</v>
      </c>
      <c r="V467" t="s">
        <v>55</v>
      </c>
      <c r="W467">
        <v>3.1E-2</v>
      </c>
      <c r="X467">
        <v>13001</v>
      </c>
      <c r="Y467" t="s">
        <v>47</v>
      </c>
      <c r="Z467">
        <v>13</v>
      </c>
      <c r="AA467">
        <v>451</v>
      </c>
      <c r="AB467" t="s">
        <v>47</v>
      </c>
      <c r="AC467">
        <v>0.45</v>
      </c>
      <c r="AD467">
        <v>555</v>
      </c>
      <c r="AE467" t="s">
        <v>48</v>
      </c>
      <c r="AF467">
        <v>0.55400000000000005</v>
      </c>
      <c r="AG467">
        <v>775</v>
      </c>
      <c r="AH467" t="s">
        <v>49</v>
      </c>
      <c r="AI467">
        <v>0.77400000000000002</v>
      </c>
      <c r="AJ467" t="s">
        <v>1141</v>
      </c>
    </row>
    <row r="468" spans="1:36" x14ac:dyDescent="0.25">
      <c r="A468" t="s">
        <v>1002</v>
      </c>
      <c r="B468">
        <v>852742783</v>
      </c>
      <c r="C468" t="s">
        <v>1003</v>
      </c>
      <c r="D468" t="s">
        <v>1003</v>
      </c>
      <c r="E468" t="s">
        <v>37</v>
      </c>
      <c r="F468" t="s">
        <v>191</v>
      </c>
      <c r="I468" t="s">
        <v>39</v>
      </c>
      <c r="J468" t="s">
        <v>40</v>
      </c>
      <c r="K468" t="s">
        <v>41</v>
      </c>
      <c r="L468" t="s">
        <v>177</v>
      </c>
      <c r="M468" t="s">
        <v>73</v>
      </c>
      <c r="N468" t="s">
        <v>43</v>
      </c>
      <c r="O468" t="s">
        <v>324</v>
      </c>
      <c r="P468">
        <v>58</v>
      </c>
      <c r="Q468">
        <v>58</v>
      </c>
      <c r="R468">
        <v>61</v>
      </c>
      <c r="S468" t="s">
        <v>56</v>
      </c>
      <c r="T468">
        <v>0.06</v>
      </c>
      <c r="U468">
        <v>28</v>
      </c>
      <c r="V468" t="s">
        <v>55</v>
      </c>
      <c r="W468">
        <v>2.7E-2</v>
      </c>
      <c r="X468">
        <v>3001</v>
      </c>
      <c r="Y468" t="s">
        <v>47</v>
      </c>
      <c r="Z468">
        <v>3</v>
      </c>
      <c r="AA468">
        <v>448</v>
      </c>
      <c r="AB468" t="s">
        <v>47</v>
      </c>
      <c r="AC468">
        <v>0.44700000000000001</v>
      </c>
      <c r="AD468">
        <v>561</v>
      </c>
      <c r="AE468" t="s">
        <v>48</v>
      </c>
      <c r="AF468">
        <v>0.56000000000000005</v>
      </c>
      <c r="AG468">
        <v>714</v>
      </c>
      <c r="AH468" t="s">
        <v>49</v>
      </c>
      <c r="AI468">
        <v>0.71299999999999997</v>
      </c>
      <c r="AJ468" t="s">
        <v>1153</v>
      </c>
    </row>
    <row r="469" spans="1:36" x14ac:dyDescent="0.25">
      <c r="A469" t="s">
        <v>1002</v>
      </c>
      <c r="B469">
        <v>852742783</v>
      </c>
      <c r="C469" t="s">
        <v>1003</v>
      </c>
      <c r="D469" t="s">
        <v>1003</v>
      </c>
      <c r="E469" t="s">
        <v>60</v>
      </c>
      <c r="F469" t="s">
        <v>191</v>
      </c>
      <c r="I469" t="s">
        <v>39</v>
      </c>
      <c r="J469" t="s">
        <v>40</v>
      </c>
      <c r="K469" t="s">
        <v>41</v>
      </c>
      <c r="L469" t="s">
        <v>177</v>
      </c>
      <c r="M469" t="s">
        <v>73</v>
      </c>
      <c r="N469" t="s">
        <v>43</v>
      </c>
      <c r="O469" t="s">
        <v>229</v>
      </c>
      <c r="P469">
        <v>58</v>
      </c>
      <c r="Q469">
        <v>58</v>
      </c>
      <c r="R469">
        <v>51</v>
      </c>
      <c r="S469" t="s">
        <v>45</v>
      </c>
      <c r="T469">
        <v>0.05</v>
      </c>
      <c r="U469">
        <v>48</v>
      </c>
      <c r="V469" t="s">
        <v>55</v>
      </c>
      <c r="W469">
        <v>4.7E-2</v>
      </c>
      <c r="X469">
        <v>13001</v>
      </c>
      <c r="Y469" t="s">
        <v>47</v>
      </c>
      <c r="Z469">
        <v>13</v>
      </c>
      <c r="AA469">
        <v>451</v>
      </c>
      <c r="AB469" t="s">
        <v>47</v>
      </c>
      <c r="AC469">
        <v>0.45</v>
      </c>
      <c r="AD469">
        <v>555</v>
      </c>
      <c r="AE469" t="s">
        <v>48</v>
      </c>
      <c r="AF469">
        <v>0.55400000000000005</v>
      </c>
      <c r="AG469">
        <v>775</v>
      </c>
      <c r="AH469" t="s">
        <v>49</v>
      </c>
      <c r="AI469">
        <v>0.77400000000000002</v>
      </c>
      <c r="AJ469" t="s">
        <v>1153</v>
      </c>
    </row>
    <row r="470" spans="1:36" x14ac:dyDescent="0.25">
      <c r="A470" t="s">
        <v>1002</v>
      </c>
      <c r="B470">
        <v>852742783</v>
      </c>
      <c r="C470" t="s">
        <v>1003</v>
      </c>
      <c r="D470" t="s">
        <v>1003</v>
      </c>
      <c r="E470" t="s">
        <v>37</v>
      </c>
      <c r="F470" t="s">
        <v>191</v>
      </c>
      <c r="I470" t="s">
        <v>39</v>
      </c>
      <c r="J470" t="s">
        <v>40</v>
      </c>
      <c r="K470" t="s">
        <v>41</v>
      </c>
      <c r="L470" t="s">
        <v>177</v>
      </c>
      <c r="M470" t="s">
        <v>73</v>
      </c>
      <c r="N470" t="s">
        <v>43</v>
      </c>
      <c r="O470" t="s">
        <v>324</v>
      </c>
      <c r="P470">
        <v>58</v>
      </c>
      <c r="Q470">
        <v>58</v>
      </c>
      <c r="R470">
        <v>61</v>
      </c>
      <c r="S470" t="s">
        <v>56</v>
      </c>
      <c r="T470">
        <v>0.06</v>
      </c>
      <c r="U470">
        <v>28</v>
      </c>
      <c r="V470" t="s">
        <v>55</v>
      </c>
      <c r="W470">
        <v>2.7E-2</v>
      </c>
      <c r="X470">
        <v>3001</v>
      </c>
      <c r="Y470" t="s">
        <v>47</v>
      </c>
      <c r="Z470">
        <v>3</v>
      </c>
      <c r="AA470">
        <v>448</v>
      </c>
      <c r="AB470" t="s">
        <v>47</v>
      </c>
      <c r="AC470">
        <v>0.44700000000000001</v>
      </c>
      <c r="AD470">
        <v>561</v>
      </c>
      <c r="AE470" t="s">
        <v>48</v>
      </c>
      <c r="AF470">
        <v>0.56000000000000005</v>
      </c>
      <c r="AG470">
        <v>714</v>
      </c>
      <c r="AH470" t="s">
        <v>49</v>
      </c>
      <c r="AI470">
        <v>0.71299999999999997</v>
      </c>
      <c r="AJ470" t="s">
        <v>1154</v>
      </c>
    </row>
    <row r="471" spans="1:36" x14ac:dyDescent="0.25">
      <c r="A471" t="s">
        <v>1002</v>
      </c>
      <c r="B471">
        <v>852742783</v>
      </c>
      <c r="C471" t="s">
        <v>1003</v>
      </c>
      <c r="D471" t="s">
        <v>1003</v>
      </c>
      <c r="E471" t="s">
        <v>60</v>
      </c>
      <c r="F471" t="s">
        <v>191</v>
      </c>
      <c r="I471" t="s">
        <v>39</v>
      </c>
      <c r="J471" t="s">
        <v>40</v>
      </c>
      <c r="K471" t="s">
        <v>41</v>
      </c>
      <c r="L471" t="s">
        <v>177</v>
      </c>
      <c r="M471" t="s">
        <v>73</v>
      </c>
      <c r="N471" t="s">
        <v>43</v>
      </c>
      <c r="O471" t="s">
        <v>229</v>
      </c>
      <c r="P471">
        <v>58</v>
      </c>
      <c r="Q471">
        <v>58</v>
      </c>
      <c r="R471">
        <v>51</v>
      </c>
      <c r="S471" t="s">
        <v>45</v>
      </c>
      <c r="T471">
        <v>0.05</v>
      </c>
      <c r="U471">
        <v>48</v>
      </c>
      <c r="V471" t="s">
        <v>55</v>
      </c>
      <c r="W471">
        <v>4.7E-2</v>
      </c>
      <c r="X471">
        <v>13001</v>
      </c>
      <c r="Y471" t="s">
        <v>47</v>
      </c>
      <c r="Z471">
        <v>13</v>
      </c>
      <c r="AA471">
        <v>451</v>
      </c>
      <c r="AB471" t="s">
        <v>47</v>
      </c>
      <c r="AC471">
        <v>0.45</v>
      </c>
      <c r="AD471">
        <v>555</v>
      </c>
      <c r="AE471" t="s">
        <v>48</v>
      </c>
      <c r="AF471">
        <v>0.55400000000000005</v>
      </c>
      <c r="AG471">
        <v>775</v>
      </c>
      <c r="AH471" t="s">
        <v>49</v>
      </c>
      <c r="AI471">
        <v>0.77400000000000002</v>
      </c>
      <c r="AJ471" t="s">
        <v>1154</v>
      </c>
    </row>
    <row r="472" spans="1:36" x14ac:dyDescent="0.25">
      <c r="A472" t="s">
        <v>1002</v>
      </c>
      <c r="B472">
        <v>852742783</v>
      </c>
      <c r="C472" t="s">
        <v>1003</v>
      </c>
      <c r="D472" t="s">
        <v>1003</v>
      </c>
      <c r="E472" t="s">
        <v>37</v>
      </c>
      <c r="F472" t="s">
        <v>191</v>
      </c>
      <c r="I472" t="s">
        <v>39</v>
      </c>
      <c r="J472" t="s">
        <v>40</v>
      </c>
      <c r="K472" t="s">
        <v>41</v>
      </c>
      <c r="L472" t="s">
        <v>177</v>
      </c>
      <c r="M472" t="s">
        <v>73</v>
      </c>
      <c r="N472" t="s">
        <v>43</v>
      </c>
      <c r="O472" t="s">
        <v>324</v>
      </c>
      <c r="P472">
        <v>58</v>
      </c>
      <c r="Q472">
        <v>58</v>
      </c>
      <c r="S472" t="s">
        <v>39</v>
      </c>
      <c r="V472" t="s">
        <v>39</v>
      </c>
      <c r="X472">
        <v>3001</v>
      </c>
      <c r="Y472" t="s">
        <v>47</v>
      </c>
      <c r="Z472">
        <v>3</v>
      </c>
      <c r="AA472">
        <v>448</v>
      </c>
      <c r="AB472" t="s">
        <v>47</v>
      </c>
      <c r="AC472">
        <v>0.44700000000000001</v>
      </c>
      <c r="AD472">
        <v>561</v>
      </c>
      <c r="AE472" t="s">
        <v>48</v>
      </c>
      <c r="AF472">
        <v>0.56000000000000005</v>
      </c>
      <c r="AG472">
        <v>714</v>
      </c>
      <c r="AH472" t="s">
        <v>49</v>
      </c>
      <c r="AI472">
        <v>0.71299999999999997</v>
      </c>
      <c r="AJ472" t="s">
        <v>1155</v>
      </c>
    </row>
    <row r="473" spans="1:36" x14ac:dyDescent="0.25">
      <c r="A473" t="s">
        <v>1002</v>
      </c>
      <c r="B473">
        <v>852742783</v>
      </c>
      <c r="C473" t="s">
        <v>1003</v>
      </c>
      <c r="D473" t="s">
        <v>1003</v>
      </c>
      <c r="E473" t="s">
        <v>60</v>
      </c>
      <c r="F473" t="s">
        <v>191</v>
      </c>
      <c r="I473" t="s">
        <v>39</v>
      </c>
      <c r="J473" t="s">
        <v>40</v>
      </c>
      <c r="K473" t="s">
        <v>41</v>
      </c>
      <c r="L473" t="s">
        <v>177</v>
      </c>
      <c r="M473" t="s">
        <v>73</v>
      </c>
      <c r="N473" t="s">
        <v>43</v>
      </c>
      <c r="O473" t="s">
        <v>229</v>
      </c>
      <c r="P473">
        <v>58</v>
      </c>
      <c r="Q473">
        <v>58</v>
      </c>
      <c r="S473" t="s">
        <v>39</v>
      </c>
      <c r="V473" t="s">
        <v>39</v>
      </c>
      <c r="X473">
        <v>13001</v>
      </c>
      <c r="Y473" t="s">
        <v>47</v>
      </c>
      <c r="Z473">
        <v>13</v>
      </c>
      <c r="AA473">
        <v>451</v>
      </c>
      <c r="AB473" t="s">
        <v>47</v>
      </c>
      <c r="AC473">
        <v>0.45</v>
      </c>
      <c r="AD473">
        <v>555</v>
      </c>
      <c r="AE473" t="s">
        <v>48</v>
      </c>
      <c r="AF473">
        <v>0.55400000000000005</v>
      </c>
      <c r="AG473">
        <v>775</v>
      </c>
      <c r="AH473" t="s">
        <v>49</v>
      </c>
      <c r="AI473">
        <v>0.77400000000000002</v>
      </c>
      <c r="AJ473" t="s">
        <v>1155</v>
      </c>
    </row>
    <row r="474" spans="1:36" x14ac:dyDescent="0.25">
      <c r="A474" t="s">
        <v>1002</v>
      </c>
      <c r="B474">
        <v>852742783</v>
      </c>
      <c r="C474" t="s">
        <v>1003</v>
      </c>
      <c r="D474" t="s">
        <v>1003</v>
      </c>
      <c r="E474" t="s">
        <v>37</v>
      </c>
      <c r="F474" t="s">
        <v>191</v>
      </c>
      <c r="I474" t="s">
        <v>39</v>
      </c>
      <c r="J474" t="s">
        <v>40</v>
      </c>
      <c r="K474" t="s">
        <v>41</v>
      </c>
      <c r="L474" t="s">
        <v>177</v>
      </c>
      <c r="M474" t="s">
        <v>73</v>
      </c>
      <c r="N474" t="s">
        <v>43</v>
      </c>
      <c r="O474" t="s">
        <v>324</v>
      </c>
      <c r="P474">
        <v>58</v>
      </c>
      <c r="Q474">
        <v>58</v>
      </c>
      <c r="S474" t="s">
        <v>39</v>
      </c>
      <c r="V474" t="s">
        <v>39</v>
      </c>
      <c r="X474">
        <v>3001</v>
      </c>
      <c r="Y474" t="s">
        <v>47</v>
      </c>
      <c r="Z474">
        <v>3</v>
      </c>
      <c r="AA474">
        <v>448</v>
      </c>
      <c r="AB474" t="s">
        <v>47</v>
      </c>
      <c r="AC474">
        <v>0.44700000000000001</v>
      </c>
      <c r="AD474">
        <v>561</v>
      </c>
      <c r="AE474" t="s">
        <v>48</v>
      </c>
      <c r="AF474">
        <v>0.56000000000000005</v>
      </c>
      <c r="AG474">
        <v>714</v>
      </c>
      <c r="AH474" t="s">
        <v>49</v>
      </c>
      <c r="AI474">
        <v>0.71299999999999997</v>
      </c>
      <c r="AJ474" t="s">
        <v>1156</v>
      </c>
    </row>
    <row r="475" spans="1:36" x14ac:dyDescent="0.25">
      <c r="A475" t="s">
        <v>1002</v>
      </c>
      <c r="B475">
        <v>852742783</v>
      </c>
      <c r="C475" t="s">
        <v>1003</v>
      </c>
      <c r="D475" t="s">
        <v>1003</v>
      </c>
      <c r="E475" t="s">
        <v>60</v>
      </c>
      <c r="F475" t="s">
        <v>191</v>
      </c>
      <c r="I475" t="s">
        <v>39</v>
      </c>
      <c r="J475" t="s">
        <v>40</v>
      </c>
      <c r="K475" t="s">
        <v>41</v>
      </c>
      <c r="L475" t="s">
        <v>177</v>
      </c>
      <c r="M475" t="s">
        <v>73</v>
      </c>
      <c r="N475" t="s">
        <v>43</v>
      </c>
      <c r="O475" t="s">
        <v>229</v>
      </c>
      <c r="P475">
        <v>58</v>
      </c>
      <c r="Q475">
        <v>58</v>
      </c>
      <c r="S475" t="s">
        <v>39</v>
      </c>
      <c r="V475" t="s">
        <v>39</v>
      </c>
      <c r="X475">
        <v>13001</v>
      </c>
      <c r="Y475" t="s">
        <v>47</v>
      </c>
      <c r="Z475">
        <v>13</v>
      </c>
      <c r="AA475">
        <v>451</v>
      </c>
      <c r="AB475" t="s">
        <v>47</v>
      </c>
      <c r="AC475">
        <v>0.45</v>
      </c>
      <c r="AD475">
        <v>555</v>
      </c>
      <c r="AE475" t="s">
        <v>48</v>
      </c>
      <c r="AF475">
        <v>0.55400000000000005</v>
      </c>
      <c r="AG475">
        <v>775</v>
      </c>
      <c r="AH475" t="s">
        <v>49</v>
      </c>
      <c r="AI475">
        <v>0.77400000000000002</v>
      </c>
      <c r="AJ475" t="s">
        <v>1156</v>
      </c>
    </row>
    <row r="476" spans="1:36" x14ac:dyDescent="0.25">
      <c r="A476" t="s">
        <v>1000</v>
      </c>
      <c r="B476">
        <v>856103312</v>
      </c>
      <c r="C476" t="s">
        <v>1001</v>
      </c>
      <c r="D476" t="s">
        <v>1001</v>
      </c>
      <c r="E476" t="s">
        <v>37</v>
      </c>
      <c r="F476" t="s">
        <v>280</v>
      </c>
      <c r="I476" t="s">
        <v>39</v>
      </c>
      <c r="J476" t="s">
        <v>40</v>
      </c>
      <c r="K476" t="s">
        <v>41</v>
      </c>
      <c r="L476" t="s">
        <v>42</v>
      </c>
      <c r="N476" t="s">
        <v>43</v>
      </c>
      <c r="O476" t="s">
        <v>225</v>
      </c>
      <c r="P476">
        <v>58</v>
      </c>
      <c r="Q476">
        <v>58</v>
      </c>
      <c r="R476">
        <v>1</v>
      </c>
      <c r="S476" t="s">
        <v>45</v>
      </c>
      <c r="T476">
        <v>0</v>
      </c>
      <c r="U476">
        <v>165</v>
      </c>
      <c r="V476" t="s">
        <v>55</v>
      </c>
      <c r="W476">
        <v>0.16400000000000001</v>
      </c>
      <c r="X476">
        <v>18001</v>
      </c>
      <c r="Y476" t="s">
        <v>47</v>
      </c>
      <c r="Z476">
        <v>18</v>
      </c>
      <c r="AA476">
        <v>583</v>
      </c>
      <c r="AB476" t="s">
        <v>75</v>
      </c>
      <c r="AC476">
        <v>0.58199999999999996</v>
      </c>
      <c r="AD476">
        <v>782</v>
      </c>
      <c r="AE476" t="s">
        <v>48</v>
      </c>
      <c r="AF476">
        <v>0.78100000000000003</v>
      </c>
      <c r="AG476">
        <v>967</v>
      </c>
      <c r="AH476" t="s">
        <v>80</v>
      </c>
      <c r="AI476">
        <v>0.96599999999999997</v>
      </c>
      <c r="AJ476" t="s">
        <v>50</v>
      </c>
    </row>
    <row r="477" spans="1:36" x14ac:dyDescent="0.25">
      <c r="A477" t="s">
        <v>1000</v>
      </c>
      <c r="B477">
        <v>856103312</v>
      </c>
      <c r="C477" t="s">
        <v>1001</v>
      </c>
      <c r="D477" t="s">
        <v>1001</v>
      </c>
      <c r="E477" t="s">
        <v>99</v>
      </c>
      <c r="F477" t="s">
        <v>280</v>
      </c>
      <c r="I477" t="s">
        <v>39</v>
      </c>
      <c r="J477" t="s">
        <v>40</v>
      </c>
      <c r="K477" t="s">
        <v>41</v>
      </c>
      <c r="L477" t="s">
        <v>42</v>
      </c>
      <c r="N477" t="s">
        <v>43</v>
      </c>
      <c r="O477" t="s">
        <v>93</v>
      </c>
      <c r="P477">
        <v>58</v>
      </c>
      <c r="Q477">
        <v>58</v>
      </c>
      <c r="R477">
        <v>21</v>
      </c>
      <c r="S477" t="s">
        <v>45</v>
      </c>
      <c r="T477">
        <v>0.02</v>
      </c>
      <c r="U477">
        <v>4</v>
      </c>
      <c r="V477" t="s">
        <v>55</v>
      </c>
      <c r="W477">
        <v>3.0000000000000001E-3</v>
      </c>
      <c r="X477">
        <v>16001</v>
      </c>
      <c r="Y477" t="s">
        <v>47</v>
      </c>
      <c r="Z477">
        <v>16</v>
      </c>
      <c r="AA477">
        <v>418</v>
      </c>
      <c r="AB477" t="s">
        <v>47</v>
      </c>
      <c r="AC477">
        <v>0.41699999999999998</v>
      </c>
      <c r="AD477">
        <v>580</v>
      </c>
      <c r="AE477" t="s">
        <v>48</v>
      </c>
      <c r="AF477">
        <v>0.57899999999999996</v>
      </c>
      <c r="AG477">
        <v>554</v>
      </c>
      <c r="AH477" t="s">
        <v>49</v>
      </c>
      <c r="AI477">
        <v>0.55300000000000005</v>
      </c>
      <c r="AJ477" t="s">
        <v>50</v>
      </c>
    </row>
    <row r="478" spans="1:36" x14ac:dyDescent="0.25">
      <c r="A478" t="s">
        <v>1000</v>
      </c>
      <c r="B478">
        <v>856103312</v>
      </c>
      <c r="C478" t="s">
        <v>1001</v>
      </c>
      <c r="D478" t="s">
        <v>1001</v>
      </c>
      <c r="E478" t="s">
        <v>37</v>
      </c>
      <c r="F478" t="s">
        <v>280</v>
      </c>
      <c r="I478" t="s">
        <v>39</v>
      </c>
      <c r="J478" t="s">
        <v>40</v>
      </c>
      <c r="K478" t="s">
        <v>41</v>
      </c>
      <c r="L478" t="s">
        <v>42</v>
      </c>
      <c r="N478" t="s">
        <v>43</v>
      </c>
      <c r="O478" t="s">
        <v>225</v>
      </c>
      <c r="P478">
        <v>58</v>
      </c>
      <c r="Q478">
        <v>58</v>
      </c>
      <c r="R478">
        <v>1</v>
      </c>
      <c r="S478" t="s">
        <v>45</v>
      </c>
      <c r="T478">
        <v>0</v>
      </c>
      <c r="U478">
        <v>644</v>
      </c>
      <c r="V478" t="s">
        <v>113</v>
      </c>
      <c r="W478">
        <v>0.64300000000000002</v>
      </c>
      <c r="X478">
        <v>18001</v>
      </c>
      <c r="Y478" t="s">
        <v>47</v>
      </c>
      <c r="Z478">
        <v>18</v>
      </c>
      <c r="AA478">
        <v>583</v>
      </c>
      <c r="AB478" t="s">
        <v>75</v>
      </c>
      <c r="AC478">
        <v>0.58199999999999996</v>
      </c>
      <c r="AD478">
        <v>782</v>
      </c>
      <c r="AE478" t="s">
        <v>48</v>
      </c>
      <c r="AF478">
        <v>0.78100000000000003</v>
      </c>
      <c r="AG478">
        <v>967</v>
      </c>
      <c r="AH478" t="s">
        <v>80</v>
      </c>
      <c r="AI478">
        <v>0.96599999999999997</v>
      </c>
      <c r="AJ478" t="s">
        <v>1141</v>
      </c>
    </row>
    <row r="479" spans="1:36" x14ac:dyDescent="0.25">
      <c r="A479" t="s">
        <v>1000</v>
      </c>
      <c r="B479">
        <v>856103312</v>
      </c>
      <c r="C479" t="s">
        <v>1001</v>
      </c>
      <c r="D479" t="s">
        <v>1001</v>
      </c>
      <c r="E479" t="s">
        <v>99</v>
      </c>
      <c r="F479" t="s">
        <v>280</v>
      </c>
      <c r="I479" t="s">
        <v>39</v>
      </c>
      <c r="J479" t="s">
        <v>40</v>
      </c>
      <c r="K479" t="s">
        <v>41</v>
      </c>
      <c r="L479" t="s">
        <v>42</v>
      </c>
      <c r="N479" t="s">
        <v>43</v>
      </c>
      <c r="O479" t="s">
        <v>93</v>
      </c>
      <c r="P479">
        <v>58</v>
      </c>
      <c r="Q479">
        <v>58</v>
      </c>
      <c r="R479">
        <v>31</v>
      </c>
      <c r="S479" t="s">
        <v>45</v>
      </c>
      <c r="T479">
        <v>0.03</v>
      </c>
      <c r="U479">
        <v>11</v>
      </c>
      <c r="V479" t="s">
        <v>55</v>
      </c>
      <c r="W479">
        <v>0.01</v>
      </c>
      <c r="X479">
        <v>16001</v>
      </c>
      <c r="Y479" t="s">
        <v>47</v>
      </c>
      <c r="Z479">
        <v>16</v>
      </c>
      <c r="AA479">
        <v>418</v>
      </c>
      <c r="AB479" t="s">
        <v>47</v>
      </c>
      <c r="AC479">
        <v>0.41699999999999998</v>
      </c>
      <c r="AD479">
        <v>580</v>
      </c>
      <c r="AE479" t="s">
        <v>48</v>
      </c>
      <c r="AF479">
        <v>0.57899999999999996</v>
      </c>
      <c r="AG479">
        <v>554</v>
      </c>
      <c r="AH479" t="s">
        <v>49</v>
      </c>
      <c r="AI479">
        <v>0.55300000000000005</v>
      </c>
      <c r="AJ479" t="s">
        <v>1141</v>
      </c>
    </row>
    <row r="480" spans="1:36" x14ac:dyDescent="0.25">
      <c r="A480" t="s">
        <v>1000</v>
      </c>
      <c r="B480">
        <v>856103312</v>
      </c>
      <c r="C480" t="s">
        <v>1001</v>
      </c>
      <c r="D480" t="s">
        <v>1001</v>
      </c>
      <c r="E480" t="s">
        <v>37</v>
      </c>
      <c r="F480" t="s">
        <v>280</v>
      </c>
      <c r="I480" t="s">
        <v>39</v>
      </c>
      <c r="J480" t="s">
        <v>40</v>
      </c>
      <c r="K480" t="s">
        <v>41</v>
      </c>
      <c r="L480" t="s">
        <v>42</v>
      </c>
      <c r="N480" t="s">
        <v>43</v>
      </c>
      <c r="O480" t="s">
        <v>225</v>
      </c>
      <c r="P480">
        <v>58</v>
      </c>
      <c r="Q480">
        <v>58</v>
      </c>
      <c r="R480">
        <v>1</v>
      </c>
      <c r="S480" t="s">
        <v>45</v>
      </c>
      <c r="T480">
        <v>0</v>
      </c>
      <c r="U480">
        <v>165</v>
      </c>
      <c r="V480" t="s">
        <v>55</v>
      </c>
      <c r="W480">
        <v>0.16400000000000001</v>
      </c>
      <c r="X480">
        <v>18001</v>
      </c>
      <c r="Y480" t="s">
        <v>47</v>
      </c>
      <c r="Z480">
        <v>18</v>
      </c>
      <c r="AA480">
        <v>583</v>
      </c>
      <c r="AB480" t="s">
        <v>75</v>
      </c>
      <c r="AC480">
        <v>0.58199999999999996</v>
      </c>
      <c r="AD480">
        <v>782</v>
      </c>
      <c r="AE480" t="s">
        <v>48</v>
      </c>
      <c r="AF480">
        <v>0.78100000000000003</v>
      </c>
      <c r="AG480">
        <v>967</v>
      </c>
      <c r="AH480" t="s">
        <v>80</v>
      </c>
      <c r="AI480">
        <v>0.96599999999999997</v>
      </c>
      <c r="AJ480" t="s">
        <v>1153</v>
      </c>
    </row>
    <row r="481" spans="1:36" x14ac:dyDescent="0.25">
      <c r="A481" t="s">
        <v>1000</v>
      </c>
      <c r="B481">
        <v>856103312</v>
      </c>
      <c r="C481" t="s">
        <v>1001</v>
      </c>
      <c r="D481" t="s">
        <v>1001</v>
      </c>
      <c r="E481" t="s">
        <v>99</v>
      </c>
      <c r="F481" t="s">
        <v>280</v>
      </c>
      <c r="I481" t="s">
        <v>39</v>
      </c>
      <c r="J481" t="s">
        <v>40</v>
      </c>
      <c r="K481" t="s">
        <v>41</v>
      </c>
      <c r="L481" t="s">
        <v>42</v>
      </c>
      <c r="N481" t="s">
        <v>43</v>
      </c>
      <c r="O481" t="s">
        <v>93</v>
      </c>
      <c r="P481">
        <v>58</v>
      </c>
      <c r="Q481">
        <v>58</v>
      </c>
      <c r="R481">
        <v>21</v>
      </c>
      <c r="S481" t="s">
        <v>45</v>
      </c>
      <c r="T481">
        <v>0.02</v>
      </c>
      <c r="U481">
        <v>4</v>
      </c>
      <c r="V481" t="s">
        <v>55</v>
      </c>
      <c r="W481">
        <v>3.0000000000000001E-3</v>
      </c>
      <c r="X481">
        <v>16001</v>
      </c>
      <c r="Y481" t="s">
        <v>47</v>
      </c>
      <c r="Z481">
        <v>16</v>
      </c>
      <c r="AA481">
        <v>418</v>
      </c>
      <c r="AB481" t="s">
        <v>47</v>
      </c>
      <c r="AC481">
        <v>0.41699999999999998</v>
      </c>
      <c r="AD481">
        <v>580</v>
      </c>
      <c r="AE481" t="s">
        <v>48</v>
      </c>
      <c r="AF481">
        <v>0.57899999999999996</v>
      </c>
      <c r="AG481">
        <v>554</v>
      </c>
      <c r="AH481" t="s">
        <v>49</v>
      </c>
      <c r="AI481">
        <v>0.55300000000000005</v>
      </c>
      <c r="AJ481" t="s">
        <v>1153</v>
      </c>
    </row>
    <row r="482" spans="1:36" x14ac:dyDescent="0.25">
      <c r="A482" t="s">
        <v>1000</v>
      </c>
      <c r="B482">
        <v>856103312</v>
      </c>
      <c r="C482" t="s">
        <v>1001</v>
      </c>
      <c r="D482" t="s">
        <v>1001</v>
      </c>
      <c r="E482" t="s">
        <v>37</v>
      </c>
      <c r="F482" t="s">
        <v>280</v>
      </c>
      <c r="I482" t="s">
        <v>39</v>
      </c>
      <c r="J482" t="s">
        <v>40</v>
      </c>
      <c r="K482" t="s">
        <v>41</v>
      </c>
      <c r="L482" t="s">
        <v>42</v>
      </c>
      <c r="N482" t="s">
        <v>43</v>
      </c>
      <c r="O482" t="s">
        <v>225</v>
      </c>
      <c r="P482">
        <v>58</v>
      </c>
      <c r="Q482">
        <v>58</v>
      </c>
      <c r="R482">
        <v>1</v>
      </c>
      <c r="S482" t="s">
        <v>45</v>
      </c>
      <c r="T482">
        <v>0</v>
      </c>
      <c r="U482">
        <v>165</v>
      </c>
      <c r="V482" t="s">
        <v>55</v>
      </c>
      <c r="W482">
        <v>0.16400000000000001</v>
      </c>
      <c r="X482">
        <v>18001</v>
      </c>
      <c r="Y482" t="s">
        <v>47</v>
      </c>
      <c r="Z482">
        <v>18</v>
      </c>
      <c r="AA482">
        <v>583</v>
      </c>
      <c r="AB482" t="s">
        <v>75</v>
      </c>
      <c r="AC482">
        <v>0.58199999999999996</v>
      </c>
      <c r="AD482">
        <v>782</v>
      </c>
      <c r="AE482" t="s">
        <v>48</v>
      </c>
      <c r="AF482">
        <v>0.78100000000000003</v>
      </c>
      <c r="AG482">
        <v>967</v>
      </c>
      <c r="AH482" t="s">
        <v>80</v>
      </c>
      <c r="AI482">
        <v>0.96599999999999997</v>
      </c>
      <c r="AJ482" t="s">
        <v>1154</v>
      </c>
    </row>
    <row r="483" spans="1:36" x14ac:dyDescent="0.25">
      <c r="A483" t="s">
        <v>1000</v>
      </c>
      <c r="B483">
        <v>856103312</v>
      </c>
      <c r="C483" t="s">
        <v>1001</v>
      </c>
      <c r="D483" t="s">
        <v>1001</v>
      </c>
      <c r="E483" t="s">
        <v>99</v>
      </c>
      <c r="F483" t="s">
        <v>280</v>
      </c>
      <c r="I483" t="s">
        <v>39</v>
      </c>
      <c r="J483" t="s">
        <v>40</v>
      </c>
      <c r="K483" t="s">
        <v>41</v>
      </c>
      <c r="L483" t="s">
        <v>42</v>
      </c>
      <c r="N483" t="s">
        <v>43</v>
      </c>
      <c r="O483" t="s">
        <v>93</v>
      </c>
      <c r="P483">
        <v>58</v>
      </c>
      <c r="Q483">
        <v>58</v>
      </c>
      <c r="R483">
        <v>21</v>
      </c>
      <c r="S483" t="s">
        <v>45</v>
      </c>
      <c r="T483">
        <v>0.02</v>
      </c>
      <c r="U483">
        <v>4</v>
      </c>
      <c r="V483" t="s">
        <v>55</v>
      </c>
      <c r="W483">
        <v>3.0000000000000001E-3</v>
      </c>
      <c r="X483">
        <v>16001</v>
      </c>
      <c r="Y483" t="s">
        <v>47</v>
      </c>
      <c r="Z483">
        <v>16</v>
      </c>
      <c r="AA483">
        <v>418</v>
      </c>
      <c r="AB483" t="s">
        <v>47</v>
      </c>
      <c r="AC483">
        <v>0.41699999999999998</v>
      </c>
      <c r="AD483">
        <v>580</v>
      </c>
      <c r="AE483" t="s">
        <v>48</v>
      </c>
      <c r="AF483">
        <v>0.57899999999999996</v>
      </c>
      <c r="AG483">
        <v>554</v>
      </c>
      <c r="AH483" t="s">
        <v>49</v>
      </c>
      <c r="AI483">
        <v>0.55300000000000005</v>
      </c>
      <c r="AJ483" t="s">
        <v>1154</v>
      </c>
    </row>
    <row r="484" spans="1:36" x14ac:dyDescent="0.25">
      <c r="A484" t="s">
        <v>1000</v>
      </c>
      <c r="B484">
        <v>856103312</v>
      </c>
      <c r="C484" t="s">
        <v>1001</v>
      </c>
      <c r="D484" t="s">
        <v>1001</v>
      </c>
      <c r="E484" t="s">
        <v>37</v>
      </c>
      <c r="F484" t="s">
        <v>280</v>
      </c>
      <c r="I484" t="s">
        <v>39</v>
      </c>
      <c r="J484" t="s">
        <v>40</v>
      </c>
      <c r="K484" t="s">
        <v>41</v>
      </c>
      <c r="L484" t="s">
        <v>42</v>
      </c>
      <c r="N484" t="s">
        <v>43</v>
      </c>
      <c r="O484" t="s">
        <v>225</v>
      </c>
      <c r="P484">
        <v>58</v>
      </c>
      <c r="Q484">
        <v>58</v>
      </c>
      <c r="S484" t="s">
        <v>39</v>
      </c>
      <c r="V484" t="s">
        <v>39</v>
      </c>
      <c r="X484">
        <v>18001</v>
      </c>
      <c r="Y484" t="s">
        <v>47</v>
      </c>
      <c r="Z484">
        <v>18</v>
      </c>
      <c r="AA484">
        <v>583</v>
      </c>
      <c r="AB484" t="s">
        <v>75</v>
      </c>
      <c r="AC484">
        <v>0.58199999999999996</v>
      </c>
      <c r="AD484">
        <v>782</v>
      </c>
      <c r="AE484" t="s">
        <v>48</v>
      </c>
      <c r="AF484">
        <v>0.78100000000000003</v>
      </c>
      <c r="AG484">
        <v>967</v>
      </c>
      <c r="AH484" t="s">
        <v>80</v>
      </c>
      <c r="AI484">
        <v>0.96599999999999997</v>
      </c>
      <c r="AJ484" t="s">
        <v>1155</v>
      </c>
    </row>
    <row r="485" spans="1:36" x14ac:dyDescent="0.25">
      <c r="A485" t="s">
        <v>1000</v>
      </c>
      <c r="B485">
        <v>856103312</v>
      </c>
      <c r="C485" t="s">
        <v>1001</v>
      </c>
      <c r="D485" t="s">
        <v>1001</v>
      </c>
      <c r="E485" t="s">
        <v>99</v>
      </c>
      <c r="F485" t="s">
        <v>280</v>
      </c>
      <c r="I485" t="s">
        <v>39</v>
      </c>
      <c r="J485" t="s">
        <v>40</v>
      </c>
      <c r="K485" t="s">
        <v>41</v>
      </c>
      <c r="L485" t="s">
        <v>42</v>
      </c>
      <c r="N485" t="s">
        <v>43</v>
      </c>
      <c r="O485" t="s">
        <v>93</v>
      </c>
      <c r="P485">
        <v>58</v>
      </c>
      <c r="Q485">
        <v>58</v>
      </c>
      <c r="S485" t="s">
        <v>39</v>
      </c>
      <c r="V485" t="s">
        <v>39</v>
      </c>
      <c r="X485">
        <v>16001</v>
      </c>
      <c r="Y485" t="s">
        <v>47</v>
      </c>
      <c r="Z485">
        <v>16</v>
      </c>
      <c r="AA485">
        <v>418</v>
      </c>
      <c r="AB485" t="s">
        <v>47</v>
      </c>
      <c r="AC485">
        <v>0.41699999999999998</v>
      </c>
      <c r="AD485">
        <v>580</v>
      </c>
      <c r="AE485" t="s">
        <v>48</v>
      </c>
      <c r="AF485">
        <v>0.57899999999999996</v>
      </c>
      <c r="AG485">
        <v>554</v>
      </c>
      <c r="AH485" t="s">
        <v>49</v>
      </c>
      <c r="AI485">
        <v>0.55300000000000005</v>
      </c>
      <c r="AJ485" t="s">
        <v>1155</v>
      </c>
    </row>
    <row r="486" spans="1:36" x14ac:dyDescent="0.25">
      <c r="A486" t="s">
        <v>1000</v>
      </c>
      <c r="B486">
        <v>856103312</v>
      </c>
      <c r="C486" t="s">
        <v>1001</v>
      </c>
      <c r="D486" t="s">
        <v>1001</v>
      </c>
      <c r="E486" t="s">
        <v>37</v>
      </c>
      <c r="F486" t="s">
        <v>280</v>
      </c>
      <c r="I486" t="s">
        <v>39</v>
      </c>
      <c r="J486" t="s">
        <v>40</v>
      </c>
      <c r="K486" t="s">
        <v>41</v>
      </c>
      <c r="L486" t="s">
        <v>42</v>
      </c>
      <c r="N486" t="s">
        <v>43</v>
      </c>
      <c r="O486" t="s">
        <v>225</v>
      </c>
      <c r="P486">
        <v>58</v>
      </c>
      <c r="Q486">
        <v>58</v>
      </c>
      <c r="S486" t="s">
        <v>39</v>
      </c>
      <c r="V486" t="s">
        <v>39</v>
      </c>
      <c r="X486">
        <v>18001</v>
      </c>
      <c r="Y486" t="s">
        <v>47</v>
      </c>
      <c r="Z486">
        <v>18</v>
      </c>
      <c r="AA486">
        <v>583</v>
      </c>
      <c r="AB486" t="s">
        <v>75</v>
      </c>
      <c r="AC486">
        <v>0.58199999999999996</v>
      </c>
      <c r="AD486">
        <v>782</v>
      </c>
      <c r="AE486" t="s">
        <v>48</v>
      </c>
      <c r="AF486">
        <v>0.78100000000000003</v>
      </c>
      <c r="AG486">
        <v>967</v>
      </c>
      <c r="AH486" t="s">
        <v>80</v>
      </c>
      <c r="AI486">
        <v>0.96599999999999997</v>
      </c>
      <c r="AJ486" t="s">
        <v>1156</v>
      </c>
    </row>
    <row r="487" spans="1:36" x14ac:dyDescent="0.25">
      <c r="A487" t="s">
        <v>1000</v>
      </c>
      <c r="B487">
        <v>856103312</v>
      </c>
      <c r="C487" t="s">
        <v>1001</v>
      </c>
      <c r="D487" t="s">
        <v>1001</v>
      </c>
      <c r="E487" t="s">
        <v>99</v>
      </c>
      <c r="F487" t="s">
        <v>280</v>
      </c>
      <c r="I487" t="s">
        <v>39</v>
      </c>
      <c r="J487" t="s">
        <v>40</v>
      </c>
      <c r="K487" t="s">
        <v>41</v>
      </c>
      <c r="L487" t="s">
        <v>42</v>
      </c>
      <c r="N487" t="s">
        <v>43</v>
      </c>
      <c r="O487" t="s">
        <v>93</v>
      </c>
      <c r="P487">
        <v>58</v>
      </c>
      <c r="Q487">
        <v>58</v>
      </c>
      <c r="S487" t="s">
        <v>39</v>
      </c>
      <c r="V487" t="s">
        <v>39</v>
      </c>
      <c r="X487">
        <v>16001</v>
      </c>
      <c r="Y487" t="s">
        <v>47</v>
      </c>
      <c r="Z487">
        <v>16</v>
      </c>
      <c r="AA487">
        <v>418</v>
      </c>
      <c r="AB487" t="s">
        <v>47</v>
      </c>
      <c r="AC487">
        <v>0.41699999999999998</v>
      </c>
      <c r="AD487">
        <v>580</v>
      </c>
      <c r="AE487" t="s">
        <v>48</v>
      </c>
      <c r="AF487">
        <v>0.57899999999999996</v>
      </c>
      <c r="AG487">
        <v>554</v>
      </c>
      <c r="AH487" t="s">
        <v>49</v>
      </c>
      <c r="AI487">
        <v>0.55300000000000005</v>
      </c>
      <c r="AJ487" t="s">
        <v>1156</v>
      </c>
    </row>
    <row r="488" spans="1:36" x14ac:dyDescent="0.25">
      <c r="A488" t="s">
        <v>998</v>
      </c>
      <c r="B488">
        <v>862426751</v>
      </c>
      <c r="C488" t="s">
        <v>999</v>
      </c>
      <c r="D488" t="s">
        <v>999</v>
      </c>
      <c r="E488" t="s">
        <v>99</v>
      </c>
      <c r="F488" t="s">
        <v>107</v>
      </c>
      <c r="I488" t="s">
        <v>39</v>
      </c>
      <c r="J488" t="s">
        <v>40</v>
      </c>
      <c r="K488" t="s">
        <v>41</v>
      </c>
      <c r="L488" t="s">
        <v>78</v>
      </c>
      <c r="N488" t="s">
        <v>43</v>
      </c>
      <c r="O488" t="s">
        <v>584</v>
      </c>
      <c r="P488">
        <v>59</v>
      </c>
      <c r="Q488">
        <v>59</v>
      </c>
      <c r="R488">
        <v>1</v>
      </c>
      <c r="S488" t="s">
        <v>45</v>
      </c>
      <c r="T488">
        <v>0</v>
      </c>
      <c r="U488">
        <v>627</v>
      </c>
      <c r="V488" t="s">
        <v>113</v>
      </c>
      <c r="W488">
        <v>0.626</v>
      </c>
      <c r="X488">
        <v>21001</v>
      </c>
      <c r="Y488" t="s">
        <v>47</v>
      </c>
      <c r="Z488">
        <v>21</v>
      </c>
      <c r="AA488">
        <v>503</v>
      </c>
      <c r="AB488" t="s">
        <v>75</v>
      </c>
      <c r="AC488">
        <v>0.502</v>
      </c>
      <c r="AD488">
        <v>814</v>
      </c>
      <c r="AE488" t="s">
        <v>48</v>
      </c>
      <c r="AF488">
        <v>0.81299999999999994</v>
      </c>
      <c r="AG488">
        <v>893</v>
      </c>
      <c r="AH488" t="s">
        <v>49</v>
      </c>
      <c r="AI488">
        <v>0.89200000000000002</v>
      </c>
      <c r="AJ488" t="s">
        <v>50</v>
      </c>
    </row>
    <row r="489" spans="1:36" x14ac:dyDescent="0.25">
      <c r="A489" t="s">
        <v>998</v>
      </c>
      <c r="B489">
        <v>862426751</v>
      </c>
      <c r="C489" t="s">
        <v>999</v>
      </c>
      <c r="D489" t="s">
        <v>999</v>
      </c>
      <c r="E489" t="s">
        <v>99</v>
      </c>
      <c r="F489" t="s">
        <v>107</v>
      </c>
      <c r="I489" t="s">
        <v>39</v>
      </c>
      <c r="J489" t="s">
        <v>40</v>
      </c>
      <c r="K489" t="s">
        <v>41</v>
      </c>
      <c r="L489" t="s">
        <v>78</v>
      </c>
      <c r="N489" t="s">
        <v>43</v>
      </c>
      <c r="O489" t="s">
        <v>584</v>
      </c>
      <c r="P489">
        <v>59</v>
      </c>
      <c r="Q489">
        <v>59</v>
      </c>
      <c r="R489">
        <v>1</v>
      </c>
      <c r="S489" t="s">
        <v>45</v>
      </c>
      <c r="T489">
        <v>0</v>
      </c>
      <c r="U489">
        <v>979</v>
      </c>
      <c r="V489" t="s">
        <v>46</v>
      </c>
      <c r="W489">
        <v>0.97799999999999998</v>
      </c>
      <c r="X489">
        <v>21001</v>
      </c>
      <c r="Y489" t="s">
        <v>47</v>
      </c>
      <c r="Z489">
        <v>21</v>
      </c>
      <c r="AA489">
        <v>503</v>
      </c>
      <c r="AB489" t="s">
        <v>75</v>
      </c>
      <c r="AC489">
        <v>0.502</v>
      </c>
      <c r="AD489">
        <v>814</v>
      </c>
      <c r="AE489" t="s">
        <v>48</v>
      </c>
      <c r="AF489">
        <v>0.81299999999999994</v>
      </c>
      <c r="AG489">
        <v>893</v>
      </c>
      <c r="AH489" t="s">
        <v>49</v>
      </c>
      <c r="AI489">
        <v>0.89200000000000002</v>
      </c>
      <c r="AJ489" t="s">
        <v>1141</v>
      </c>
    </row>
    <row r="490" spans="1:36" x14ac:dyDescent="0.25">
      <c r="A490" t="s">
        <v>998</v>
      </c>
      <c r="B490">
        <v>862426751</v>
      </c>
      <c r="C490" t="s">
        <v>999</v>
      </c>
      <c r="D490" t="s">
        <v>999</v>
      </c>
      <c r="E490" t="s">
        <v>99</v>
      </c>
      <c r="F490" t="s">
        <v>107</v>
      </c>
      <c r="I490" t="s">
        <v>39</v>
      </c>
      <c r="J490" t="s">
        <v>40</v>
      </c>
      <c r="K490" t="s">
        <v>41</v>
      </c>
      <c r="L490" t="s">
        <v>78</v>
      </c>
      <c r="N490" t="s">
        <v>43</v>
      </c>
      <c r="O490" t="s">
        <v>584</v>
      </c>
      <c r="P490">
        <v>59</v>
      </c>
      <c r="Q490">
        <v>59</v>
      </c>
      <c r="R490">
        <v>1</v>
      </c>
      <c r="S490" t="s">
        <v>45</v>
      </c>
      <c r="T490">
        <v>0</v>
      </c>
      <c r="U490">
        <v>627</v>
      </c>
      <c r="V490" t="s">
        <v>113</v>
      </c>
      <c r="W490">
        <v>0.626</v>
      </c>
      <c r="X490">
        <v>21001</v>
      </c>
      <c r="Y490" t="s">
        <v>47</v>
      </c>
      <c r="Z490">
        <v>21</v>
      </c>
      <c r="AA490">
        <v>503</v>
      </c>
      <c r="AB490" t="s">
        <v>75</v>
      </c>
      <c r="AC490">
        <v>0.502</v>
      </c>
      <c r="AD490">
        <v>814</v>
      </c>
      <c r="AE490" t="s">
        <v>48</v>
      </c>
      <c r="AF490">
        <v>0.81299999999999994</v>
      </c>
      <c r="AG490">
        <v>893</v>
      </c>
      <c r="AH490" t="s">
        <v>49</v>
      </c>
      <c r="AI490">
        <v>0.89200000000000002</v>
      </c>
      <c r="AJ490" t="s">
        <v>1153</v>
      </c>
    </row>
    <row r="491" spans="1:36" x14ac:dyDescent="0.25">
      <c r="A491" t="s">
        <v>998</v>
      </c>
      <c r="B491">
        <v>862426751</v>
      </c>
      <c r="C491" t="s">
        <v>999</v>
      </c>
      <c r="D491" t="s">
        <v>999</v>
      </c>
      <c r="E491" t="s">
        <v>99</v>
      </c>
      <c r="F491" t="s">
        <v>107</v>
      </c>
      <c r="I491" t="s">
        <v>39</v>
      </c>
      <c r="J491" t="s">
        <v>40</v>
      </c>
      <c r="K491" t="s">
        <v>41</v>
      </c>
      <c r="L491" t="s">
        <v>78</v>
      </c>
      <c r="N491" t="s">
        <v>43</v>
      </c>
      <c r="O491" t="s">
        <v>584</v>
      </c>
      <c r="P491">
        <v>59</v>
      </c>
      <c r="Q491">
        <v>59</v>
      </c>
      <c r="R491">
        <v>1</v>
      </c>
      <c r="S491" t="s">
        <v>45</v>
      </c>
      <c r="T491">
        <v>0</v>
      </c>
      <c r="U491">
        <v>627</v>
      </c>
      <c r="V491" t="s">
        <v>113</v>
      </c>
      <c r="W491">
        <v>0.626</v>
      </c>
      <c r="X491">
        <v>21001</v>
      </c>
      <c r="Y491" t="s">
        <v>47</v>
      </c>
      <c r="Z491">
        <v>21</v>
      </c>
      <c r="AA491">
        <v>503</v>
      </c>
      <c r="AB491" t="s">
        <v>75</v>
      </c>
      <c r="AC491">
        <v>0.502</v>
      </c>
      <c r="AD491">
        <v>814</v>
      </c>
      <c r="AE491" t="s">
        <v>48</v>
      </c>
      <c r="AF491">
        <v>0.81299999999999994</v>
      </c>
      <c r="AG491">
        <v>893</v>
      </c>
      <c r="AH491" t="s">
        <v>49</v>
      </c>
      <c r="AI491">
        <v>0.89200000000000002</v>
      </c>
      <c r="AJ491" t="s">
        <v>1154</v>
      </c>
    </row>
    <row r="492" spans="1:36" x14ac:dyDescent="0.25">
      <c r="A492" t="s">
        <v>998</v>
      </c>
      <c r="B492">
        <v>862426751</v>
      </c>
      <c r="C492" t="s">
        <v>999</v>
      </c>
      <c r="D492" t="s">
        <v>999</v>
      </c>
      <c r="E492" t="s">
        <v>99</v>
      </c>
      <c r="F492" t="s">
        <v>107</v>
      </c>
      <c r="I492" t="s">
        <v>39</v>
      </c>
      <c r="J492" t="s">
        <v>40</v>
      </c>
      <c r="K492" t="s">
        <v>41</v>
      </c>
      <c r="L492" t="s">
        <v>78</v>
      </c>
      <c r="N492" t="s">
        <v>43</v>
      </c>
      <c r="O492" t="s">
        <v>584</v>
      </c>
      <c r="P492">
        <v>59</v>
      </c>
      <c r="Q492">
        <v>59</v>
      </c>
      <c r="S492" t="s">
        <v>39</v>
      </c>
      <c r="V492" t="s">
        <v>39</v>
      </c>
      <c r="X492">
        <v>21001</v>
      </c>
      <c r="Y492" t="s">
        <v>47</v>
      </c>
      <c r="Z492">
        <v>21</v>
      </c>
      <c r="AA492">
        <v>503</v>
      </c>
      <c r="AB492" t="s">
        <v>75</v>
      </c>
      <c r="AC492">
        <v>0.502</v>
      </c>
      <c r="AD492">
        <v>814</v>
      </c>
      <c r="AE492" t="s">
        <v>48</v>
      </c>
      <c r="AF492">
        <v>0.81299999999999994</v>
      </c>
      <c r="AG492">
        <v>893</v>
      </c>
      <c r="AH492" t="s">
        <v>49</v>
      </c>
      <c r="AI492">
        <v>0.89200000000000002</v>
      </c>
      <c r="AJ492" t="s">
        <v>1155</v>
      </c>
    </row>
    <row r="493" spans="1:36" x14ac:dyDescent="0.25">
      <c r="A493" t="s">
        <v>998</v>
      </c>
      <c r="B493">
        <v>862426751</v>
      </c>
      <c r="C493" t="s">
        <v>999</v>
      </c>
      <c r="D493" t="s">
        <v>999</v>
      </c>
      <c r="E493" t="s">
        <v>99</v>
      </c>
      <c r="F493" t="s">
        <v>107</v>
      </c>
      <c r="I493" t="s">
        <v>39</v>
      </c>
      <c r="J493" t="s">
        <v>40</v>
      </c>
      <c r="K493" t="s">
        <v>41</v>
      </c>
      <c r="L493" t="s">
        <v>78</v>
      </c>
      <c r="N493" t="s">
        <v>43</v>
      </c>
      <c r="O493" t="s">
        <v>584</v>
      </c>
      <c r="P493">
        <v>59</v>
      </c>
      <c r="Q493">
        <v>59</v>
      </c>
      <c r="S493" t="s">
        <v>39</v>
      </c>
      <c r="V493" t="s">
        <v>39</v>
      </c>
      <c r="X493">
        <v>21001</v>
      </c>
      <c r="Y493" t="s">
        <v>47</v>
      </c>
      <c r="Z493">
        <v>21</v>
      </c>
      <c r="AA493">
        <v>503</v>
      </c>
      <c r="AB493" t="s">
        <v>75</v>
      </c>
      <c r="AC493">
        <v>0.502</v>
      </c>
      <c r="AD493">
        <v>814</v>
      </c>
      <c r="AE493" t="s">
        <v>48</v>
      </c>
      <c r="AF493">
        <v>0.81299999999999994</v>
      </c>
      <c r="AG493">
        <v>893</v>
      </c>
      <c r="AH493" t="s">
        <v>49</v>
      </c>
      <c r="AI493">
        <v>0.89200000000000002</v>
      </c>
      <c r="AJ493" t="s">
        <v>1156</v>
      </c>
    </row>
    <row r="494" spans="1:36" x14ac:dyDescent="0.25">
      <c r="A494" t="s">
        <v>996</v>
      </c>
      <c r="B494">
        <v>856006627</v>
      </c>
      <c r="C494" t="s">
        <v>997</v>
      </c>
      <c r="D494" t="s">
        <v>997</v>
      </c>
      <c r="E494" t="s">
        <v>99</v>
      </c>
      <c r="F494" t="s">
        <v>143</v>
      </c>
      <c r="I494" t="s">
        <v>39</v>
      </c>
      <c r="J494" t="s">
        <v>40</v>
      </c>
      <c r="K494" t="s">
        <v>41</v>
      </c>
      <c r="L494" t="s">
        <v>118</v>
      </c>
      <c r="N494" t="s">
        <v>43</v>
      </c>
      <c r="O494" t="s">
        <v>832</v>
      </c>
      <c r="P494">
        <v>60</v>
      </c>
      <c r="Q494">
        <v>60</v>
      </c>
      <c r="R494">
        <v>131</v>
      </c>
      <c r="S494" t="s">
        <v>56</v>
      </c>
      <c r="T494">
        <v>0.13</v>
      </c>
      <c r="U494">
        <v>72</v>
      </c>
      <c r="V494" t="s">
        <v>55</v>
      </c>
      <c r="W494">
        <v>7.0999999999999994E-2</v>
      </c>
      <c r="X494">
        <v>1001</v>
      </c>
      <c r="Y494" t="s">
        <v>47</v>
      </c>
      <c r="Z494">
        <v>1</v>
      </c>
      <c r="AA494">
        <v>280</v>
      </c>
      <c r="AB494" t="s">
        <v>47</v>
      </c>
      <c r="AC494">
        <v>0.27900000000000003</v>
      </c>
      <c r="AD494">
        <v>488</v>
      </c>
      <c r="AE494" t="s">
        <v>56</v>
      </c>
      <c r="AF494">
        <v>0.48699999999999999</v>
      </c>
      <c r="AG494">
        <v>820</v>
      </c>
      <c r="AH494" t="s">
        <v>49</v>
      </c>
      <c r="AI494">
        <v>0.81899999999999995</v>
      </c>
      <c r="AJ494" t="s">
        <v>50</v>
      </c>
    </row>
    <row r="495" spans="1:36" x14ac:dyDescent="0.25">
      <c r="A495" t="s">
        <v>996</v>
      </c>
      <c r="B495">
        <v>856006627</v>
      </c>
      <c r="C495" t="s">
        <v>997</v>
      </c>
      <c r="D495" t="s">
        <v>997</v>
      </c>
      <c r="E495" t="s">
        <v>99</v>
      </c>
      <c r="F495" t="s">
        <v>143</v>
      </c>
      <c r="I495" t="s">
        <v>39</v>
      </c>
      <c r="J495" t="s">
        <v>40</v>
      </c>
      <c r="K495" t="s">
        <v>41</v>
      </c>
      <c r="L495" t="s">
        <v>118</v>
      </c>
      <c r="N495" t="s">
        <v>43</v>
      </c>
      <c r="O495" t="s">
        <v>832</v>
      </c>
      <c r="P495">
        <v>60</v>
      </c>
      <c r="Q495">
        <v>60</v>
      </c>
      <c r="R495">
        <v>71</v>
      </c>
      <c r="S495" t="s">
        <v>56</v>
      </c>
      <c r="T495">
        <v>7.0000000000000007E-2</v>
      </c>
      <c r="U495">
        <v>63</v>
      </c>
      <c r="V495" t="s">
        <v>55</v>
      </c>
      <c r="W495">
        <v>6.2E-2</v>
      </c>
      <c r="X495">
        <v>1001</v>
      </c>
      <c r="Y495" t="s">
        <v>47</v>
      </c>
      <c r="Z495">
        <v>1</v>
      </c>
      <c r="AA495">
        <v>280</v>
      </c>
      <c r="AB495" t="s">
        <v>47</v>
      </c>
      <c r="AC495">
        <v>0.27900000000000003</v>
      </c>
      <c r="AD495">
        <v>488</v>
      </c>
      <c r="AE495" t="s">
        <v>56</v>
      </c>
      <c r="AF495">
        <v>0.48699999999999999</v>
      </c>
      <c r="AG495">
        <v>820</v>
      </c>
      <c r="AH495" t="s">
        <v>49</v>
      </c>
      <c r="AI495">
        <v>0.81899999999999995</v>
      </c>
      <c r="AJ495" t="s">
        <v>1141</v>
      </c>
    </row>
    <row r="496" spans="1:36" x14ac:dyDescent="0.25">
      <c r="A496" t="s">
        <v>996</v>
      </c>
      <c r="B496">
        <v>856006627</v>
      </c>
      <c r="C496" t="s">
        <v>997</v>
      </c>
      <c r="D496" t="s">
        <v>997</v>
      </c>
      <c r="E496" t="s">
        <v>99</v>
      </c>
      <c r="F496" t="s">
        <v>143</v>
      </c>
      <c r="I496" t="s">
        <v>39</v>
      </c>
      <c r="J496" t="s">
        <v>40</v>
      </c>
      <c r="K496" t="s">
        <v>41</v>
      </c>
      <c r="L496" t="s">
        <v>118</v>
      </c>
      <c r="N496" t="s">
        <v>43</v>
      </c>
      <c r="O496" t="s">
        <v>832</v>
      </c>
      <c r="P496">
        <v>60</v>
      </c>
      <c r="Q496">
        <v>60</v>
      </c>
      <c r="R496">
        <v>131</v>
      </c>
      <c r="S496" t="s">
        <v>56</v>
      </c>
      <c r="T496">
        <v>0.13</v>
      </c>
      <c r="U496">
        <v>72</v>
      </c>
      <c r="V496" t="s">
        <v>55</v>
      </c>
      <c r="W496">
        <v>7.0999999999999994E-2</v>
      </c>
      <c r="X496">
        <v>1001</v>
      </c>
      <c r="Y496" t="s">
        <v>47</v>
      </c>
      <c r="Z496">
        <v>1</v>
      </c>
      <c r="AA496">
        <v>280</v>
      </c>
      <c r="AB496" t="s">
        <v>47</v>
      </c>
      <c r="AC496">
        <v>0.27900000000000003</v>
      </c>
      <c r="AD496">
        <v>488</v>
      </c>
      <c r="AE496" t="s">
        <v>56</v>
      </c>
      <c r="AF496">
        <v>0.48699999999999999</v>
      </c>
      <c r="AG496">
        <v>820</v>
      </c>
      <c r="AH496" t="s">
        <v>49</v>
      </c>
      <c r="AI496">
        <v>0.81899999999999995</v>
      </c>
      <c r="AJ496" t="s">
        <v>1153</v>
      </c>
    </row>
    <row r="497" spans="1:36" x14ac:dyDescent="0.25">
      <c r="A497" t="s">
        <v>996</v>
      </c>
      <c r="B497">
        <v>856006627</v>
      </c>
      <c r="C497" t="s">
        <v>997</v>
      </c>
      <c r="D497" t="s">
        <v>997</v>
      </c>
      <c r="E497" t="s">
        <v>99</v>
      </c>
      <c r="F497" t="s">
        <v>143</v>
      </c>
      <c r="I497" t="s">
        <v>39</v>
      </c>
      <c r="J497" t="s">
        <v>40</v>
      </c>
      <c r="K497" t="s">
        <v>41</v>
      </c>
      <c r="L497" t="s">
        <v>118</v>
      </c>
      <c r="N497" t="s">
        <v>43</v>
      </c>
      <c r="O497" t="s">
        <v>832</v>
      </c>
      <c r="P497">
        <v>60</v>
      </c>
      <c r="Q497">
        <v>60</v>
      </c>
      <c r="R497">
        <v>131</v>
      </c>
      <c r="S497" t="s">
        <v>56</v>
      </c>
      <c r="T497">
        <v>0.13</v>
      </c>
      <c r="U497">
        <v>72</v>
      </c>
      <c r="V497" t="s">
        <v>55</v>
      </c>
      <c r="W497">
        <v>7.0999999999999994E-2</v>
      </c>
      <c r="X497">
        <v>1001</v>
      </c>
      <c r="Y497" t="s">
        <v>47</v>
      </c>
      <c r="Z497">
        <v>1</v>
      </c>
      <c r="AA497">
        <v>280</v>
      </c>
      <c r="AB497" t="s">
        <v>47</v>
      </c>
      <c r="AC497">
        <v>0.27900000000000003</v>
      </c>
      <c r="AD497">
        <v>488</v>
      </c>
      <c r="AE497" t="s">
        <v>56</v>
      </c>
      <c r="AF497">
        <v>0.48699999999999999</v>
      </c>
      <c r="AG497">
        <v>820</v>
      </c>
      <c r="AH497" t="s">
        <v>49</v>
      </c>
      <c r="AI497">
        <v>0.81899999999999995</v>
      </c>
      <c r="AJ497" t="s">
        <v>1154</v>
      </c>
    </row>
    <row r="498" spans="1:36" x14ac:dyDescent="0.25">
      <c r="A498" t="s">
        <v>996</v>
      </c>
      <c r="B498">
        <v>856006627</v>
      </c>
      <c r="C498" t="s">
        <v>997</v>
      </c>
      <c r="D498" t="s">
        <v>997</v>
      </c>
      <c r="E498" t="s">
        <v>99</v>
      </c>
      <c r="F498" t="s">
        <v>143</v>
      </c>
      <c r="I498" t="s">
        <v>39</v>
      </c>
      <c r="J498" t="s">
        <v>40</v>
      </c>
      <c r="K498" t="s">
        <v>41</v>
      </c>
      <c r="L498" t="s">
        <v>118</v>
      </c>
      <c r="N498" t="s">
        <v>43</v>
      </c>
      <c r="O498" t="s">
        <v>832</v>
      </c>
      <c r="P498">
        <v>60</v>
      </c>
      <c r="Q498">
        <v>60</v>
      </c>
      <c r="S498" t="s">
        <v>39</v>
      </c>
      <c r="V498" t="s">
        <v>39</v>
      </c>
      <c r="X498">
        <v>1001</v>
      </c>
      <c r="Y498" t="s">
        <v>47</v>
      </c>
      <c r="Z498">
        <v>1</v>
      </c>
      <c r="AA498">
        <v>280</v>
      </c>
      <c r="AB498" t="s">
        <v>47</v>
      </c>
      <c r="AC498">
        <v>0.27900000000000003</v>
      </c>
      <c r="AD498">
        <v>488</v>
      </c>
      <c r="AE498" t="s">
        <v>56</v>
      </c>
      <c r="AF498">
        <v>0.48699999999999999</v>
      </c>
      <c r="AG498">
        <v>820</v>
      </c>
      <c r="AH498" t="s">
        <v>49</v>
      </c>
      <c r="AI498">
        <v>0.81899999999999995</v>
      </c>
      <c r="AJ498" t="s">
        <v>1155</v>
      </c>
    </row>
    <row r="499" spans="1:36" x14ac:dyDescent="0.25">
      <c r="A499" t="s">
        <v>996</v>
      </c>
      <c r="B499">
        <v>856006627</v>
      </c>
      <c r="C499" t="s">
        <v>997</v>
      </c>
      <c r="D499" t="s">
        <v>997</v>
      </c>
      <c r="E499" t="s">
        <v>99</v>
      </c>
      <c r="F499" t="s">
        <v>143</v>
      </c>
      <c r="I499" t="s">
        <v>39</v>
      </c>
      <c r="J499" t="s">
        <v>40</v>
      </c>
      <c r="K499" t="s">
        <v>41</v>
      </c>
      <c r="L499" t="s">
        <v>118</v>
      </c>
      <c r="N499" t="s">
        <v>43</v>
      </c>
      <c r="O499" t="s">
        <v>832</v>
      </c>
      <c r="P499">
        <v>60</v>
      </c>
      <c r="Q499">
        <v>60</v>
      </c>
      <c r="S499" t="s">
        <v>39</v>
      </c>
      <c r="V499" t="s">
        <v>39</v>
      </c>
      <c r="X499">
        <v>1001</v>
      </c>
      <c r="Y499" t="s">
        <v>47</v>
      </c>
      <c r="Z499">
        <v>1</v>
      </c>
      <c r="AA499">
        <v>280</v>
      </c>
      <c r="AB499" t="s">
        <v>47</v>
      </c>
      <c r="AC499">
        <v>0.27900000000000003</v>
      </c>
      <c r="AD499">
        <v>488</v>
      </c>
      <c r="AE499" t="s">
        <v>56</v>
      </c>
      <c r="AF499">
        <v>0.48699999999999999</v>
      </c>
      <c r="AG499">
        <v>820</v>
      </c>
      <c r="AH499" t="s">
        <v>49</v>
      </c>
      <c r="AI499">
        <v>0.81899999999999995</v>
      </c>
      <c r="AJ499" t="s">
        <v>1156</v>
      </c>
    </row>
    <row r="500" spans="1:36" x14ac:dyDescent="0.25">
      <c r="A500" t="s">
        <v>994</v>
      </c>
      <c r="B500">
        <v>856508543</v>
      </c>
      <c r="C500" t="s">
        <v>995</v>
      </c>
      <c r="D500" t="s">
        <v>995</v>
      </c>
      <c r="E500" t="s">
        <v>99</v>
      </c>
      <c r="F500" t="s">
        <v>111</v>
      </c>
      <c r="I500" t="s">
        <v>39</v>
      </c>
      <c r="J500" t="s">
        <v>40</v>
      </c>
      <c r="K500" t="s">
        <v>41</v>
      </c>
      <c r="L500" t="s">
        <v>72</v>
      </c>
      <c r="M500" t="s">
        <v>47</v>
      </c>
      <c r="N500" t="s">
        <v>43</v>
      </c>
      <c r="O500" t="s">
        <v>420</v>
      </c>
      <c r="P500">
        <v>60</v>
      </c>
      <c r="Q500">
        <v>60</v>
      </c>
      <c r="R500">
        <v>861</v>
      </c>
      <c r="S500" t="s">
        <v>56</v>
      </c>
      <c r="T500">
        <v>0.86</v>
      </c>
      <c r="U500">
        <v>12</v>
      </c>
      <c r="V500" t="s">
        <v>55</v>
      </c>
      <c r="W500">
        <v>1.0999999999999999E-2</v>
      </c>
      <c r="X500">
        <v>1</v>
      </c>
      <c r="Y500" t="s">
        <v>47</v>
      </c>
      <c r="Z500">
        <v>0</v>
      </c>
      <c r="AA500">
        <v>330</v>
      </c>
      <c r="AB500" t="s">
        <v>47</v>
      </c>
      <c r="AC500">
        <v>0.32900000000000001</v>
      </c>
      <c r="AD500">
        <v>322</v>
      </c>
      <c r="AE500" t="s">
        <v>56</v>
      </c>
      <c r="AF500">
        <v>0.32100000000000001</v>
      </c>
      <c r="AG500">
        <v>270</v>
      </c>
      <c r="AH500" t="s">
        <v>57</v>
      </c>
      <c r="AI500">
        <v>0.26900000000000002</v>
      </c>
      <c r="AJ500" t="s">
        <v>50</v>
      </c>
    </row>
    <row r="501" spans="1:36" x14ac:dyDescent="0.25">
      <c r="A501" t="s">
        <v>994</v>
      </c>
      <c r="B501">
        <v>856508543</v>
      </c>
      <c r="C501" t="s">
        <v>995</v>
      </c>
      <c r="D501" t="s">
        <v>995</v>
      </c>
      <c r="E501" t="s">
        <v>99</v>
      </c>
      <c r="F501" t="s">
        <v>111</v>
      </c>
      <c r="I501" t="s">
        <v>39</v>
      </c>
      <c r="J501" t="s">
        <v>40</v>
      </c>
      <c r="K501" t="s">
        <v>41</v>
      </c>
      <c r="L501" t="s">
        <v>72</v>
      </c>
      <c r="M501" t="s">
        <v>47</v>
      </c>
      <c r="N501" t="s">
        <v>43</v>
      </c>
      <c r="O501" t="s">
        <v>420</v>
      </c>
      <c r="P501">
        <v>60</v>
      </c>
      <c r="Q501">
        <v>60</v>
      </c>
      <c r="R501">
        <v>401</v>
      </c>
      <c r="S501" t="s">
        <v>56</v>
      </c>
      <c r="T501">
        <v>0.4</v>
      </c>
      <c r="U501">
        <v>25</v>
      </c>
      <c r="V501" t="s">
        <v>55</v>
      </c>
      <c r="W501">
        <v>2.4E-2</v>
      </c>
      <c r="X501">
        <v>1</v>
      </c>
      <c r="Y501" t="s">
        <v>47</v>
      </c>
      <c r="Z501">
        <v>0</v>
      </c>
      <c r="AA501">
        <v>330</v>
      </c>
      <c r="AB501" t="s">
        <v>47</v>
      </c>
      <c r="AC501">
        <v>0.32900000000000001</v>
      </c>
      <c r="AD501">
        <v>322</v>
      </c>
      <c r="AE501" t="s">
        <v>56</v>
      </c>
      <c r="AF501">
        <v>0.32100000000000001</v>
      </c>
      <c r="AG501">
        <v>270</v>
      </c>
      <c r="AH501" t="s">
        <v>57</v>
      </c>
      <c r="AI501">
        <v>0.26900000000000002</v>
      </c>
      <c r="AJ501" t="s">
        <v>1141</v>
      </c>
    </row>
    <row r="502" spans="1:36" x14ac:dyDescent="0.25">
      <c r="A502" t="s">
        <v>994</v>
      </c>
      <c r="B502">
        <v>856508543</v>
      </c>
      <c r="C502" t="s">
        <v>995</v>
      </c>
      <c r="D502" t="s">
        <v>995</v>
      </c>
      <c r="E502" t="s">
        <v>99</v>
      </c>
      <c r="F502" t="s">
        <v>111</v>
      </c>
      <c r="I502" t="s">
        <v>39</v>
      </c>
      <c r="J502" t="s">
        <v>40</v>
      </c>
      <c r="K502" t="s">
        <v>41</v>
      </c>
      <c r="L502" t="s">
        <v>72</v>
      </c>
      <c r="M502" t="s">
        <v>47</v>
      </c>
      <c r="N502" t="s">
        <v>43</v>
      </c>
      <c r="O502" t="s">
        <v>420</v>
      </c>
      <c r="P502">
        <v>60</v>
      </c>
      <c r="Q502">
        <v>60</v>
      </c>
      <c r="R502">
        <v>861</v>
      </c>
      <c r="S502" t="s">
        <v>56</v>
      </c>
      <c r="T502">
        <v>0.86</v>
      </c>
      <c r="U502">
        <v>12</v>
      </c>
      <c r="V502" t="s">
        <v>55</v>
      </c>
      <c r="W502">
        <v>1.0999999999999999E-2</v>
      </c>
      <c r="X502">
        <v>1</v>
      </c>
      <c r="Y502" t="s">
        <v>47</v>
      </c>
      <c r="Z502">
        <v>0</v>
      </c>
      <c r="AA502">
        <v>330</v>
      </c>
      <c r="AB502" t="s">
        <v>47</v>
      </c>
      <c r="AC502">
        <v>0.32900000000000001</v>
      </c>
      <c r="AD502">
        <v>322</v>
      </c>
      <c r="AE502" t="s">
        <v>56</v>
      </c>
      <c r="AF502">
        <v>0.32100000000000001</v>
      </c>
      <c r="AG502">
        <v>270</v>
      </c>
      <c r="AH502" t="s">
        <v>57</v>
      </c>
      <c r="AI502">
        <v>0.26900000000000002</v>
      </c>
      <c r="AJ502" t="s">
        <v>1153</v>
      </c>
    </row>
    <row r="503" spans="1:36" x14ac:dyDescent="0.25">
      <c r="A503" t="s">
        <v>994</v>
      </c>
      <c r="B503">
        <v>856508543</v>
      </c>
      <c r="C503" t="s">
        <v>995</v>
      </c>
      <c r="D503" t="s">
        <v>995</v>
      </c>
      <c r="E503" t="s">
        <v>99</v>
      </c>
      <c r="F503" t="s">
        <v>111</v>
      </c>
      <c r="I503" t="s">
        <v>39</v>
      </c>
      <c r="J503" t="s">
        <v>40</v>
      </c>
      <c r="K503" t="s">
        <v>41</v>
      </c>
      <c r="L503" t="s">
        <v>72</v>
      </c>
      <c r="M503" t="s">
        <v>47</v>
      </c>
      <c r="N503" t="s">
        <v>43</v>
      </c>
      <c r="O503" t="s">
        <v>420</v>
      </c>
      <c r="P503">
        <v>60</v>
      </c>
      <c r="Q503">
        <v>60</v>
      </c>
      <c r="R503">
        <v>861</v>
      </c>
      <c r="S503" t="s">
        <v>56</v>
      </c>
      <c r="T503">
        <v>0.86</v>
      </c>
      <c r="U503">
        <v>12</v>
      </c>
      <c r="V503" t="s">
        <v>55</v>
      </c>
      <c r="W503">
        <v>1.0999999999999999E-2</v>
      </c>
      <c r="X503">
        <v>1</v>
      </c>
      <c r="Y503" t="s">
        <v>47</v>
      </c>
      <c r="Z503">
        <v>0</v>
      </c>
      <c r="AA503">
        <v>330</v>
      </c>
      <c r="AB503" t="s">
        <v>47</v>
      </c>
      <c r="AC503">
        <v>0.32900000000000001</v>
      </c>
      <c r="AD503">
        <v>322</v>
      </c>
      <c r="AE503" t="s">
        <v>56</v>
      </c>
      <c r="AF503">
        <v>0.32100000000000001</v>
      </c>
      <c r="AG503">
        <v>270</v>
      </c>
      <c r="AH503" t="s">
        <v>57</v>
      </c>
      <c r="AI503">
        <v>0.26900000000000002</v>
      </c>
      <c r="AJ503" t="s">
        <v>1154</v>
      </c>
    </row>
    <row r="504" spans="1:36" x14ac:dyDescent="0.25">
      <c r="A504" t="s">
        <v>994</v>
      </c>
      <c r="B504">
        <v>856508543</v>
      </c>
      <c r="C504" t="s">
        <v>995</v>
      </c>
      <c r="D504" t="s">
        <v>995</v>
      </c>
      <c r="E504" t="s">
        <v>99</v>
      </c>
      <c r="F504" t="s">
        <v>111</v>
      </c>
      <c r="I504" t="s">
        <v>39</v>
      </c>
      <c r="J504" t="s">
        <v>40</v>
      </c>
      <c r="K504" t="s">
        <v>41</v>
      </c>
      <c r="L504" t="s">
        <v>72</v>
      </c>
      <c r="M504" t="s">
        <v>47</v>
      </c>
      <c r="N504" t="s">
        <v>43</v>
      </c>
      <c r="O504" t="s">
        <v>420</v>
      </c>
      <c r="P504">
        <v>60</v>
      </c>
      <c r="Q504">
        <v>60</v>
      </c>
      <c r="S504" t="s">
        <v>39</v>
      </c>
      <c r="V504" t="s">
        <v>39</v>
      </c>
      <c r="X504">
        <v>1</v>
      </c>
      <c r="Y504" t="s">
        <v>47</v>
      </c>
      <c r="Z504">
        <v>0</v>
      </c>
      <c r="AA504">
        <v>330</v>
      </c>
      <c r="AB504" t="s">
        <v>47</v>
      </c>
      <c r="AC504">
        <v>0.32900000000000001</v>
      </c>
      <c r="AD504">
        <v>322</v>
      </c>
      <c r="AE504" t="s">
        <v>56</v>
      </c>
      <c r="AF504">
        <v>0.32100000000000001</v>
      </c>
      <c r="AG504">
        <v>270</v>
      </c>
      <c r="AH504" t="s">
        <v>57</v>
      </c>
      <c r="AI504">
        <v>0.26900000000000002</v>
      </c>
      <c r="AJ504" t="s">
        <v>1155</v>
      </c>
    </row>
    <row r="505" spans="1:36" x14ac:dyDescent="0.25">
      <c r="A505" t="s">
        <v>994</v>
      </c>
      <c r="B505">
        <v>856508543</v>
      </c>
      <c r="C505" t="s">
        <v>995</v>
      </c>
      <c r="D505" t="s">
        <v>995</v>
      </c>
      <c r="E505" t="s">
        <v>99</v>
      </c>
      <c r="F505" t="s">
        <v>111</v>
      </c>
      <c r="I505" t="s">
        <v>39</v>
      </c>
      <c r="J505" t="s">
        <v>40</v>
      </c>
      <c r="K505" t="s">
        <v>41</v>
      </c>
      <c r="L505" t="s">
        <v>72</v>
      </c>
      <c r="M505" t="s">
        <v>47</v>
      </c>
      <c r="N505" t="s">
        <v>43</v>
      </c>
      <c r="O505" t="s">
        <v>420</v>
      </c>
      <c r="P505">
        <v>60</v>
      </c>
      <c r="Q505">
        <v>60</v>
      </c>
      <c r="S505" t="s">
        <v>39</v>
      </c>
      <c r="V505" t="s">
        <v>39</v>
      </c>
      <c r="X505">
        <v>1</v>
      </c>
      <c r="Y505" t="s">
        <v>47</v>
      </c>
      <c r="Z505">
        <v>0</v>
      </c>
      <c r="AA505">
        <v>330</v>
      </c>
      <c r="AB505" t="s">
        <v>47</v>
      </c>
      <c r="AC505">
        <v>0.32900000000000001</v>
      </c>
      <c r="AD505">
        <v>322</v>
      </c>
      <c r="AE505" t="s">
        <v>56</v>
      </c>
      <c r="AF505">
        <v>0.32100000000000001</v>
      </c>
      <c r="AG505">
        <v>270</v>
      </c>
      <c r="AH505" t="s">
        <v>57</v>
      </c>
      <c r="AI505">
        <v>0.26900000000000002</v>
      </c>
      <c r="AJ505" t="s">
        <v>1156</v>
      </c>
    </row>
    <row r="506" spans="1:36" x14ac:dyDescent="0.25">
      <c r="A506" t="s">
        <v>991</v>
      </c>
      <c r="B506">
        <v>851914906</v>
      </c>
      <c r="C506" t="s">
        <v>992</v>
      </c>
      <c r="D506" t="s">
        <v>992</v>
      </c>
      <c r="E506" t="s">
        <v>37</v>
      </c>
      <c r="F506" t="s">
        <v>280</v>
      </c>
      <c r="I506" t="s">
        <v>39</v>
      </c>
      <c r="J506" t="s">
        <v>40</v>
      </c>
      <c r="K506" t="s">
        <v>41</v>
      </c>
      <c r="L506" t="s">
        <v>151</v>
      </c>
      <c r="M506" t="s">
        <v>178</v>
      </c>
      <c r="N506" t="s">
        <v>43</v>
      </c>
      <c r="O506" t="s">
        <v>603</v>
      </c>
      <c r="P506">
        <v>63</v>
      </c>
      <c r="Q506">
        <v>63</v>
      </c>
      <c r="R506">
        <v>21</v>
      </c>
      <c r="S506" t="s">
        <v>45</v>
      </c>
      <c r="T506">
        <v>0.02</v>
      </c>
      <c r="U506">
        <v>1000</v>
      </c>
      <c r="V506" t="s">
        <v>46</v>
      </c>
      <c r="W506">
        <v>0.999</v>
      </c>
      <c r="X506">
        <v>25001</v>
      </c>
      <c r="Y506" t="s">
        <v>47</v>
      </c>
      <c r="Z506">
        <v>25</v>
      </c>
      <c r="AA506">
        <v>695</v>
      </c>
      <c r="AB506" t="s">
        <v>75</v>
      </c>
      <c r="AC506">
        <v>0.69399999999999995</v>
      </c>
      <c r="AD506">
        <v>814</v>
      </c>
      <c r="AE506" t="s">
        <v>48</v>
      </c>
      <c r="AF506">
        <v>0.81299999999999994</v>
      </c>
      <c r="AG506">
        <v>903</v>
      </c>
      <c r="AH506" t="s">
        <v>49</v>
      </c>
      <c r="AI506">
        <v>0.90200000000000002</v>
      </c>
      <c r="AJ506" t="s">
        <v>50</v>
      </c>
    </row>
    <row r="507" spans="1:36" x14ac:dyDescent="0.25">
      <c r="A507" t="s">
        <v>991</v>
      </c>
      <c r="B507">
        <v>851914906</v>
      </c>
      <c r="C507" t="s">
        <v>992</v>
      </c>
      <c r="D507" t="s">
        <v>992</v>
      </c>
      <c r="E507" t="s">
        <v>99</v>
      </c>
      <c r="F507" t="s">
        <v>280</v>
      </c>
      <c r="I507" t="s">
        <v>39</v>
      </c>
      <c r="J507" t="s">
        <v>40</v>
      </c>
      <c r="K507" t="s">
        <v>41</v>
      </c>
      <c r="L507" t="s">
        <v>151</v>
      </c>
      <c r="M507" t="s">
        <v>178</v>
      </c>
      <c r="N507" t="s">
        <v>43</v>
      </c>
      <c r="O507" t="s">
        <v>993</v>
      </c>
      <c r="P507">
        <v>63</v>
      </c>
      <c r="Q507">
        <v>63</v>
      </c>
      <c r="R507">
        <v>1</v>
      </c>
      <c r="S507" t="s">
        <v>45</v>
      </c>
      <c r="T507">
        <v>0</v>
      </c>
      <c r="U507">
        <v>994</v>
      </c>
      <c r="V507" t="s">
        <v>46</v>
      </c>
      <c r="W507">
        <v>0.99299999999999999</v>
      </c>
      <c r="X507">
        <v>23001</v>
      </c>
      <c r="Y507" t="s">
        <v>47</v>
      </c>
      <c r="Z507">
        <v>23</v>
      </c>
      <c r="AA507">
        <v>643</v>
      </c>
      <c r="AB507" t="s">
        <v>75</v>
      </c>
      <c r="AC507">
        <v>0.64200000000000002</v>
      </c>
      <c r="AD507">
        <v>743</v>
      </c>
      <c r="AE507" t="s">
        <v>48</v>
      </c>
      <c r="AF507">
        <v>0.74199999999999999</v>
      </c>
      <c r="AG507">
        <v>780</v>
      </c>
      <c r="AH507" t="s">
        <v>49</v>
      </c>
      <c r="AI507">
        <v>0.77900000000000003</v>
      </c>
      <c r="AJ507" t="s">
        <v>50</v>
      </c>
    </row>
    <row r="508" spans="1:36" x14ac:dyDescent="0.25">
      <c r="A508" t="s">
        <v>991</v>
      </c>
      <c r="B508">
        <v>851914906</v>
      </c>
      <c r="C508" t="s">
        <v>992</v>
      </c>
      <c r="D508" t="s">
        <v>992</v>
      </c>
      <c r="E508" t="s">
        <v>37</v>
      </c>
      <c r="F508" t="s">
        <v>280</v>
      </c>
      <c r="I508" t="s">
        <v>39</v>
      </c>
      <c r="J508" t="s">
        <v>40</v>
      </c>
      <c r="K508" t="s">
        <v>41</v>
      </c>
      <c r="L508" t="s">
        <v>151</v>
      </c>
      <c r="M508" t="s">
        <v>178</v>
      </c>
      <c r="N508" t="s">
        <v>43</v>
      </c>
      <c r="O508" t="s">
        <v>603</v>
      </c>
      <c r="P508">
        <v>63</v>
      </c>
      <c r="Q508">
        <v>63</v>
      </c>
      <c r="R508">
        <v>51</v>
      </c>
      <c r="S508" t="s">
        <v>56</v>
      </c>
      <c r="T508">
        <v>0.05</v>
      </c>
      <c r="U508">
        <v>999</v>
      </c>
      <c r="V508" t="s">
        <v>46</v>
      </c>
      <c r="W508">
        <v>0.998</v>
      </c>
      <c r="X508">
        <v>25001</v>
      </c>
      <c r="Y508" t="s">
        <v>47</v>
      </c>
      <c r="Z508">
        <v>25</v>
      </c>
      <c r="AA508">
        <v>695</v>
      </c>
      <c r="AB508" t="s">
        <v>75</v>
      </c>
      <c r="AC508">
        <v>0.69399999999999995</v>
      </c>
      <c r="AD508">
        <v>814</v>
      </c>
      <c r="AE508" t="s">
        <v>48</v>
      </c>
      <c r="AF508">
        <v>0.81299999999999994</v>
      </c>
      <c r="AG508">
        <v>903</v>
      </c>
      <c r="AH508" t="s">
        <v>49</v>
      </c>
      <c r="AI508">
        <v>0.90200000000000002</v>
      </c>
      <c r="AJ508" t="s">
        <v>1141</v>
      </c>
    </row>
    <row r="509" spans="1:36" x14ac:dyDescent="0.25">
      <c r="A509" t="s">
        <v>991</v>
      </c>
      <c r="B509">
        <v>851914906</v>
      </c>
      <c r="C509" t="s">
        <v>992</v>
      </c>
      <c r="D509" t="s">
        <v>992</v>
      </c>
      <c r="E509" t="s">
        <v>99</v>
      </c>
      <c r="F509" t="s">
        <v>280</v>
      </c>
      <c r="I509" t="s">
        <v>39</v>
      </c>
      <c r="J509" t="s">
        <v>40</v>
      </c>
      <c r="K509" t="s">
        <v>41</v>
      </c>
      <c r="L509" t="s">
        <v>151</v>
      </c>
      <c r="M509" t="s">
        <v>178</v>
      </c>
      <c r="N509" t="s">
        <v>43</v>
      </c>
      <c r="O509" t="s">
        <v>993</v>
      </c>
      <c r="P509">
        <v>63</v>
      </c>
      <c r="Q509">
        <v>63</v>
      </c>
      <c r="R509">
        <v>1</v>
      </c>
      <c r="S509" t="s">
        <v>45</v>
      </c>
      <c r="T509">
        <v>0</v>
      </c>
      <c r="U509">
        <v>982</v>
      </c>
      <c r="V509" t="s">
        <v>46</v>
      </c>
      <c r="W509">
        <v>0.98099999999999998</v>
      </c>
      <c r="X509">
        <v>23001</v>
      </c>
      <c r="Y509" t="s">
        <v>47</v>
      </c>
      <c r="Z509">
        <v>23</v>
      </c>
      <c r="AA509">
        <v>643</v>
      </c>
      <c r="AB509" t="s">
        <v>75</v>
      </c>
      <c r="AC509">
        <v>0.64200000000000002</v>
      </c>
      <c r="AD509">
        <v>743</v>
      </c>
      <c r="AE509" t="s">
        <v>48</v>
      </c>
      <c r="AF509">
        <v>0.74199999999999999</v>
      </c>
      <c r="AG509">
        <v>780</v>
      </c>
      <c r="AH509" t="s">
        <v>49</v>
      </c>
      <c r="AI509">
        <v>0.77900000000000003</v>
      </c>
      <c r="AJ509" t="s">
        <v>1141</v>
      </c>
    </row>
    <row r="510" spans="1:36" x14ac:dyDescent="0.25">
      <c r="A510" t="s">
        <v>991</v>
      </c>
      <c r="B510">
        <v>851914906</v>
      </c>
      <c r="C510" t="s">
        <v>992</v>
      </c>
      <c r="D510" t="s">
        <v>992</v>
      </c>
      <c r="E510" t="s">
        <v>37</v>
      </c>
      <c r="F510" t="s">
        <v>280</v>
      </c>
      <c r="I510" t="s">
        <v>39</v>
      </c>
      <c r="J510" t="s">
        <v>40</v>
      </c>
      <c r="K510" t="s">
        <v>41</v>
      </c>
      <c r="L510" t="s">
        <v>151</v>
      </c>
      <c r="M510" t="s">
        <v>178</v>
      </c>
      <c r="N510" t="s">
        <v>43</v>
      </c>
      <c r="O510" t="s">
        <v>603</v>
      </c>
      <c r="P510">
        <v>63</v>
      </c>
      <c r="Q510">
        <v>63</v>
      </c>
      <c r="R510">
        <v>21</v>
      </c>
      <c r="S510" t="s">
        <v>45</v>
      </c>
      <c r="T510">
        <v>0.02</v>
      </c>
      <c r="U510">
        <v>1000</v>
      </c>
      <c r="V510" t="s">
        <v>46</v>
      </c>
      <c r="W510">
        <v>0.999</v>
      </c>
      <c r="X510">
        <v>25001</v>
      </c>
      <c r="Y510" t="s">
        <v>47</v>
      </c>
      <c r="Z510">
        <v>25</v>
      </c>
      <c r="AA510">
        <v>695</v>
      </c>
      <c r="AB510" t="s">
        <v>75</v>
      </c>
      <c r="AC510">
        <v>0.69399999999999995</v>
      </c>
      <c r="AD510">
        <v>814</v>
      </c>
      <c r="AE510" t="s">
        <v>48</v>
      </c>
      <c r="AF510">
        <v>0.81299999999999994</v>
      </c>
      <c r="AG510">
        <v>903</v>
      </c>
      <c r="AH510" t="s">
        <v>49</v>
      </c>
      <c r="AI510">
        <v>0.90200000000000002</v>
      </c>
      <c r="AJ510" t="s">
        <v>1153</v>
      </c>
    </row>
    <row r="511" spans="1:36" x14ac:dyDescent="0.25">
      <c r="A511" t="s">
        <v>991</v>
      </c>
      <c r="B511">
        <v>851914906</v>
      </c>
      <c r="C511" t="s">
        <v>992</v>
      </c>
      <c r="D511" t="s">
        <v>992</v>
      </c>
      <c r="E511" t="s">
        <v>99</v>
      </c>
      <c r="F511" t="s">
        <v>280</v>
      </c>
      <c r="I511" t="s">
        <v>39</v>
      </c>
      <c r="J511" t="s">
        <v>40</v>
      </c>
      <c r="K511" t="s">
        <v>41</v>
      </c>
      <c r="L511" t="s">
        <v>151</v>
      </c>
      <c r="M511" t="s">
        <v>178</v>
      </c>
      <c r="N511" t="s">
        <v>43</v>
      </c>
      <c r="O511" t="s">
        <v>993</v>
      </c>
      <c r="P511">
        <v>63</v>
      </c>
      <c r="Q511">
        <v>63</v>
      </c>
      <c r="R511">
        <v>1</v>
      </c>
      <c r="S511" t="s">
        <v>45</v>
      </c>
      <c r="T511">
        <v>0</v>
      </c>
      <c r="U511">
        <v>994</v>
      </c>
      <c r="V511" t="s">
        <v>46</v>
      </c>
      <c r="W511">
        <v>0.99299999999999999</v>
      </c>
      <c r="X511">
        <v>23001</v>
      </c>
      <c r="Y511" t="s">
        <v>47</v>
      </c>
      <c r="Z511">
        <v>23</v>
      </c>
      <c r="AA511">
        <v>643</v>
      </c>
      <c r="AB511" t="s">
        <v>75</v>
      </c>
      <c r="AC511">
        <v>0.64200000000000002</v>
      </c>
      <c r="AD511">
        <v>743</v>
      </c>
      <c r="AE511" t="s">
        <v>48</v>
      </c>
      <c r="AF511">
        <v>0.74199999999999999</v>
      </c>
      <c r="AG511">
        <v>780</v>
      </c>
      <c r="AH511" t="s">
        <v>49</v>
      </c>
      <c r="AI511">
        <v>0.77900000000000003</v>
      </c>
      <c r="AJ511" t="s">
        <v>1153</v>
      </c>
    </row>
    <row r="512" spans="1:36" x14ac:dyDescent="0.25">
      <c r="A512" t="s">
        <v>991</v>
      </c>
      <c r="B512">
        <v>851914906</v>
      </c>
      <c r="C512" t="s">
        <v>992</v>
      </c>
      <c r="D512" t="s">
        <v>992</v>
      </c>
      <c r="E512" t="s">
        <v>37</v>
      </c>
      <c r="F512" t="s">
        <v>280</v>
      </c>
      <c r="I512" t="s">
        <v>39</v>
      </c>
      <c r="J512" t="s">
        <v>40</v>
      </c>
      <c r="K512" t="s">
        <v>41</v>
      </c>
      <c r="L512" t="s">
        <v>151</v>
      </c>
      <c r="M512" t="s">
        <v>178</v>
      </c>
      <c r="N512" t="s">
        <v>43</v>
      </c>
      <c r="O512" t="s">
        <v>603</v>
      </c>
      <c r="P512">
        <v>63</v>
      </c>
      <c r="Q512">
        <v>63</v>
      </c>
      <c r="R512">
        <v>21</v>
      </c>
      <c r="S512" t="s">
        <v>45</v>
      </c>
      <c r="T512">
        <v>0.02</v>
      </c>
      <c r="U512">
        <v>1000</v>
      </c>
      <c r="V512" t="s">
        <v>46</v>
      </c>
      <c r="W512">
        <v>0.999</v>
      </c>
      <c r="X512">
        <v>25001</v>
      </c>
      <c r="Y512" t="s">
        <v>47</v>
      </c>
      <c r="Z512">
        <v>25</v>
      </c>
      <c r="AA512">
        <v>695</v>
      </c>
      <c r="AB512" t="s">
        <v>75</v>
      </c>
      <c r="AC512">
        <v>0.69399999999999995</v>
      </c>
      <c r="AD512">
        <v>814</v>
      </c>
      <c r="AE512" t="s">
        <v>48</v>
      </c>
      <c r="AF512">
        <v>0.81299999999999994</v>
      </c>
      <c r="AG512">
        <v>903</v>
      </c>
      <c r="AH512" t="s">
        <v>49</v>
      </c>
      <c r="AI512">
        <v>0.90200000000000002</v>
      </c>
      <c r="AJ512" t="s">
        <v>1154</v>
      </c>
    </row>
    <row r="513" spans="1:36" x14ac:dyDescent="0.25">
      <c r="A513" t="s">
        <v>991</v>
      </c>
      <c r="B513">
        <v>851914906</v>
      </c>
      <c r="C513" t="s">
        <v>992</v>
      </c>
      <c r="D513" t="s">
        <v>992</v>
      </c>
      <c r="E513" t="s">
        <v>99</v>
      </c>
      <c r="F513" t="s">
        <v>280</v>
      </c>
      <c r="I513" t="s">
        <v>39</v>
      </c>
      <c r="J513" t="s">
        <v>40</v>
      </c>
      <c r="K513" t="s">
        <v>41</v>
      </c>
      <c r="L513" t="s">
        <v>151</v>
      </c>
      <c r="M513" t="s">
        <v>178</v>
      </c>
      <c r="N513" t="s">
        <v>43</v>
      </c>
      <c r="O513" t="s">
        <v>993</v>
      </c>
      <c r="P513">
        <v>63</v>
      </c>
      <c r="Q513">
        <v>63</v>
      </c>
      <c r="R513">
        <v>1</v>
      </c>
      <c r="S513" t="s">
        <v>45</v>
      </c>
      <c r="T513">
        <v>0</v>
      </c>
      <c r="U513">
        <v>994</v>
      </c>
      <c r="V513" t="s">
        <v>46</v>
      </c>
      <c r="W513">
        <v>0.99299999999999999</v>
      </c>
      <c r="X513">
        <v>23001</v>
      </c>
      <c r="Y513" t="s">
        <v>47</v>
      </c>
      <c r="Z513">
        <v>23</v>
      </c>
      <c r="AA513">
        <v>643</v>
      </c>
      <c r="AB513" t="s">
        <v>75</v>
      </c>
      <c r="AC513">
        <v>0.64200000000000002</v>
      </c>
      <c r="AD513">
        <v>743</v>
      </c>
      <c r="AE513" t="s">
        <v>48</v>
      </c>
      <c r="AF513">
        <v>0.74199999999999999</v>
      </c>
      <c r="AG513">
        <v>780</v>
      </c>
      <c r="AH513" t="s">
        <v>49</v>
      </c>
      <c r="AI513">
        <v>0.77900000000000003</v>
      </c>
      <c r="AJ513" t="s">
        <v>1154</v>
      </c>
    </row>
    <row r="514" spans="1:36" x14ac:dyDescent="0.25">
      <c r="A514" t="s">
        <v>991</v>
      </c>
      <c r="B514">
        <v>851914906</v>
      </c>
      <c r="C514" t="s">
        <v>992</v>
      </c>
      <c r="D514" t="s">
        <v>992</v>
      </c>
      <c r="E514" t="s">
        <v>37</v>
      </c>
      <c r="F514" t="s">
        <v>280</v>
      </c>
      <c r="I514" t="s">
        <v>39</v>
      </c>
      <c r="J514" t="s">
        <v>40</v>
      </c>
      <c r="K514" t="s">
        <v>41</v>
      </c>
      <c r="L514" t="s">
        <v>151</v>
      </c>
      <c r="M514" t="s">
        <v>178</v>
      </c>
      <c r="N514" t="s">
        <v>43</v>
      </c>
      <c r="O514" t="s">
        <v>603</v>
      </c>
      <c r="P514">
        <v>63</v>
      </c>
      <c r="Q514">
        <v>63</v>
      </c>
      <c r="S514" t="s">
        <v>39</v>
      </c>
      <c r="V514" t="s">
        <v>39</v>
      </c>
      <c r="X514">
        <v>25001</v>
      </c>
      <c r="Y514" t="s">
        <v>47</v>
      </c>
      <c r="Z514">
        <v>25</v>
      </c>
      <c r="AA514">
        <v>695</v>
      </c>
      <c r="AB514" t="s">
        <v>75</v>
      </c>
      <c r="AC514">
        <v>0.69399999999999995</v>
      </c>
      <c r="AD514">
        <v>814</v>
      </c>
      <c r="AE514" t="s">
        <v>48</v>
      </c>
      <c r="AF514">
        <v>0.81299999999999994</v>
      </c>
      <c r="AG514">
        <v>903</v>
      </c>
      <c r="AH514" t="s">
        <v>49</v>
      </c>
      <c r="AI514">
        <v>0.90200000000000002</v>
      </c>
      <c r="AJ514" t="s">
        <v>1155</v>
      </c>
    </row>
    <row r="515" spans="1:36" x14ac:dyDescent="0.25">
      <c r="A515" t="s">
        <v>991</v>
      </c>
      <c r="B515">
        <v>851914906</v>
      </c>
      <c r="C515" t="s">
        <v>992</v>
      </c>
      <c r="D515" t="s">
        <v>992</v>
      </c>
      <c r="E515" t="s">
        <v>99</v>
      </c>
      <c r="F515" t="s">
        <v>280</v>
      </c>
      <c r="I515" t="s">
        <v>39</v>
      </c>
      <c r="J515" t="s">
        <v>40</v>
      </c>
      <c r="K515" t="s">
        <v>41</v>
      </c>
      <c r="L515" t="s">
        <v>151</v>
      </c>
      <c r="M515" t="s">
        <v>178</v>
      </c>
      <c r="N515" t="s">
        <v>43</v>
      </c>
      <c r="O515" t="s">
        <v>993</v>
      </c>
      <c r="P515">
        <v>63</v>
      </c>
      <c r="Q515">
        <v>63</v>
      </c>
      <c r="S515" t="s">
        <v>39</v>
      </c>
      <c r="V515" t="s">
        <v>39</v>
      </c>
      <c r="X515">
        <v>23001</v>
      </c>
      <c r="Y515" t="s">
        <v>47</v>
      </c>
      <c r="Z515">
        <v>23</v>
      </c>
      <c r="AA515">
        <v>643</v>
      </c>
      <c r="AB515" t="s">
        <v>75</v>
      </c>
      <c r="AC515">
        <v>0.64200000000000002</v>
      </c>
      <c r="AD515">
        <v>743</v>
      </c>
      <c r="AE515" t="s">
        <v>48</v>
      </c>
      <c r="AF515">
        <v>0.74199999999999999</v>
      </c>
      <c r="AG515">
        <v>780</v>
      </c>
      <c r="AH515" t="s">
        <v>49</v>
      </c>
      <c r="AI515">
        <v>0.77900000000000003</v>
      </c>
      <c r="AJ515" t="s">
        <v>1155</v>
      </c>
    </row>
    <row r="516" spans="1:36" x14ac:dyDescent="0.25">
      <c r="A516" t="s">
        <v>991</v>
      </c>
      <c r="B516">
        <v>851914906</v>
      </c>
      <c r="C516" t="s">
        <v>992</v>
      </c>
      <c r="D516" t="s">
        <v>992</v>
      </c>
      <c r="E516" t="s">
        <v>37</v>
      </c>
      <c r="F516" t="s">
        <v>280</v>
      </c>
      <c r="I516" t="s">
        <v>39</v>
      </c>
      <c r="J516" t="s">
        <v>40</v>
      </c>
      <c r="K516" t="s">
        <v>41</v>
      </c>
      <c r="L516" t="s">
        <v>151</v>
      </c>
      <c r="M516" t="s">
        <v>178</v>
      </c>
      <c r="N516" t="s">
        <v>43</v>
      </c>
      <c r="O516" t="s">
        <v>603</v>
      </c>
      <c r="P516">
        <v>63</v>
      </c>
      <c r="Q516">
        <v>63</v>
      </c>
      <c r="S516" t="s">
        <v>39</v>
      </c>
      <c r="V516" t="s">
        <v>39</v>
      </c>
      <c r="X516">
        <v>25001</v>
      </c>
      <c r="Y516" t="s">
        <v>47</v>
      </c>
      <c r="Z516">
        <v>25</v>
      </c>
      <c r="AA516">
        <v>695</v>
      </c>
      <c r="AB516" t="s">
        <v>75</v>
      </c>
      <c r="AC516">
        <v>0.69399999999999995</v>
      </c>
      <c r="AD516">
        <v>814</v>
      </c>
      <c r="AE516" t="s">
        <v>48</v>
      </c>
      <c r="AF516">
        <v>0.81299999999999994</v>
      </c>
      <c r="AG516">
        <v>903</v>
      </c>
      <c r="AH516" t="s">
        <v>49</v>
      </c>
      <c r="AI516">
        <v>0.90200000000000002</v>
      </c>
      <c r="AJ516" t="s">
        <v>1156</v>
      </c>
    </row>
    <row r="517" spans="1:36" x14ac:dyDescent="0.25">
      <c r="A517" t="s">
        <v>991</v>
      </c>
      <c r="B517">
        <v>851914906</v>
      </c>
      <c r="C517" t="s">
        <v>992</v>
      </c>
      <c r="D517" t="s">
        <v>992</v>
      </c>
      <c r="E517" t="s">
        <v>99</v>
      </c>
      <c r="F517" t="s">
        <v>280</v>
      </c>
      <c r="I517" t="s">
        <v>39</v>
      </c>
      <c r="J517" t="s">
        <v>40</v>
      </c>
      <c r="K517" t="s">
        <v>41</v>
      </c>
      <c r="L517" t="s">
        <v>151</v>
      </c>
      <c r="M517" t="s">
        <v>178</v>
      </c>
      <c r="N517" t="s">
        <v>43</v>
      </c>
      <c r="O517" t="s">
        <v>993</v>
      </c>
      <c r="P517">
        <v>63</v>
      </c>
      <c r="Q517">
        <v>63</v>
      </c>
      <c r="S517" t="s">
        <v>39</v>
      </c>
      <c r="V517" t="s">
        <v>39</v>
      </c>
      <c r="X517">
        <v>23001</v>
      </c>
      <c r="Y517" t="s">
        <v>47</v>
      </c>
      <c r="Z517">
        <v>23</v>
      </c>
      <c r="AA517">
        <v>643</v>
      </c>
      <c r="AB517" t="s">
        <v>75</v>
      </c>
      <c r="AC517">
        <v>0.64200000000000002</v>
      </c>
      <c r="AD517">
        <v>743</v>
      </c>
      <c r="AE517" t="s">
        <v>48</v>
      </c>
      <c r="AF517">
        <v>0.74199999999999999</v>
      </c>
      <c r="AG517">
        <v>780</v>
      </c>
      <c r="AH517" t="s">
        <v>49</v>
      </c>
      <c r="AI517">
        <v>0.77900000000000003</v>
      </c>
      <c r="AJ517" t="s">
        <v>1156</v>
      </c>
    </row>
    <row r="518" spans="1:36" x14ac:dyDescent="0.25">
      <c r="A518" t="s">
        <v>989</v>
      </c>
      <c r="B518">
        <v>855915610</v>
      </c>
      <c r="C518" t="s">
        <v>990</v>
      </c>
      <c r="D518" t="s">
        <v>990</v>
      </c>
      <c r="E518" t="s">
        <v>37</v>
      </c>
      <c r="F518" t="s">
        <v>191</v>
      </c>
      <c r="I518" t="s">
        <v>39</v>
      </c>
      <c r="J518" t="s">
        <v>40</v>
      </c>
      <c r="K518" t="s">
        <v>41</v>
      </c>
      <c r="L518" t="s">
        <v>131</v>
      </c>
      <c r="M518" t="s">
        <v>47</v>
      </c>
      <c r="N518" t="s">
        <v>43</v>
      </c>
      <c r="O518" t="s">
        <v>599</v>
      </c>
      <c r="P518">
        <v>63</v>
      </c>
      <c r="Q518">
        <v>63</v>
      </c>
      <c r="R518">
        <v>1</v>
      </c>
      <c r="S518" t="s">
        <v>45</v>
      </c>
      <c r="T518">
        <v>0</v>
      </c>
      <c r="U518">
        <v>988</v>
      </c>
      <c r="V518" t="s">
        <v>46</v>
      </c>
      <c r="W518">
        <v>0.98699999999999999</v>
      </c>
      <c r="X518">
        <v>19001</v>
      </c>
      <c r="Y518" t="s">
        <v>47</v>
      </c>
      <c r="Z518">
        <v>19</v>
      </c>
      <c r="AA518">
        <v>618</v>
      </c>
      <c r="AB518" t="s">
        <v>75</v>
      </c>
      <c r="AC518">
        <v>0.61699999999999999</v>
      </c>
      <c r="AD518">
        <v>789</v>
      </c>
      <c r="AE518" t="s">
        <v>48</v>
      </c>
      <c r="AF518">
        <v>0.78800000000000003</v>
      </c>
      <c r="AG518">
        <v>848</v>
      </c>
      <c r="AH518" t="s">
        <v>49</v>
      </c>
      <c r="AI518">
        <v>0.84699999999999998</v>
      </c>
      <c r="AJ518" t="s">
        <v>50</v>
      </c>
    </row>
    <row r="519" spans="1:36" x14ac:dyDescent="0.25">
      <c r="A519" t="s">
        <v>989</v>
      </c>
      <c r="B519">
        <v>855915610</v>
      </c>
      <c r="C519" t="s">
        <v>990</v>
      </c>
      <c r="D519" t="s">
        <v>990</v>
      </c>
      <c r="E519" t="s">
        <v>60</v>
      </c>
      <c r="F519" t="s">
        <v>191</v>
      </c>
      <c r="I519" t="s">
        <v>39</v>
      </c>
      <c r="J519" t="s">
        <v>40</v>
      </c>
      <c r="K519" t="s">
        <v>41</v>
      </c>
      <c r="L519" t="s">
        <v>131</v>
      </c>
      <c r="M519" t="s">
        <v>47</v>
      </c>
      <c r="N519" t="s">
        <v>43</v>
      </c>
      <c r="O519" t="s">
        <v>600</v>
      </c>
      <c r="P519">
        <v>63</v>
      </c>
      <c r="Q519">
        <v>63</v>
      </c>
      <c r="R519">
        <v>61</v>
      </c>
      <c r="S519" t="s">
        <v>56</v>
      </c>
      <c r="T519">
        <v>0.06</v>
      </c>
      <c r="U519">
        <v>140</v>
      </c>
      <c r="V519" t="s">
        <v>55</v>
      </c>
      <c r="W519">
        <v>0.13900000000000001</v>
      </c>
      <c r="X519">
        <v>15001</v>
      </c>
      <c r="Y519" t="s">
        <v>47</v>
      </c>
      <c r="Z519">
        <v>15</v>
      </c>
      <c r="AA519">
        <v>380</v>
      </c>
      <c r="AB519" t="s">
        <v>47</v>
      </c>
      <c r="AC519">
        <v>0.379</v>
      </c>
      <c r="AD519">
        <v>567</v>
      </c>
      <c r="AE519" t="s">
        <v>48</v>
      </c>
      <c r="AF519">
        <v>0.56599999999999995</v>
      </c>
      <c r="AG519">
        <v>555</v>
      </c>
      <c r="AH519" t="s">
        <v>49</v>
      </c>
      <c r="AI519">
        <v>0.55400000000000005</v>
      </c>
      <c r="AJ519" t="s">
        <v>50</v>
      </c>
    </row>
    <row r="520" spans="1:36" x14ac:dyDescent="0.25">
      <c r="A520" t="s">
        <v>989</v>
      </c>
      <c r="B520">
        <v>855915610</v>
      </c>
      <c r="C520" t="s">
        <v>990</v>
      </c>
      <c r="D520" t="s">
        <v>990</v>
      </c>
      <c r="E520" t="s">
        <v>37</v>
      </c>
      <c r="F520" t="s">
        <v>191</v>
      </c>
      <c r="I520" t="s">
        <v>39</v>
      </c>
      <c r="J520" t="s">
        <v>40</v>
      </c>
      <c r="K520" t="s">
        <v>41</v>
      </c>
      <c r="L520" t="s">
        <v>131</v>
      </c>
      <c r="M520" t="s">
        <v>47</v>
      </c>
      <c r="N520" t="s">
        <v>43</v>
      </c>
      <c r="O520" t="s">
        <v>599</v>
      </c>
      <c r="P520">
        <v>63</v>
      </c>
      <c r="Q520">
        <v>63</v>
      </c>
      <c r="R520">
        <v>1</v>
      </c>
      <c r="S520" t="s">
        <v>45</v>
      </c>
      <c r="T520">
        <v>0</v>
      </c>
      <c r="U520">
        <v>979</v>
      </c>
      <c r="V520" t="s">
        <v>46</v>
      </c>
      <c r="W520">
        <v>0.97799999999999998</v>
      </c>
      <c r="X520">
        <v>19001</v>
      </c>
      <c r="Y520" t="s">
        <v>47</v>
      </c>
      <c r="Z520">
        <v>19</v>
      </c>
      <c r="AA520">
        <v>618</v>
      </c>
      <c r="AB520" t="s">
        <v>75</v>
      </c>
      <c r="AC520">
        <v>0.61699999999999999</v>
      </c>
      <c r="AD520">
        <v>789</v>
      </c>
      <c r="AE520" t="s">
        <v>48</v>
      </c>
      <c r="AF520">
        <v>0.78800000000000003</v>
      </c>
      <c r="AG520">
        <v>848</v>
      </c>
      <c r="AH520" t="s">
        <v>49</v>
      </c>
      <c r="AI520">
        <v>0.84699999999999998</v>
      </c>
      <c r="AJ520" t="s">
        <v>1141</v>
      </c>
    </row>
    <row r="521" spans="1:36" x14ac:dyDescent="0.25">
      <c r="A521" t="s">
        <v>989</v>
      </c>
      <c r="B521">
        <v>855915610</v>
      </c>
      <c r="C521" t="s">
        <v>990</v>
      </c>
      <c r="D521" t="s">
        <v>990</v>
      </c>
      <c r="E521" t="s">
        <v>60</v>
      </c>
      <c r="F521" t="s">
        <v>191</v>
      </c>
      <c r="I521" t="s">
        <v>39</v>
      </c>
      <c r="J521" t="s">
        <v>40</v>
      </c>
      <c r="K521" t="s">
        <v>41</v>
      </c>
      <c r="L521" t="s">
        <v>131</v>
      </c>
      <c r="M521" t="s">
        <v>47</v>
      </c>
      <c r="N521" t="s">
        <v>43</v>
      </c>
      <c r="O521" t="s">
        <v>600</v>
      </c>
      <c r="P521">
        <v>63</v>
      </c>
      <c r="Q521">
        <v>63</v>
      </c>
      <c r="R521">
        <v>101</v>
      </c>
      <c r="S521" t="s">
        <v>56</v>
      </c>
      <c r="T521">
        <v>0.1</v>
      </c>
      <c r="U521">
        <v>134</v>
      </c>
      <c r="V521" t="s">
        <v>55</v>
      </c>
      <c r="W521">
        <v>0.13300000000000001</v>
      </c>
      <c r="X521">
        <v>15001</v>
      </c>
      <c r="Y521" t="s">
        <v>47</v>
      </c>
      <c r="Z521">
        <v>15</v>
      </c>
      <c r="AA521">
        <v>380</v>
      </c>
      <c r="AB521" t="s">
        <v>47</v>
      </c>
      <c r="AC521">
        <v>0.379</v>
      </c>
      <c r="AD521">
        <v>567</v>
      </c>
      <c r="AE521" t="s">
        <v>48</v>
      </c>
      <c r="AF521">
        <v>0.56599999999999995</v>
      </c>
      <c r="AG521">
        <v>555</v>
      </c>
      <c r="AH521" t="s">
        <v>49</v>
      </c>
      <c r="AI521">
        <v>0.55400000000000005</v>
      </c>
      <c r="AJ521" t="s">
        <v>1141</v>
      </c>
    </row>
    <row r="522" spans="1:36" x14ac:dyDescent="0.25">
      <c r="A522" t="s">
        <v>989</v>
      </c>
      <c r="B522">
        <v>855915610</v>
      </c>
      <c r="C522" t="s">
        <v>990</v>
      </c>
      <c r="D522" t="s">
        <v>990</v>
      </c>
      <c r="E522" t="s">
        <v>37</v>
      </c>
      <c r="F522" t="s">
        <v>191</v>
      </c>
      <c r="I522" t="s">
        <v>39</v>
      </c>
      <c r="J522" t="s">
        <v>40</v>
      </c>
      <c r="K522" t="s">
        <v>41</v>
      </c>
      <c r="L522" t="s">
        <v>131</v>
      </c>
      <c r="M522" t="s">
        <v>47</v>
      </c>
      <c r="N522" t="s">
        <v>43</v>
      </c>
      <c r="O522" t="s">
        <v>599</v>
      </c>
      <c r="P522">
        <v>63</v>
      </c>
      <c r="Q522">
        <v>63</v>
      </c>
      <c r="R522">
        <v>1</v>
      </c>
      <c r="S522" t="s">
        <v>45</v>
      </c>
      <c r="T522">
        <v>0</v>
      </c>
      <c r="U522">
        <v>988</v>
      </c>
      <c r="V522" t="s">
        <v>46</v>
      </c>
      <c r="W522">
        <v>0.98699999999999999</v>
      </c>
      <c r="X522">
        <v>19001</v>
      </c>
      <c r="Y522" t="s">
        <v>47</v>
      </c>
      <c r="Z522">
        <v>19</v>
      </c>
      <c r="AA522">
        <v>618</v>
      </c>
      <c r="AB522" t="s">
        <v>75</v>
      </c>
      <c r="AC522">
        <v>0.61699999999999999</v>
      </c>
      <c r="AD522">
        <v>789</v>
      </c>
      <c r="AE522" t="s">
        <v>48</v>
      </c>
      <c r="AF522">
        <v>0.78800000000000003</v>
      </c>
      <c r="AG522">
        <v>848</v>
      </c>
      <c r="AH522" t="s">
        <v>49</v>
      </c>
      <c r="AI522">
        <v>0.84699999999999998</v>
      </c>
      <c r="AJ522" t="s">
        <v>1153</v>
      </c>
    </row>
    <row r="523" spans="1:36" x14ac:dyDescent="0.25">
      <c r="A523" t="s">
        <v>989</v>
      </c>
      <c r="B523">
        <v>855915610</v>
      </c>
      <c r="C523" t="s">
        <v>990</v>
      </c>
      <c r="D523" t="s">
        <v>990</v>
      </c>
      <c r="E523" t="s">
        <v>60</v>
      </c>
      <c r="F523" t="s">
        <v>191</v>
      </c>
      <c r="I523" t="s">
        <v>39</v>
      </c>
      <c r="J523" t="s">
        <v>40</v>
      </c>
      <c r="K523" t="s">
        <v>41</v>
      </c>
      <c r="L523" t="s">
        <v>131</v>
      </c>
      <c r="M523" t="s">
        <v>47</v>
      </c>
      <c r="N523" t="s">
        <v>43</v>
      </c>
      <c r="O523" t="s">
        <v>600</v>
      </c>
      <c r="P523">
        <v>63</v>
      </c>
      <c r="Q523">
        <v>63</v>
      </c>
      <c r="R523">
        <v>61</v>
      </c>
      <c r="S523" t="s">
        <v>56</v>
      </c>
      <c r="T523">
        <v>0.06</v>
      </c>
      <c r="U523">
        <v>140</v>
      </c>
      <c r="V523" t="s">
        <v>55</v>
      </c>
      <c r="W523">
        <v>0.13900000000000001</v>
      </c>
      <c r="X523">
        <v>15001</v>
      </c>
      <c r="Y523" t="s">
        <v>47</v>
      </c>
      <c r="Z523">
        <v>15</v>
      </c>
      <c r="AA523">
        <v>380</v>
      </c>
      <c r="AB523" t="s">
        <v>47</v>
      </c>
      <c r="AC523">
        <v>0.379</v>
      </c>
      <c r="AD523">
        <v>567</v>
      </c>
      <c r="AE523" t="s">
        <v>48</v>
      </c>
      <c r="AF523">
        <v>0.56599999999999995</v>
      </c>
      <c r="AG523">
        <v>555</v>
      </c>
      <c r="AH523" t="s">
        <v>49</v>
      </c>
      <c r="AI523">
        <v>0.55400000000000005</v>
      </c>
      <c r="AJ523" t="s">
        <v>1153</v>
      </c>
    </row>
    <row r="524" spans="1:36" x14ac:dyDescent="0.25">
      <c r="A524" t="s">
        <v>989</v>
      </c>
      <c r="B524">
        <v>855915610</v>
      </c>
      <c r="C524" t="s">
        <v>990</v>
      </c>
      <c r="D524" t="s">
        <v>990</v>
      </c>
      <c r="E524" t="s">
        <v>37</v>
      </c>
      <c r="F524" t="s">
        <v>191</v>
      </c>
      <c r="I524" t="s">
        <v>39</v>
      </c>
      <c r="J524" t="s">
        <v>40</v>
      </c>
      <c r="K524" t="s">
        <v>41</v>
      </c>
      <c r="L524" t="s">
        <v>131</v>
      </c>
      <c r="M524" t="s">
        <v>47</v>
      </c>
      <c r="N524" t="s">
        <v>43</v>
      </c>
      <c r="O524" t="s">
        <v>599</v>
      </c>
      <c r="P524">
        <v>63</v>
      </c>
      <c r="Q524">
        <v>63</v>
      </c>
      <c r="R524">
        <v>1</v>
      </c>
      <c r="S524" t="s">
        <v>45</v>
      </c>
      <c r="T524">
        <v>0</v>
      </c>
      <c r="U524">
        <v>988</v>
      </c>
      <c r="V524" t="s">
        <v>46</v>
      </c>
      <c r="W524">
        <v>0.98699999999999999</v>
      </c>
      <c r="X524">
        <v>19001</v>
      </c>
      <c r="Y524" t="s">
        <v>47</v>
      </c>
      <c r="Z524">
        <v>19</v>
      </c>
      <c r="AA524">
        <v>618</v>
      </c>
      <c r="AB524" t="s">
        <v>75</v>
      </c>
      <c r="AC524">
        <v>0.61699999999999999</v>
      </c>
      <c r="AD524">
        <v>789</v>
      </c>
      <c r="AE524" t="s">
        <v>48</v>
      </c>
      <c r="AF524">
        <v>0.78800000000000003</v>
      </c>
      <c r="AG524">
        <v>848</v>
      </c>
      <c r="AH524" t="s">
        <v>49</v>
      </c>
      <c r="AI524">
        <v>0.84699999999999998</v>
      </c>
      <c r="AJ524" t="s">
        <v>1154</v>
      </c>
    </row>
    <row r="525" spans="1:36" x14ac:dyDescent="0.25">
      <c r="A525" t="s">
        <v>989</v>
      </c>
      <c r="B525">
        <v>855915610</v>
      </c>
      <c r="C525" t="s">
        <v>990</v>
      </c>
      <c r="D525" t="s">
        <v>990</v>
      </c>
      <c r="E525" t="s">
        <v>60</v>
      </c>
      <c r="F525" t="s">
        <v>191</v>
      </c>
      <c r="I525" t="s">
        <v>39</v>
      </c>
      <c r="J525" t="s">
        <v>40</v>
      </c>
      <c r="K525" t="s">
        <v>41</v>
      </c>
      <c r="L525" t="s">
        <v>131</v>
      </c>
      <c r="M525" t="s">
        <v>47</v>
      </c>
      <c r="N525" t="s">
        <v>43</v>
      </c>
      <c r="O525" t="s">
        <v>600</v>
      </c>
      <c r="P525">
        <v>63</v>
      </c>
      <c r="Q525">
        <v>63</v>
      </c>
      <c r="R525">
        <v>61</v>
      </c>
      <c r="S525" t="s">
        <v>56</v>
      </c>
      <c r="T525">
        <v>0.06</v>
      </c>
      <c r="U525">
        <v>140</v>
      </c>
      <c r="V525" t="s">
        <v>55</v>
      </c>
      <c r="W525">
        <v>0.13900000000000001</v>
      </c>
      <c r="X525">
        <v>15001</v>
      </c>
      <c r="Y525" t="s">
        <v>47</v>
      </c>
      <c r="Z525">
        <v>15</v>
      </c>
      <c r="AA525">
        <v>380</v>
      </c>
      <c r="AB525" t="s">
        <v>47</v>
      </c>
      <c r="AC525">
        <v>0.379</v>
      </c>
      <c r="AD525">
        <v>567</v>
      </c>
      <c r="AE525" t="s">
        <v>48</v>
      </c>
      <c r="AF525">
        <v>0.56599999999999995</v>
      </c>
      <c r="AG525">
        <v>555</v>
      </c>
      <c r="AH525" t="s">
        <v>49</v>
      </c>
      <c r="AI525">
        <v>0.55400000000000005</v>
      </c>
      <c r="AJ525" t="s">
        <v>1154</v>
      </c>
    </row>
    <row r="526" spans="1:36" x14ac:dyDescent="0.25">
      <c r="A526" t="s">
        <v>989</v>
      </c>
      <c r="B526">
        <v>855915610</v>
      </c>
      <c r="C526" t="s">
        <v>990</v>
      </c>
      <c r="D526" t="s">
        <v>990</v>
      </c>
      <c r="E526" t="s">
        <v>37</v>
      </c>
      <c r="F526" t="s">
        <v>191</v>
      </c>
      <c r="I526" t="s">
        <v>39</v>
      </c>
      <c r="J526" t="s">
        <v>40</v>
      </c>
      <c r="K526" t="s">
        <v>41</v>
      </c>
      <c r="L526" t="s">
        <v>131</v>
      </c>
      <c r="M526" t="s">
        <v>47</v>
      </c>
      <c r="N526" t="s">
        <v>43</v>
      </c>
      <c r="O526" t="s">
        <v>599</v>
      </c>
      <c r="P526">
        <v>63</v>
      </c>
      <c r="Q526">
        <v>63</v>
      </c>
      <c r="S526" t="s">
        <v>39</v>
      </c>
      <c r="V526" t="s">
        <v>39</v>
      </c>
      <c r="X526">
        <v>19001</v>
      </c>
      <c r="Y526" t="s">
        <v>47</v>
      </c>
      <c r="Z526">
        <v>19</v>
      </c>
      <c r="AA526">
        <v>618</v>
      </c>
      <c r="AB526" t="s">
        <v>75</v>
      </c>
      <c r="AC526">
        <v>0.61699999999999999</v>
      </c>
      <c r="AD526">
        <v>789</v>
      </c>
      <c r="AE526" t="s">
        <v>48</v>
      </c>
      <c r="AF526">
        <v>0.78800000000000003</v>
      </c>
      <c r="AG526">
        <v>848</v>
      </c>
      <c r="AH526" t="s">
        <v>49</v>
      </c>
      <c r="AI526">
        <v>0.84699999999999998</v>
      </c>
      <c r="AJ526" t="s">
        <v>1155</v>
      </c>
    </row>
    <row r="527" spans="1:36" x14ac:dyDescent="0.25">
      <c r="A527" t="s">
        <v>989</v>
      </c>
      <c r="B527">
        <v>855915610</v>
      </c>
      <c r="C527" t="s">
        <v>990</v>
      </c>
      <c r="D527" t="s">
        <v>990</v>
      </c>
      <c r="E527" t="s">
        <v>60</v>
      </c>
      <c r="F527" t="s">
        <v>191</v>
      </c>
      <c r="I527" t="s">
        <v>39</v>
      </c>
      <c r="J527" t="s">
        <v>40</v>
      </c>
      <c r="K527" t="s">
        <v>41</v>
      </c>
      <c r="L527" t="s">
        <v>131</v>
      </c>
      <c r="M527" t="s">
        <v>47</v>
      </c>
      <c r="N527" t="s">
        <v>43</v>
      </c>
      <c r="O527" t="s">
        <v>600</v>
      </c>
      <c r="P527">
        <v>63</v>
      </c>
      <c r="Q527">
        <v>63</v>
      </c>
      <c r="S527" t="s">
        <v>39</v>
      </c>
      <c r="V527" t="s">
        <v>39</v>
      </c>
      <c r="X527">
        <v>15001</v>
      </c>
      <c r="Y527" t="s">
        <v>47</v>
      </c>
      <c r="Z527">
        <v>15</v>
      </c>
      <c r="AA527">
        <v>380</v>
      </c>
      <c r="AB527" t="s">
        <v>47</v>
      </c>
      <c r="AC527">
        <v>0.379</v>
      </c>
      <c r="AD527">
        <v>567</v>
      </c>
      <c r="AE527" t="s">
        <v>48</v>
      </c>
      <c r="AF527">
        <v>0.56599999999999995</v>
      </c>
      <c r="AG527">
        <v>555</v>
      </c>
      <c r="AH527" t="s">
        <v>49</v>
      </c>
      <c r="AI527">
        <v>0.55400000000000005</v>
      </c>
      <c r="AJ527" t="s">
        <v>1155</v>
      </c>
    </row>
    <row r="528" spans="1:36" x14ac:dyDescent="0.25">
      <c r="A528" t="s">
        <v>989</v>
      </c>
      <c r="B528">
        <v>855915610</v>
      </c>
      <c r="C528" t="s">
        <v>990</v>
      </c>
      <c r="D528" t="s">
        <v>990</v>
      </c>
      <c r="E528" t="s">
        <v>37</v>
      </c>
      <c r="F528" t="s">
        <v>191</v>
      </c>
      <c r="I528" t="s">
        <v>39</v>
      </c>
      <c r="J528" t="s">
        <v>40</v>
      </c>
      <c r="K528" t="s">
        <v>41</v>
      </c>
      <c r="L528" t="s">
        <v>131</v>
      </c>
      <c r="M528" t="s">
        <v>47</v>
      </c>
      <c r="N528" t="s">
        <v>43</v>
      </c>
      <c r="O528" t="s">
        <v>599</v>
      </c>
      <c r="P528">
        <v>63</v>
      </c>
      <c r="Q528">
        <v>63</v>
      </c>
      <c r="S528" t="s">
        <v>39</v>
      </c>
      <c r="V528" t="s">
        <v>39</v>
      </c>
      <c r="X528">
        <v>19001</v>
      </c>
      <c r="Y528" t="s">
        <v>47</v>
      </c>
      <c r="Z528">
        <v>19</v>
      </c>
      <c r="AA528">
        <v>618</v>
      </c>
      <c r="AB528" t="s">
        <v>75</v>
      </c>
      <c r="AC528">
        <v>0.61699999999999999</v>
      </c>
      <c r="AD528">
        <v>789</v>
      </c>
      <c r="AE528" t="s">
        <v>48</v>
      </c>
      <c r="AF528">
        <v>0.78800000000000003</v>
      </c>
      <c r="AG528">
        <v>848</v>
      </c>
      <c r="AH528" t="s">
        <v>49</v>
      </c>
      <c r="AI528">
        <v>0.84699999999999998</v>
      </c>
      <c r="AJ528" t="s">
        <v>1156</v>
      </c>
    </row>
    <row r="529" spans="1:36" x14ac:dyDescent="0.25">
      <c r="A529" t="s">
        <v>989</v>
      </c>
      <c r="B529">
        <v>855915610</v>
      </c>
      <c r="C529" t="s">
        <v>990</v>
      </c>
      <c r="D529" t="s">
        <v>990</v>
      </c>
      <c r="E529" t="s">
        <v>60</v>
      </c>
      <c r="F529" t="s">
        <v>191</v>
      </c>
      <c r="I529" t="s">
        <v>39</v>
      </c>
      <c r="J529" t="s">
        <v>40</v>
      </c>
      <c r="K529" t="s">
        <v>41</v>
      </c>
      <c r="L529" t="s">
        <v>131</v>
      </c>
      <c r="M529" t="s">
        <v>47</v>
      </c>
      <c r="N529" t="s">
        <v>43</v>
      </c>
      <c r="O529" t="s">
        <v>600</v>
      </c>
      <c r="P529">
        <v>63</v>
      </c>
      <c r="Q529">
        <v>63</v>
      </c>
      <c r="S529" t="s">
        <v>39</v>
      </c>
      <c r="V529" t="s">
        <v>39</v>
      </c>
      <c r="X529">
        <v>15001</v>
      </c>
      <c r="Y529" t="s">
        <v>47</v>
      </c>
      <c r="Z529">
        <v>15</v>
      </c>
      <c r="AA529">
        <v>380</v>
      </c>
      <c r="AB529" t="s">
        <v>47</v>
      </c>
      <c r="AC529">
        <v>0.379</v>
      </c>
      <c r="AD529">
        <v>567</v>
      </c>
      <c r="AE529" t="s">
        <v>48</v>
      </c>
      <c r="AF529">
        <v>0.56599999999999995</v>
      </c>
      <c r="AG529">
        <v>555</v>
      </c>
      <c r="AH529" t="s">
        <v>49</v>
      </c>
      <c r="AI529">
        <v>0.55400000000000005</v>
      </c>
      <c r="AJ529" t="s">
        <v>1156</v>
      </c>
    </row>
    <row r="530" spans="1:36" x14ac:dyDescent="0.25">
      <c r="A530" t="s">
        <v>987</v>
      </c>
      <c r="B530">
        <v>872683993</v>
      </c>
      <c r="C530" t="s">
        <v>988</v>
      </c>
      <c r="D530" t="s">
        <v>988</v>
      </c>
      <c r="E530" t="s">
        <v>60</v>
      </c>
      <c r="F530" t="s">
        <v>61</v>
      </c>
      <c r="I530" t="s">
        <v>39</v>
      </c>
      <c r="J530" t="s">
        <v>40</v>
      </c>
      <c r="K530" t="s">
        <v>41</v>
      </c>
      <c r="L530" t="s">
        <v>406</v>
      </c>
      <c r="M530" t="s">
        <v>216</v>
      </c>
      <c r="N530" t="s">
        <v>43</v>
      </c>
      <c r="O530" t="s">
        <v>62</v>
      </c>
      <c r="P530">
        <v>64</v>
      </c>
      <c r="Q530">
        <v>64</v>
      </c>
      <c r="R530">
        <v>91</v>
      </c>
      <c r="S530" t="s">
        <v>56</v>
      </c>
      <c r="T530">
        <v>0.09</v>
      </c>
      <c r="U530">
        <v>6</v>
      </c>
      <c r="V530" t="s">
        <v>55</v>
      </c>
      <c r="W530">
        <v>5.0000000000000001E-3</v>
      </c>
      <c r="X530">
        <v>7001</v>
      </c>
      <c r="Y530" t="s">
        <v>47</v>
      </c>
      <c r="Z530">
        <v>7</v>
      </c>
      <c r="AA530">
        <v>257</v>
      </c>
      <c r="AB530" t="s">
        <v>47</v>
      </c>
      <c r="AC530">
        <v>0.25600000000000001</v>
      </c>
      <c r="AD530">
        <v>393</v>
      </c>
      <c r="AE530" t="s">
        <v>56</v>
      </c>
      <c r="AF530">
        <v>0.39200000000000002</v>
      </c>
      <c r="AG530">
        <v>239</v>
      </c>
      <c r="AH530" t="s">
        <v>57</v>
      </c>
      <c r="AI530">
        <v>0.23799999999999999</v>
      </c>
      <c r="AJ530" t="s">
        <v>50</v>
      </c>
    </row>
    <row r="531" spans="1:36" x14ac:dyDescent="0.25">
      <c r="A531" t="s">
        <v>987</v>
      </c>
      <c r="B531">
        <v>872683993</v>
      </c>
      <c r="C531" t="s">
        <v>988</v>
      </c>
      <c r="D531" t="s">
        <v>988</v>
      </c>
      <c r="E531" t="s">
        <v>60</v>
      </c>
      <c r="F531" t="s">
        <v>61</v>
      </c>
      <c r="I531" t="s">
        <v>39</v>
      </c>
      <c r="J531" t="s">
        <v>40</v>
      </c>
      <c r="K531" t="s">
        <v>41</v>
      </c>
      <c r="L531" t="s">
        <v>406</v>
      </c>
      <c r="M531" t="s">
        <v>216</v>
      </c>
      <c r="N531" t="s">
        <v>43</v>
      </c>
      <c r="O531" t="s">
        <v>62</v>
      </c>
      <c r="P531">
        <v>64</v>
      </c>
      <c r="Q531">
        <v>64</v>
      </c>
      <c r="R531">
        <v>331</v>
      </c>
      <c r="S531" t="s">
        <v>56</v>
      </c>
      <c r="T531">
        <v>0.33</v>
      </c>
      <c r="U531">
        <v>1</v>
      </c>
      <c r="V531" t="s">
        <v>55</v>
      </c>
      <c r="W531">
        <v>0</v>
      </c>
      <c r="X531">
        <v>7001</v>
      </c>
      <c r="Y531" t="s">
        <v>47</v>
      </c>
      <c r="Z531">
        <v>7</v>
      </c>
      <c r="AA531">
        <v>257</v>
      </c>
      <c r="AB531" t="s">
        <v>47</v>
      </c>
      <c r="AC531">
        <v>0.25600000000000001</v>
      </c>
      <c r="AD531">
        <v>393</v>
      </c>
      <c r="AE531" t="s">
        <v>56</v>
      </c>
      <c r="AF531">
        <v>0.39200000000000002</v>
      </c>
      <c r="AG531">
        <v>239</v>
      </c>
      <c r="AH531" t="s">
        <v>57</v>
      </c>
      <c r="AI531">
        <v>0.23799999999999999</v>
      </c>
      <c r="AJ531" t="s">
        <v>1141</v>
      </c>
    </row>
    <row r="532" spans="1:36" x14ac:dyDescent="0.25">
      <c r="A532" t="s">
        <v>987</v>
      </c>
      <c r="B532">
        <v>872683993</v>
      </c>
      <c r="C532" t="s">
        <v>988</v>
      </c>
      <c r="D532" t="s">
        <v>988</v>
      </c>
      <c r="E532" t="s">
        <v>60</v>
      </c>
      <c r="F532" t="s">
        <v>61</v>
      </c>
      <c r="I532" t="s">
        <v>39</v>
      </c>
      <c r="J532" t="s">
        <v>40</v>
      </c>
      <c r="K532" t="s">
        <v>41</v>
      </c>
      <c r="L532" t="s">
        <v>406</v>
      </c>
      <c r="M532" t="s">
        <v>216</v>
      </c>
      <c r="N532" t="s">
        <v>43</v>
      </c>
      <c r="O532" t="s">
        <v>62</v>
      </c>
      <c r="P532">
        <v>64</v>
      </c>
      <c r="Q532">
        <v>64</v>
      </c>
      <c r="R532">
        <v>91</v>
      </c>
      <c r="S532" t="s">
        <v>56</v>
      </c>
      <c r="T532">
        <v>0.09</v>
      </c>
      <c r="U532">
        <v>6</v>
      </c>
      <c r="V532" t="s">
        <v>55</v>
      </c>
      <c r="W532">
        <v>5.0000000000000001E-3</v>
      </c>
      <c r="X532">
        <v>7001</v>
      </c>
      <c r="Y532" t="s">
        <v>47</v>
      </c>
      <c r="Z532">
        <v>7</v>
      </c>
      <c r="AA532">
        <v>257</v>
      </c>
      <c r="AB532" t="s">
        <v>47</v>
      </c>
      <c r="AC532">
        <v>0.25600000000000001</v>
      </c>
      <c r="AD532">
        <v>393</v>
      </c>
      <c r="AE532" t="s">
        <v>56</v>
      </c>
      <c r="AF532">
        <v>0.39200000000000002</v>
      </c>
      <c r="AG532">
        <v>239</v>
      </c>
      <c r="AH532" t="s">
        <v>57</v>
      </c>
      <c r="AI532">
        <v>0.23799999999999999</v>
      </c>
      <c r="AJ532" t="s">
        <v>1153</v>
      </c>
    </row>
    <row r="533" spans="1:36" x14ac:dyDescent="0.25">
      <c r="A533" t="s">
        <v>987</v>
      </c>
      <c r="B533">
        <v>872683993</v>
      </c>
      <c r="C533" t="s">
        <v>988</v>
      </c>
      <c r="D533" t="s">
        <v>988</v>
      </c>
      <c r="E533" t="s">
        <v>60</v>
      </c>
      <c r="F533" t="s">
        <v>61</v>
      </c>
      <c r="I533" t="s">
        <v>39</v>
      </c>
      <c r="J533" t="s">
        <v>40</v>
      </c>
      <c r="K533" t="s">
        <v>41</v>
      </c>
      <c r="L533" t="s">
        <v>406</v>
      </c>
      <c r="M533" t="s">
        <v>216</v>
      </c>
      <c r="N533" t="s">
        <v>43</v>
      </c>
      <c r="O533" t="s">
        <v>62</v>
      </c>
      <c r="P533">
        <v>64</v>
      </c>
      <c r="Q533">
        <v>64</v>
      </c>
      <c r="R533">
        <v>91</v>
      </c>
      <c r="S533" t="s">
        <v>56</v>
      </c>
      <c r="T533">
        <v>0.09</v>
      </c>
      <c r="U533">
        <v>6</v>
      </c>
      <c r="V533" t="s">
        <v>55</v>
      </c>
      <c r="W533">
        <v>5.0000000000000001E-3</v>
      </c>
      <c r="X533">
        <v>7001</v>
      </c>
      <c r="Y533" t="s">
        <v>47</v>
      </c>
      <c r="Z533">
        <v>7</v>
      </c>
      <c r="AA533">
        <v>257</v>
      </c>
      <c r="AB533" t="s">
        <v>47</v>
      </c>
      <c r="AC533">
        <v>0.25600000000000001</v>
      </c>
      <c r="AD533">
        <v>393</v>
      </c>
      <c r="AE533" t="s">
        <v>56</v>
      </c>
      <c r="AF533">
        <v>0.39200000000000002</v>
      </c>
      <c r="AG533">
        <v>239</v>
      </c>
      <c r="AH533" t="s">
        <v>57</v>
      </c>
      <c r="AI533">
        <v>0.23799999999999999</v>
      </c>
      <c r="AJ533" t="s">
        <v>1154</v>
      </c>
    </row>
    <row r="534" spans="1:36" x14ac:dyDescent="0.25">
      <c r="A534" t="s">
        <v>987</v>
      </c>
      <c r="B534">
        <v>872683993</v>
      </c>
      <c r="C534" t="s">
        <v>988</v>
      </c>
      <c r="D534" t="s">
        <v>988</v>
      </c>
      <c r="E534" t="s">
        <v>60</v>
      </c>
      <c r="F534" t="s">
        <v>61</v>
      </c>
      <c r="I534" t="s">
        <v>39</v>
      </c>
      <c r="J534" t="s">
        <v>40</v>
      </c>
      <c r="K534" t="s">
        <v>41</v>
      </c>
      <c r="L534" t="s">
        <v>406</v>
      </c>
      <c r="M534" t="s">
        <v>216</v>
      </c>
      <c r="N534" t="s">
        <v>43</v>
      </c>
      <c r="O534" t="s">
        <v>62</v>
      </c>
      <c r="P534">
        <v>64</v>
      </c>
      <c r="Q534">
        <v>64</v>
      </c>
      <c r="S534" t="s">
        <v>39</v>
      </c>
      <c r="V534" t="s">
        <v>39</v>
      </c>
      <c r="X534">
        <v>7001</v>
      </c>
      <c r="Y534" t="s">
        <v>47</v>
      </c>
      <c r="Z534">
        <v>7</v>
      </c>
      <c r="AA534">
        <v>257</v>
      </c>
      <c r="AB534" t="s">
        <v>47</v>
      </c>
      <c r="AC534">
        <v>0.25600000000000001</v>
      </c>
      <c r="AD534">
        <v>393</v>
      </c>
      <c r="AE534" t="s">
        <v>56</v>
      </c>
      <c r="AF534">
        <v>0.39200000000000002</v>
      </c>
      <c r="AG534">
        <v>239</v>
      </c>
      <c r="AH534" t="s">
        <v>57</v>
      </c>
      <c r="AI534">
        <v>0.23799999999999999</v>
      </c>
      <c r="AJ534" t="s">
        <v>1155</v>
      </c>
    </row>
    <row r="535" spans="1:36" x14ac:dyDescent="0.25">
      <c r="A535" t="s">
        <v>987</v>
      </c>
      <c r="B535">
        <v>872683993</v>
      </c>
      <c r="C535" t="s">
        <v>988</v>
      </c>
      <c r="D535" t="s">
        <v>988</v>
      </c>
      <c r="E535" t="s">
        <v>60</v>
      </c>
      <c r="F535" t="s">
        <v>61</v>
      </c>
      <c r="I535" t="s">
        <v>39</v>
      </c>
      <c r="J535" t="s">
        <v>40</v>
      </c>
      <c r="K535" t="s">
        <v>41</v>
      </c>
      <c r="L535" t="s">
        <v>406</v>
      </c>
      <c r="M535" t="s">
        <v>216</v>
      </c>
      <c r="N535" t="s">
        <v>43</v>
      </c>
      <c r="O535" t="s">
        <v>62</v>
      </c>
      <c r="P535">
        <v>64</v>
      </c>
      <c r="Q535">
        <v>64</v>
      </c>
      <c r="S535" t="s">
        <v>39</v>
      </c>
      <c r="V535" t="s">
        <v>39</v>
      </c>
      <c r="X535">
        <v>7001</v>
      </c>
      <c r="Y535" t="s">
        <v>47</v>
      </c>
      <c r="Z535">
        <v>7</v>
      </c>
      <c r="AA535">
        <v>257</v>
      </c>
      <c r="AB535" t="s">
        <v>47</v>
      </c>
      <c r="AC535">
        <v>0.25600000000000001</v>
      </c>
      <c r="AD535">
        <v>393</v>
      </c>
      <c r="AE535" t="s">
        <v>56</v>
      </c>
      <c r="AF535">
        <v>0.39200000000000002</v>
      </c>
      <c r="AG535">
        <v>239</v>
      </c>
      <c r="AH535" t="s">
        <v>57</v>
      </c>
      <c r="AI535">
        <v>0.23799999999999999</v>
      </c>
      <c r="AJ535" t="s">
        <v>1156</v>
      </c>
    </row>
    <row r="536" spans="1:36" x14ac:dyDescent="0.25">
      <c r="A536" t="s">
        <v>985</v>
      </c>
      <c r="B536">
        <v>855876438</v>
      </c>
      <c r="C536" t="s">
        <v>986</v>
      </c>
      <c r="D536" t="s">
        <v>986</v>
      </c>
      <c r="E536" t="s">
        <v>99</v>
      </c>
      <c r="F536" t="s">
        <v>143</v>
      </c>
      <c r="I536" t="s">
        <v>39</v>
      </c>
      <c r="J536" t="s">
        <v>40</v>
      </c>
      <c r="K536" t="s">
        <v>41</v>
      </c>
      <c r="L536" t="s">
        <v>251</v>
      </c>
      <c r="N536" t="s">
        <v>43</v>
      </c>
      <c r="O536" t="s">
        <v>576</v>
      </c>
      <c r="P536">
        <v>64</v>
      </c>
      <c r="Q536">
        <v>64</v>
      </c>
      <c r="R536">
        <v>91</v>
      </c>
      <c r="S536" t="s">
        <v>56</v>
      </c>
      <c r="T536">
        <v>0.09</v>
      </c>
      <c r="U536">
        <v>55</v>
      </c>
      <c r="V536" t="s">
        <v>55</v>
      </c>
      <c r="W536">
        <v>5.3999999999999999E-2</v>
      </c>
      <c r="X536">
        <v>8001</v>
      </c>
      <c r="Y536" t="s">
        <v>47</v>
      </c>
      <c r="Z536">
        <v>8</v>
      </c>
      <c r="AA536">
        <v>312</v>
      </c>
      <c r="AB536" t="s">
        <v>47</v>
      </c>
      <c r="AC536">
        <v>0.311</v>
      </c>
      <c r="AD536">
        <v>379</v>
      </c>
      <c r="AE536" t="s">
        <v>56</v>
      </c>
      <c r="AF536">
        <v>0.378</v>
      </c>
      <c r="AG536">
        <v>382</v>
      </c>
      <c r="AH536" t="s">
        <v>57</v>
      </c>
      <c r="AI536">
        <v>0.38100000000000001</v>
      </c>
      <c r="AJ536" t="s">
        <v>50</v>
      </c>
    </row>
    <row r="537" spans="1:36" x14ac:dyDescent="0.25">
      <c r="A537" t="s">
        <v>985</v>
      </c>
      <c r="B537">
        <v>855876438</v>
      </c>
      <c r="C537" t="s">
        <v>986</v>
      </c>
      <c r="D537" t="s">
        <v>986</v>
      </c>
      <c r="E537" t="s">
        <v>99</v>
      </c>
      <c r="F537" t="s">
        <v>143</v>
      </c>
      <c r="I537" t="s">
        <v>39</v>
      </c>
      <c r="J537" t="s">
        <v>40</v>
      </c>
      <c r="K537" t="s">
        <v>41</v>
      </c>
      <c r="L537" t="s">
        <v>251</v>
      </c>
      <c r="N537" t="s">
        <v>43</v>
      </c>
      <c r="O537" t="s">
        <v>576</v>
      </c>
      <c r="P537">
        <v>64</v>
      </c>
      <c r="Q537">
        <v>64</v>
      </c>
      <c r="R537">
        <v>331</v>
      </c>
      <c r="S537" t="s">
        <v>56</v>
      </c>
      <c r="T537">
        <v>0.33</v>
      </c>
      <c r="U537">
        <v>24</v>
      </c>
      <c r="V537" t="s">
        <v>55</v>
      </c>
      <c r="W537">
        <v>2.3E-2</v>
      </c>
      <c r="X537">
        <v>8001</v>
      </c>
      <c r="Y537" t="s">
        <v>47</v>
      </c>
      <c r="Z537">
        <v>8</v>
      </c>
      <c r="AA537">
        <v>312</v>
      </c>
      <c r="AB537" t="s">
        <v>47</v>
      </c>
      <c r="AC537">
        <v>0.311</v>
      </c>
      <c r="AD537">
        <v>379</v>
      </c>
      <c r="AE537" t="s">
        <v>56</v>
      </c>
      <c r="AF537">
        <v>0.378</v>
      </c>
      <c r="AG537">
        <v>382</v>
      </c>
      <c r="AH537" t="s">
        <v>57</v>
      </c>
      <c r="AI537">
        <v>0.38100000000000001</v>
      </c>
      <c r="AJ537" t="s">
        <v>1141</v>
      </c>
    </row>
    <row r="538" spans="1:36" x14ac:dyDescent="0.25">
      <c r="A538" t="s">
        <v>985</v>
      </c>
      <c r="B538">
        <v>855876438</v>
      </c>
      <c r="C538" t="s">
        <v>986</v>
      </c>
      <c r="D538" t="s">
        <v>986</v>
      </c>
      <c r="E538" t="s">
        <v>99</v>
      </c>
      <c r="F538" t="s">
        <v>143</v>
      </c>
      <c r="I538" t="s">
        <v>39</v>
      </c>
      <c r="J538" t="s">
        <v>40</v>
      </c>
      <c r="K538" t="s">
        <v>41</v>
      </c>
      <c r="L538" t="s">
        <v>251</v>
      </c>
      <c r="N538" t="s">
        <v>43</v>
      </c>
      <c r="O538" t="s">
        <v>576</v>
      </c>
      <c r="P538">
        <v>64</v>
      </c>
      <c r="Q538">
        <v>64</v>
      </c>
      <c r="R538">
        <v>91</v>
      </c>
      <c r="S538" t="s">
        <v>56</v>
      </c>
      <c r="T538">
        <v>0.09</v>
      </c>
      <c r="U538">
        <v>55</v>
      </c>
      <c r="V538" t="s">
        <v>55</v>
      </c>
      <c r="W538">
        <v>5.3999999999999999E-2</v>
      </c>
      <c r="X538">
        <v>8001</v>
      </c>
      <c r="Y538" t="s">
        <v>47</v>
      </c>
      <c r="Z538">
        <v>8</v>
      </c>
      <c r="AA538">
        <v>312</v>
      </c>
      <c r="AB538" t="s">
        <v>47</v>
      </c>
      <c r="AC538">
        <v>0.311</v>
      </c>
      <c r="AD538">
        <v>379</v>
      </c>
      <c r="AE538" t="s">
        <v>56</v>
      </c>
      <c r="AF538">
        <v>0.378</v>
      </c>
      <c r="AG538">
        <v>382</v>
      </c>
      <c r="AH538" t="s">
        <v>57</v>
      </c>
      <c r="AI538">
        <v>0.38100000000000001</v>
      </c>
      <c r="AJ538" t="s">
        <v>1153</v>
      </c>
    </row>
    <row r="539" spans="1:36" x14ac:dyDescent="0.25">
      <c r="A539" t="s">
        <v>985</v>
      </c>
      <c r="B539">
        <v>855876438</v>
      </c>
      <c r="C539" t="s">
        <v>986</v>
      </c>
      <c r="D539" t="s">
        <v>986</v>
      </c>
      <c r="E539" t="s">
        <v>99</v>
      </c>
      <c r="F539" t="s">
        <v>143</v>
      </c>
      <c r="I539" t="s">
        <v>39</v>
      </c>
      <c r="J539" t="s">
        <v>40</v>
      </c>
      <c r="K539" t="s">
        <v>41</v>
      </c>
      <c r="L539" t="s">
        <v>251</v>
      </c>
      <c r="N539" t="s">
        <v>43</v>
      </c>
      <c r="O539" t="s">
        <v>576</v>
      </c>
      <c r="P539">
        <v>64</v>
      </c>
      <c r="Q539">
        <v>64</v>
      </c>
      <c r="R539">
        <v>91</v>
      </c>
      <c r="S539" t="s">
        <v>56</v>
      </c>
      <c r="T539">
        <v>0.09</v>
      </c>
      <c r="U539">
        <v>55</v>
      </c>
      <c r="V539" t="s">
        <v>55</v>
      </c>
      <c r="W539">
        <v>5.3999999999999999E-2</v>
      </c>
      <c r="X539">
        <v>8001</v>
      </c>
      <c r="Y539" t="s">
        <v>47</v>
      </c>
      <c r="Z539">
        <v>8</v>
      </c>
      <c r="AA539">
        <v>312</v>
      </c>
      <c r="AB539" t="s">
        <v>47</v>
      </c>
      <c r="AC539">
        <v>0.311</v>
      </c>
      <c r="AD539">
        <v>379</v>
      </c>
      <c r="AE539" t="s">
        <v>56</v>
      </c>
      <c r="AF539">
        <v>0.378</v>
      </c>
      <c r="AG539">
        <v>382</v>
      </c>
      <c r="AH539" t="s">
        <v>57</v>
      </c>
      <c r="AI539">
        <v>0.38100000000000001</v>
      </c>
      <c r="AJ539" t="s">
        <v>1154</v>
      </c>
    </row>
    <row r="540" spans="1:36" x14ac:dyDescent="0.25">
      <c r="A540" t="s">
        <v>985</v>
      </c>
      <c r="B540">
        <v>855876438</v>
      </c>
      <c r="C540" t="s">
        <v>986</v>
      </c>
      <c r="D540" t="s">
        <v>986</v>
      </c>
      <c r="E540" t="s">
        <v>99</v>
      </c>
      <c r="F540" t="s">
        <v>143</v>
      </c>
      <c r="I540" t="s">
        <v>39</v>
      </c>
      <c r="J540" t="s">
        <v>40</v>
      </c>
      <c r="K540" t="s">
        <v>41</v>
      </c>
      <c r="L540" t="s">
        <v>251</v>
      </c>
      <c r="N540" t="s">
        <v>43</v>
      </c>
      <c r="O540" t="s">
        <v>576</v>
      </c>
      <c r="P540">
        <v>64</v>
      </c>
      <c r="Q540">
        <v>64</v>
      </c>
      <c r="S540" t="s">
        <v>39</v>
      </c>
      <c r="V540" t="s">
        <v>39</v>
      </c>
      <c r="X540">
        <v>8001</v>
      </c>
      <c r="Y540" t="s">
        <v>47</v>
      </c>
      <c r="Z540">
        <v>8</v>
      </c>
      <c r="AA540">
        <v>312</v>
      </c>
      <c r="AB540" t="s">
        <v>47</v>
      </c>
      <c r="AC540">
        <v>0.311</v>
      </c>
      <c r="AD540">
        <v>379</v>
      </c>
      <c r="AE540" t="s">
        <v>56</v>
      </c>
      <c r="AF540">
        <v>0.378</v>
      </c>
      <c r="AG540">
        <v>382</v>
      </c>
      <c r="AH540" t="s">
        <v>57</v>
      </c>
      <c r="AI540">
        <v>0.38100000000000001</v>
      </c>
      <c r="AJ540" t="s">
        <v>1155</v>
      </c>
    </row>
    <row r="541" spans="1:36" x14ac:dyDescent="0.25">
      <c r="A541" t="s">
        <v>985</v>
      </c>
      <c r="B541">
        <v>855876438</v>
      </c>
      <c r="C541" t="s">
        <v>986</v>
      </c>
      <c r="D541" t="s">
        <v>986</v>
      </c>
      <c r="E541" t="s">
        <v>99</v>
      </c>
      <c r="F541" t="s">
        <v>143</v>
      </c>
      <c r="I541" t="s">
        <v>39</v>
      </c>
      <c r="J541" t="s">
        <v>40</v>
      </c>
      <c r="K541" t="s">
        <v>41</v>
      </c>
      <c r="L541" t="s">
        <v>251</v>
      </c>
      <c r="N541" t="s">
        <v>43</v>
      </c>
      <c r="O541" t="s">
        <v>576</v>
      </c>
      <c r="P541">
        <v>64</v>
      </c>
      <c r="Q541">
        <v>64</v>
      </c>
      <c r="S541" t="s">
        <v>39</v>
      </c>
      <c r="V541" t="s">
        <v>39</v>
      </c>
      <c r="X541">
        <v>8001</v>
      </c>
      <c r="Y541" t="s">
        <v>47</v>
      </c>
      <c r="Z541">
        <v>8</v>
      </c>
      <c r="AA541">
        <v>312</v>
      </c>
      <c r="AB541" t="s">
        <v>47</v>
      </c>
      <c r="AC541">
        <v>0.311</v>
      </c>
      <c r="AD541">
        <v>379</v>
      </c>
      <c r="AE541" t="s">
        <v>56</v>
      </c>
      <c r="AF541">
        <v>0.378</v>
      </c>
      <c r="AG541">
        <v>382</v>
      </c>
      <c r="AH541" t="s">
        <v>57</v>
      </c>
      <c r="AI541">
        <v>0.38100000000000001</v>
      </c>
      <c r="AJ541" t="s">
        <v>1156</v>
      </c>
    </row>
    <row r="542" spans="1:36" x14ac:dyDescent="0.25">
      <c r="A542" t="s">
        <v>983</v>
      </c>
      <c r="B542">
        <v>851914904</v>
      </c>
      <c r="C542" t="s">
        <v>984</v>
      </c>
      <c r="D542" t="s">
        <v>984</v>
      </c>
      <c r="E542" t="s">
        <v>65</v>
      </c>
      <c r="F542" t="s">
        <v>93</v>
      </c>
      <c r="I542" t="s">
        <v>39</v>
      </c>
      <c r="J542" t="s">
        <v>40</v>
      </c>
      <c r="K542" t="s">
        <v>41</v>
      </c>
      <c r="L542" t="s">
        <v>131</v>
      </c>
      <c r="M542" t="s">
        <v>528</v>
      </c>
      <c r="N542" t="s">
        <v>43</v>
      </c>
      <c r="O542" t="s">
        <v>307</v>
      </c>
      <c r="P542">
        <v>65</v>
      </c>
      <c r="Q542">
        <v>65</v>
      </c>
      <c r="R542">
        <v>31</v>
      </c>
      <c r="S542" t="s">
        <v>45</v>
      </c>
      <c r="T542">
        <v>0.03</v>
      </c>
      <c r="U542">
        <v>895</v>
      </c>
      <c r="V542" t="s">
        <v>113</v>
      </c>
      <c r="W542">
        <v>0.89400000000000002</v>
      </c>
      <c r="X542">
        <v>23001</v>
      </c>
      <c r="Y542" t="s">
        <v>47</v>
      </c>
      <c r="Z542">
        <v>23</v>
      </c>
      <c r="AA542">
        <v>627</v>
      </c>
      <c r="AB542" t="s">
        <v>75</v>
      </c>
      <c r="AC542">
        <v>0.626</v>
      </c>
      <c r="AD542">
        <v>891</v>
      </c>
      <c r="AE542" t="s">
        <v>48</v>
      </c>
      <c r="AF542">
        <v>0.89</v>
      </c>
      <c r="AG542">
        <v>937</v>
      </c>
      <c r="AH542" t="s">
        <v>80</v>
      </c>
      <c r="AI542">
        <v>0.93600000000000005</v>
      </c>
      <c r="AJ542" t="s">
        <v>50</v>
      </c>
    </row>
    <row r="543" spans="1:36" x14ac:dyDescent="0.25">
      <c r="A543" t="s">
        <v>983</v>
      </c>
      <c r="B543">
        <v>851914904</v>
      </c>
      <c r="C543" t="s">
        <v>984</v>
      </c>
      <c r="D543" t="s">
        <v>984</v>
      </c>
      <c r="E543" t="s">
        <v>65</v>
      </c>
      <c r="F543" t="s">
        <v>93</v>
      </c>
      <c r="I543" t="s">
        <v>39</v>
      </c>
      <c r="J543" t="s">
        <v>40</v>
      </c>
      <c r="K543" t="s">
        <v>41</v>
      </c>
      <c r="L543" t="s">
        <v>131</v>
      </c>
      <c r="M543" t="s">
        <v>528</v>
      </c>
      <c r="N543" t="s">
        <v>43</v>
      </c>
      <c r="O543" t="s">
        <v>307</v>
      </c>
      <c r="P543">
        <v>65</v>
      </c>
      <c r="Q543">
        <v>65</v>
      </c>
      <c r="R543">
        <v>171</v>
      </c>
      <c r="S543" t="s">
        <v>56</v>
      </c>
      <c r="T543">
        <v>0.17</v>
      </c>
      <c r="U543">
        <v>937</v>
      </c>
      <c r="V543" t="s">
        <v>46</v>
      </c>
      <c r="W543">
        <v>0.93600000000000005</v>
      </c>
      <c r="X543">
        <v>23001</v>
      </c>
      <c r="Y543" t="s">
        <v>47</v>
      </c>
      <c r="Z543">
        <v>23</v>
      </c>
      <c r="AA543">
        <v>627</v>
      </c>
      <c r="AB543" t="s">
        <v>75</v>
      </c>
      <c r="AC543">
        <v>0.626</v>
      </c>
      <c r="AD543">
        <v>891</v>
      </c>
      <c r="AE543" t="s">
        <v>48</v>
      </c>
      <c r="AF543">
        <v>0.89</v>
      </c>
      <c r="AG543">
        <v>937</v>
      </c>
      <c r="AH543" t="s">
        <v>80</v>
      </c>
      <c r="AI543">
        <v>0.93600000000000005</v>
      </c>
      <c r="AJ543" t="s">
        <v>1141</v>
      </c>
    </row>
    <row r="544" spans="1:36" x14ac:dyDescent="0.25">
      <c r="A544" t="s">
        <v>983</v>
      </c>
      <c r="B544">
        <v>851914904</v>
      </c>
      <c r="C544" t="s">
        <v>984</v>
      </c>
      <c r="D544" t="s">
        <v>984</v>
      </c>
      <c r="E544" t="s">
        <v>65</v>
      </c>
      <c r="F544" t="s">
        <v>93</v>
      </c>
      <c r="I544" t="s">
        <v>39</v>
      </c>
      <c r="J544" t="s">
        <v>40</v>
      </c>
      <c r="K544" t="s">
        <v>41</v>
      </c>
      <c r="L544" t="s">
        <v>131</v>
      </c>
      <c r="M544" t="s">
        <v>528</v>
      </c>
      <c r="N544" t="s">
        <v>43</v>
      </c>
      <c r="O544" t="s">
        <v>307</v>
      </c>
      <c r="P544">
        <v>65</v>
      </c>
      <c r="Q544">
        <v>65</v>
      </c>
      <c r="R544">
        <v>31</v>
      </c>
      <c r="S544" t="s">
        <v>45</v>
      </c>
      <c r="T544">
        <v>0.03</v>
      </c>
      <c r="U544">
        <v>895</v>
      </c>
      <c r="V544" t="s">
        <v>113</v>
      </c>
      <c r="W544">
        <v>0.89400000000000002</v>
      </c>
      <c r="X544">
        <v>23001</v>
      </c>
      <c r="Y544" t="s">
        <v>47</v>
      </c>
      <c r="Z544">
        <v>23</v>
      </c>
      <c r="AA544">
        <v>627</v>
      </c>
      <c r="AB544" t="s">
        <v>75</v>
      </c>
      <c r="AC544">
        <v>0.626</v>
      </c>
      <c r="AD544">
        <v>891</v>
      </c>
      <c r="AE544" t="s">
        <v>48</v>
      </c>
      <c r="AF544">
        <v>0.89</v>
      </c>
      <c r="AG544">
        <v>937</v>
      </c>
      <c r="AH544" t="s">
        <v>80</v>
      </c>
      <c r="AI544">
        <v>0.93600000000000005</v>
      </c>
      <c r="AJ544" t="s">
        <v>1153</v>
      </c>
    </row>
    <row r="545" spans="1:36" x14ac:dyDescent="0.25">
      <c r="A545" t="s">
        <v>983</v>
      </c>
      <c r="B545">
        <v>851914904</v>
      </c>
      <c r="C545" t="s">
        <v>984</v>
      </c>
      <c r="D545" t="s">
        <v>984</v>
      </c>
      <c r="E545" t="s">
        <v>65</v>
      </c>
      <c r="F545" t="s">
        <v>93</v>
      </c>
      <c r="I545" t="s">
        <v>39</v>
      </c>
      <c r="J545" t="s">
        <v>40</v>
      </c>
      <c r="K545" t="s">
        <v>41</v>
      </c>
      <c r="L545" t="s">
        <v>131</v>
      </c>
      <c r="M545" t="s">
        <v>528</v>
      </c>
      <c r="N545" t="s">
        <v>43</v>
      </c>
      <c r="O545" t="s">
        <v>307</v>
      </c>
      <c r="P545">
        <v>65</v>
      </c>
      <c r="Q545">
        <v>65</v>
      </c>
      <c r="R545">
        <v>31</v>
      </c>
      <c r="S545" t="s">
        <v>45</v>
      </c>
      <c r="T545">
        <v>0.03</v>
      </c>
      <c r="U545">
        <v>895</v>
      </c>
      <c r="V545" t="s">
        <v>113</v>
      </c>
      <c r="W545">
        <v>0.89400000000000002</v>
      </c>
      <c r="X545">
        <v>23001</v>
      </c>
      <c r="Y545" t="s">
        <v>47</v>
      </c>
      <c r="Z545">
        <v>23</v>
      </c>
      <c r="AA545">
        <v>627</v>
      </c>
      <c r="AB545" t="s">
        <v>75</v>
      </c>
      <c r="AC545">
        <v>0.626</v>
      </c>
      <c r="AD545">
        <v>891</v>
      </c>
      <c r="AE545" t="s">
        <v>48</v>
      </c>
      <c r="AF545">
        <v>0.89</v>
      </c>
      <c r="AG545">
        <v>937</v>
      </c>
      <c r="AH545" t="s">
        <v>80</v>
      </c>
      <c r="AI545">
        <v>0.93600000000000005</v>
      </c>
      <c r="AJ545" t="s">
        <v>1154</v>
      </c>
    </row>
    <row r="546" spans="1:36" x14ac:dyDescent="0.25">
      <c r="A546" t="s">
        <v>983</v>
      </c>
      <c r="B546">
        <v>851914904</v>
      </c>
      <c r="C546" t="s">
        <v>984</v>
      </c>
      <c r="D546" t="s">
        <v>984</v>
      </c>
      <c r="E546" t="s">
        <v>65</v>
      </c>
      <c r="F546" t="s">
        <v>93</v>
      </c>
      <c r="I546" t="s">
        <v>39</v>
      </c>
      <c r="J546" t="s">
        <v>40</v>
      </c>
      <c r="K546" t="s">
        <v>41</v>
      </c>
      <c r="L546" t="s">
        <v>131</v>
      </c>
      <c r="M546" t="s">
        <v>528</v>
      </c>
      <c r="N546" t="s">
        <v>43</v>
      </c>
      <c r="O546" t="s">
        <v>307</v>
      </c>
      <c r="P546">
        <v>65</v>
      </c>
      <c r="Q546">
        <v>65</v>
      </c>
      <c r="S546" t="s">
        <v>39</v>
      </c>
      <c r="V546" t="s">
        <v>39</v>
      </c>
      <c r="X546">
        <v>23001</v>
      </c>
      <c r="Y546" t="s">
        <v>47</v>
      </c>
      <c r="Z546">
        <v>23</v>
      </c>
      <c r="AA546">
        <v>627</v>
      </c>
      <c r="AB546" t="s">
        <v>75</v>
      </c>
      <c r="AC546">
        <v>0.626</v>
      </c>
      <c r="AD546">
        <v>891</v>
      </c>
      <c r="AE546" t="s">
        <v>48</v>
      </c>
      <c r="AF546">
        <v>0.89</v>
      </c>
      <c r="AG546">
        <v>937</v>
      </c>
      <c r="AH546" t="s">
        <v>80</v>
      </c>
      <c r="AI546">
        <v>0.93600000000000005</v>
      </c>
      <c r="AJ546" t="s">
        <v>1155</v>
      </c>
    </row>
    <row r="547" spans="1:36" x14ac:dyDescent="0.25">
      <c r="A547" t="s">
        <v>983</v>
      </c>
      <c r="B547">
        <v>851914904</v>
      </c>
      <c r="C547" t="s">
        <v>984</v>
      </c>
      <c r="D547" t="s">
        <v>984</v>
      </c>
      <c r="E547" t="s">
        <v>65</v>
      </c>
      <c r="F547" t="s">
        <v>93</v>
      </c>
      <c r="I547" t="s">
        <v>39</v>
      </c>
      <c r="J547" t="s">
        <v>40</v>
      </c>
      <c r="K547" t="s">
        <v>41</v>
      </c>
      <c r="L547" t="s">
        <v>131</v>
      </c>
      <c r="M547" t="s">
        <v>528</v>
      </c>
      <c r="N547" t="s">
        <v>43</v>
      </c>
      <c r="O547" t="s">
        <v>307</v>
      </c>
      <c r="P547">
        <v>65</v>
      </c>
      <c r="Q547">
        <v>65</v>
      </c>
      <c r="S547" t="s">
        <v>39</v>
      </c>
      <c r="V547" t="s">
        <v>39</v>
      </c>
      <c r="X547">
        <v>23001</v>
      </c>
      <c r="Y547" t="s">
        <v>47</v>
      </c>
      <c r="Z547">
        <v>23</v>
      </c>
      <c r="AA547">
        <v>627</v>
      </c>
      <c r="AB547" t="s">
        <v>75</v>
      </c>
      <c r="AC547">
        <v>0.626</v>
      </c>
      <c r="AD547">
        <v>891</v>
      </c>
      <c r="AE547" t="s">
        <v>48</v>
      </c>
      <c r="AF547">
        <v>0.89</v>
      </c>
      <c r="AG547">
        <v>937</v>
      </c>
      <c r="AH547" t="s">
        <v>80</v>
      </c>
      <c r="AI547">
        <v>0.93600000000000005</v>
      </c>
      <c r="AJ547" t="s">
        <v>1156</v>
      </c>
    </row>
    <row r="548" spans="1:36" x14ac:dyDescent="0.25">
      <c r="A548" t="s">
        <v>981</v>
      </c>
      <c r="B548">
        <v>881531429</v>
      </c>
      <c r="C548" t="s">
        <v>982</v>
      </c>
      <c r="D548" t="s">
        <v>982</v>
      </c>
      <c r="E548" t="s">
        <v>60</v>
      </c>
      <c r="F548" t="s">
        <v>88</v>
      </c>
      <c r="I548" t="s">
        <v>39</v>
      </c>
      <c r="J548" t="s">
        <v>40</v>
      </c>
      <c r="K548" t="s">
        <v>41</v>
      </c>
      <c r="L548" t="s">
        <v>173</v>
      </c>
      <c r="N548" t="s">
        <v>43</v>
      </c>
      <c r="O548" t="s">
        <v>229</v>
      </c>
      <c r="P548">
        <v>66</v>
      </c>
      <c r="Q548">
        <v>66</v>
      </c>
      <c r="R548">
        <v>271</v>
      </c>
      <c r="S548" t="s">
        <v>56</v>
      </c>
      <c r="T548">
        <v>0.27</v>
      </c>
      <c r="U548">
        <v>103</v>
      </c>
      <c r="V548" t="s">
        <v>55</v>
      </c>
      <c r="W548">
        <v>0.10199999999999999</v>
      </c>
      <c r="X548">
        <v>16001</v>
      </c>
      <c r="Y548" t="s">
        <v>47</v>
      </c>
      <c r="Z548">
        <v>16</v>
      </c>
      <c r="AA548">
        <v>298</v>
      </c>
      <c r="AB548" t="s">
        <v>47</v>
      </c>
      <c r="AC548">
        <v>0.29699999999999999</v>
      </c>
      <c r="AD548">
        <v>501</v>
      </c>
      <c r="AE548" t="s">
        <v>48</v>
      </c>
      <c r="AF548">
        <v>0.5</v>
      </c>
      <c r="AG548">
        <v>583</v>
      </c>
      <c r="AH548" t="s">
        <v>49</v>
      </c>
      <c r="AI548">
        <v>0.58199999999999996</v>
      </c>
      <c r="AJ548" t="s">
        <v>50</v>
      </c>
    </row>
    <row r="549" spans="1:36" x14ac:dyDescent="0.25">
      <c r="A549" t="s">
        <v>981</v>
      </c>
      <c r="B549">
        <v>881531429</v>
      </c>
      <c r="C549" t="s">
        <v>982</v>
      </c>
      <c r="D549" t="s">
        <v>982</v>
      </c>
      <c r="E549" t="s">
        <v>60</v>
      </c>
      <c r="F549" t="s">
        <v>88</v>
      </c>
      <c r="I549" t="s">
        <v>39</v>
      </c>
      <c r="J549" t="s">
        <v>40</v>
      </c>
      <c r="K549" t="s">
        <v>41</v>
      </c>
      <c r="L549" t="s">
        <v>173</v>
      </c>
      <c r="N549" t="s">
        <v>43</v>
      </c>
      <c r="O549" t="s">
        <v>229</v>
      </c>
      <c r="P549">
        <v>66</v>
      </c>
      <c r="Q549">
        <v>66</v>
      </c>
      <c r="R549">
        <v>141</v>
      </c>
      <c r="S549" t="s">
        <v>56</v>
      </c>
      <c r="T549">
        <v>0.14000000000000001</v>
      </c>
      <c r="U549">
        <v>31</v>
      </c>
      <c r="V549" t="s">
        <v>55</v>
      </c>
      <c r="W549">
        <v>0.03</v>
      </c>
      <c r="X549">
        <v>16001</v>
      </c>
      <c r="Y549" t="s">
        <v>47</v>
      </c>
      <c r="Z549">
        <v>16</v>
      </c>
      <c r="AA549">
        <v>298</v>
      </c>
      <c r="AB549" t="s">
        <v>47</v>
      </c>
      <c r="AC549">
        <v>0.29699999999999999</v>
      </c>
      <c r="AD549">
        <v>501</v>
      </c>
      <c r="AE549" t="s">
        <v>48</v>
      </c>
      <c r="AF549">
        <v>0.5</v>
      </c>
      <c r="AG549">
        <v>583</v>
      </c>
      <c r="AH549" t="s">
        <v>49</v>
      </c>
      <c r="AI549">
        <v>0.58199999999999996</v>
      </c>
      <c r="AJ549" t="s">
        <v>1141</v>
      </c>
    </row>
    <row r="550" spans="1:36" x14ac:dyDescent="0.25">
      <c r="A550" t="s">
        <v>981</v>
      </c>
      <c r="B550">
        <v>881531429</v>
      </c>
      <c r="C550" t="s">
        <v>982</v>
      </c>
      <c r="D550" t="s">
        <v>982</v>
      </c>
      <c r="E550" t="s">
        <v>60</v>
      </c>
      <c r="F550" t="s">
        <v>88</v>
      </c>
      <c r="I550" t="s">
        <v>39</v>
      </c>
      <c r="J550" t="s">
        <v>40</v>
      </c>
      <c r="K550" t="s">
        <v>41</v>
      </c>
      <c r="L550" t="s">
        <v>173</v>
      </c>
      <c r="N550" t="s">
        <v>43</v>
      </c>
      <c r="O550" t="s">
        <v>229</v>
      </c>
      <c r="P550">
        <v>66</v>
      </c>
      <c r="Q550">
        <v>66</v>
      </c>
      <c r="R550">
        <v>271</v>
      </c>
      <c r="S550" t="s">
        <v>56</v>
      </c>
      <c r="T550">
        <v>0.27</v>
      </c>
      <c r="U550">
        <v>103</v>
      </c>
      <c r="V550" t="s">
        <v>55</v>
      </c>
      <c r="W550">
        <v>0.10199999999999999</v>
      </c>
      <c r="X550">
        <v>16001</v>
      </c>
      <c r="Y550" t="s">
        <v>47</v>
      </c>
      <c r="Z550">
        <v>16</v>
      </c>
      <c r="AA550">
        <v>298</v>
      </c>
      <c r="AB550" t="s">
        <v>47</v>
      </c>
      <c r="AC550">
        <v>0.29699999999999999</v>
      </c>
      <c r="AD550">
        <v>501</v>
      </c>
      <c r="AE550" t="s">
        <v>48</v>
      </c>
      <c r="AF550">
        <v>0.5</v>
      </c>
      <c r="AG550">
        <v>583</v>
      </c>
      <c r="AH550" t="s">
        <v>49</v>
      </c>
      <c r="AI550">
        <v>0.58199999999999996</v>
      </c>
      <c r="AJ550" t="s">
        <v>1153</v>
      </c>
    </row>
    <row r="551" spans="1:36" x14ac:dyDescent="0.25">
      <c r="A551" t="s">
        <v>981</v>
      </c>
      <c r="B551">
        <v>881531429</v>
      </c>
      <c r="C551" t="s">
        <v>982</v>
      </c>
      <c r="D551" t="s">
        <v>982</v>
      </c>
      <c r="E551" t="s">
        <v>60</v>
      </c>
      <c r="F551" t="s">
        <v>88</v>
      </c>
      <c r="I551" t="s">
        <v>39</v>
      </c>
      <c r="J551" t="s">
        <v>40</v>
      </c>
      <c r="K551" t="s">
        <v>41</v>
      </c>
      <c r="L551" t="s">
        <v>173</v>
      </c>
      <c r="N551" t="s">
        <v>43</v>
      </c>
      <c r="O551" t="s">
        <v>229</v>
      </c>
      <c r="P551">
        <v>66</v>
      </c>
      <c r="Q551">
        <v>66</v>
      </c>
      <c r="R551">
        <v>271</v>
      </c>
      <c r="S551" t="s">
        <v>56</v>
      </c>
      <c r="T551">
        <v>0.27</v>
      </c>
      <c r="U551">
        <v>103</v>
      </c>
      <c r="V551" t="s">
        <v>55</v>
      </c>
      <c r="W551">
        <v>0.10199999999999999</v>
      </c>
      <c r="X551">
        <v>16001</v>
      </c>
      <c r="Y551" t="s">
        <v>47</v>
      </c>
      <c r="Z551">
        <v>16</v>
      </c>
      <c r="AA551">
        <v>298</v>
      </c>
      <c r="AB551" t="s">
        <v>47</v>
      </c>
      <c r="AC551">
        <v>0.29699999999999999</v>
      </c>
      <c r="AD551">
        <v>501</v>
      </c>
      <c r="AE551" t="s">
        <v>48</v>
      </c>
      <c r="AF551">
        <v>0.5</v>
      </c>
      <c r="AG551">
        <v>583</v>
      </c>
      <c r="AH551" t="s">
        <v>49</v>
      </c>
      <c r="AI551">
        <v>0.58199999999999996</v>
      </c>
      <c r="AJ551" t="s">
        <v>1154</v>
      </c>
    </row>
    <row r="552" spans="1:36" x14ac:dyDescent="0.25">
      <c r="A552" t="s">
        <v>981</v>
      </c>
      <c r="B552">
        <v>881531429</v>
      </c>
      <c r="C552" t="s">
        <v>982</v>
      </c>
      <c r="D552" t="s">
        <v>982</v>
      </c>
      <c r="E552" t="s">
        <v>60</v>
      </c>
      <c r="F552" t="s">
        <v>88</v>
      </c>
      <c r="I552" t="s">
        <v>39</v>
      </c>
      <c r="J552" t="s">
        <v>40</v>
      </c>
      <c r="K552" t="s">
        <v>41</v>
      </c>
      <c r="L552" t="s">
        <v>173</v>
      </c>
      <c r="N552" t="s">
        <v>43</v>
      </c>
      <c r="O552" t="s">
        <v>229</v>
      </c>
      <c r="P552">
        <v>66</v>
      </c>
      <c r="Q552">
        <v>66</v>
      </c>
      <c r="S552" t="s">
        <v>39</v>
      </c>
      <c r="V552" t="s">
        <v>39</v>
      </c>
      <c r="X552">
        <v>16001</v>
      </c>
      <c r="Y552" t="s">
        <v>47</v>
      </c>
      <c r="Z552">
        <v>16</v>
      </c>
      <c r="AA552">
        <v>298</v>
      </c>
      <c r="AB552" t="s">
        <v>47</v>
      </c>
      <c r="AC552">
        <v>0.29699999999999999</v>
      </c>
      <c r="AD552">
        <v>501</v>
      </c>
      <c r="AE552" t="s">
        <v>48</v>
      </c>
      <c r="AF552">
        <v>0.5</v>
      </c>
      <c r="AG552">
        <v>583</v>
      </c>
      <c r="AH552" t="s">
        <v>49</v>
      </c>
      <c r="AI552">
        <v>0.58199999999999996</v>
      </c>
      <c r="AJ552" t="s">
        <v>1155</v>
      </c>
    </row>
    <row r="553" spans="1:36" x14ac:dyDescent="0.25">
      <c r="A553" t="s">
        <v>981</v>
      </c>
      <c r="B553">
        <v>881531429</v>
      </c>
      <c r="C553" t="s">
        <v>982</v>
      </c>
      <c r="D553" t="s">
        <v>982</v>
      </c>
      <c r="E553" t="s">
        <v>60</v>
      </c>
      <c r="F553" t="s">
        <v>88</v>
      </c>
      <c r="I553" t="s">
        <v>39</v>
      </c>
      <c r="J553" t="s">
        <v>40</v>
      </c>
      <c r="K553" t="s">
        <v>41</v>
      </c>
      <c r="L553" t="s">
        <v>173</v>
      </c>
      <c r="N553" t="s">
        <v>43</v>
      </c>
      <c r="O553" t="s">
        <v>229</v>
      </c>
      <c r="P553">
        <v>66</v>
      </c>
      <c r="Q553">
        <v>66</v>
      </c>
      <c r="S553" t="s">
        <v>39</v>
      </c>
      <c r="V553" t="s">
        <v>39</v>
      </c>
      <c r="X553">
        <v>16001</v>
      </c>
      <c r="Y553" t="s">
        <v>47</v>
      </c>
      <c r="Z553">
        <v>16</v>
      </c>
      <c r="AA553">
        <v>298</v>
      </c>
      <c r="AB553" t="s">
        <v>47</v>
      </c>
      <c r="AC553">
        <v>0.29699999999999999</v>
      </c>
      <c r="AD553">
        <v>501</v>
      </c>
      <c r="AE553" t="s">
        <v>48</v>
      </c>
      <c r="AF553">
        <v>0.5</v>
      </c>
      <c r="AG553">
        <v>583</v>
      </c>
      <c r="AH553" t="s">
        <v>49</v>
      </c>
      <c r="AI553">
        <v>0.58199999999999996</v>
      </c>
      <c r="AJ553" t="s">
        <v>1156</v>
      </c>
    </row>
    <row r="554" spans="1:36" x14ac:dyDescent="0.25">
      <c r="A554" t="s">
        <v>979</v>
      </c>
      <c r="B554">
        <v>856063605</v>
      </c>
      <c r="C554" t="s">
        <v>980</v>
      </c>
      <c r="D554" t="s">
        <v>980</v>
      </c>
      <c r="E554" t="s">
        <v>37</v>
      </c>
      <c r="F554" t="s">
        <v>71</v>
      </c>
      <c r="I554" t="s">
        <v>39</v>
      </c>
      <c r="J554" t="s">
        <v>40</v>
      </c>
      <c r="K554" t="s">
        <v>41</v>
      </c>
      <c r="L554" t="s">
        <v>53</v>
      </c>
      <c r="N554" t="s">
        <v>43</v>
      </c>
      <c r="O554" t="s">
        <v>225</v>
      </c>
      <c r="P554">
        <v>66</v>
      </c>
      <c r="Q554">
        <v>66</v>
      </c>
      <c r="R554">
        <v>141</v>
      </c>
      <c r="S554" t="s">
        <v>56</v>
      </c>
      <c r="T554">
        <v>0.14000000000000001</v>
      </c>
      <c r="U554">
        <v>60</v>
      </c>
      <c r="V554" t="s">
        <v>55</v>
      </c>
      <c r="W554">
        <v>5.8999999999999997E-2</v>
      </c>
      <c r="X554">
        <v>14001</v>
      </c>
      <c r="Y554" t="s">
        <v>47</v>
      </c>
      <c r="Z554">
        <v>14</v>
      </c>
      <c r="AA554">
        <v>369</v>
      </c>
      <c r="AB554" t="s">
        <v>47</v>
      </c>
      <c r="AC554">
        <v>0.36799999999999999</v>
      </c>
      <c r="AD554">
        <v>472</v>
      </c>
      <c r="AE554" t="s">
        <v>56</v>
      </c>
      <c r="AF554">
        <v>0.47099999999999997</v>
      </c>
      <c r="AG554">
        <v>430</v>
      </c>
      <c r="AH554" t="s">
        <v>57</v>
      </c>
      <c r="AI554">
        <v>0.42899999999999999</v>
      </c>
      <c r="AJ554" t="s">
        <v>50</v>
      </c>
    </row>
    <row r="555" spans="1:36" x14ac:dyDescent="0.25">
      <c r="A555" t="s">
        <v>979</v>
      </c>
      <c r="B555">
        <v>856063605</v>
      </c>
      <c r="C555" t="s">
        <v>980</v>
      </c>
      <c r="D555" t="s">
        <v>980</v>
      </c>
      <c r="E555" t="s">
        <v>37</v>
      </c>
      <c r="F555" t="s">
        <v>71</v>
      </c>
      <c r="I555" t="s">
        <v>39</v>
      </c>
      <c r="J555" t="s">
        <v>40</v>
      </c>
      <c r="K555" t="s">
        <v>41</v>
      </c>
      <c r="L555" t="s">
        <v>53</v>
      </c>
      <c r="N555" t="s">
        <v>43</v>
      </c>
      <c r="O555" t="s">
        <v>225</v>
      </c>
      <c r="P555">
        <v>66</v>
      </c>
      <c r="Q555">
        <v>66</v>
      </c>
      <c r="R555">
        <v>121</v>
      </c>
      <c r="S555" t="s">
        <v>56</v>
      </c>
      <c r="T555">
        <v>0.12</v>
      </c>
      <c r="U555">
        <v>11</v>
      </c>
      <c r="V555" t="s">
        <v>55</v>
      </c>
      <c r="W555">
        <v>0.01</v>
      </c>
      <c r="X555">
        <v>14001</v>
      </c>
      <c r="Y555" t="s">
        <v>47</v>
      </c>
      <c r="Z555">
        <v>14</v>
      </c>
      <c r="AA555">
        <v>369</v>
      </c>
      <c r="AB555" t="s">
        <v>47</v>
      </c>
      <c r="AC555">
        <v>0.36799999999999999</v>
      </c>
      <c r="AD555">
        <v>472</v>
      </c>
      <c r="AE555" t="s">
        <v>56</v>
      </c>
      <c r="AF555">
        <v>0.47099999999999997</v>
      </c>
      <c r="AG555">
        <v>430</v>
      </c>
      <c r="AH555" t="s">
        <v>57</v>
      </c>
      <c r="AI555">
        <v>0.42899999999999999</v>
      </c>
      <c r="AJ555" t="s">
        <v>1141</v>
      </c>
    </row>
    <row r="556" spans="1:36" x14ac:dyDescent="0.25">
      <c r="A556" t="s">
        <v>979</v>
      </c>
      <c r="B556">
        <v>856063605</v>
      </c>
      <c r="C556" t="s">
        <v>980</v>
      </c>
      <c r="D556" t="s">
        <v>980</v>
      </c>
      <c r="E556" t="s">
        <v>37</v>
      </c>
      <c r="F556" t="s">
        <v>71</v>
      </c>
      <c r="I556" t="s">
        <v>39</v>
      </c>
      <c r="J556" t="s">
        <v>40</v>
      </c>
      <c r="K556" t="s">
        <v>41</v>
      </c>
      <c r="L556" t="s">
        <v>53</v>
      </c>
      <c r="N556" t="s">
        <v>43</v>
      </c>
      <c r="O556" t="s">
        <v>225</v>
      </c>
      <c r="P556">
        <v>66</v>
      </c>
      <c r="Q556">
        <v>66</v>
      </c>
      <c r="R556">
        <v>141</v>
      </c>
      <c r="S556" t="s">
        <v>56</v>
      </c>
      <c r="T556">
        <v>0.14000000000000001</v>
      </c>
      <c r="U556">
        <v>60</v>
      </c>
      <c r="V556" t="s">
        <v>55</v>
      </c>
      <c r="W556">
        <v>5.8999999999999997E-2</v>
      </c>
      <c r="X556">
        <v>14001</v>
      </c>
      <c r="Y556" t="s">
        <v>47</v>
      </c>
      <c r="Z556">
        <v>14</v>
      </c>
      <c r="AA556">
        <v>369</v>
      </c>
      <c r="AB556" t="s">
        <v>47</v>
      </c>
      <c r="AC556">
        <v>0.36799999999999999</v>
      </c>
      <c r="AD556">
        <v>472</v>
      </c>
      <c r="AE556" t="s">
        <v>56</v>
      </c>
      <c r="AF556">
        <v>0.47099999999999997</v>
      </c>
      <c r="AG556">
        <v>430</v>
      </c>
      <c r="AH556" t="s">
        <v>57</v>
      </c>
      <c r="AI556">
        <v>0.42899999999999999</v>
      </c>
      <c r="AJ556" t="s">
        <v>1153</v>
      </c>
    </row>
    <row r="557" spans="1:36" x14ac:dyDescent="0.25">
      <c r="A557" t="s">
        <v>979</v>
      </c>
      <c r="B557">
        <v>856063605</v>
      </c>
      <c r="C557" t="s">
        <v>980</v>
      </c>
      <c r="D557" t="s">
        <v>980</v>
      </c>
      <c r="E557" t="s">
        <v>37</v>
      </c>
      <c r="F557" t="s">
        <v>71</v>
      </c>
      <c r="I557" t="s">
        <v>39</v>
      </c>
      <c r="J557" t="s">
        <v>40</v>
      </c>
      <c r="K557" t="s">
        <v>41</v>
      </c>
      <c r="L557" t="s">
        <v>53</v>
      </c>
      <c r="N557" t="s">
        <v>43</v>
      </c>
      <c r="O557" t="s">
        <v>225</v>
      </c>
      <c r="P557">
        <v>66</v>
      </c>
      <c r="Q557">
        <v>66</v>
      </c>
      <c r="R557">
        <v>141</v>
      </c>
      <c r="S557" t="s">
        <v>56</v>
      </c>
      <c r="T557">
        <v>0.14000000000000001</v>
      </c>
      <c r="U557">
        <v>60</v>
      </c>
      <c r="V557" t="s">
        <v>55</v>
      </c>
      <c r="W557">
        <v>5.8999999999999997E-2</v>
      </c>
      <c r="X557">
        <v>14001</v>
      </c>
      <c r="Y557" t="s">
        <v>47</v>
      </c>
      <c r="Z557">
        <v>14</v>
      </c>
      <c r="AA557">
        <v>369</v>
      </c>
      <c r="AB557" t="s">
        <v>47</v>
      </c>
      <c r="AC557">
        <v>0.36799999999999999</v>
      </c>
      <c r="AD557">
        <v>472</v>
      </c>
      <c r="AE557" t="s">
        <v>56</v>
      </c>
      <c r="AF557">
        <v>0.47099999999999997</v>
      </c>
      <c r="AG557">
        <v>430</v>
      </c>
      <c r="AH557" t="s">
        <v>57</v>
      </c>
      <c r="AI557">
        <v>0.42899999999999999</v>
      </c>
      <c r="AJ557" t="s">
        <v>1154</v>
      </c>
    </row>
    <row r="558" spans="1:36" x14ac:dyDescent="0.25">
      <c r="A558" t="s">
        <v>979</v>
      </c>
      <c r="B558">
        <v>856063605</v>
      </c>
      <c r="C558" t="s">
        <v>980</v>
      </c>
      <c r="D558" t="s">
        <v>980</v>
      </c>
      <c r="E558" t="s">
        <v>37</v>
      </c>
      <c r="F558" t="s">
        <v>71</v>
      </c>
      <c r="I558" t="s">
        <v>39</v>
      </c>
      <c r="J558" t="s">
        <v>40</v>
      </c>
      <c r="K558" t="s">
        <v>41</v>
      </c>
      <c r="L558" t="s">
        <v>53</v>
      </c>
      <c r="N558" t="s">
        <v>43</v>
      </c>
      <c r="O558" t="s">
        <v>225</v>
      </c>
      <c r="P558">
        <v>66</v>
      </c>
      <c r="Q558">
        <v>66</v>
      </c>
      <c r="S558" t="s">
        <v>39</v>
      </c>
      <c r="V558" t="s">
        <v>39</v>
      </c>
      <c r="X558">
        <v>14001</v>
      </c>
      <c r="Y558" t="s">
        <v>47</v>
      </c>
      <c r="Z558">
        <v>14</v>
      </c>
      <c r="AA558">
        <v>369</v>
      </c>
      <c r="AB558" t="s">
        <v>47</v>
      </c>
      <c r="AC558">
        <v>0.36799999999999999</v>
      </c>
      <c r="AD558">
        <v>472</v>
      </c>
      <c r="AE558" t="s">
        <v>56</v>
      </c>
      <c r="AF558">
        <v>0.47099999999999997</v>
      </c>
      <c r="AG558">
        <v>430</v>
      </c>
      <c r="AH558" t="s">
        <v>57</v>
      </c>
      <c r="AI558">
        <v>0.42899999999999999</v>
      </c>
      <c r="AJ558" t="s">
        <v>1155</v>
      </c>
    </row>
    <row r="559" spans="1:36" x14ac:dyDescent="0.25">
      <c r="A559" t="s">
        <v>979</v>
      </c>
      <c r="B559">
        <v>856063605</v>
      </c>
      <c r="C559" t="s">
        <v>980</v>
      </c>
      <c r="D559" t="s">
        <v>980</v>
      </c>
      <c r="E559" t="s">
        <v>37</v>
      </c>
      <c r="F559" t="s">
        <v>71</v>
      </c>
      <c r="I559" t="s">
        <v>39</v>
      </c>
      <c r="J559" t="s">
        <v>40</v>
      </c>
      <c r="K559" t="s">
        <v>41</v>
      </c>
      <c r="L559" t="s">
        <v>53</v>
      </c>
      <c r="N559" t="s">
        <v>43</v>
      </c>
      <c r="O559" t="s">
        <v>225</v>
      </c>
      <c r="P559">
        <v>66</v>
      </c>
      <c r="Q559">
        <v>66</v>
      </c>
      <c r="S559" t="s">
        <v>39</v>
      </c>
      <c r="V559" t="s">
        <v>39</v>
      </c>
      <c r="X559">
        <v>14001</v>
      </c>
      <c r="Y559" t="s">
        <v>47</v>
      </c>
      <c r="Z559">
        <v>14</v>
      </c>
      <c r="AA559">
        <v>369</v>
      </c>
      <c r="AB559" t="s">
        <v>47</v>
      </c>
      <c r="AC559">
        <v>0.36799999999999999</v>
      </c>
      <c r="AD559">
        <v>472</v>
      </c>
      <c r="AE559" t="s">
        <v>56</v>
      </c>
      <c r="AF559">
        <v>0.47099999999999997</v>
      </c>
      <c r="AG559">
        <v>430</v>
      </c>
      <c r="AH559" t="s">
        <v>57</v>
      </c>
      <c r="AI559">
        <v>0.42899999999999999</v>
      </c>
      <c r="AJ559" t="s">
        <v>1156</v>
      </c>
    </row>
    <row r="560" spans="1:36" x14ac:dyDescent="0.25">
      <c r="A560" t="s">
        <v>973</v>
      </c>
      <c r="B560">
        <v>852497792</v>
      </c>
      <c r="C560" t="s">
        <v>974</v>
      </c>
      <c r="D560" t="s">
        <v>974</v>
      </c>
      <c r="E560" t="s">
        <v>99</v>
      </c>
      <c r="F560" t="s">
        <v>111</v>
      </c>
      <c r="I560" t="s">
        <v>39</v>
      </c>
      <c r="J560" t="s">
        <v>40</v>
      </c>
      <c r="K560" t="s">
        <v>41</v>
      </c>
      <c r="L560" t="s">
        <v>101</v>
      </c>
      <c r="M560" t="s">
        <v>47</v>
      </c>
      <c r="N560" t="s">
        <v>43</v>
      </c>
      <c r="O560" t="s">
        <v>495</v>
      </c>
      <c r="P560">
        <v>67</v>
      </c>
      <c r="Q560">
        <v>67</v>
      </c>
      <c r="R560">
        <v>521</v>
      </c>
      <c r="S560" t="s">
        <v>56</v>
      </c>
      <c r="T560">
        <v>0.52</v>
      </c>
      <c r="U560">
        <v>21</v>
      </c>
      <c r="V560" t="s">
        <v>55</v>
      </c>
      <c r="W560">
        <v>0.02</v>
      </c>
      <c r="X560">
        <v>1</v>
      </c>
      <c r="Y560" t="s">
        <v>47</v>
      </c>
      <c r="Z560">
        <v>0</v>
      </c>
      <c r="AA560">
        <v>264</v>
      </c>
      <c r="AB560" t="s">
        <v>47</v>
      </c>
      <c r="AC560">
        <v>0.26300000000000001</v>
      </c>
      <c r="AD560">
        <v>177</v>
      </c>
      <c r="AE560" t="s">
        <v>56</v>
      </c>
      <c r="AF560">
        <v>0.17599999999999999</v>
      </c>
      <c r="AG560">
        <v>49</v>
      </c>
      <c r="AH560" t="s">
        <v>103</v>
      </c>
      <c r="AI560">
        <v>4.8000000000000001E-2</v>
      </c>
      <c r="AJ560" t="s">
        <v>50</v>
      </c>
    </row>
    <row r="561" spans="1:36" x14ac:dyDescent="0.25">
      <c r="A561" t="s">
        <v>973</v>
      </c>
      <c r="B561">
        <v>852497792</v>
      </c>
      <c r="C561" t="s">
        <v>974</v>
      </c>
      <c r="D561" t="s">
        <v>974</v>
      </c>
      <c r="E561" t="s">
        <v>99</v>
      </c>
      <c r="F561" t="s">
        <v>111</v>
      </c>
      <c r="I561" t="s">
        <v>39</v>
      </c>
      <c r="J561" t="s">
        <v>40</v>
      </c>
      <c r="K561" t="s">
        <v>41</v>
      </c>
      <c r="L561" t="s">
        <v>101</v>
      </c>
      <c r="M561" t="s">
        <v>47</v>
      </c>
      <c r="N561" t="s">
        <v>43</v>
      </c>
      <c r="O561" t="s">
        <v>495</v>
      </c>
      <c r="P561">
        <v>67</v>
      </c>
      <c r="Q561">
        <v>67</v>
      </c>
      <c r="R561">
        <v>511</v>
      </c>
      <c r="S561" t="s">
        <v>56</v>
      </c>
      <c r="T561">
        <v>0.51</v>
      </c>
      <c r="U561">
        <v>7</v>
      </c>
      <c r="V561" t="s">
        <v>55</v>
      </c>
      <c r="W561">
        <v>6.0000000000000001E-3</v>
      </c>
      <c r="X561">
        <v>1</v>
      </c>
      <c r="Y561" t="s">
        <v>47</v>
      </c>
      <c r="Z561">
        <v>0</v>
      </c>
      <c r="AA561">
        <v>264</v>
      </c>
      <c r="AB561" t="s">
        <v>47</v>
      </c>
      <c r="AC561">
        <v>0.26300000000000001</v>
      </c>
      <c r="AD561">
        <v>177</v>
      </c>
      <c r="AE561" t="s">
        <v>56</v>
      </c>
      <c r="AF561">
        <v>0.17599999999999999</v>
      </c>
      <c r="AG561">
        <v>49</v>
      </c>
      <c r="AH561" t="s">
        <v>103</v>
      </c>
      <c r="AI561">
        <v>4.8000000000000001E-2</v>
      </c>
      <c r="AJ561" t="s">
        <v>1141</v>
      </c>
    </row>
    <row r="562" spans="1:36" x14ac:dyDescent="0.25">
      <c r="A562" t="s">
        <v>973</v>
      </c>
      <c r="B562">
        <v>852497792</v>
      </c>
      <c r="C562" t="s">
        <v>974</v>
      </c>
      <c r="D562" t="s">
        <v>974</v>
      </c>
      <c r="E562" t="s">
        <v>99</v>
      </c>
      <c r="F562" t="s">
        <v>111</v>
      </c>
      <c r="I562" t="s">
        <v>39</v>
      </c>
      <c r="J562" t="s">
        <v>40</v>
      </c>
      <c r="K562" t="s">
        <v>41</v>
      </c>
      <c r="L562" t="s">
        <v>101</v>
      </c>
      <c r="M562" t="s">
        <v>47</v>
      </c>
      <c r="N562" t="s">
        <v>43</v>
      </c>
      <c r="O562" t="s">
        <v>495</v>
      </c>
      <c r="P562">
        <v>67</v>
      </c>
      <c r="Q562">
        <v>67</v>
      </c>
      <c r="R562">
        <v>521</v>
      </c>
      <c r="S562" t="s">
        <v>56</v>
      </c>
      <c r="T562">
        <v>0.52</v>
      </c>
      <c r="U562">
        <v>21</v>
      </c>
      <c r="V562" t="s">
        <v>55</v>
      </c>
      <c r="W562">
        <v>0.02</v>
      </c>
      <c r="X562">
        <v>1</v>
      </c>
      <c r="Y562" t="s">
        <v>47</v>
      </c>
      <c r="Z562">
        <v>0</v>
      </c>
      <c r="AA562">
        <v>264</v>
      </c>
      <c r="AB562" t="s">
        <v>47</v>
      </c>
      <c r="AC562">
        <v>0.26300000000000001</v>
      </c>
      <c r="AD562">
        <v>177</v>
      </c>
      <c r="AE562" t="s">
        <v>56</v>
      </c>
      <c r="AF562">
        <v>0.17599999999999999</v>
      </c>
      <c r="AG562">
        <v>49</v>
      </c>
      <c r="AH562" t="s">
        <v>103</v>
      </c>
      <c r="AI562">
        <v>4.8000000000000001E-2</v>
      </c>
      <c r="AJ562" t="s">
        <v>1153</v>
      </c>
    </row>
    <row r="563" spans="1:36" x14ac:dyDescent="0.25">
      <c r="A563" t="s">
        <v>973</v>
      </c>
      <c r="B563">
        <v>852497792</v>
      </c>
      <c r="C563" t="s">
        <v>974</v>
      </c>
      <c r="D563" t="s">
        <v>974</v>
      </c>
      <c r="E563" t="s">
        <v>99</v>
      </c>
      <c r="F563" t="s">
        <v>111</v>
      </c>
      <c r="I563" t="s">
        <v>39</v>
      </c>
      <c r="J563" t="s">
        <v>40</v>
      </c>
      <c r="K563" t="s">
        <v>41</v>
      </c>
      <c r="L563" t="s">
        <v>101</v>
      </c>
      <c r="M563" t="s">
        <v>47</v>
      </c>
      <c r="N563" t="s">
        <v>43</v>
      </c>
      <c r="O563" t="s">
        <v>495</v>
      </c>
      <c r="P563">
        <v>67</v>
      </c>
      <c r="Q563">
        <v>67</v>
      </c>
      <c r="R563">
        <v>521</v>
      </c>
      <c r="S563" t="s">
        <v>56</v>
      </c>
      <c r="T563">
        <v>0.52</v>
      </c>
      <c r="U563">
        <v>21</v>
      </c>
      <c r="V563" t="s">
        <v>55</v>
      </c>
      <c r="W563">
        <v>0.02</v>
      </c>
      <c r="X563">
        <v>1</v>
      </c>
      <c r="Y563" t="s">
        <v>47</v>
      </c>
      <c r="Z563">
        <v>0</v>
      </c>
      <c r="AA563">
        <v>264</v>
      </c>
      <c r="AB563" t="s">
        <v>47</v>
      </c>
      <c r="AC563">
        <v>0.26300000000000001</v>
      </c>
      <c r="AD563">
        <v>177</v>
      </c>
      <c r="AE563" t="s">
        <v>56</v>
      </c>
      <c r="AF563">
        <v>0.17599999999999999</v>
      </c>
      <c r="AG563">
        <v>49</v>
      </c>
      <c r="AH563" t="s">
        <v>103</v>
      </c>
      <c r="AI563">
        <v>4.8000000000000001E-2</v>
      </c>
      <c r="AJ563" t="s">
        <v>1154</v>
      </c>
    </row>
    <row r="564" spans="1:36" x14ac:dyDescent="0.25">
      <c r="A564" t="s">
        <v>973</v>
      </c>
      <c r="B564">
        <v>852497792</v>
      </c>
      <c r="C564" t="s">
        <v>974</v>
      </c>
      <c r="D564" t="s">
        <v>974</v>
      </c>
      <c r="E564" t="s">
        <v>99</v>
      </c>
      <c r="F564" t="s">
        <v>111</v>
      </c>
      <c r="I564" t="s">
        <v>39</v>
      </c>
      <c r="J564" t="s">
        <v>40</v>
      </c>
      <c r="K564" t="s">
        <v>41</v>
      </c>
      <c r="L564" t="s">
        <v>101</v>
      </c>
      <c r="M564" t="s">
        <v>47</v>
      </c>
      <c r="N564" t="s">
        <v>43</v>
      </c>
      <c r="O564" t="s">
        <v>495</v>
      </c>
      <c r="P564">
        <v>67</v>
      </c>
      <c r="Q564">
        <v>67</v>
      </c>
      <c r="S564" t="s">
        <v>39</v>
      </c>
      <c r="V564" t="s">
        <v>39</v>
      </c>
      <c r="X564">
        <v>1</v>
      </c>
      <c r="Y564" t="s">
        <v>47</v>
      </c>
      <c r="Z564">
        <v>0</v>
      </c>
      <c r="AA564">
        <v>264</v>
      </c>
      <c r="AB564" t="s">
        <v>47</v>
      </c>
      <c r="AC564">
        <v>0.26300000000000001</v>
      </c>
      <c r="AD564">
        <v>177</v>
      </c>
      <c r="AE564" t="s">
        <v>56</v>
      </c>
      <c r="AF564">
        <v>0.17599999999999999</v>
      </c>
      <c r="AG564">
        <v>49</v>
      </c>
      <c r="AH564" t="s">
        <v>103</v>
      </c>
      <c r="AI564">
        <v>4.8000000000000001E-2</v>
      </c>
      <c r="AJ564" t="s">
        <v>1155</v>
      </c>
    </row>
    <row r="565" spans="1:36" x14ac:dyDescent="0.25">
      <c r="A565" t="s">
        <v>973</v>
      </c>
      <c r="B565">
        <v>852497792</v>
      </c>
      <c r="C565" t="s">
        <v>974</v>
      </c>
      <c r="D565" t="s">
        <v>974</v>
      </c>
      <c r="E565" t="s">
        <v>99</v>
      </c>
      <c r="F565" t="s">
        <v>111</v>
      </c>
      <c r="I565" t="s">
        <v>39</v>
      </c>
      <c r="J565" t="s">
        <v>40</v>
      </c>
      <c r="K565" t="s">
        <v>41</v>
      </c>
      <c r="L565" t="s">
        <v>101</v>
      </c>
      <c r="M565" t="s">
        <v>47</v>
      </c>
      <c r="N565" t="s">
        <v>43</v>
      </c>
      <c r="O565" t="s">
        <v>495</v>
      </c>
      <c r="P565">
        <v>67</v>
      </c>
      <c r="Q565">
        <v>67</v>
      </c>
      <c r="S565" t="s">
        <v>39</v>
      </c>
      <c r="V565" t="s">
        <v>39</v>
      </c>
      <c r="X565">
        <v>1</v>
      </c>
      <c r="Y565" t="s">
        <v>47</v>
      </c>
      <c r="Z565">
        <v>0</v>
      </c>
      <c r="AA565">
        <v>264</v>
      </c>
      <c r="AB565" t="s">
        <v>47</v>
      </c>
      <c r="AC565">
        <v>0.26300000000000001</v>
      </c>
      <c r="AD565">
        <v>177</v>
      </c>
      <c r="AE565" t="s">
        <v>56</v>
      </c>
      <c r="AF565">
        <v>0.17599999999999999</v>
      </c>
      <c r="AG565">
        <v>49</v>
      </c>
      <c r="AH565" t="s">
        <v>103</v>
      </c>
      <c r="AI565">
        <v>4.8000000000000001E-2</v>
      </c>
      <c r="AJ565" t="s">
        <v>1156</v>
      </c>
    </row>
    <row r="566" spans="1:36" x14ac:dyDescent="0.25">
      <c r="A566" t="s">
        <v>975</v>
      </c>
      <c r="B566">
        <v>881531292</v>
      </c>
      <c r="C566" t="s">
        <v>976</v>
      </c>
      <c r="D566" t="s">
        <v>976</v>
      </c>
      <c r="E566" t="s">
        <v>99</v>
      </c>
      <c r="F566" t="s">
        <v>143</v>
      </c>
      <c r="I566" t="s">
        <v>39</v>
      </c>
      <c r="J566" t="s">
        <v>40</v>
      </c>
      <c r="K566" t="s">
        <v>41</v>
      </c>
      <c r="L566" t="s">
        <v>42</v>
      </c>
      <c r="N566" t="s">
        <v>43</v>
      </c>
      <c r="O566" t="s">
        <v>336</v>
      </c>
      <c r="P566">
        <v>67</v>
      </c>
      <c r="Q566">
        <v>67</v>
      </c>
      <c r="R566">
        <v>461</v>
      </c>
      <c r="S566" t="s">
        <v>56</v>
      </c>
      <c r="T566">
        <v>0.46</v>
      </c>
      <c r="U566">
        <v>8</v>
      </c>
      <c r="V566" t="s">
        <v>55</v>
      </c>
      <c r="W566">
        <v>7.0000000000000001E-3</v>
      </c>
      <c r="X566">
        <v>1</v>
      </c>
      <c r="Y566" t="s">
        <v>47</v>
      </c>
      <c r="Z566">
        <v>0</v>
      </c>
      <c r="AA566">
        <v>170</v>
      </c>
      <c r="AB566" t="s">
        <v>47</v>
      </c>
      <c r="AC566">
        <v>0.16900000000000001</v>
      </c>
      <c r="AD566">
        <v>275</v>
      </c>
      <c r="AE566" t="s">
        <v>56</v>
      </c>
      <c r="AF566">
        <v>0.27400000000000002</v>
      </c>
      <c r="AG566">
        <v>52</v>
      </c>
      <c r="AH566" t="s">
        <v>103</v>
      </c>
      <c r="AI566">
        <v>5.0999999999999997E-2</v>
      </c>
      <c r="AJ566" t="s">
        <v>50</v>
      </c>
    </row>
    <row r="567" spans="1:36" x14ac:dyDescent="0.25">
      <c r="A567" t="s">
        <v>975</v>
      </c>
      <c r="B567">
        <v>881531292</v>
      </c>
      <c r="C567" t="s">
        <v>976</v>
      </c>
      <c r="D567" t="s">
        <v>976</v>
      </c>
      <c r="E567" t="s">
        <v>99</v>
      </c>
      <c r="F567" t="s">
        <v>143</v>
      </c>
      <c r="I567" t="s">
        <v>39</v>
      </c>
      <c r="J567" t="s">
        <v>40</v>
      </c>
      <c r="K567" t="s">
        <v>41</v>
      </c>
      <c r="L567" t="s">
        <v>42</v>
      </c>
      <c r="N567" t="s">
        <v>43</v>
      </c>
      <c r="O567" t="s">
        <v>336</v>
      </c>
      <c r="P567">
        <v>67</v>
      </c>
      <c r="Q567">
        <v>67</v>
      </c>
      <c r="R567">
        <v>421</v>
      </c>
      <c r="S567" t="s">
        <v>56</v>
      </c>
      <c r="T567">
        <v>0.42</v>
      </c>
      <c r="U567">
        <v>2</v>
      </c>
      <c r="V567" t="s">
        <v>55</v>
      </c>
      <c r="W567">
        <v>1E-3</v>
      </c>
      <c r="X567">
        <v>1</v>
      </c>
      <c r="Y567" t="s">
        <v>47</v>
      </c>
      <c r="Z567">
        <v>0</v>
      </c>
      <c r="AA567">
        <v>170</v>
      </c>
      <c r="AB567" t="s">
        <v>47</v>
      </c>
      <c r="AC567">
        <v>0.16900000000000001</v>
      </c>
      <c r="AD567">
        <v>275</v>
      </c>
      <c r="AE567" t="s">
        <v>56</v>
      </c>
      <c r="AF567">
        <v>0.27400000000000002</v>
      </c>
      <c r="AG567">
        <v>52</v>
      </c>
      <c r="AH567" t="s">
        <v>103</v>
      </c>
      <c r="AI567">
        <v>5.0999999999999997E-2</v>
      </c>
      <c r="AJ567" t="s">
        <v>1141</v>
      </c>
    </row>
    <row r="568" spans="1:36" x14ac:dyDescent="0.25">
      <c r="A568" t="s">
        <v>975</v>
      </c>
      <c r="B568">
        <v>881531292</v>
      </c>
      <c r="C568" t="s">
        <v>976</v>
      </c>
      <c r="D568" t="s">
        <v>976</v>
      </c>
      <c r="E568" t="s">
        <v>99</v>
      </c>
      <c r="F568" t="s">
        <v>143</v>
      </c>
      <c r="I568" t="s">
        <v>39</v>
      </c>
      <c r="J568" t="s">
        <v>40</v>
      </c>
      <c r="K568" t="s">
        <v>41</v>
      </c>
      <c r="L568" t="s">
        <v>42</v>
      </c>
      <c r="N568" t="s">
        <v>43</v>
      </c>
      <c r="O568" t="s">
        <v>336</v>
      </c>
      <c r="P568">
        <v>67</v>
      </c>
      <c r="Q568">
        <v>67</v>
      </c>
      <c r="R568">
        <v>461</v>
      </c>
      <c r="S568" t="s">
        <v>56</v>
      </c>
      <c r="T568">
        <v>0.46</v>
      </c>
      <c r="U568">
        <v>8</v>
      </c>
      <c r="V568" t="s">
        <v>55</v>
      </c>
      <c r="W568">
        <v>7.0000000000000001E-3</v>
      </c>
      <c r="X568">
        <v>1</v>
      </c>
      <c r="Y568" t="s">
        <v>47</v>
      </c>
      <c r="Z568">
        <v>0</v>
      </c>
      <c r="AA568">
        <v>170</v>
      </c>
      <c r="AB568" t="s">
        <v>47</v>
      </c>
      <c r="AC568">
        <v>0.16900000000000001</v>
      </c>
      <c r="AD568">
        <v>275</v>
      </c>
      <c r="AE568" t="s">
        <v>56</v>
      </c>
      <c r="AF568">
        <v>0.27400000000000002</v>
      </c>
      <c r="AG568">
        <v>52</v>
      </c>
      <c r="AH568" t="s">
        <v>103</v>
      </c>
      <c r="AI568">
        <v>5.0999999999999997E-2</v>
      </c>
      <c r="AJ568" t="s">
        <v>1153</v>
      </c>
    </row>
    <row r="569" spans="1:36" x14ac:dyDescent="0.25">
      <c r="A569" t="s">
        <v>975</v>
      </c>
      <c r="B569">
        <v>881531292</v>
      </c>
      <c r="C569" t="s">
        <v>976</v>
      </c>
      <c r="D569" t="s">
        <v>976</v>
      </c>
      <c r="E569" t="s">
        <v>99</v>
      </c>
      <c r="F569" t="s">
        <v>143</v>
      </c>
      <c r="I569" t="s">
        <v>39</v>
      </c>
      <c r="J569" t="s">
        <v>40</v>
      </c>
      <c r="K569" t="s">
        <v>41</v>
      </c>
      <c r="L569" t="s">
        <v>42</v>
      </c>
      <c r="N569" t="s">
        <v>43</v>
      </c>
      <c r="O569" t="s">
        <v>336</v>
      </c>
      <c r="P569">
        <v>67</v>
      </c>
      <c r="Q569">
        <v>67</v>
      </c>
      <c r="R569">
        <v>461</v>
      </c>
      <c r="S569" t="s">
        <v>56</v>
      </c>
      <c r="T569">
        <v>0.46</v>
      </c>
      <c r="U569">
        <v>8</v>
      </c>
      <c r="V569" t="s">
        <v>55</v>
      </c>
      <c r="W569">
        <v>7.0000000000000001E-3</v>
      </c>
      <c r="X569">
        <v>1</v>
      </c>
      <c r="Y569" t="s">
        <v>47</v>
      </c>
      <c r="Z569">
        <v>0</v>
      </c>
      <c r="AA569">
        <v>170</v>
      </c>
      <c r="AB569" t="s">
        <v>47</v>
      </c>
      <c r="AC569">
        <v>0.16900000000000001</v>
      </c>
      <c r="AD569">
        <v>275</v>
      </c>
      <c r="AE569" t="s">
        <v>56</v>
      </c>
      <c r="AF569">
        <v>0.27400000000000002</v>
      </c>
      <c r="AG569">
        <v>52</v>
      </c>
      <c r="AH569" t="s">
        <v>103</v>
      </c>
      <c r="AI569">
        <v>5.0999999999999997E-2</v>
      </c>
      <c r="AJ569" t="s">
        <v>1154</v>
      </c>
    </row>
    <row r="570" spans="1:36" x14ac:dyDescent="0.25">
      <c r="A570" t="s">
        <v>975</v>
      </c>
      <c r="B570">
        <v>881531292</v>
      </c>
      <c r="C570" t="s">
        <v>976</v>
      </c>
      <c r="D570" t="s">
        <v>976</v>
      </c>
      <c r="E570" t="s">
        <v>99</v>
      </c>
      <c r="F570" t="s">
        <v>143</v>
      </c>
      <c r="I570" t="s">
        <v>39</v>
      </c>
      <c r="J570" t="s">
        <v>40</v>
      </c>
      <c r="K570" t="s">
        <v>41</v>
      </c>
      <c r="L570" t="s">
        <v>42</v>
      </c>
      <c r="N570" t="s">
        <v>43</v>
      </c>
      <c r="O570" t="s">
        <v>336</v>
      </c>
      <c r="P570">
        <v>67</v>
      </c>
      <c r="Q570">
        <v>67</v>
      </c>
      <c r="S570" t="s">
        <v>39</v>
      </c>
      <c r="V570" t="s">
        <v>39</v>
      </c>
      <c r="X570">
        <v>1</v>
      </c>
      <c r="Y570" t="s">
        <v>47</v>
      </c>
      <c r="Z570">
        <v>0</v>
      </c>
      <c r="AA570">
        <v>170</v>
      </c>
      <c r="AB570" t="s">
        <v>47</v>
      </c>
      <c r="AC570">
        <v>0.16900000000000001</v>
      </c>
      <c r="AD570">
        <v>275</v>
      </c>
      <c r="AE570" t="s">
        <v>56</v>
      </c>
      <c r="AF570">
        <v>0.27400000000000002</v>
      </c>
      <c r="AG570">
        <v>52</v>
      </c>
      <c r="AH570" t="s">
        <v>103</v>
      </c>
      <c r="AI570">
        <v>5.0999999999999997E-2</v>
      </c>
      <c r="AJ570" t="s">
        <v>1155</v>
      </c>
    </row>
    <row r="571" spans="1:36" x14ac:dyDescent="0.25">
      <c r="A571" t="s">
        <v>975</v>
      </c>
      <c r="B571">
        <v>881531292</v>
      </c>
      <c r="C571" t="s">
        <v>976</v>
      </c>
      <c r="D571" t="s">
        <v>976</v>
      </c>
      <c r="E571" t="s">
        <v>99</v>
      </c>
      <c r="F571" t="s">
        <v>143</v>
      </c>
      <c r="I571" t="s">
        <v>39</v>
      </c>
      <c r="J571" t="s">
        <v>40</v>
      </c>
      <c r="K571" t="s">
        <v>41</v>
      </c>
      <c r="L571" t="s">
        <v>42</v>
      </c>
      <c r="N571" t="s">
        <v>43</v>
      </c>
      <c r="O571" t="s">
        <v>336</v>
      </c>
      <c r="P571">
        <v>67</v>
      </c>
      <c r="Q571">
        <v>67</v>
      </c>
      <c r="S571" t="s">
        <v>39</v>
      </c>
      <c r="V571" t="s">
        <v>39</v>
      </c>
      <c r="X571">
        <v>1</v>
      </c>
      <c r="Y571" t="s">
        <v>47</v>
      </c>
      <c r="Z571">
        <v>0</v>
      </c>
      <c r="AA571">
        <v>170</v>
      </c>
      <c r="AB571" t="s">
        <v>47</v>
      </c>
      <c r="AC571">
        <v>0.16900000000000001</v>
      </c>
      <c r="AD571">
        <v>275</v>
      </c>
      <c r="AE571" t="s">
        <v>56</v>
      </c>
      <c r="AF571">
        <v>0.27400000000000002</v>
      </c>
      <c r="AG571">
        <v>52</v>
      </c>
      <c r="AH571" t="s">
        <v>103</v>
      </c>
      <c r="AI571">
        <v>5.0999999999999997E-2</v>
      </c>
      <c r="AJ571" t="s">
        <v>1156</v>
      </c>
    </row>
    <row r="572" spans="1:36" x14ac:dyDescent="0.25">
      <c r="A572" t="s">
        <v>977</v>
      </c>
      <c r="B572">
        <v>856508553</v>
      </c>
      <c r="C572" t="s">
        <v>978</v>
      </c>
      <c r="D572" t="s">
        <v>978</v>
      </c>
      <c r="E572" t="s">
        <v>60</v>
      </c>
      <c r="F572" t="s">
        <v>61</v>
      </c>
      <c r="I572" t="s">
        <v>39</v>
      </c>
      <c r="J572" t="s">
        <v>40</v>
      </c>
      <c r="K572" t="s">
        <v>41</v>
      </c>
      <c r="L572" t="s">
        <v>72</v>
      </c>
      <c r="M572" t="s">
        <v>47</v>
      </c>
      <c r="N572" t="s">
        <v>43</v>
      </c>
      <c r="O572" t="s">
        <v>648</v>
      </c>
      <c r="P572">
        <v>67</v>
      </c>
      <c r="Q572">
        <v>67</v>
      </c>
      <c r="R572">
        <v>361</v>
      </c>
      <c r="S572" t="s">
        <v>56</v>
      </c>
      <c r="T572">
        <v>0.36</v>
      </c>
      <c r="U572">
        <v>285</v>
      </c>
      <c r="V572" t="s">
        <v>55</v>
      </c>
      <c r="W572">
        <v>0.28399999999999997</v>
      </c>
      <c r="X572">
        <v>5001</v>
      </c>
      <c r="Y572" t="s">
        <v>47</v>
      </c>
      <c r="Z572">
        <v>5</v>
      </c>
      <c r="AA572">
        <v>156</v>
      </c>
      <c r="AB572" t="s">
        <v>47</v>
      </c>
      <c r="AC572">
        <v>0.155</v>
      </c>
      <c r="AD572">
        <v>320</v>
      </c>
      <c r="AE572" t="s">
        <v>56</v>
      </c>
      <c r="AF572">
        <v>0.31900000000000001</v>
      </c>
      <c r="AG572">
        <v>133</v>
      </c>
      <c r="AH572" t="s">
        <v>103</v>
      </c>
      <c r="AI572">
        <v>0.13200000000000001</v>
      </c>
      <c r="AJ572" t="s">
        <v>50</v>
      </c>
    </row>
    <row r="573" spans="1:36" x14ac:dyDescent="0.25">
      <c r="A573" t="s">
        <v>977</v>
      </c>
      <c r="B573">
        <v>856508553</v>
      </c>
      <c r="C573" t="s">
        <v>978</v>
      </c>
      <c r="D573" t="s">
        <v>978</v>
      </c>
      <c r="E573" t="s">
        <v>60</v>
      </c>
      <c r="F573" t="s">
        <v>61</v>
      </c>
      <c r="I573" t="s">
        <v>39</v>
      </c>
      <c r="J573" t="s">
        <v>40</v>
      </c>
      <c r="K573" t="s">
        <v>41</v>
      </c>
      <c r="L573" t="s">
        <v>72</v>
      </c>
      <c r="M573" t="s">
        <v>47</v>
      </c>
      <c r="N573" t="s">
        <v>43</v>
      </c>
      <c r="O573" t="s">
        <v>648</v>
      </c>
      <c r="P573">
        <v>67</v>
      </c>
      <c r="Q573">
        <v>67</v>
      </c>
      <c r="R573">
        <v>311</v>
      </c>
      <c r="S573" t="s">
        <v>56</v>
      </c>
      <c r="T573">
        <v>0.31</v>
      </c>
      <c r="U573">
        <v>102</v>
      </c>
      <c r="V573" t="s">
        <v>55</v>
      </c>
      <c r="W573">
        <v>0.10100000000000001</v>
      </c>
      <c r="X573">
        <v>5001</v>
      </c>
      <c r="Y573" t="s">
        <v>47</v>
      </c>
      <c r="Z573">
        <v>5</v>
      </c>
      <c r="AA573">
        <v>156</v>
      </c>
      <c r="AB573" t="s">
        <v>47</v>
      </c>
      <c r="AC573">
        <v>0.155</v>
      </c>
      <c r="AD573">
        <v>320</v>
      </c>
      <c r="AE573" t="s">
        <v>56</v>
      </c>
      <c r="AF573">
        <v>0.31900000000000001</v>
      </c>
      <c r="AG573">
        <v>133</v>
      </c>
      <c r="AH573" t="s">
        <v>103</v>
      </c>
      <c r="AI573">
        <v>0.13200000000000001</v>
      </c>
      <c r="AJ573" t="s">
        <v>1141</v>
      </c>
    </row>
    <row r="574" spans="1:36" x14ac:dyDescent="0.25">
      <c r="A574" t="s">
        <v>977</v>
      </c>
      <c r="B574">
        <v>856508553</v>
      </c>
      <c r="C574" t="s">
        <v>978</v>
      </c>
      <c r="D574" t="s">
        <v>978</v>
      </c>
      <c r="E574" t="s">
        <v>60</v>
      </c>
      <c r="F574" t="s">
        <v>61</v>
      </c>
      <c r="I574" t="s">
        <v>39</v>
      </c>
      <c r="J574" t="s">
        <v>40</v>
      </c>
      <c r="K574" t="s">
        <v>41</v>
      </c>
      <c r="L574" t="s">
        <v>72</v>
      </c>
      <c r="M574" t="s">
        <v>47</v>
      </c>
      <c r="N574" t="s">
        <v>43</v>
      </c>
      <c r="O574" t="s">
        <v>648</v>
      </c>
      <c r="P574">
        <v>67</v>
      </c>
      <c r="Q574">
        <v>67</v>
      </c>
      <c r="R574">
        <v>361</v>
      </c>
      <c r="S574" t="s">
        <v>56</v>
      </c>
      <c r="T574">
        <v>0.36</v>
      </c>
      <c r="U574">
        <v>285</v>
      </c>
      <c r="V574" t="s">
        <v>55</v>
      </c>
      <c r="W574">
        <v>0.28399999999999997</v>
      </c>
      <c r="X574">
        <v>5001</v>
      </c>
      <c r="Y574" t="s">
        <v>47</v>
      </c>
      <c r="Z574">
        <v>5</v>
      </c>
      <c r="AA574">
        <v>156</v>
      </c>
      <c r="AB574" t="s">
        <v>47</v>
      </c>
      <c r="AC574">
        <v>0.155</v>
      </c>
      <c r="AD574">
        <v>320</v>
      </c>
      <c r="AE574" t="s">
        <v>56</v>
      </c>
      <c r="AF574">
        <v>0.31900000000000001</v>
      </c>
      <c r="AG574">
        <v>133</v>
      </c>
      <c r="AH574" t="s">
        <v>103</v>
      </c>
      <c r="AI574">
        <v>0.13200000000000001</v>
      </c>
      <c r="AJ574" t="s">
        <v>1153</v>
      </c>
    </row>
    <row r="575" spans="1:36" x14ac:dyDescent="0.25">
      <c r="A575" t="s">
        <v>977</v>
      </c>
      <c r="B575">
        <v>856508553</v>
      </c>
      <c r="C575" t="s">
        <v>978</v>
      </c>
      <c r="D575" t="s">
        <v>978</v>
      </c>
      <c r="E575" t="s">
        <v>60</v>
      </c>
      <c r="F575" t="s">
        <v>61</v>
      </c>
      <c r="I575" t="s">
        <v>39</v>
      </c>
      <c r="J575" t="s">
        <v>40</v>
      </c>
      <c r="K575" t="s">
        <v>41</v>
      </c>
      <c r="L575" t="s">
        <v>72</v>
      </c>
      <c r="M575" t="s">
        <v>47</v>
      </c>
      <c r="N575" t="s">
        <v>43</v>
      </c>
      <c r="O575" t="s">
        <v>648</v>
      </c>
      <c r="P575">
        <v>67</v>
      </c>
      <c r="Q575">
        <v>67</v>
      </c>
      <c r="R575">
        <v>361</v>
      </c>
      <c r="S575" t="s">
        <v>56</v>
      </c>
      <c r="T575">
        <v>0.36</v>
      </c>
      <c r="U575">
        <v>285</v>
      </c>
      <c r="V575" t="s">
        <v>55</v>
      </c>
      <c r="W575">
        <v>0.28399999999999997</v>
      </c>
      <c r="X575">
        <v>5001</v>
      </c>
      <c r="Y575" t="s">
        <v>47</v>
      </c>
      <c r="Z575">
        <v>5</v>
      </c>
      <c r="AA575">
        <v>156</v>
      </c>
      <c r="AB575" t="s">
        <v>47</v>
      </c>
      <c r="AC575">
        <v>0.155</v>
      </c>
      <c r="AD575">
        <v>320</v>
      </c>
      <c r="AE575" t="s">
        <v>56</v>
      </c>
      <c r="AF575">
        <v>0.31900000000000001</v>
      </c>
      <c r="AG575">
        <v>133</v>
      </c>
      <c r="AH575" t="s">
        <v>103</v>
      </c>
      <c r="AI575">
        <v>0.13200000000000001</v>
      </c>
      <c r="AJ575" t="s">
        <v>1154</v>
      </c>
    </row>
    <row r="576" spans="1:36" x14ac:dyDescent="0.25">
      <c r="A576" t="s">
        <v>977</v>
      </c>
      <c r="B576">
        <v>856508553</v>
      </c>
      <c r="C576" t="s">
        <v>978</v>
      </c>
      <c r="D576" t="s">
        <v>978</v>
      </c>
      <c r="E576" t="s">
        <v>60</v>
      </c>
      <c r="F576" t="s">
        <v>61</v>
      </c>
      <c r="I576" t="s">
        <v>39</v>
      </c>
      <c r="J576" t="s">
        <v>40</v>
      </c>
      <c r="K576" t="s">
        <v>41</v>
      </c>
      <c r="L576" t="s">
        <v>72</v>
      </c>
      <c r="M576" t="s">
        <v>47</v>
      </c>
      <c r="N576" t="s">
        <v>43</v>
      </c>
      <c r="O576" t="s">
        <v>648</v>
      </c>
      <c r="P576">
        <v>67</v>
      </c>
      <c r="Q576">
        <v>67</v>
      </c>
      <c r="S576" t="s">
        <v>39</v>
      </c>
      <c r="V576" t="s">
        <v>39</v>
      </c>
      <c r="X576">
        <v>5001</v>
      </c>
      <c r="Y576" t="s">
        <v>47</v>
      </c>
      <c r="Z576">
        <v>5</v>
      </c>
      <c r="AA576">
        <v>156</v>
      </c>
      <c r="AB576" t="s">
        <v>47</v>
      </c>
      <c r="AC576">
        <v>0.155</v>
      </c>
      <c r="AD576">
        <v>320</v>
      </c>
      <c r="AE576" t="s">
        <v>56</v>
      </c>
      <c r="AF576">
        <v>0.31900000000000001</v>
      </c>
      <c r="AG576">
        <v>133</v>
      </c>
      <c r="AH576" t="s">
        <v>103</v>
      </c>
      <c r="AI576">
        <v>0.13200000000000001</v>
      </c>
      <c r="AJ576" t="s">
        <v>1155</v>
      </c>
    </row>
    <row r="577" spans="1:36" x14ac:dyDescent="0.25">
      <c r="A577" t="s">
        <v>977</v>
      </c>
      <c r="B577">
        <v>856508553</v>
      </c>
      <c r="C577" t="s">
        <v>978</v>
      </c>
      <c r="D577" t="s">
        <v>978</v>
      </c>
      <c r="E577" t="s">
        <v>60</v>
      </c>
      <c r="F577" t="s">
        <v>61</v>
      </c>
      <c r="I577" t="s">
        <v>39</v>
      </c>
      <c r="J577" t="s">
        <v>40</v>
      </c>
      <c r="K577" t="s">
        <v>41</v>
      </c>
      <c r="L577" t="s">
        <v>72</v>
      </c>
      <c r="M577" t="s">
        <v>47</v>
      </c>
      <c r="N577" t="s">
        <v>43</v>
      </c>
      <c r="O577" t="s">
        <v>648</v>
      </c>
      <c r="P577">
        <v>67</v>
      </c>
      <c r="Q577">
        <v>67</v>
      </c>
      <c r="S577" t="s">
        <v>39</v>
      </c>
      <c r="V577" t="s">
        <v>39</v>
      </c>
      <c r="X577">
        <v>5001</v>
      </c>
      <c r="Y577" t="s">
        <v>47</v>
      </c>
      <c r="Z577">
        <v>5</v>
      </c>
      <c r="AA577">
        <v>156</v>
      </c>
      <c r="AB577" t="s">
        <v>47</v>
      </c>
      <c r="AC577">
        <v>0.155</v>
      </c>
      <c r="AD577">
        <v>320</v>
      </c>
      <c r="AE577" t="s">
        <v>56</v>
      </c>
      <c r="AF577">
        <v>0.31900000000000001</v>
      </c>
      <c r="AG577">
        <v>133</v>
      </c>
      <c r="AH577" t="s">
        <v>103</v>
      </c>
      <c r="AI577">
        <v>0.13200000000000001</v>
      </c>
      <c r="AJ577" t="s">
        <v>1156</v>
      </c>
    </row>
    <row r="578" spans="1:36" s="5" customFormat="1" x14ac:dyDescent="0.25">
      <c r="A578" s="5" t="s">
        <v>971</v>
      </c>
      <c r="B578" s="5">
        <v>853197771</v>
      </c>
      <c r="C578" s="5" t="s">
        <v>972</v>
      </c>
      <c r="D578" s="5" t="s">
        <v>972</v>
      </c>
      <c r="E578" s="5" t="s">
        <v>37</v>
      </c>
      <c r="F578" s="5" t="s">
        <v>122</v>
      </c>
      <c r="I578" s="5" t="s">
        <v>39</v>
      </c>
      <c r="J578" s="5" t="s">
        <v>40</v>
      </c>
      <c r="K578" s="5" t="s">
        <v>41</v>
      </c>
      <c r="L578" s="5" t="s">
        <v>177</v>
      </c>
      <c r="M578" s="5" t="s">
        <v>73</v>
      </c>
      <c r="N578" s="5" t="s">
        <v>43</v>
      </c>
      <c r="O578" s="5" t="s">
        <v>123</v>
      </c>
      <c r="P578" s="5">
        <v>69</v>
      </c>
      <c r="Q578" s="5">
        <v>69</v>
      </c>
      <c r="R578" s="5">
        <v>21</v>
      </c>
      <c r="S578" s="5" t="s">
        <v>45</v>
      </c>
      <c r="T578" s="5">
        <v>0.02</v>
      </c>
      <c r="U578" s="5">
        <v>958</v>
      </c>
      <c r="V578" s="5" t="s">
        <v>46</v>
      </c>
      <c r="W578" s="5">
        <v>0.95699999999999996</v>
      </c>
      <c r="X578" s="5">
        <v>23001</v>
      </c>
      <c r="Y578" s="5" t="s">
        <v>47</v>
      </c>
      <c r="Z578" s="5">
        <v>23</v>
      </c>
      <c r="AA578" s="5">
        <v>404</v>
      </c>
      <c r="AB578" s="5" t="s">
        <v>47</v>
      </c>
      <c r="AC578" s="5">
        <v>0.40300000000000002</v>
      </c>
      <c r="AD578" s="5">
        <v>770</v>
      </c>
      <c r="AE578" s="5" t="s">
        <v>48</v>
      </c>
      <c r="AF578" s="5">
        <v>0.76900000000000002</v>
      </c>
      <c r="AG578" s="5">
        <v>955</v>
      </c>
      <c r="AH578" s="5" t="s">
        <v>80</v>
      </c>
      <c r="AI578" s="5">
        <v>0.95399999999999996</v>
      </c>
      <c r="AJ578" s="5" t="s">
        <v>50</v>
      </c>
    </row>
    <row r="579" spans="1:36" s="3" customFormat="1" x14ac:dyDescent="0.25">
      <c r="A579" s="3" t="s">
        <v>971</v>
      </c>
      <c r="B579" s="3">
        <v>853197771</v>
      </c>
      <c r="C579" s="3" t="s">
        <v>972</v>
      </c>
      <c r="D579" s="3" t="s">
        <v>972</v>
      </c>
      <c r="E579" s="3" t="s">
        <v>60</v>
      </c>
      <c r="F579" s="3" t="s">
        <v>122</v>
      </c>
      <c r="I579" s="3" t="s">
        <v>39</v>
      </c>
      <c r="J579" s="3" t="s">
        <v>40</v>
      </c>
      <c r="K579" s="3" t="s">
        <v>41</v>
      </c>
      <c r="L579" s="3" t="s">
        <v>177</v>
      </c>
      <c r="M579" s="3" t="s">
        <v>73</v>
      </c>
      <c r="N579" s="3" t="s">
        <v>43</v>
      </c>
      <c r="O579" s="3" t="s">
        <v>124</v>
      </c>
      <c r="P579" s="3">
        <v>69</v>
      </c>
      <c r="Q579" s="3">
        <v>69</v>
      </c>
      <c r="R579" s="3">
        <v>11</v>
      </c>
      <c r="S579" s="3" t="s">
        <v>45</v>
      </c>
      <c r="T579" s="3">
        <v>0.01</v>
      </c>
      <c r="U579" s="3">
        <v>867</v>
      </c>
      <c r="V579" s="3" t="s">
        <v>113</v>
      </c>
      <c r="W579" s="3">
        <v>0.86599999999999999</v>
      </c>
      <c r="X579" s="3">
        <v>23001</v>
      </c>
      <c r="Y579" s="3" t="s">
        <v>47</v>
      </c>
      <c r="Z579" s="3">
        <v>23</v>
      </c>
      <c r="AA579" s="3">
        <v>457</v>
      </c>
      <c r="AB579" s="3" t="s">
        <v>47</v>
      </c>
      <c r="AC579" s="3">
        <v>0.45600000000000002</v>
      </c>
      <c r="AD579" s="3">
        <v>717</v>
      </c>
      <c r="AE579" s="3" t="s">
        <v>48</v>
      </c>
      <c r="AF579" s="3">
        <v>0.71599999999999997</v>
      </c>
      <c r="AG579" s="3">
        <v>810</v>
      </c>
      <c r="AH579" s="3" t="s">
        <v>49</v>
      </c>
      <c r="AI579" s="3">
        <v>0.80900000000000005</v>
      </c>
      <c r="AJ579" s="3" t="s">
        <v>50</v>
      </c>
    </row>
    <row r="580" spans="1:36" s="5" customFormat="1" x14ac:dyDescent="0.25">
      <c r="A580" s="5" t="s">
        <v>971</v>
      </c>
      <c r="B580" s="5">
        <v>853197771</v>
      </c>
      <c r="C580" s="5" t="s">
        <v>972</v>
      </c>
      <c r="D580" s="5" t="s">
        <v>972</v>
      </c>
      <c r="E580" s="5" t="s">
        <v>37</v>
      </c>
      <c r="F580" s="5" t="s">
        <v>122</v>
      </c>
      <c r="I580" s="5" t="s">
        <v>39</v>
      </c>
      <c r="J580" s="5" t="s">
        <v>40</v>
      </c>
      <c r="K580" s="5" t="s">
        <v>41</v>
      </c>
      <c r="L580" s="5" t="s">
        <v>177</v>
      </c>
      <c r="M580" s="5" t="s">
        <v>73</v>
      </c>
      <c r="N580" s="5" t="s">
        <v>43</v>
      </c>
      <c r="O580" s="5" t="s">
        <v>123</v>
      </c>
      <c r="P580" s="5">
        <v>69</v>
      </c>
      <c r="Q580" s="5">
        <v>69</v>
      </c>
      <c r="R580" s="5">
        <v>11</v>
      </c>
      <c r="S580" s="5" t="s">
        <v>45</v>
      </c>
      <c r="T580" s="5">
        <v>0.01</v>
      </c>
      <c r="U580" s="5">
        <v>874</v>
      </c>
      <c r="V580" s="5" t="s">
        <v>113</v>
      </c>
      <c r="W580" s="5">
        <v>0.873</v>
      </c>
      <c r="X580" s="5">
        <v>23001</v>
      </c>
      <c r="Y580" s="5" t="s">
        <v>47</v>
      </c>
      <c r="Z580" s="5">
        <v>23</v>
      </c>
      <c r="AA580" s="5">
        <v>404</v>
      </c>
      <c r="AB580" s="5" t="s">
        <v>47</v>
      </c>
      <c r="AC580" s="5">
        <v>0.40300000000000002</v>
      </c>
      <c r="AD580" s="5">
        <v>770</v>
      </c>
      <c r="AE580" s="5" t="s">
        <v>48</v>
      </c>
      <c r="AF580" s="5">
        <v>0.76900000000000002</v>
      </c>
      <c r="AG580" s="5">
        <v>955</v>
      </c>
      <c r="AH580" s="5" t="s">
        <v>80</v>
      </c>
      <c r="AI580" s="5">
        <v>0.95399999999999996</v>
      </c>
      <c r="AJ580" s="5" t="s">
        <v>1141</v>
      </c>
    </row>
    <row r="581" spans="1:36" s="3" customFormat="1" x14ac:dyDescent="0.25">
      <c r="A581" s="3" t="s">
        <v>971</v>
      </c>
      <c r="B581" s="3">
        <v>853197771</v>
      </c>
      <c r="C581" s="3" t="s">
        <v>972</v>
      </c>
      <c r="D581" s="3" t="s">
        <v>972</v>
      </c>
      <c r="E581" s="3" t="s">
        <v>60</v>
      </c>
      <c r="F581" s="3" t="s">
        <v>122</v>
      </c>
      <c r="I581" s="3" t="s">
        <v>39</v>
      </c>
      <c r="J581" s="3" t="s">
        <v>40</v>
      </c>
      <c r="K581" s="3" t="s">
        <v>41</v>
      </c>
      <c r="L581" s="3" t="s">
        <v>177</v>
      </c>
      <c r="M581" s="3" t="s">
        <v>73</v>
      </c>
      <c r="N581" s="3" t="s">
        <v>43</v>
      </c>
      <c r="O581" s="3" t="s">
        <v>124</v>
      </c>
      <c r="P581" s="3">
        <v>69</v>
      </c>
      <c r="Q581" s="3">
        <v>69</v>
      </c>
      <c r="R581" s="3">
        <v>11</v>
      </c>
      <c r="S581" s="3" t="s">
        <v>45</v>
      </c>
      <c r="T581" s="3">
        <v>0.01</v>
      </c>
      <c r="U581" s="3">
        <v>239</v>
      </c>
      <c r="V581" s="3" t="s">
        <v>55</v>
      </c>
      <c r="W581" s="3">
        <v>0.23799999999999999</v>
      </c>
      <c r="X581" s="3">
        <v>23001</v>
      </c>
      <c r="Y581" s="3" t="s">
        <v>47</v>
      </c>
      <c r="Z581" s="3">
        <v>23</v>
      </c>
      <c r="AA581" s="3">
        <v>457</v>
      </c>
      <c r="AB581" s="3" t="s">
        <v>47</v>
      </c>
      <c r="AC581" s="3">
        <v>0.45600000000000002</v>
      </c>
      <c r="AD581" s="3">
        <v>717</v>
      </c>
      <c r="AE581" s="3" t="s">
        <v>48</v>
      </c>
      <c r="AF581" s="3">
        <v>0.71599999999999997</v>
      </c>
      <c r="AG581" s="3">
        <v>810</v>
      </c>
      <c r="AH581" s="3" t="s">
        <v>49</v>
      </c>
      <c r="AI581" s="3">
        <v>0.80900000000000005</v>
      </c>
      <c r="AJ581" s="3" t="s">
        <v>1141</v>
      </c>
    </row>
    <row r="582" spans="1:36" s="5" customFormat="1" x14ac:dyDescent="0.25">
      <c r="A582" s="5" t="s">
        <v>971</v>
      </c>
      <c r="B582" s="5">
        <v>853197771</v>
      </c>
      <c r="C582" s="5" t="s">
        <v>972</v>
      </c>
      <c r="D582" s="5" t="s">
        <v>972</v>
      </c>
      <c r="E582" s="5" t="s">
        <v>37</v>
      </c>
      <c r="F582" s="5" t="s">
        <v>122</v>
      </c>
      <c r="I582" s="5" t="s">
        <v>39</v>
      </c>
      <c r="J582" s="5" t="s">
        <v>40</v>
      </c>
      <c r="K582" s="5" t="s">
        <v>41</v>
      </c>
      <c r="L582" s="5" t="s">
        <v>177</v>
      </c>
      <c r="M582" s="5" t="s">
        <v>73</v>
      </c>
      <c r="N582" s="5" t="s">
        <v>43</v>
      </c>
      <c r="O582" s="5" t="s">
        <v>123</v>
      </c>
      <c r="P582" s="5">
        <v>69</v>
      </c>
      <c r="Q582" s="5">
        <v>69</v>
      </c>
      <c r="R582" s="5">
        <v>21</v>
      </c>
      <c r="S582" s="5" t="s">
        <v>45</v>
      </c>
      <c r="T582" s="5">
        <v>0.02</v>
      </c>
      <c r="U582" s="5">
        <v>958</v>
      </c>
      <c r="V582" s="5" t="s">
        <v>46</v>
      </c>
      <c r="W582" s="5">
        <v>0.95699999999999996</v>
      </c>
      <c r="X582" s="5">
        <v>23001</v>
      </c>
      <c r="Y582" s="5" t="s">
        <v>47</v>
      </c>
      <c r="Z582" s="5">
        <v>23</v>
      </c>
      <c r="AA582" s="5">
        <v>404</v>
      </c>
      <c r="AB582" s="5" t="s">
        <v>47</v>
      </c>
      <c r="AC582" s="5">
        <v>0.40300000000000002</v>
      </c>
      <c r="AD582" s="5">
        <v>770</v>
      </c>
      <c r="AE582" s="5" t="s">
        <v>48</v>
      </c>
      <c r="AF582" s="5">
        <v>0.76900000000000002</v>
      </c>
      <c r="AG582" s="5">
        <v>955</v>
      </c>
      <c r="AH582" s="5" t="s">
        <v>80</v>
      </c>
      <c r="AI582" s="5">
        <v>0.95399999999999996</v>
      </c>
      <c r="AJ582" s="5" t="s">
        <v>1153</v>
      </c>
    </row>
    <row r="583" spans="1:36" s="3" customFormat="1" x14ac:dyDescent="0.25">
      <c r="A583" s="3" t="s">
        <v>971</v>
      </c>
      <c r="B583" s="3">
        <v>853197771</v>
      </c>
      <c r="C583" s="3" t="s">
        <v>972</v>
      </c>
      <c r="D583" s="3" t="s">
        <v>972</v>
      </c>
      <c r="E583" s="3" t="s">
        <v>60</v>
      </c>
      <c r="F583" s="3" t="s">
        <v>122</v>
      </c>
      <c r="I583" s="3" t="s">
        <v>39</v>
      </c>
      <c r="J583" s="3" t="s">
        <v>40</v>
      </c>
      <c r="K583" s="3" t="s">
        <v>41</v>
      </c>
      <c r="L583" s="3" t="s">
        <v>177</v>
      </c>
      <c r="M583" s="3" t="s">
        <v>73</v>
      </c>
      <c r="N583" s="3" t="s">
        <v>43</v>
      </c>
      <c r="O583" s="3" t="s">
        <v>124</v>
      </c>
      <c r="P583" s="3">
        <v>69</v>
      </c>
      <c r="Q583" s="3">
        <v>69</v>
      </c>
      <c r="R583" s="3">
        <v>11</v>
      </c>
      <c r="S583" s="3" t="s">
        <v>45</v>
      </c>
      <c r="T583" s="3">
        <v>0.01</v>
      </c>
      <c r="U583" s="3">
        <v>867</v>
      </c>
      <c r="V583" s="3" t="s">
        <v>113</v>
      </c>
      <c r="W583" s="3">
        <v>0.86599999999999999</v>
      </c>
      <c r="X583" s="3">
        <v>23001</v>
      </c>
      <c r="Y583" s="3" t="s">
        <v>47</v>
      </c>
      <c r="Z583" s="3">
        <v>23</v>
      </c>
      <c r="AA583" s="3">
        <v>457</v>
      </c>
      <c r="AB583" s="3" t="s">
        <v>47</v>
      </c>
      <c r="AC583" s="3">
        <v>0.45600000000000002</v>
      </c>
      <c r="AD583" s="3">
        <v>717</v>
      </c>
      <c r="AE583" s="3" t="s">
        <v>48</v>
      </c>
      <c r="AF583" s="3">
        <v>0.71599999999999997</v>
      </c>
      <c r="AG583" s="3">
        <v>810</v>
      </c>
      <c r="AH583" s="3" t="s">
        <v>49</v>
      </c>
      <c r="AI583" s="3">
        <v>0.80900000000000005</v>
      </c>
      <c r="AJ583" s="3" t="s">
        <v>1153</v>
      </c>
    </row>
    <row r="584" spans="1:36" s="5" customFormat="1" x14ac:dyDescent="0.25">
      <c r="A584" s="5" t="s">
        <v>971</v>
      </c>
      <c r="B584" s="5">
        <v>853197771</v>
      </c>
      <c r="C584" s="5" t="s">
        <v>972</v>
      </c>
      <c r="D584" s="5" t="s">
        <v>972</v>
      </c>
      <c r="E584" s="5" t="s">
        <v>37</v>
      </c>
      <c r="F584" s="5" t="s">
        <v>122</v>
      </c>
      <c r="I584" s="5" t="s">
        <v>39</v>
      </c>
      <c r="J584" s="5" t="s">
        <v>40</v>
      </c>
      <c r="K584" s="5" t="s">
        <v>41</v>
      </c>
      <c r="L584" s="5" t="s">
        <v>177</v>
      </c>
      <c r="M584" s="5" t="s">
        <v>73</v>
      </c>
      <c r="N584" s="5" t="s">
        <v>43</v>
      </c>
      <c r="O584" s="5" t="s">
        <v>123</v>
      </c>
      <c r="P584" s="5">
        <v>69</v>
      </c>
      <c r="Q584" s="5">
        <v>69</v>
      </c>
      <c r="R584" s="5">
        <v>21</v>
      </c>
      <c r="S584" s="5" t="s">
        <v>45</v>
      </c>
      <c r="T584" s="5">
        <v>0.02</v>
      </c>
      <c r="U584" s="5">
        <v>958</v>
      </c>
      <c r="V584" s="5" t="s">
        <v>46</v>
      </c>
      <c r="W584" s="5">
        <v>0.95699999999999996</v>
      </c>
      <c r="X584" s="5">
        <v>23001</v>
      </c>
      <c r="Y584" s="5" t="s">
        <v>47</v>
      </c>
      <c r="Z584" s="5">
        <v>23</v>
      </c>
      <c r="AA584" s="5">
        <v>404</v>
      </c>
      <c r="AB584" s="5" t="s">
        <v>47</v>
      </c>
      <c r="AC584" s="5">
        <v>0.40300000000000002</v>
      </c>
      <c r="AD584" s="5">
        <v>770</v>
      </c>
      <c r="AE584" s="5" t="s">
        <v>48</v>
      </c>
      <c r="AF584" s="5">
        <v>0.76900000000000002</v>
      </c>
      <c r="AG584" s="5">
        <v>955</v>
      </c>
      <c r="AH584" s="5" t="s">
        <v>80</v>
      </c>
      <c r="AI584" s="5">
        <v>0.95399999999999996</v>
      </c>
      <c r="AJ584" s="5" t="s">
        <v>1154</v>
      </c>
    </row>
    <row r="585" spans="1:36" s="3" customFormat="1" x14ac:dyDescent="0.25">
      <c r="A585" s="3" t="s">
        <v>971</v>
      </c>
      <c r="B585" s="3">
        <v>853197771</v>
      </c>
      <c r="C585" s="3" t="s">
        <v>972</v>
      </c>
      <c r="D585" s="3" t="s">
        <v>972</v>
      </c>
      <c r="E585" s="3" t="s">
        <v>60</v>
      </c>
      <c r="F585" s="3" t="s">
        <v>122</v>
      </c>
      <c r="I585" s="3" t="s">
        <v>39</v>
      </c>
      <c r="J585" s="3" t="s">
        <v>40</v>
      </c>
      <c r="K585" s="3" t="s">
        <v>41</v>
      </c>
      <c r="L585" s="3" t="s">
        <v>177</v>
      </c>
      <c r="M585" s="3" t="s">
        <v>73</v>
      </c>
      <c r="N585" s="3" t="s">
        <v>43</v>
      </c>
      <c r="O585" s="3" t="s">
        <v>124</v>
      </c>
      <c r="P585" s="3">
        <v>69</v>
      </c>
      <c r="Q585" s="3">
        <v>69</v>
      </c>
      <c r="R585" s="3">
        <v>11</v>
      </c>
      <c r="S585" s="3" t="s">
        <v>45</v>
      </c>
      <c r="T585" s="3">
        <v>0.01</v>
      </c>
      <c r="U585" s="3">
        <v>867</v>
      </c>
      <c r="V585" s="3" t="s">
        <v>113</v>
      </c>
      <c r="W585" s="3">
        <v>0.86599999999999999</v>
      </c>
      <c r="X585" s="3">
        <v>23001</v>
      </c>
      <c r="Y585" s="3" t="s">
        <v>47</v>
      </c>
      <c r="Z585" s="3">
        <v>23</v>
      </c>
      <c r="AA585" s="3">
        <v>457</v>
      </c>
      <c r="AB585" s="3" t="s">
        <v>47</v>
      </c>
      <c r="AC585" s="3">
        <v>0.45600000000000002</v>
      </c>
      <c r="AD585" s="3">
        <v>717</v>
      </c>
      <c r="AE585" s="3" t="s">
        <v>48</v>
      </c>
      <c r="AF585" s="3">
        <v>0.71599999999999997</v>
      </c>
      <c r="AG585" s="3">
        <v>810</v>
      </c>
      <c r="AH585" s="3" t="s">
        <v>49</v>
      </c>
      <c r="AI585" s="3">
        <v>0.80900000000000005</v>
      </c>
      <c r="AJ585" s="3" t="s">
        <v>1154</v>
      </c>
    </row>
    <row r="586" spans="1:36" s="3" customFormat="1" x14ac:dyDescent="0.25">
      <c r="A586" s="3" t="s">
        <v>971</v>
      </c>
      <c r="B586" s="3">
        <v>853197771</v>
      </c>
      <c r="C586" s="3" t="s">
        <v>972</v>
      </c>
      <c r="D586" s="3" t="s">
        <v>972</v>
      </c>
      <c r="E586" s="3" t="s">
        <v>37</v>
      </c>
      <c r="F586" s="3" t="s">
        <v>122</v>
      </c>
      <c r="I586" s="3" t="s">
        <v>39</v>
      </c>
      <c r="J586" s="3" t="s">
        <v>40</v>
      </c>
      <c r="K586" s="3" t="s">
        <v>41</v>
      </c>
      <c r="L586" s="3" t="s">
        <v>177</v>
      </c>
      <c r="M586" s="3" t="s">
        <v>73</v>
      </c>
      <c r="N586" s="3" t="s">
        <v>43</v>
      </c>
      <c r="O586" s="3" t="s">
        <v>123</v>
      </c>
      <c r="P586" s="3">
        <v>69</v>
      </c>
      <c r="Q586" s="3">
        <v>69</v>
      </c>
      <c r="S586" s="3" t="s">
        <v>39</v>
      </c>
      <c r="V586" s="3" t="s">
        <v>39</v>
      </c>
      <c r="X586" s="3">
        <v>23001</v>
      </c>
      <c r="Y586" s="3" t="s">
        <v>47</v>
      </c>
      <c r="Z586" s="3">
        <v>23</v>
      </c>
      <c r="AA586" s="3">
        <v>404</v>
      </c>
      <c r="AB586" s="3" t="s">
        <v>47</v>
      </c>
      <c r="AC586" s="3">
        <v>0.40300000000000002</v>
      </c>
      <c r="AD586" s="3">
        <v>770</v>
      </c>
      <c r="AE586" s="3" t="s">
        <v>48</v>
      </c>
      <c r="AF586" s="3">
        <v>0.76900000000000002</v>
      </c>
      <c r="AG586" s="3">
        <v>955</v>
      </c>
      <c r="AH586" s="3" t="s">
        <v>80</v>
      </c>
      <c r="AI586" s="3">
        <v>0.95399999999999996</v>
      </c>
      <c r="AJ586" s="3" t="s">
        <v>1155</v>
      </c>
    </row>
    <row r="587" spans="1:36" s="3" customFormat="1" x14ac:dyDescent="0.25">
      <c r="A587" s="3" t="s">
        <v>971</v>
      </c>
      <c r="B587" s="3">
        <v>853197771</v>
      </c>
      <c r="C587" s="3" t="s">
        <v>972</v>
      </c>
      <c r="D587" s="3" t="s">
        <v>972</v>
      </c>
      <c r="E587" s="3" t="s">
        <v>60</v>
      </c>
      <c r="F587" s="3" t="s">
        <v>122</v>
      </c>
      <c r="I587" s="3" t="s">
        <v>39</v>
      </c>
      <c r="J587" s="3" t="s">
        <v>40</v>
      </c>
      <c r="K587" s="3" t="s">
        <v>41</v>
      </c>
      <c r="L587" s="3" t="s">
        <v>177</v>
      </c>
      <c r="M587" s="3" t="s">
        <v>73</v>
      </c>
      <c r="N587" s="3" t="s">
        <v>43</v>
      </c>
      <c r="O587" s="3" t="s">
        <v>124</v>
      </c>
      <c r="P587" s="3">
        <v>69</v>
      </c>
      <c r="Q587" s="3">
        <v>69</v>
      </c>
      <c r="S587" s="3" t="s">
        <v>39</v>
      </c>
      <c r="V587" s="3" t="s">
        <v>39</v>
      </c>
      <c r="X587" s="3">
        <v>23001</v>
      </c>
      <c r="Y587" s="3" t="s">
        <v>47</v>
      </c>
      <c r="Z587" s="3">
        <v>23</v>
      </c>
      <c r="AA587" s="3">
        <v>457</v>
      </c>
      <c r="AB587" s="3" t="s">
        <v>47</v>
      </c>
      <c r="AC587" s="3">
        <v>0.45600000000000002</v>
      </c>
      <c r="AD587" s="3">
        <v>717</v>
      </c>
      <c r="AE587" s="3" t="s">
        <v>48</v>
      </c>
      <c r="AF587" s="3">
        <v>0.71599999999999997</v>
      </c>
      <c r="AG587" s="3">
        <v>810</v>
      </c>
      <c r="AH587" s="3" t="s">
        <v>49</v>
      </c>
      <c r="AI587" s="3">
        <v>0.80900000000000005</v>
      </c>
      <c r="AJ587" s="3" t="s">
        <v>1155</v>
      </c>
    </row>
    <row r="588" spans="1:36" s="3" customFormat="1" x14ac:dyDescent="0.25">
      <c r="A588" s="3" t="s">
        <v>971</v>
      </c>
      <c r="B588" s="3">
        <v>853197771</v>
      </c>
      <c r="C588" s="3" t="s">
        <v>972</v>
      </c>
      <c r="D588" s="3" t="s">
        <v>972</v>
      </c>
      <c r="E588" s="3" t="s">
        <v>37</v>
      </c>
      <c r="F588" s="3" t="s">
        <v>122</v>
      </c>
      <c r="I588" s="3" t="s">
        <v>39</v>
      </c>
      <c r="J588" s="3" t="s">
        <v>40</v>
      </c>
      <c r="K588" s="3" t="s">
        <v>41</v>
      </c>
      <c r="L588" s="3" t="s">
        <v>177</v>
      </c>
      <c r="M588" s="3" t="s">
        <v>73</v>
      </c>
      <c r="N588" s="3" t="s">
        <v>43</v>
      </c>
      <c r="O588" s="3" t="s">
        <v>123</v>
      </c>
      <c r="P588" s="3">
        <v>69</v>
      </c>
      <c r="Q588" s="3">
        <v>69</v>
      </c>
      <c r="S588" s="3" t="s">
        <v>39</v>
      </c>
      <c r="V588" s="3" t="s">
        <v>39</v>
      </c>
      <c r="X588" s="3">
        <v>23001</v>
      </c>
      <c r="Y588" s="3" t="s">
        <v>47</v>
      </c>
      <c r="Z588" s="3">
        <v>23</v>
      </c>
      <c r="AA588" s="3">
        <v>404</v>
      </c>
      <c r="AB588" s="3" t="s">
        <v>47</v>
      </c>
      <c r="AC588" s="3">
        <v>0.40300000000000002</v>
      </c>
      <c r="AD588" s="3">
        <v>770</v>
      </c>
      <c r="AE588" s="3" t="s">
        <v>48</v>
      </c>
      <c r="AF588" s="3">
        <v>0.76900000000000002</v>
      </c>
      <c r="AG588" s="3">
        <v>955</v>
      </c>
      <c r="AH588" s="3" t="s">
        <v>80</v>
      </c>
      <c r="AI588" s="3">
        <v>0.95399999999999996</v>
      </c>
      <c r="AJ588" s="3" t="s">
        <v>1156</v>
      </c>
    </row>
    <row r="589" spans="1:36" s="3" customFormat="1" x14ac:dyDescent="0.25">
      <c r="A589" s="3" t="s">
        <v>971</v>
      </c>
      <c r="B589" s="3">
        <v>853197771</v>
      </c>
      <c r="C589" s="3" t="s">
        <v>972</v>
      </c>
      <c r="D589" s="3" t="s">
        <v>972</v>
      </c>
      <c r="E589" s="3" t="s">
        <v>60</v>
      </c>
      <c r="F589" s="3" t="s">
        <v>122</v>
      </c>
      <c r="I589" s="3" t="s">
        <v>39</v>
      </c>
      <c r="J589" s="3" t="s">
        <v>40</v>
      </c>
      <c r="K589" s="3" t="s">
        <v>41</v>
      </c>
      <c r="L589" s="3" t="s">
        <v>177</v>
      </c>
      <c r="M589" s="3" t="s">
        <v>73</v>
      </c>
      <c r="N589" s="3" t="s">
        <v>43</v>
      </c>
      <c r="O589" s="3" t="s">
        <v>124</v>
      </c>
      <c r="P589" s="3">
        <v>69</v>
      </c>
      <c r="Q589" s="3">
        <v>69</v>
      </c>
      <c r="S589" s="3" t="s">
        <v>39</v>
      </c>
      <c r="V589" s="3" t="s">
        <v>39</v>
      </c>
      <c r="X589" s="3">
        <v>23001</v>
      </c>
      <c r="Y589" s="3" t="s">
        <v>47</v>
      </c>
      <c r="Z589" s="3">
        <v>23</v>
      </c>
      <c r="AA589" s="3">
        <v>457</v>
      </c>
      <c r="AB589" s="3" t="s">
        <v>47</v>
      </c>
      <c r="AC589" s="3">
        <v>0.45600000000000002</v>
      </c>
      <c r="AD589" s="3">
        <v>717</v>
      </c>
      <c r="AE589" s="3" t="s">
        <v>48</v>
      </c>
      <c r="AF589" s="3">
        <v>0.71599999999999997</v>
      </c>
      <c r="AG589" s="3">
        <v>810</v>
      </c>
      <c r="AH589" s="3" t="s">
        <v>49</v>
      </c>
      <c r="AI589" s="3">
        <v>0.80900000000000005</v>
      </c>
      <c r="AJ589" s="3" t="s">
        <v>1156</v>
      </c>
    </row>
    <row r="590" spans="1:36" x14ac:dyDescent="0.25">
      <c r="A590" t="s">
        <v>969</v>
      </c>
      <c r="B590">
        <v>851831430</v>
      </c>
      <c r="C590" t="s">
        <v>970</v>
      </c>
      <c r="D590" t="s">
        <v>970</v>
      </c>
      <c r="E590" t="s">
        <v>65</v>
      </c>
      <c r="F590" t="s">
        <v>66</v>
      </c>
      <c r="I590" t="s">
        <v>39</v>
      </c>
      <c r="J590" t="s">
        <v>40</v>
      </c>
      <c r="K590" t="s">
        <v>41</v>
      </c>
      <c r="L590" t="s">
        <v>131</v>
      </c>
      <c r="M590" t="s">
        <v>73</v>
      </c>
      <c r="N590" t="s">
        <v>43</v>
      </c>
      <c r="O590" t="s">
        <v>420</v>
      </c>
      <c r="P590">
        <v>71</v>
      </c>
      <c r="Q590">
        <v>71</v>
      </c>
      <c r="R590">
        <v>131</v>
      </c>
      <c r="S590" t="s">
        <v>56</v>
      </c>
      <c r="T590">
        <v>0.13</v>
      </c>
      <c r="U590">
        <v>12</v>
      </c>
      <c r="V590" t="s">
        <v>55</v>
      </c>
      <c r="W590">
        <v>1.0999999999999999E-2</v>
      </c>
      <c r="X590">
        <v>13001</v>
      </c>
      <c r="Y590" t="s">
        <v>47</v>
      </c>
      <c r="Z590">
        <v>13</v>
      </c>
      <c r="AA590">
        <v>153</v>
      </c>
      <c r="AB590" t="s">
        <v>47</v>
      </c>
      <c r="AC590">
        <v>0.152</v>
      </c>
      <c r="AD590">
        <v>427</v>
      </c>
      <c r="AE590" t="s">
        <v>56</v>
      </c>
      <c r="AF590">
        <v>0.42599999999999999</v>
      </c>
      <c r="AG590">
        <v>296</v>
      </c>
      <c r="AH590" t="s">
        <v>57</v>
      </c>
      <c r="AI590">
        <v>0.29499999999999998</v>
      </c>
      <c r="AJ590" t="s">
        <v>50</v>
      </c>
    </row>
    <row r="591" spans="1:36" x14ac:dyDescent="0.25">
      <c r="A591" t="s">
        <v>969</v>
      </c>
      <c r="B591">
        <v>851831430</v>
      </c>
      <c r="C591" t="s">
        <v>970</v>
      </c>
      <c r="D591" t="s">
        <v>970</v>
      </c>
      <c r="E591" t="s">
        <v>65</v>
      </c>
      <c r="F591" t="s">
        <v>66</v>
      </c>
      <c r="I591" t="s">
        <v>39</v>
      </c>
      <c r="J591" t="s">
        <v>40</v>
      </c>
      <c r="K591" t="s">
        <v>41</v>
      </c>
      <c r="L591" t="s">
        <v>131</v>
      </c>
      <c r="M591" t="s">
        <v>73</v>
      </c>
      <c r="N591" t="s">
        <v>43</v>
      </c>
      <c r="O591" t="s">
        <v>420</v>
      </c>
      <c r="P591">
        <v>71</v>
      </c>
      <c r="Q591">
        <v>71</v>
      </c>
      <c r="R591">
        <v>31</v>
      </c>
      <c r="S591" t="s">
        <v>45</v>
      </c>
      <c r="T591">
        <v>0.03</v>
      </c>
      <c r="U591">
        <v>7</v>
      </c>
      <c r="V591" t="s">
        <v>55</v>
      </c>
      <c r="W591">
        <v>6.0000000000000001E-3</v>
      </c>
      <c r="X591">
        <v>13001</v>
      </c>
      <c r="Y591" t="s">
        <v>47</v>
      </c>
      <c r="Z591">
        <v>13</v>
      </c>
      <c r="AA591">
        <v>153</v>
      </c>
      <c r="AB591" t="s">
        <v>47</v>
      </c>
      <c r="AC591">
        <v>0.152</v>
      </c>
      <c r="AD591">
        <v>427</v>
      </c>
      <c r="AE591" t="s">
        <v>56</v>
      </c>
      <c r="AF591">
        <v>0.42599999999999999</v>
      </c>
      <c r="AG591">
        <v>296</v>
      </c>
      <c r="AH591" t="s">
        <v>57</v>
      </c>
      <c r="AI591">
        <v>0.29499999999999998</v>
      </c>
      <c r="AJ591" t="s">
        <v>1141</v>
      </c>
    </row>
    <row r="592" spans="1:36" x14ac:dyDescent="0.25">
      <c r="A592" t="s">
        <v>969</v>
      </c>
      <c r="B592">
        <v>851831430</v>
      </c>
      <c r="C592" t="s">
        <v>970</v>
      </c>
      <c r="D592" t="s">
        <v>970</v>
      </c>
      <c r="E592" t="s">
        <v>65</v>
      </c>
      <c r="F592" t="s">
        <v>66</v>
      </c>
      <c r="I592" t="s">
        <v>39</v>
      </c>
      <c r="J592" t="s">
        <v>40</v>
      </c>
      <c r="K592" t="s">
        <v>41</v>
      </c>
      <c r="L592" t="s">
        <v>131</v>
      </c>
      <c r="M592" t="s">
        <v>73</v>
      </c>
      <c r="N592" t="s">
        <v>43</v>
      </c>
      <c r="O592" t="s">
        <v>420</v>
      </c>
      <c r="P592">
        <v>71</v>
      </c>
      <c r="Q592">
        <v>71</v>
      </c>
      <c r="R592">
        <v>131</v>
      </c>
      <c r="S592" t="s">
        <v>56</v>
      </c>
      <c r="T592">
        <v>0.13</v>
      </c>
      <c r="U592">
        <v>12</v>
      </c>
      <c r="V592" t="s">
        <v>55</v>
      </c>
      <c r="W592">
        <v>1.0999999999999999E-2</v>
      </c>
      <c r="X592">
        <v>13001</v>
      </c>
      <c r="Y592" t="s">
        <v>47</v>
      </c>
      <c r="Z592">
        <v>13</v>
      </c>
      <c r="AA592">
        <v>153</v>
      </c>
      <c r="AB592" t="s">
        <v>47</v>
      </c>
      <c r="AC592">
        <v>0.152</v>
      </c>
      <c r="AD592">
        <v>427</v>
      </c>
      <c r="AE592" t="s">
        <v>56</v>
      </c>
      <c r="AF592">
        <v>0.42599999999999999</v>
      </c>
      <c r="AG592">
        <v>296</v>
      </c>
      <c r="AH592" t="s">
        <v>57</v>
      </c>
      <c r="AI592">
        <v>0.29499999999999998</v>
      </c>
      <c r="AJ592" t="s">
        <v>1153</v>
      </c>
    </row>
    <row r="593" spans="1:36" x14ac:dyDescent="0.25">
      <c r="A593" t="s">
        <v>969</v>
      </c>
      <c r="B593">
        <v>851831430</v>
      </c>
      <c r="C593" t="s">
        <v>970</v>
      </c>
      <c r="D593" t="s">
        <v>970</v>
      </c>
      <c r="E593" t="s">
        <v>65</v>
      </c>
      <c r="F593" t="s">
        <v>66</v>
      </c>
      <c r="I593" t="s">
        <v>39</v>
      </c>
      <c r="J593" t="s">
        <v>40</v>
      </c>
      <c r="K593" t="s">
        <v>41</v>
      </c>
      <c r="L593" t="s">
        <v>131</v>
      </c>
      <c r="M593" t="s">
        <v>73</v>
      </c>
      <c r="N593" t="s">
        <v>43</v>
      </c>
      <c r="O593" t="s">
        <v>420</v>
      </c>
      <c r="P593">
        <v>71</v>
      </c>
      <c r="Q593">
        <v>71</v>
      </c>
      <c r="R593">
        <v>131</v>
      </c>
      <c r="S593" t="s">
        <v>56</v>
      </c>
      <c r="T593">
        <v>0.13</v>
      </c>
      <c r="U593">
        <v>12</v>
      </c>
      <c r="V593" t="s">
        <v>55</v>
      </c>
      <c r="W593">
        <v>1.0999999999999999E-2</v>
      </c>
      <c r="X593">
        <v>13001</v>
      </c>
      <c r="Y593" t="s">
        <v>47</v>
      </c>
      <c r="Z593">
        <v>13</v>
      </c>
      <c r="AA593">
        <v>153</v>
      </c>
      <c r="AB593" t="s">
        <v>47</v>
      </c>
      <c r="AC593">
        <v>0.152</v>
      </c>
      <c r="AD593">
        <v>427</v>
      </c>
      <c r="AE593" t="s">
        <v>56</v>
      </c>
      <c r="AF593">
        <v>0.42599999999999999</v>
      </c>
      <c r="AG593">
        <v>296</v>
      </c>
      <c r="AH593" t="s">
        <v>57</v>
      </c>
      <c r="AI593">
        <v>0.29499999999999998</v>
      </c>
      <c r="AJ593" t="s">
        <v>1154</v>
      </c>
    </row>
    <row r="594" spans="1:36" x14ac:dyDescent="0.25">
      <c r="A594" t="s">
        <v>969</v>
      </c>
      <c r="B594">
        <v>851831430</v>
      </c>
      <c r="C594" t="s">
        <v>970</v>
      </c>
      <c r="D594" t="s">
        <v>970</v>
      </c>
      <c r="E594" t="s">
        <v>65</v>
      </c>
      <c r="F594" t="s">
        <v>66</v>
      </c>
      <c r="I594" t="s">
        <v>39</v>
      </c>
      <c r="J594" t="s">
        <v>40</v>
      </c>
      <c r="K594" t="s">
        <v>41</v>
      </c>
      <c r="L594" t="s">
        <v>131</v>
      </c>
      <c r="M594" t="s">
        <v>73</v>
      </c>
      <c r="N594" t="s">
        <v>43</v>
      </c>
      <c r="O594" t="s">
        <v>420</v>
      </c>
      <c r="P594">
        <v>71</v>
      </c>
      <c r="Q594">
        <v>71</v>
      </c>
      <c r="S594" t="s">
        <v>39</v>
      </c>
      <c r="V594" t="s">
        <v>39</v>
      </c>
      <c r="X594">
        <v>13001</v>
      </c>
      <c r="Y594" t="s">
        <v>47</v>
      </c>
      <c r="Z594">
        <v>13</v>
      </c>
      <c r="AA594">
        <v>153</v>
      </c>
      <c r="AB594" t="s">
        <v>47</v>
      </c>
      <c r="AC594">
        <v>0.152</v>
      </c>
      <c r="AD594">
        <v>427</v>
      </c>
      <c r="AE594" t="s">
        <v>56</v>
      </c>
      <c r="AF594">
        <v>0.42599999999999999</v>
      </c>
      <c r="AG594">
        <v>296</v>
      </c>
      <c r="AH594" t="s">
        <v>57</v>
      </c>
      <c r="AI594">
        <v>0.29499999999999998</v>
      </c>
      <c r="AJ594" t="s">
        <v>1155</v>
      </c>
    </row>
    <row r="595" spans="1:36" x14ac:dyDescent="0.25">
      <c r="A595" t="s">
        <v>969</v>
      </c>
      <c r="B595">
        <v>851831430</v>
      </c>
      <c r="C595" t="s">
        <v>970</v>
      </c>
      <c r="D595" t="s">
        <v>970</v>
      </c>
      <c r="E595" t="s">
        <v>65</v>
      </c>
      <c r="F595" t="s">
        <v>66</v>
      </c>
      <c r="I595" t="s">
        <v>39</v>
      </c>
      <c r="J595" t="s">
        <v>40</v>
      </c>
      <c r="K595" t="s">
        <v>41</v>
      </c>
      <c r="L595" t="s">
        <v>131</v>
      </c>
      <c r="M595" t="s">
        <v>73</v>
      </c>
      <c r="N595" t="s">
        <v>43</v>
      </c>
      <c r="O595" t="s">
        <v>420</v>
      </c>
      <c r="P595">
        <v>71</v>
      </c>
      <c r="Q595">
        <v>71</v>
      </c>
      <c r="S595" t="s">
        <v>39</v>
      </c>
      <c r="V595" t="s">
        <v>39</v>
      </c>
      <c r="X595">
        <v>13001</v>
      </c>
      <c r="Y595" t="s">
        <v>47</v>
      </c>
      <c r="Z595">
        <v>13</v>
      </c>
      <c r="AA595">
        <v>153</v>
      </c>
      <c r="AB595" t="s">
        <v>47</v>
      </c>
      <c r="AC595">
        <v>0.152</v>
      </c>
      <c r="AD595">
        <v>427</v>
      </c>
      <c r="AE595" t="s">
        <v>56</v>
      </c>
      <c r="AF595">
        <v>0.42599999999999999</v>
      </c>
      <c r="AG595">
        <v>296</v>
      </c>
      <c r="AH595" t="s">
        <v>57</v>
      </c>
      <c r="AI595">
        <v>0.29499999999999998</v>
      </c>
      <c r="AJ595" t="s">
        <v>1156</v>
      </c>
    </row>
    <row r="596" spans="1:36" x14ac:dyDescent="0.25">
      <c r="A596" t="s">
        <v>967</v>
      </c>
      <c r="B596">
        <v>869627765</v>
      </c>
      <c r="C596" t="s">
        <v>968</v>
      </c>
      <c r="D596" t="s">
        <v>968</v>
      </c>
      <c r="E596" t="s">
        <v>99</v>
      </c>
      <c r="F596" t="s">
        <v>111</v>
      </c>
      <c r="I596" t="s">
        <v>39</v>
      </c>
      <c r="J596" t="s">
        <v>40</v>
      </c>
      <c r="K596" t="s">
        <v>41</v>
      </c>
      <c r="L596" t="s">
        <v>78</v>
      </c>
      <c r="N596" t="s">
        <v>43</v>
      </c>
      <c r="O596" t="s">
        <v>420</v>
      </c>
      <c r="P596">
        <v>71</v>
      </c>
      <c r="Q596">
        <v>71</v>
      </c>
      <c r="R596">
        <v>131</v>
      </c>
      <c r="S596" t="s">
        <v>56</v>
      </c>
      <c r="T596">
        <v>0.13</v>
      </c>
      <c r="U596">
        <v>12</v>
      </c>
      <c r="V596" t="s">
        <v>55</v>
      </c>
      <c r="W596">
        <v>1.0999999999999999E-2</v>
      </c>
      <c r="X596">
        <v>13001</v>
      </c>
      <c r="Y596" t="s">
        <v>47</v>
      </c>
      <c r="Z596">
        <v>13</v>
      </c>
      <c r="AA596">
        <v>153</v>
      </c>
      <c r="AB596" t="s">
        <v>47</v>
      </c>
      <c r="AC596">
        <v>0.152</v>
      </c>
      <c r="AD596">
        <v>427</v>
      </c>
      <c r="AE596" t="s">
        <v>56</v>
      </c>
      <c r="AF596">
        <v>0.42599999999999999</v>
      </c>
      <c r="AG596">
        <v>296</v>
      </c>
      <c r="AH596" t="s">
        <v>57</v>
      </c>
      <c r="AI596">
        <v>0.29499999999999998</v>
      </c>
      <c r="AJ596" t="s">
        <v>50</v>
      </c>
    </row>
    <row r="597" spans="1:36" x14ac:dyDescent="0.25">
      <c r="A597" t="s">
        <v>967</v>
      </c>
      <c r="B597">
        <v>869627765</v>
      </c>
      <c r="C597" t="s">
        <v>968</v>
      </c>
      <c r="D597" t="s">
        <v>968</v>
      </c>
      <c r="E597" t="s">
        <v>99</v>
      </c>
      <c r="F597" t="s">
        <v>111</v>
      </c>
      <c r="I597" t="s">
        <v>39</v>
      </c>
      <c r="J597" t="s">
        <v>40</v>
      </c>
      <c r="K597" t="s">
        <v>41</v>
      </c>
      <c r="L597" t="s">
        <v>78</v>
      </c>
      <c r="N597" t="s">
        <v>43</v>
      </c>
      <c r="O597" t="s">
        <v>420</v>
      </c>
      <c r="P597">
        <v>71</v>
      </c>
      <c r="Q597">
        <v>71</v>
      </c>
      <c r="R597">
        <v>31</v>
      </c>
      <c r="S597" t="s">
        <v>45</v>
      </c>
      <c r="T597">
        <v>0.03</v>
      </c>
      <c r="U597">
        <v>7</v>
      </c>
      <c r="V597" t="s">
        <v>55</v>
      </c>
      <c r="W597">
        <v>6.0000000000000001E-3</v>
      </c>
      <c r="X597">
        <v>13001</v>
      </c>
      <c r="Y597" t="s">
        <v>47</v>
      </c>
      <c r="Z597">
        <v>13</v>
      </c>
      <c r="AA597">
        <v>153</v>
      </c>
      <c r="AB597" t="s">
        <v>47</v>
      </c>
      <c r="AC597">
        <v>0.152</v>
      </c>
      <c r="AD597">
        <v>427</v>
      </c>
      <c r="AE597" t="s">
        <v>56</v>
      </c>
      <c r="AF597">
        <v>0.42599999999999999</v>
      </c>
      <c r="AG597">
        <v>296</v>
      </c>
      <c r="AH597" t="s">
        <v>57</v>
      </c>
      <c r="AI597">
        <v>0.29499999999999998</v>
      </c>
      <c r="AJ597" t="s">
        <v>1141</v>
      </c>
    </row>
    <row r="598" spans="1:36" x14ac:dyDescent="0.25">
      <c r="A598" t="s">
        <v>967</v>
      </c>
      <c r="B598">
        <v>869627765</v>
      </c>
      <c r="C598" t="s">
        <v>968</v>
      </c>
      <c r="D598" t="s">
        <v>968</v>
      </c>
      <c r="E598" t="s">
        <v>99</v>
      </c>
      <c r="F598" t="s">
        <v>111</v>
      </c>
      <c r="I598" t="s">
        <v>39</v>
      </c>
      <c r="J598" t="s">
        <v>40</v>
      </c>
      <c r="K598" t="s">
        <v>41</v>
      </c>
      <c r="L598" t="s">
        <v>78</v>
      </c>
      <c r="N598" t="s">
        <v>43</v>
      </c>
      <c r="O598" t="s">
        <v>420</v>
      </c>
      <c r="P598">
        <v>71</v>
      </c>
      <c r="Q598">
        <v>71</v>
      </c>
      <c r="R598">
        <v>131</v>
      </c>
      <c r="S598" t="s">
        <v>56</v>
      </c>
      <c r="T598">
        <v>0.13</v>
      </c>
      <c r="U598">
        <v>12</v>
      </c>
      <c r="V598" t="s">
        <v>55</v>
      </c>
      <c r="W598">
        <v>1.0999999999999999E-2</v>
      </c>
      <c r="X598">
        <v>13001</v>
      </c>
      <c r="Y598" t="s">
        <v>47</v>
      </c>
      <c r="Z598">
        <v>13</v>
      </c>
      <c r="AA598">
        <v>153</v>
      </c>
      <c r="AB598" t="s">
        <v>47</v>
      </c>
      <c r="AC598">
        <v>0.152</v>
      </c>
      <c r="AD598">
        <v>427</v>
      </c>
      <c r="AE598" t="s">
        <v>56</v>
      </c>
      <c r="AF598">
        <v>0.42599999999999999</v>
      </c>
      <c r="AG598">
        <v>296</v>
      </c>
      <c r="AH598" t="s">
        <v>57</v>
      </c>
      <c r="AI598">
        <v>0.29499999999999998</v>
      </c>
      <c r="AJ598" t="s">
        <v>1153</v>
      </c>
    </row>
    <row r="599" spans="1:36" x14ac:dyDescent="0.25">
      <c r="A599" t="s">
        <v>967</v>
      </c>
      <c r="B599">
        <v>869627765</v>
      </c>
      <c r="C599" t="s">
        <v>968</v>
      </c>
      <c r="D599" t="s">
        <v>968</v>
      </c>
      <c r="E599" t="s">
        <v>99</v>
      </c>
      <c r="F599" t="s">
        <v>111</v>
      </c>
      <c r="I599" t="s">
        <v>39</v>
      </c>
      <c r="J599" t="s">
        <v>40</v>
      </c>
      <c r="K599" t="s">
        <v>41</v>
      </c>
      <c r="L599" t="s">
        <v>78</v>
      </c>
      <c r="N599" t="s">
        <v>43</v>
      </c>
      <c r="O599" t="s">
        <v>420</v>
      </c>
      <c r="P599">
        <v>71</v>
      </c>
      <c r="Q599">
        <v>71</v>
      </c>
      <c r="R599">
        <v>131</v>
      </c>
      <c r="S599" t="s">
        <v>56</v>
      </c>
      <c r="T599">
        <v>0.13</v>
      </c>
      <c r="U599">
        <v>12</v>
      </c>
      <c r="V599" t="s">
        <v>55</v>
      </c>
      <c r="W599">
        <v>1.0999999999999999E-2</v>
      </c>
      <c r="X599">
        <v>13001</v>
      </c>
      <c r="Y599" t="s">
        <v>47</v>
      </c>
      <c r="Z599">
        <v>13</v>
      </c>
      <c r="AA599">
        <v>153</v>
      </c>
      <c r="AB599" t="s">
        <v>47</v>
      </c>
      <c r="AC599">
        <v>0.152</v>
      </c>
      <c r="AD599">
        <v>427</v>
      </c>
      <c r="AE599" t="s">
        <v>56</v>
      </c>
      <c r="AF599">
        <v>0.42599999999999999</v>
      </c>
      <c r="AG599">
        <v>296</v>
      </c>
      <c r="AH599" t="s">
        <v>57</v>
      </c>
      <c r="AI599">
        <v>0.29499999999999998</v>
      </c>
      <c r="AJ599" t="s">
        <v>1154</v>
      </c>
    </row>
    <row r="600" spans="1:36" x14ac:dyDescent="0.25">
      <c r="A600" t="s">
        <v>967</v>
      </c>
      <c r="B600">
        <v>869627765</v>
      </c>
      <c r="C600" t="s">
        <v>968</v>
      </c>
      <c r="D600" t="s">
        <v>968</v>
      </c>
      <c r="E600" t="s">
        <v>99</v>
      </c>
      <c r="F600" t="s">
        <v>111</v>
      </c>
      <c r="I600" t="s">
        <v>39</v>
      </c>
      <c r="J600" t="s">
        <v>40</v>
      </c>
      <c r="K600" t="s">
        <v>41</v>
      </c>
      <c r="L600" t="s">
        <v>78</v>
      </c>
      <c r="N600" t="s">
        <v>43</v>
      </c>
      <c r="O600" t="s">
        <v>420</v>
      </c>
      <c r="P600">
        <v>71</v>
      </c>
      <c r="Q600">
        <v>71</v>
      </c>
      <c r="S600" t="s">
        <v>39</v>
      </c>
      <c r="V600" t="s">
        <v>39</v>
      </c>
      <c r="X600">
        <v>13001</v>
      </c>
      <c r="Y600" t="s">
        <v>47</v>
      </c>
      <c r="Z600">
        <v>13</v>
      </c>
      <c r="AA600">
        <v>153</v>
      </c>
      <c r="AB600" t="s">
        <v>47</v>
      </c>
      <c r="AC600">
        <v>0.152</v>
      </c>
      <c r="AD600">
        <v>427</v>
      </c>
      <c r="AE600" t="s">
        <v>56</v>
      </c>
      <c r="AF600">
        <v>0.42599999999999999</v>
      </c>
      <c r="AG600">
        <v>296</v>
      </c>
      <c r="AH600" t="s">
        <v>57</v>
      </c>
      <c r="AI600">
        <v>0.29499999999999998</v>
      </c>
      <c r="AJ600" t="s">
        <v>1155</v>
      </c>
    </row>
    <row r="601" spans="1:36" x14ac:dyDescent="0.25">
      <c r="A601" t="s">
        <v>967</v>
      </c>
      <c r="B601">
        <v>869627765</v>
      </c>
      <c r="C601" t="s">
        <v>968</v>
      </c>
      <c r="D601" t="s">
        <v>968</v>
      </c>
      <c r="E601" t="s">
        <v>99</v>
      </c>
      <c r="F601" t="s">
        <v>111</v>
      </c>
      <c r="I601" t="s">
        <v>39</v>
      </c>
      <c r="J601" t="s">
        <v>40</v>
      </c>
      <c r="K601" t="s">
        <v>41</v>
      </c>
      <c r="L601" t="s">
        <v>78</v>
      </c>
      <c r="N601" t="s">
        <v>43</v>
      </c>
      <c r="O601" t="s">
        <v>420</v>
      </c>
      <c r="P601">
        <v>71</v>
      </c>
      <c r="Q601">
        <v>71</v>
      </c>
      <c r="S601" t="s">
        <v>39</v>
      </c>
      <c r="V601" t="s">
        <v>39</v>
      </c>
      <c r="X601">
        <v>13001</v>
      </c>
      <c r="Y601" t="s">
        <v>47</v>
      </c>
      <c r="Z601">
        <v>13</v>
      </c>
      <c r="AA601">
        <v>153</v>
      </c>
      <c r="AB601" t="s">
        <v>47</v>
      </c>
      <c r="AC601">
        <v>0.152</v>
      </c>
      <c r="AD601">
        <v>427</v>
      </c>
      <c r="AE601" t="s">
        <v>56</v>
      </c>
      <c r="AF601">
        <v>0.42599999999999999</v>
      </c>
      <c r="AG601">
        <v>296</v>
      </c>
      <c r="AH601" t="s">
        <v>57</v>
      </c>
      <c r="AI601">
        <v>0.29499999999999998</v>
      </c>
      <c r="AJ601" t="s">
        <v>1156</v>
      </c>
    </row>
    <row r="602" spans="1:36" x14ac:dyDescent="0.25">
      <c r="A602" t="s">
        <v>965</v>
      </c>
      <c r="B602">
        <v>865949124</v>
      </c>
      <c r="C602" t="s">
        <v>966</v>
      </c>
      <c r="D602" t="s">
        <v>966</v>
      </c>
      <c r="E602" t="s">
        <v>60</v>
      </c>
      <c r="F602" t="s">
        <v>229</v>
      </c>
      <c r="I602" t="s">
        <v>39</v>
      </c>
      <c r="J602" t="s">
        <v>40</v>
      </c>
      <c r="K602" t="s">
        <v>41</v>
      </c>
      <c r="L602" t="s">
        <v>94</v>
      </c>
      <c r="M602" t="s">
        <v>335</v>
      </c>
      <c r="N602" t="s">
        <v>43</v>
      </c>
      <c r="O602" t="s">
        <v>859</v>
      </c>
      <c r="P602">
        <v>74</v>
      </c>
      <c r="Q602">
        <v>74</v>
      </c>
      <c r="R602">
        <v>1</v>
      </c>
      <c r="S602" t="s">
        <v>45</v>
      </c>
      <c r="T602">
        <v>0</v>
      </c>
      <c r="U602">
        <v>1001</v>
      </c>
      <c r="V602" t="s">
        <v>46</v>
      </c>
      <c r="W602">
        <v>1</v>
      </c>
      <c r="X602">
        <v>26001</v>
      </c>
      <c r="Y602" t="s">
        <v>47</v>
      </c>
      <c r="Z602">
        <v>26</v>
      </c>
      <c r="AA602">
        <v>874</v>
      </c>
      <c r="AB602" t="s">
        <v>75</v>
      </c>
      <c r="AC602">
        <v>0.873</v>
      </c>
      <c r="AD602">
        <v>878</v>
      </c>
      <c r="AE602" t="s">
        <v>48</v>
      </c>
      <c r="AF602">
        <v>0.877</v>
      </c>
      <c r="AG602">
        <v>987</v>
      </c>
      <c r="AH602" t="s">
        <v>80</v>
      </c>
      <c r="AI602">
        <v>0.98599999999999999</v>
      </c>
      <c r="AJ602" t="s">
        <v>50</v>
      </c>
    </row>
    <row r="603" spans="1:36" x14ac:dyDescent="0.25">
      <c r="A603" t="s">
        <v>965</v>
      </c>
      <c r="B603">
        <v>865949124</v>
      </c>
      <c r="C603" t="s">
        <v>966</v>
      </c>
      <c r="D603" t="s">
        <v>966</v>
      </c>
      <c r="E603" t="s">
        <v>60</v>
      </c>
      <c r="F603" t="s">
        <v>229</v>
      </c>
      <c r="I603" t="s">
        <v>39</v>
      </c>
      <c r="J603" t="s">
        <v>40</v>
      </c>
      <c r="K603" t="s">
        <v>41</v>
      </c>
      <c r="L603" t="s">
        <v>94</v>
      </c>
      <c r="M603" t="s">
        <v>335</v>
      </c>
      <c r="N603" t="s">
        <v>43</v>
      </c>
      <c r="O603" t="s">
        <v>859</v>
      </c>
      <c r="P603">
        <v>74</v>
      </c>
      <c r="Q603">
        <v>74</v>
      </c>
      <c r="R603">
        <v>1</v>
      </c>
      <c r="S603" t="s">
        <v>45</v>
      </c>
      <c r="T603">
        <v>0</v>
      </c>
      <c r="U603">
        <v>1001</v>
      </c>
      <c r="V603" t="s">
        <v>46</v>
      </c>
      <c r="W603">
        <v>1</v>
      </c>
      <c r="X603">
        <v>26001</v>
      </c>
      <c r="Y603" t="s">
        <v>47</v>
      </c>
      <c r="Z603">
        <v>26</v>
      </c>
      <c r="AA603">
        <v>874</v>
      </c>
      <c r="AB603" t="s">
        <v>75</v>
      </c>
      <c r="AC603">
        <v>0.873</v>
      </c>
      <c r="AD603">
        <v>878</v>
      </c>
      <c r="AE603" t="s">
        <v>48</v>
      </c>
      <c r="AF603">
        <v>0.877</v>
      </c>
      <c r="AG603">
        <v>987</v>
      </c>
      <c r="AH603" t="s">
        <v>80</v>
      </c>
      <c r="AI603">
        <v>0.98599999999999999</v>
      </c>
      <c r="AJ603" t="s">
        <v>1141</v>
      </c>
    </row>
    <row r="604" spans="1:36" x14ac:dyDescent="0.25">
      <c r="A604" t="s">
        <v>965</v>
      </c>
      <c r="B604">
        <v>865949124</v>
      </c>
      <c r="C604" t="s">
        <v>966</v>
      </c>
      <c r="D604" t="s">
        <v>966</v>
      </c>
      <c r="E604" t="s">
        <v>60</v>
      </c>
      <c r="F604" t="s">
        <v>229</v>
      </c>
      <c r="I604" t="s">
        <v>39</v>
      </c>
      <c r="J604" t="s">
        <v>40</v>
      </c>
      <c r="K604" t="s">
        <v>41</v>
      </c>
      <c r="L604" t="s">
        <v>94</v>
      </c>
      <c r="M604" t="s">
        <v>335</v>
      </c>
      <c r="N604" t="s">
        <v>43</v>
      </c>
      <c r="O604" t="s">
        <v>859</v>
      </c>
      <c r="P604">
        <v>74</v>
      </c>
      <c r="Q604">
        <v>74</v>
      </c>
      <c r="R604">
        <v>1</v>
      </c>
      <c r="S604" t="s">
        <v>45</v>
      </c>
      <c r="T604">
        <v>0</v>
      </c>
      <c r="U604">
        <v>1001</v>
      </c>
      <c r="V604" t="s">
        <v>46</v>
      </c>
      <c r="W604">
        <v>1</v>
      </c>
      <c r="X604">
        <v>26001</v>
      </c>
      <c r="Y604" t="s">
        <v>47</v>
      </c>
      <c r="Z604">
        <v>26</v>
      </c>
      <c r="AA604">
        <v>874</v>
      </c>
      <c r="AB604" t="s">
        <v>75</v>
      </c>
      <c r="AC604">
        <v>0.873</v>
      </c>
      <c r="AD604">
        <v>878</v>
      </c>
      <c r="AE604" t="s">
        <v>48</v>
      </c>
      <c r="AF604">
        <v>0.877</v>
      </c>
      <c r="AG604">
        <v>987</v>
      </c>
      <c r="AH604" t="s">
        <v>80</v>
      </c>
      <c r="AI604">
        <v>0.98599999999999999</v>
      </c>
      <c r="AJ604" t="s">
        <v>1153</v>
      </c>
    </row>
    <row r="605" spans="1:36" x14ac:dyDescent="0.25">
      <c r="A605" t="s">
        <v>965</v>
      </c>
      <c r="B605">
        <v>865949124</v>
      </c>
      <c r="C605" t="s">
        <v>966</v>
      </c>
      <c r="D605" t="s">
        <v>966</v>
      </c>
      <c r="E605" t="s">
        <v>60</v>
      </c>
      <c r="F605" t="s">
        <v>229</v>
      </c>
      <c r="I605" t="s">
        <v>39</v>
      </c>
      <c r="J605" t="s">
        <v>40</v>
      </c>
      <c r="K605" t="s">
        <v>41</v>
      </c>
      <c r="L605" t="s">
        <v>94</v>
      </c>
      <c r="M605" t="s">
        <v>335</v>
      </c>
      <c r="N605" t="s">
        <v>43</v>
      </c>
      <c r="O605" t="s">
        <v>859</v>
      </c>
      <c r="P605">
        <v>74</v>
      </c>
      <c r="Q605">
        <v>74</v>
      </c>
      <c r="R605">
        <v>1</v>
      </c>
      <c r="S605" t="s">
        <v>45</v>
      </c>
      <c r="T605">
        <v>0</v>
      </c>
      <c r="U605">
        <v>1001</v>
      </c>
      <c r="V605" t="s">
        <v>46</v>
      </c>
      <c r="W605">
        <v>1</v>
      </c>
      <c r="X605">
        <v>26001</v>
      </c>
      <c r="Y605" t="s">
        <v>47</v>
      </c>
      <c r="Z605">
        <v>26</v>
      </c>
      <c r="AA605">
        <v>874</v>
      </c>
      <c r="AB605" t="s">
        <v>75</v>
      </c>
      <c r="AC605">
        <v>0.873</v>
      </c>
      <c r="AD605">
        <v>878</v>
      </c>
      <c r="AE605" t="s">
        <v>48</v>
      </c>
      <c r="AF605">
        <v>0.877</v>
      </c>
      <c r="AG605">
        <v>987</v>
      </c>
      <c r="AH605" t="s">
        <v>80</v>
      </c>
      <c r="AI605">
        <v>0.98599999999999999</v>
      </c>
      <c r="AJ605" t="s">
        <v>1154</v>
      </c>
    </row>
    <row r="606" spans="1:36" x14ac:dyDescent="0.25">
      <c r="A606" t="s">
        <v>965</v>
      </c>
      <c r="B606">
        <v>865949124</v>
      </c>
      <c r="C606" t="s">
        <v>966</v>
      </c>
      <c r="D606" t="s">
        <v>966</v>
      </c>
      <c r="E606" t="s">
        <v>60</v>
      </c>
      <c r="F606" t="s">
        <v>229</v>
      </c>
      <c r="I606" t="s">
        <v>39</v>
      </c>
      <c r="J606" t="s">
        <v>40</v>
      </c>
      <c r="K606" t="s">
        <v>41</v>
      </c>
      <c r="L606" t="s">
        <v>94</v>
      </c>
      <c r="M606" t="s">
        <v>335</v>
      </c>
      <c r="N606" t="s">
        <v>43</v>
      </c>
      <c r="O606" t="s">
        <v>859</v>
      </c>
      <c r="P606">
        <v>74</v>
      </c>
      <c r="Q606">
        <v>74</v>
      </c>
      <c r="S606" t="s">
        <v>39</v>
      </c>
      <c r="V606" t="s">
        <v>39</v>
      </c>
      <c r="X606">
        <v>26001</v>
      </c>
      <c r="Y606" t="s">
        <v>47</v>
      </c>
      <c r="Z606">
        <v>26</v>
      </c>
      <c r="AA606">
        <v>874</v>
      </c>
      <c r="AB606" t="s">
        <v>75</v>
      </c>
      <c r="AC606">
        <v>0.873</v>
      </c>
      <c r="AD606">
        <v>878</v>
      </c>
      <c r="AE606" t="s">
        <v>48</v>
      </c>
      <c r="AF606">
        <v>0.877</v>
      </c>
      <c r="AG606">
        <v>987</v>
      </c>
      <c r="AH606" t="s">
        <v>80</v>
      </c>
      <c r="AI606">
        <v>0.98599999999999999</v>
      </c>
      <c r="AJ606" t="s">
        <v>1155</v>
      </c>
    </row>
    <row r="607" spans="1:36" x14ac:dyDescent="0.25">
      <c r="A607" t="s">
        <v>965</v>
      </c>
      <c r="B607">
        <v>865949124</v>
      </c>
      <c r="C607" t="s">
        <v>966</v>
      </c>
      <c r="D607" t="s">
        <v>966</v>
      </c>
      <c r="E607" t="s">
        <v>60</v>
      </c>
      <c r="F607" t="s">
        <v>229</v>
      </c>
      <c r="I607" t="s">
        <v>39</v>
      </c>
      <c r="J607" t="s">
        <v>40</v>
      </c>
      <c r="K607" t="s">
        <v>41</v>
      </c>
      <c r="L607" t="s">
        <v>94</v>
      </c>
      <c r="M607" t="s">
        <v>335</v>
      </c>
      <c r="N607" t="s">
        <v>43</v>
      </c>
      <c r="O607" t="s">
        <v>859</v>
      </c>
      <c r="P607">
        <v>74</v>
      </c>
      <c r="Q607">
        <v>74</v>
      </c>
      <c r="S607" t="s">
        <v>39</v>
      </c>
      <c r="V607" t="s">
        <v>39</v>
      </c>
      <c r="X607">
        <v>26001</v>
      </c>
      <c r="Y607" t="s">
        <v>47</v>
      </c>
      <c r="Z607">
        <v>26</v>
      </c>
      <c r="AA607">
        <v>874</v>
      </c>
      <c r="AB607" t="s">
        <v>75</v>
      </c>
      <c r="AC607">
        <v>0.873</v>
      </c>
      <c r="AD607">
        <v>878</v>
      </c>
      <c r="AE607" t="s">
        <v>48</v>
      </c>
      <c r="AF607">
        <v>0.877</v>
      </c>
      <c r="AG607">
        <v>987</v>
      </c>
      <c r="AH607" t="s">
        <v>80</v>
      </c>
      <c r="AI607">
        <v>0.98599999999999999</v>
      </c>
      <c r="AJ607" t="s">
        <v>1156</v>
      </c>
    </row>
    <row r="608" spans="1:36" x14ac:dyDescent="0.25">
      <c r="A608" t="s">
        <v>960</v>
      </c>
      <c r="B608">
        <v>864557080</v>
      </c>
      <c r="C608" t="s">
        <v>961</v>
      </c>
      <c r="D608" t="s">
        <v>961</v>
      </c>
      <c r="E608" t="s">
        <v>60</v>
      </c>
      <c r="F608" t="s">
        <v>61</v>
      </c>
      <c r="I608" t="s">
        <v>39</v>
      </c>
      <c r="J608" t="s">
        <v>40</v>
      </c>
      <c r="K608" t="s">
        <v>41</v>
      </c>
      <c r="L608" t="s">
        <v>78</v>
      </c>
      <c r="N608" t="s">
        <v>43</v>
      </c>
      <c r="O608" t="s">
        <v>483</v>
      </c>
      <c r="P608">
        <v>75</v>
      </c>
      <c r="Q608">
        <v>75</v>
      </c>
      <c r="R608">
        <v>101</v>
      </c>
      <c r="S608" t="s">
        <v>56</v>
      </c>
      <c r="T608">
        <v>0.1</v>
      </c>
      <c r="U608">
        <v>310</v>
      </c>
      <c r="V608" t="s">
        <v>55</v>
      </c>
      <c r="W608">
        <v>0.309</v>
      </c>
      <c r="X608">
        <v>19001</v>
      </c>
      <c r="Y608" t="s">
        <v>47</v>
      </c>
      <c r="Z608">
        <v>19</v>
      </c>
      <c r="AA608">
        <v>563</v>
      </c>
      <c r="AB608" t="s">
        <v>75</v>
      </c>
      <c r="AC608">
        <v>0.56200000000000006</v>
      </c>
      <c r="AD608">
        <v>543</v>
      </c>
      <c r="AE608" t="s">
        <v>48</v>
      </c>
      <c r="AF608">
        <v>0.54200000000000004</v>
      </c>
      <c r="AG608">
        <v>778</v>
      </c>
      <c r="AH608" t="s">
        <v>49</v>
      </c>
      <c r="AI608">
        <v>0.77700000000000002</v>
      </c>
      <c r="AJ608" t="s">
        <v>50</v>
      </c>
    </row>
    <row r="609" spans="1:36" x14ac:dyDescent="0.25">
      <c r="A609" t="s">
        <v>960</v>
      </c>
      <c r="B609">
        <v>864557080</v>
      </c>
      <c r="C609" t="s">
        <v>961</v>
      </c>
      <c r="D609" t="s">
        <v>961</v>
      </c>
      <c r="E609" t="s">
        <v>60</v>
      </c>
      <c r="F609" t="s">
        <v>61</v>
      </c>
      <c r="I609" t="s">
        <v>39</v>
      </c>
      <c r="J609" t="s">
        <v>40</v>
      </c>
      <c r="K609" t="s">
        <v>41</v>
      </c>
      <c r="L609" t="s">
        <v>78</v>
      </c>
      <c r="N609" t="s">
        <v>43</v>
      </c>
      <c r="O609" t="s">
        <v>483</v>
      </c>
      <c r="P609">
        <v>75</v>
      </c>
      <c r="Q609">
        <v>75</v>
      </c>
      <c r="R609">
        <v>291</v>
      </c>
      <c r="S609" t="s">
        <v>56</v>
      </c>
      <c r="T609">
        <v>0.28999999999999998</v>
      </c>
      <c r="U609">
        <v>206</v>
      </c>
      <c r="V609" t="s">
        <v>55</v>
      </c>
      <c r="W609">
        <v>0.20499999999999999</v>
      </c>
      <c r="X609">
        <v>19001</v>
      </c>
      <c r="Y609" t="s">
        <v>47</v>
      </c>
      <c r="Z609">
        <v>19</v>
      </c>
      <c r="AA609">
        <v>563</v>
      </c>
      <c r="AB609" t="s">
        <v>75</v>
      </c>
      <c r="AC609">
        <v>0.56200000000000006</v>
      </c>
      <c r="AD609">
        <v>543</v>
      </c>
      <c r="AE609" t="s">
        <v>48</v>
      </c>
      <c r="AF609">
        <v>0.54200000000000004</v>
      </c>
      <c r="AG609">
        <v>778</v>
      </c>
      <c r="AH609" t="s">
        <v>49</v>
      </c>
      <c r="AI609">
        <v>0.77700000000000002</v>
      </c>
      <c r="AJ609" t="s">
        <v>1141</v>
      </c>
    </row>
    <row r="610" spans="1:36" x14ac:dyDescent="0.25">
      <c r="A610" t="s">
        <v>960</v>
      </c>
      <c r="B610">
        <v>864557080</v>
      </c>
      <c r="C610" t="s">
        <v>961</v>
      </c>
      <c r="D610" t="s">
        <v>961</v>
      </c>
      <c r="E610" t="s">
        <v>60</v>
      </c>
      <c r="F610" t="s">
        <v>61</v>
      </c>
      <c r="I610" t="s">
        <v>39</v>
      </c>
      <c r="J610" t="s">
        <v>40</v>
      </c>
      <c r="K610" t="s">
        <v>41</v>
      </c>
      <c r="L610" t="s">
        <v>78</v>
      </c>
      <c r="N610" t="s">
        <v>43</v>
      </c>
      <c r="O610" t="s">
        <v>483</v>
      </c>
      <c r="P610">
        <v>75</v>
      </c>
      <c r="Q610">
        <v>75</v>
      </c>
      <c r="R610">
        <v>101</v>
      </c>
      <c r="S610" t="s">
        <v>56</v>
      </c>
      <c r="T610">
        <v>0.1</v>
      </c>
      <c r="U610">
        <v>310</v>
      </c>
      <c r="V610" t="s">
        <v>55</v>
      </c>
      <c r="W610">
        <v>0.309</v>
      </c>
      <c r="X610">
        <v>19001</v>
      </c>
      <c r="Y610" t="s">
        <v>47</v>
      </c>
      <c r="Z610">
        <v>19</v>
      </c>
      <c r="AA610">
        <v>563</v>
      </c>
      <c r="AB610" t="s">
        <v>75</v>
      </c>
      <c r="AC610">
        <v>0.56200000000000006</v>
      </c>
      <c r="AD610">
        <v>543</v>
      </c>
      <c r="AE610" t="s">
        <v>48</v>
      </c>
      <c r="AF610">
        <v>0.54200000000000004</v>
      </c>
      <c r="AG610">
        <v>778</v>
      </c>
      <c r="AH610" t="s">
        <v>49</v>
      </c>
      <c r="AI610">
        <v>0.77700000000000002</v>
      </c>
      <c r="AJ610" t="s">
        <v>1153</v>
      </c>
    </row>
    <row r="611" spans="1:36" x14ac:dyDescent="0.25">
      <c r="A611" t="s">
        <v>960</v>
      </c>
      <c r="B611">
        <v>864557080</v>
      </c>
      <c r="C611" t="s">
        <v>961</v>
      </c>
      <c r="D611" t="s">
        <v>961</v>
      </c>
      <c r="E611" t="s">
        <v>60</v>
      </c>
      <c r="F611" t="s">
        <v>61</v>
      </c>
      <c r="I611" t="s">
        <v>39</v>
      </c>
      <c r="J611" t="s">
        <v>40</v>
      </c>
      <c r="K611" t="s">
        <v>41</v>
      </c>
      <c r="L611" t="s">
        <v>78</v>
      </c>
      <c r="N611" t="s">
        <v>43</v>
      </c>
      <c r="O611" t="s">
        <v>483</v>
      </c>
      <c r="P611">
        <v>75</v>
      </c>
      <c r="Q611">
        <v>75</v>
      </c>
      <c r="R611">
        <v>101</v>
      </c>
      <c r="S611" t="s">
        <v>56</v>
      </c>
      <c r="T611">
        <v>0.1</v>
      </c>
      <c r="U611">
        <v>310</v>
      </c>
      <c r="V611" t="s">
        <v>55</v>
      </c>
      <c r="W611">
        <v>0.309</v>
      </c>
      <c r="X611">
        <v>19001</v>
      </c>
      <c r="Y611" t="s">
        <v>47</v>
      </c>
      <c r="Z611">
        <v>19</v>
      </c>
      <c r="AA611">
        <v>563</v>
      </c>
      <c r="AB611" t="s">
        <v>75</v>
      </c>
      <c r="AC611">
        <v>0.56200000000000006</v>
      </c>
      <c r="AD611">
        <v>543</v>
      </c>
      <c r="AE611" t="s">
        <v>48</v>
      </c>
      <c r="AF611">
        <v>0.54200000000000004</v>
      </c>
      <c r="AG611">
        <v>778</v>
      </c>
      <c r="AH611" t="s">
        <v>49</v>
      </c>
      <c r="AI611">
        <v>0.77700000000000002</v>
      </c>
      <c r="AJ611" t="s">
        <v>1154</v>
      </c>
    </row>
    <row r="612" spans="1:36" x14ac:dyDescent="0.25">
      <c r="A612" t="s">
        <v>960</v>
      </c>
      <c r="B612">
        <v>864557080</v>
      </c>
      <c r="C612" t="s">
        <v>961</v>
      </c>
      <c r="D612" t="s">
        <v>961</v>
      </c>
      <c r="E612" t="s">
        <v>60</v>
      </c>
      <c r="F612" t="s">
        <v>61</v>
      </c>
      <c r="I612" t="s">
        <v>39</v>
      </c>
      <c r="J612" t="s">
        <v>40</v>
      </c>
      <c r="K612" t="s">
        <v>41</v>
      </c>
      <c r="L612" t="s">
        <v>78</v>
      </c>
      <c r="N612" t="s">
        <v>43</v>
      </c>
      <c r="O612" t="s">
        <v>483</v>
      </c>
      <c r="P612">
        <v>75</v>
      </c>
      <c r="Q612">
        <v>75</v>
      </c>
      <c r="S612" t="s">
        <v>39</v>
      </c>
      <c r="V612" t="s">
        <v>39</v>
      </c>
      <c r="X612">
        <v>19001</v>
      </c>
      <c r="Y612" t="s">
        <v>47</v>
      </c>
      <c r="Z612">
        <v>19</v>
      </c>
      <c r="AA612">
        <v>563</v>
      </c>
      <c r="AB612" t="s">
        <v>75</v>
      </c>
      <c r="AC612">
        <v>0.56200000000000006</v>
      </c>
      <c r="AD612">
        <v>543</v>
      </c>
      <c r="AE612" t="s">
        <v>48</v>
      </c>
      <c r="AF612">
        <v>0.54200000000000004</v>
      </c>
      <c r="AG612">
        <v>778</v>
      </c>
      <c r="AH612" t="s">
        <v>49</v>
      </c>
      <c r="AI612">
        <v>0.77700000000000002</v>
      </c>
      <c r="AJ612" t="s">
        <v>1155</v>
      </c>
    </row>
    <row r="613" spans="1:36" x14ac:dyDescent="0.25">
      <c r="A613" t="s">
        <v>960</v>
      </c>
      <c r="B613">
        <v>864557080</v>
      </c>
      <c r="C613" t="s">
        <v>961</v>
      </c>
      <c r="D613" t="s">
        <v>961</v>
      </c>
      <c r="E613" t="s">
        <v>60</v>
      </c>
      <c r="F613" t="s">
        <v>61</v>
      </c>
      <c r="I613" t="s">
        <v>39</v>
      </c>
      <c r="J613" t="s">
        <v>40</v>
      </c>
      <c r="K613" t="s">
        <v>41</v>
      </c>
      <c r="L613" t="s">
        <v>78</v>
      </c>
      <c r="N613" t="s">
        <v>43</v>
      </c>
      <c r="O613" t="s">
        <v>483</v>
      </c>
      <c r="P613">
        <v>75</v>
      </c>
      <c r="Q613">
        <v>75</v>
      </c>
      <c r="S613" t="s">
        <v>39</v>
      </c>
      <c r="V613" t="s">
        <v>39</v>
      </c>
      <c r="X613">
        <v>19001</v>
      </c>
      <c r="Y613" t="s">
        <v>47</v>
      </c>
      <c r="Z613">
        <v>19</v>
      </c>
      <c r="AA613">
        <v>563</v>
      </c>
      <c r="AB613" t="s">
        <v>75</v>
      </c>
      <c r="AC613">
        <v>0.56200000000000006</v>
      </c>
      <c r="AD613">
        <v>543</v>
      </c>
      <c r="AE613" t="s">
        <v>48</v>
      </c>
      <c r="AF613">
        <v>0.54200000000000004</v>
      </c>
      <c r="AG613">
        <v>778</v>
      </c>
      <c r="AH613" t="s">
        <v>49</v>
      </c>
      <c r="AI613">
        <v>0.77700000000000002</v>
      </c>
      <c r="AJ613" t="s">
        <v>1156</v>
      </c>
    </row>
    <row r="614" spans="1:36" x14ac:dyDescent="0.25">
      <c r="A614" t="s">
        <v>962</v>
      </c>
      <c r="B614">
        <v>853341399</v>
      </c>
      <c r="C614" t="s">
        <v>963</v>
      </c>
      <c r="D614" t="s">
        <v>963</v>
      </c>
      <c r="E614" t="s">
        <v>65</v>
      </c>
      <c r="F614" t="s">
        <v>93</v>
      </c>
      <c r="I614" t="s">
        <v>39</v>
      </c>
      <c r="J614" t="s">
        <v>40</v>
      </c>
      <c r="K614" t="s">
        <v>41</v>
      </c>
      <c r="L614" t="s">
        <v>964</v>
      </c>
      <c r="N614" t="s">
        <v>43</v>
      </c>
      <c r="O614" t="s">
        <v>668</v>
      </c>
      <c r="P614">
        <v>75</v>
      </c>
      <c r="Q614">
        <v>75</v>
      </c>
      <c r="R614">
        <v>1</v>
      </c>
      <c r="S614" t="s">
        <v>45</v>
      </c>
      <c r="T614">
        <v>0</v>
      </c>
      <c r="U614">
        <v>1001</v>
      </c>
      <c r="V614" t="s">
        <v>46</v>
      </c>
      <c r="W614">
        <v>1</v>
      </c>
      <c r="X614">
        <v>27001</v>
      </c>
      <c r="Y614" t="s">
        <v>47</v>
      </c>
      <c r="Z614">
        <v>27</v>
      </c>
      <c r="AA614">
        <v>901</v>
      </c>
      <c r="AB614" t="s">
        <v>75</v>
      </c>
      <c r="AC614">
        <v>0.9</v>
      </c>
      <c r="AD614">
        <v>834</v>
      </c>
      <c r="AE614" t="s">
        <v>48</v>
      </c>
      <c r="AF614">
        <v>0.83299999999999996</v>
      </c>
      <c r="AG614">
        <v>993</v>
      </c>
      <c r="AH614" t="s">
        <v>80</v>
      </c>
      <c r="AI614">
        <v>0.99199999999999999</v>
      </c>
      <c r="AJ614" t="s">
        <v>50</v>
      </c>
    </row>
    <row r="615" spans="1:36" x14ac:dyDescent="0.25">
      <c r="A615" t="s">
        <v>962</v>
      </c>
      <c r="B615">
        <v>853341399</v>
      </c>
      <c r="C615" t="s">
        <v>963</v>
      </c>
      <c r="D615" t="s">
        <v>963</v>
      </c>
      <c r="E615" t="s">
        <v>65</v>
      </c>
      <c r="F615" t="s">
        <v>93</v>
      </c>
      <c r="I615" t="s">
        <v>39</v>
      </c>
      <c r="J615" t="s">
        <v>40</v>
      </c>
      <c r="K615" t="s">
        <v>41</v>
      </c>
      <c r="L615" t="s">
        <v>964</v>
      </c>
      <c r="N615" t="s">
        <v>43</v>
      </c>
      <c r="O615" t="s">
        <v>668</v>
      </c>
      <c r="P615">
        <v>75</v>
      </c>
      <c r="Q615">
        <v>75</v>
      </c>
      <c r="R615">
        <v>1</v>
      </c>
      <c r="S615" t="s">
        <v>45</v>
      </c>
      <c r="T615">
        <v>0</v>
      </c>
      <c r="U615">
        <v>1000</v>
      </c>
      <c r="V615" t="s">
        <v>46</v>
      </c>
      <c r="W615">
        <v>0.999</v>
      </c>
      <c r="X615">
        <v>27001</v>
      </c>
      <c r="Y615" t="s">
        <v>47</v>
      </c>
      <c r="Z615">
        <v>27</v>
      </c>
      <c r="AA615">
        <v>901</v>
      </c>
      <c r="AB615" t="s">
        <v>75</v>
      </c>
      <c r="AC615">
        <v>0.9</v>
      </c>
      <c r="AD615">
        <v>834</v>
      </c>
      <c r="AE615" t="s">
        <v>48</v>
      </c>
      <c r="AF615">
        <v>0.83299999999999996</v>
      </c>
      <c r="AG615">
        <v>993</v>
      </c>
      <c r="AH615" t="s">
        <v>80</v>
      </c>
      <c r="AI615">
        <v>0.99199999999999999</v>
      </c>
      <c r="AJ615" t="s">
        <v>1141</v>
      </c>
    </row>
    <row r="616" spans="1:36" x14ac:dyDescent="0.25">
      <c r="A616" t="s">
        <v>962</v>
      </c>
      <c r="B616">
        <v>853341399</v>
      </c>
      <c r="C616" t="s">
        <v>963</v>
      </c>
      <c r="D616" t="s">
        <v>963</v>
      </c>
      <c r="E616" t="s">
        <v>65</v>
      </c>
      <c r="F616" t="s">
        <v>93</v>
      </c>
      <c r="I616" t="s">
        <v>39</v>
      </c>
      <c r="J616" t="s">
        <v>40</v>
      </c>
      <c r="K616" t="s">
        <v>41</v>
      </c>
      <c r="L616" t="s">
        <v>964</v>
      </c>
      <c r="N616" t="s">
        <v>43</v>
      </c>
      <c r="O616" t="s">
        <v>668</v>
      </c>
      <c r="P616">
        <v>75</v>
      </c>
      <c r="Q616">
        <v>75</v>
      </c>
      <c r="R616">
        <v>1</v>
      </c>
      <c r="S616" t="s">
        <v>45</v>
      </c>
      <c r="T616">
        <v>0</v>
      </c>
      <c r="U616">
        <v>1001</v>
      </c>
      <c r="V616" t="s">
        <v>46</v>
      </c>
      <c r="W616">
        <v>1</v>
      </c>
      <c r="X616">
        <v>27001</v>
      </c>
      <c r="Y616" t="s">
        <v>47</v>
      </c>
      <c r="Z616">
        <v>27</v>
      </c>
      <c r="AA616">
        <v>901</v>
      </c>
      <c r="AB616" t="s">
        <v>75</v>
      </c>
      <c r="AC616">
        <v>0.9</v>
      </c>
      <c r="AD616">
        <v>834</v>
      </c>
      <c r="AE616" t="s">
        <v>48</v>
      </c>
      <c r="AF616">
        <v>0.83299999999999996</v>
      </c>
      <c r="AG616">
        <v>993</v>
      </c>
      <c r="AH616" t="s">
        <v>80</v>
      </c>
      <c r="AI616">
        <v>0.99199999999999999</v>
      </c>
      <c r="AJ616" t="s">
        <v>1153</v>
      </c>
    </row>
    <row r="617" spans="1:36" x14ac:dyDescent="0.25">
      <c r="A617" t="s">
        <v>962</v>
      </c>
      <c r="B617">
        <v>853341399</v>
      </c>
      <c r="C617" t="s">
        <v>963</v>
      </c>
      <c r="D617" t="s">
        <v>963</v>
      </c>
      <c r="E617" t="s">
        <v>65</v>
      </c>
      <c r="F617" t="s">
        <v>93</v>
      </c>
      <c r="I617" t="s">
        <v>39</v>
      </c>
      <c r="J617" t="s">
        <v>40</v>
      </c>
      <c r="K617" t="s">
        <v>41</v>
      </c>
      <c r="L617" t="s">
        <v>964</v>
      </c>
      <c r="N617" t="s">
        <v>43</v>
      </c>
      <c r="O617" t="s">
        <v>668</v>
      </c>
      <c r="P617">
        <v>75</v>
      </c>
      <c r="Q617">
        <v>75</v>
      </c>
      <c r="R617">
        <v>1</v>
      </c>
      <c r="S617" t="s">
        <v>45</v>
      </c>
      <c r="T617">
        <v>0</v>
      </c>
      <c r="U617">
        <v>1001</v>
      </c>
      <c r="V617" t="s">
        <v>46</v>
      </c>
      <c r="W617">
        <v>1</v>
      </c>
      <c r="X617">
        <v>27001</v>
      </c>
      <c r="Y617" t="s">
        <v>47</v>
      </c>
      <c r="Z617">
        <v>27</v>
      </c>
      <c r="AA617">
        <v>901</v>
      </c>
      <c r="AB617" t="s">
        <v>75</v>
      </c>
      <c r="AC617">
        <v>0.9</v>
      </c>
      <c r="AD617">
        <v>834</v>
      </c>
      <c r="AE617" t="s">
        <v>48</v>
      </c>
      <c r="AF617">
        <v>0.83299999999999996</v>
      </c>
      <c r="AG617">
        <v>993</v>
      </c>
      <c r="AH617" t="s">
        <v>80</v>
      </c>
      <c r="AI617">
        <v>0.99199999999999999</v>
      </c>
      <c r="AJ617" t="s">
        <v>1154</v>
      </c>
    </row>
    <row r="618" spans="1:36" x14ac:dyDescent="0.25">
      <c r="A618" t="s">
        <v>962</v>
      </c>
      <c r="B618">
        <v>853341399</v>
      </c>
      <c r="C618" t="s">
        <v>963</v>
      </c>
      <c r="D618" t="s">
        <v>963</v>
      </c>
      <c r="E618" t="s">
        <v>65</v>
      </c>
      <c r="F618" t="s">
        <v>93</v>
      </c>
      <c r="I618" t="s">
        <v>39</v>
      </c>
      <c r="J618" t="s">
        <v>40</v>
      </c>
      <c r="K618" t="s">
        <v>41</v>
      </c>
      <c r="L618" t="s">
        <v>964</v>
      </c>
      <c r="N618" t="s">
        <v>43</v>
      </c>
      <c r="O618" t="s">
        <v>668</v>
      </c>
      <c r="P618">
        <v>75</v>
      </c>
      <c r="Q618">
        <v>75</v>
      </c>
      <c r="S618" t="s">
        <v>39</v>
      </c>
      <c r="V618" t="s">
        <v>39</v>
      </c>
      <c r="X618">
        <v>27001</v>
      </c>
      <c r="Y618" t="s">
        <v>47</v>
      </c>
      <c r="Z618">
        <v>27</v>
      </c>
      <c r="AA618">
        <v>901</v>
      </c>
      <c r="AB618" t="s">
        <v>75</v>
      </c>
      <c r="AC618">
        <v>0.9</v>
      </c>
      <c r="AD618">
        <v>834</v>
      </c>
      <c r="AE618" t="s">
        <v>48</v>
      </c>
      <c r="AF618">
        <v>0.83299999999999996</v>
      </c>
      <c r="AG618">
        <v>993</v>
      </c>
      <c r="AH618" t="s">
        <v>80</v>
      </c>
      <c r="AI618">
        <v>0.99199999999999999</v>
      </c>
      <c r="AJ618" t="s">
        <v>1155</v>
      </c>
    </row>
    <row r="619" spans="1:36" x14ac:dyDescent="0.25">
      <c r="A619" t="s">
        <v>962</v>
      </c>
      <c r="B619">
        <v>853341399</v>
      </c>
      <c r="C619" t="s">
        <v>963</v>
      </c>
      <c r="D619" t="s">
        <v>963</v>
      </c>
      <c r="E619" t="s">
        <v>65</v>
      </c>
      <c r="F619" t="s">
        <v>93</v>
      </c>
      <c r="I619" t="s">
        <v>39</v>
      </c>
      <c r="J619" t="s">
        <v>40</v>
      </c>
      <c r="K619" t="s">
        <v>41</v>
      </c>
      <c r="L619" t="s">
        <v>964</v>
      </c>
      <c r="N619" t="s">
        <v>43</v>
      </c>
      <c r="O619" t="s">
        <v>668</v>
      </c>
      <c r="P619">
        <v>75</v>
      </c>
      <c r="Q619">
        <v>75</v>
      </c>
      <c r="S619" t="s">
        <v>39</v>
      </c>
      <c r="V619" t="s">
        <v>39</v>
      </c>
      <c r="X619">
        <v>27001</v>
      </c>
      <c r="Y619" t="s">
        <v>47</v>
      </c>
      <c r="Z619">
        <v>27</v>
      </c>
      <c r="AA619">
        <v>901</v>
      </c>
      <c r="AB619" t="s">
        <v>75</v>
      </c>
      <c r="AC619">
        <v>0.9</v>
      </c>
      <c r="AD619">
        <v>834</v>
      </c>
      <c r="AE619" t="s">
        <v>48</v>
      </c>
      <c r="AF619">
        <v>0.83299999999999996</v>
      </c>
      <c r="AG619">
        <v>993</v>
      </c>
      <c r="AH619" t="s">
        <v>80</v>
      </c>
      <c r="AI619">
        <v>0.99199999999999999</v>
      </c>
      <c r="AJ619" t="s">
        <v>1156</v>
      </c>
    </row>
    <row r="620" spans="1:36" x14ac:dyDescent="0.25">
      <c r="A620" t="s">
        <v>958</v>
      </c>
      <c r="B620">
        <v>871615975</v>
      </c>
      <c r="C620" t="s">
        <v>959</v>
      </c>
      <c r="D620" t="s">
        <v>959</v>
      </c>
      <c r="E620" t="s">
        <v>65</v>
      </c>
      <c r="F620" t="s">
        <v>93</v>
      </c>
      <c r="I620" t="s">
        <v>39</v>
      </c>
      <c r="J620" t="s">
        <v>40</v>
      </c>
      <c r="K620" t="s">
        <v>41</v>
      </c>
      <c r="L620" t="s">
        <v>173</v>
      </c>
      <c r="N620" t="s">
        <v>43</v>
      </c>
      <c r="O620" t="s">
        <v>483</v>
      </c>
      <c r="P620">
        <v>76</v>
      </c>
      <c r="Q620">
        <v>76</v>
      </c>
      <c r="R620">
        <v>61</v>
      </c>
      <c r="S620" t="s">
        <v>56</v>
      </c>
      <c r="T620">
        <v>0.06</v>
      </c>
      <c r="U620">
        <v>619</v>
      </c>
      <c r="V620" t="s">
        <v>113</v>
      </c>
      <c r="W620">
        <v>0.61799999999999999</v>
      </c>
      <c r="X620">
        <v>22001</v>
      </c>
      <c r="Y620" t="s">
        <v>47</v>
      </c>
      <c r="Z620">
        <v>22</v>
      </c>
      <c r="AA620">
        <v>622</v>
      </c>
      <c r="AB620" t="s">
        <v>75</v>
      </c>
      <c r="AC620">
        <v>0.621</v>
      </c>
      <c r="AD620">
        <v>541</v>
      </c>
      <c r="AE620" t="s">
        <v>48</v>
      </c>
      <c r="AF620">
        <v>0.54</v>
      </c>
      <c r="AG620">
        <v>604</v>
      </c>
      <c r="AH620" t="s">
        <v>49</v>
      </c>
      <c r="AI620">
        <v>0.60299999999999998</v>
      </c>
      <c r="AJ620" t="s">
        <v>50</v>
      </c>
    </row>
    <row r="621" spans="1:36" x14ac:dyDescent="0.25">
      <c r="A621" t="s">
        <v>958</v>
      </c>
      <c r="B621">
        <v>871615975</v>
      </c>
      <c r="C621" t="s">
        <v>959</v>
      </c>
      <c r="D621" t="s">
        <v>959</v>
      </c>
      <c r="E621" t="s">
        <v>65</v>
      </c>
      <c r="F621" t="s">
        <v>93</v>
      </c>
      <c r="I621" t="s">
        <v>39</v>
      </c>
      <c r="J621" t="s">
        <v>40</v>
      </c>
      <c r="K621" t="s">
        <v>41</v>
      </c>
      <c r="L621" t="s">
        <v>173</v>
      </c>
      <c r="N621" t="s">
        <v>43</v>
      </c>
      <c r="O621" t="s">
        <v>483</v>
      </c>
      <c r="P621">
        <v>76</v>
      </c>
      <c r="Q621">
        <v>76</v>
      </c>
      <c r="R621">
        <v>121</v>
      </c>
      <c r="S621" t="s">
        <v>56</v>
      </c>
      <c r="T621">
        <v>0.12</v>
      </c>
      <c r="U621">
        <v>697</v>
      </c>
      <c r="V621" t="s">
        <v>113</v>
      </c>
      <c r="W621">
        <v>0.69599999999999995</v>
      </c>
      <c r="X621">
        <v>22001</v>
      </c>
      <c r="Y621" t="s">
        <v>47</v>
      </c>
      <c r="Z621">
        <v>22</v>
      </c>
      <c r="AA621">
        <v>622</v>
      </c>
      <c r="AB621" t="s">
        <v>75</v>
      </c>
      <c r="AC621">
        <v>0.621</v>
      </c>
      <c r="AD621">
        <v>541</v>
      </c>
      <c r="AE621" t="s">
        <v>48</v>
      </c>
      <c r="AF621">
        <v>0.54</v>
      </c>
      <c r="AG621">
        <v>604</v>
      </c>
      <c r="AH621" t="s">
        <v>49</v>
      </c>
      <c r="AI621">
        <v>0.60299999999999998</v>
      </c>
      <c r="AJ621" t="s">
        <v>1141</v>
      </c>
    </row>
    <row r="622" spans="1:36" x14ac:dyDescent="0.25">
      <c r="A622" t="s">
        <v>958</v>
      </c>
      <c r="B622">
        <v>871615975</v>
      </c>
      <c r="C622" t="s">
        <v>959</v>
      </c>
      <c r="D622" t="s">
        <v>959</v>
      </c>
      <c r="E622" t="s">
        <v>65</v>
      </c>
      <c r="F622" t="s">
        <v>93</v>
      </c>
      <c r="I622" t="s">
        <v>39</v>
      </c>
      <c r="J622" t="s">
        <v>40</v>
      </c>
      <c r="K622" t="s">
        <v>41</v>
      </c>
      <c r="L622" t="s">
        <v>173</v>
      </c>
      <c r="N622" t="s">
        <v>43</v>
      </c>
      <c r="O622" t="s">
        <v>483</v>
      </c>
      <c r="P622">
        <v>76</v>
      </c>
      <c r="Q622">
        <v>76</v>
      </c>
      <c r="R622">
        <v>61</v>
      </c>
      <c r="S622" t="s">
        <v>56</v>
      </c>
      <c r="T622">
        <v>0.06</v>
      </c>
      <c r="U622">
        <v>619</v>
      </c>
      <c r="V622" t="s">
        <v>113</v>
      </c>
      <c r="W622">
        <v>0.61799999999999999</v>
      </c>
      <c r="X622">
        <v>22001</v>
      </c>
      <c r="Y622" t="s">
        <v>47</v>
      </c>
      <c r="Z622">
        <v>22</v>
      </c>
      <c r="AA622">
        <v>622</v>
      </c>
      <c r="AB622" t="s">
        <v>75</v>
      </c>
      <c r="AC622">
        <v>0.621</v>
      </c>
      <c r="AD622">
        <v>541</v>
      </c>
      <c r="AE622" t="s">
        <v>48</v>
      </c>
      <c r="AF622">
        <v>0.54</v>
      </c>
      <c r="AG622">
        <v>604</v>
      </c>
      <c r="AH622" t="s">
        <v>49</v>
      </c>
      <c r="AI622">
        <v>0.60299999999999998</v>
      </c>
      <c r="AJ622" t="s">
        <v>1153</v>
      </c>
    </row>
    <row r="623" spans="1:36" x14ac:dyDescent="0.25">
      <c r="A623" t="s">
        <v>958</v>
      </c>
      <c r="B623">
        <v>871615975</v>
      </c>
      <c r="C623" t="s">
        <v>959</v>
      </c>
      <c r="D623" t="s">
        <v>959</v>
      </c>
      <c r="E623" t="s">
        <v>65</v>
      </c>
      <c r="F623" t="s">
        <v>93</v>
      </c>
      <c r="I623" t="s">
        <v>39</v>
      </c>
      <c r="J623" t="s">
        <v>40</v>
      </c>
      <c r="K623" t="s">
        <v>41</v>
      </c>
      <c r="L623" t="s">
        <v>173</v>
      </c>
      <c r="N623" t="s">
        <v>43</v>
      </c>
      <c r="O623" t="s">
        <v>483</v>
      </c>
      <c r="P623">
        <v>76</v>
      </c>
      <c r="Q623">
        <v>76</v>
      </c>
      <c r="R623">
        <v>61</v>
      </c>
      <c r="S623" t="s">
        <v>56</v>
      </c>
      <c r="T623">
        <v>0.06</v>
      </c>
      <c r="U623">
        <v>619</v>
      </c>
      <c r="V623" t="s">
        <v>113</v>
      </c>
      <c r="W623">
        <v>0.61799999999999999</v>
      </c>
      <c r="X623">
        <v>22001</v>
      </c>
      <c r="Y623" t="s">
        <v>47</v>
      </c>
      <c r="Z623">
        <v>22</v>
      </c>
      <c r="AA623">
        <v>622</v>
      </c>
      <c r="AB623" t="s">
        <v>75</v>
      </c>
      <c r="AC623">
        <v>0.621</v>
      </c>
      <c r="AD623">
        <v>541</v>
      </c>
      <c r="AE623" t="s">
        <v>48</v>
      </c>
      <c r="AF623">
        <v>0.54</v>
      </c>
      <c r="AG623">
        <v>604</v>
      </c>
      <c r="AH623" t="s">
        <v>49</v>
      </c>
      <c r="AI623">
        <v>0.60299999999999998</v>
      </c>
      <c r="AJ623" t="s">
        <v>1154</v>
      </c>
    </row>
    <row r="624" spans="1:36" x14ac:dyDescent="0.25">
      <c r="A624" t="s">
        <v>958</v>
      </c>
      <c r="B624">
        <v>871615975</v>
      </c>
      <c r="C624" t="s">
        <v>959</v>
      </c>
      <c r="D624" t="s">
        <v>959</v>
      </c>
      <c r="E624" t="s">
        <v>65</v>
      </c>
      <c r="F624" t="s">
        <v>93</v>
      </c>
      <c r="I624" t="s">
        <v>39</v>
      </c>
      <c r="J624" t="s">
        <v>40</v>
      </c>
      <c r="K624" t="s">
        <v>41</v>
      </c>
      <c r="L624" t="s">
        <v>173</v>
      </c>
      <c r="N624" t="s">
        <v>43</v>
      </c>
      <c r="O624" t="s">
        <v>483</v>
      </c>
      <c r="P624">
        <v>76</v>
      </c>
      <c r="Q624">
        <v>76</v>
      </c>
      <c r="S624" t="s">
        <v>39</v>
      </c>
      <c r="V624" t="s">
        <v>39</v>
      </c>
      <c r="X624">
        <v>22001</v>
      </c>
      <c r="Y624" t="s">
        <v>47</v>
      </c>
      <c r="Z624">
        <v>22</v>
      </c>
      <c r="AA624">
        <v>622</v>
      </c>
      <c r="AB624" t="s">
        <v>75</v>
      </c>
      <c r="AC624">
        <v>0.621</v>
      </c>
      <c r="AD624">
        <v>541</v>
      </c>
      <c r="AE624" t="s">
        <v>48</v>
      </c>
      <c r="AF624">
        <v>0.54</v>
      </c>
      <c r="AG624">
        <v>604</v>
      </c>
      <c r="AH624" t="s">
        <v>49</v>
      </c>
      <c r="AI624">
        <v>0.60299999999999998</v>
      </c>
      <c r="AJ624" t="s">
        <v>1155</v>
      </c>
    </row>
    <row r="625" spans="1:36" x14ac:dyDescent="0.25">
      <c r="A625" t="s">
        <v>958</v>
      </c>
      <c r="B625">
        <v>871615975</v>
      </c>
      <c r="C625" t="s">
        <v>959</v>
      </c>
      <c r="D625" t="s">
        <v>959</v>
      </c>
      <c r="E625" t="s">
        <v>65</v>
      </c>
      <c r="F625" t="s">
        <v>93</v>
      </c>
      <c r="I625" t="s">
        <v>39</v>
      </c>
      <c r="J625" t="s">
        <v>40</v>
      </c>
      <c r="K625" t="s">
        <v>41</v>
      </c>
      <c r="L625" t="s">
        <v>173</v>
      </c>
      <c r="N625" t="s">
        <v>43</v>
      </c>
      <c r="O625" t="s">
        <v>483</v>
      </c>
      <c r="P625">
        <v>76</v>
      </c>
      <c r="Q625">
        <v>76</v>
      </c>
      <c r="S625" t="s">
        <v>39</v>
      </c>
      <c r="V625" t="s">
        <v>39</v>
      </c>
      <c r="X625">
        <v>22001</v>
      </c>
      <c r="Y625" t="s">
        <v>47</v>
      </c>
      <c r="Z625">
        <v>22</v>
      </c>
      <c r="AA625">
        <v>622</v>
      </c>
      <c r="AB625" t="s">
        <v>75</v>
      </c>
      <c r="AC625">
        <v>0.621</v>
      </c>
      <c r="AD625">
        <v>541</v>
      </c>
      <c r="AE625" t="s">
        <v>48</v>
      </c>
      <c r="AF625">
        <v>0.54</v>
      </c>
      <c r="AG625">
        <v>604</v>
      </c>
      <c r="AH625" t="s">
        <v>49</v>
      </c>
      <c r="AI625">
        <v>0.60299999999999998</v>
      </c>
      <c r="AJ625" t="s">
        <v>1156</v>
      </c>
    </row>
    <row r="626" spans="1:36" x14ac:dyDescent="0.25">
      <c r="A626" t="s">
        <v>956</v>
      </c>
      <c r="B626">
        <v>872683974</v>
      </c>
      <c r="C626" t="s">
        <v>957</v>
      </c>
      <c r="D626" t="s">
        <v>957</v>
      </c>
      <c r="E626" t="s">
        <v>65</v>
      </c>
      <c r="F626" t="s">
        <v>93</v>
      </c>
      <c r="I626" t="s">
        <v>39</v>
      </c>
      <c r="J626" t="s">
        <v>40</v>
      </c>
      <c r="K626" t="s">
        <v>41</v>
      </c>
      <c r="L626" t="s">
        <v>72</v>
      </c>
      <c r="M626" t="s">
        <v>216</v>
      </c>
      <c r="N626" t="s">
        <v>43</v>
      </c>
      <c r="O626" t="s">
        <v>668</v>
      </c>
      <c r="P626">
        <v>76</v>
      </c>
      <c r="Q626">
        <v>76</v>
      </c>
      <c r="R626">
        <v>1</v>
      </c>
      <c r="S626" t="s">
        <v>45</v>
      </c>
      <c r="T626">
        <v>0</v>
      </c>
      <c r="U626">
        <v>1001</v>
      </c>
      <c r="V626" t="s">
        <v>46</v>
      </c>
      <c r="W626">
        <v>1</v>
      </c>
      <c r="X626">
        <v>28001</v>
      </c>
      <c r="Y626" t="s">
        <v>47</v>
      </c>
      <c r="Z626">
        <v>28</v>
      </c>
      <c r="AA626">
        <v>930</v>
      </c>
      <c r="AB626" t="s">
        <v>75</v>
      </c>
      <c r="AC626">
        <v>0.92900000000000005</v>
      </c>
      <c r="AD626">
        <v>882</v>
      </c>
      <c r="AE626" t="s">
        <v>48</v>
      </c>
      <c r="AF626">
        <v>0.88100000000000001</v>
      </c>
      <c r="AG626">
        <v>991</v>
      </c>
      <c r="AH626" t="s">
        <v>80</v>
      </c>
      <c r="AI626">
        <v>0.99</v>
      </c>
      <c r="AJ626" t="s">
        <v>50</v>
      </c>
    </row>
    <row r="627" spans="1:36" x14ac:dyDescent="0.25">
      <c r="A627" t="s">
        <v>956</v>
      </c>
      <c r="B627">
        <v>872683974</v>
      </c>
      <c r="C627" t="s">
        <v>957</v>
      </c>
      <c r="D627" t="s">
        <v>957</v>
      </c>
      <c r="E627" t="s">
        <v>65</v>
      </c>
      <c r="F627" t="s">
        <v>93</v>
      </c>
      <c r="I627" t="s">
        <v>39</v>
      </c>
      <c r="J627" t="s">
        <v>40</v>
      </c>
      <c r="K627" t="s">
        <v>41</v>
      </c>
      <c r="L627" t="s">
        <v>72</v>
      </c>
      <c r="M627" t="s">
        <v>216</v>
      </c>
      <c r="N627" t="s">
        <v>43</v>
      </c>
      <c r="O627" t="s">
        <v>668</v>
      </c>
      <c r="P627">
        <v>76</v>
      </c>
      <c r="Q627">
        <v>76</v>
      </c>
      <c r="R627">
        <v>1</v>
      </c>
      <c r="S627" t="s">
        <v>45</v>
      </c>
      <c r="T627">
        <v>0</v>
      </c>
      <c r="U627">
        <v>1001</v>
      </c>
      <c r="V627" t="s">
        <v>46</v>
      </c>
      <c r="W627">
        <v>1</v>
      </c>
      <c r="X627">
        <v>28001</v>
      </c>
      <c r="Y627" t="s">
        <v>47</v>
      </c>
      <c r="Z627">
        <v>28</v>
      </c>
      <c r="AA627">
        <v>930</v>
      </c>
      <c r="AB627" t="s">
        <v>75</v>
      </c>
      <c r="AC627">
        <v>0.92900000000000005</v>
      </c>
      <c r="AD627">
        <v>882</v>
      </c>
      <c r="AE627" t="s">
        <v>48</v>
      </c>
      <c r="AF627">
        <v>0.88100000000000001</v>
      </c>
      <c r="AG627">
        <v>991</v>
      </c>
      <c r="AH627" t="s">
        <v>80</v>
      </c>
      <c r="AI627">
        <v>0.99</v>
      </c>
      <c r="AJ627" t="s">
        <v>1141</v>
      </c>
    </row>
    <row r="628" spans="1:36" x14ac:dyDescent="0.25">
      <c r="A628" t="s">
        <v>956</v>
      </c>
      <c r="B628">
        <v>872683974</v>
      </c>
      <c r="C628" t="s">
        <v>957</v>
      </c>
      <c r="D628" t="s">
        <v>957</v>
      </c>
      <c r="E628" t="s">
        <v>65</v>
      </c>
      <c r="F628" t="s">
        <v>93</v>
      </c>
      <c r="I628" t="s">
        <v>39</v>
      </c>
      <c r="J628" t="s">
        <v>40</v>
      </c>
      <c r="K628" t="s">
        <v>41</v>
      </c>
      <c r="L628" t="s">
        <v>72</v>
      </c>
      <c r="M628" t="s">
        <v>216</v>
      </c>
      <c r="N628" t="s">
        <v>43</v>
      </c>
      <c r="O628" t="s">
        <v>668</v>
      </c>
      <c r="P628">
        <v>76</v>
      </c>
      <c r="Q628">
        <v>76</v>
      </c>
      <c r="R628">
        <v>1</v>
      </c>
      <c r="S628" t="s">
        <v>45</v>
      </c>
      <c r="T628">
        <v>0</v>
      </c>
      <c r="U628">
        <v>1001</v>
      </c>
      <c r="V628" t="s">
        <v>46</v>
      </c>
      <c r="W628">
        <v>1</v>
      </c>
      <c r="X628">
        <v>28001</v>
      </c>
      <c r="Y628" t="s">
        <v>47</v>
      </c>
      <c r="Z628">
        <v>28</v>
      </c>
      <c r="AA628">
        <v>930</v>
      </c>
      <c r="AB628" t="s">
        <v>75</v>
      </c>
      <c r="AC628">
        <v>0.92900000000000005</v>
      </c>
      <c r="AD628">
        <v>882</v>
      </c>
      <c r="AE628" t="s">
        <v>48</v>
      </c>
      <c r="AF628">
        <v>0.88100000000000001</v>
      </c>
      <c r="AG628">
        <v>991</v>
      </c>
      <c r="AH628" t="s">
        <v>80</v>
      </c>
      <c r="AI628">
        <v>0.99</v>
      </c>
      <c r="AJ628" t="s">
        <v>1153</v>
      </c>
    </row>
    <row r="629" spans="1:36" x14ac:dyDescent="0.25">
      <c r="A629" t="s">
        <v>956</v>
      </c>
      <c r="B629">
        <v>872683974</v>
      </c>
      <c r="C629" t="s">
        <v>957</v>
      </c>
      <c r="D629" t="s">
        <v>957</v>
      </c>
      <c r="E629" t="s">
        <v>65</v>
      </c>
      <c r="F629" t="s">
        <v>93</v>
      </c>
      <c r="I629" t="s">
        <v>39</v>
      </c>
      <c r="J629" t="s">
        <v>40</v>
      </c>
      <c r="K629" t="s">
        <v>41</v>
      </c>
      <c r="L629" t="s">
        <v>72</v>
      </c>
      <c r="M629" t="s">
        <v>216</v>
      </c>
      <c r="N629" t="s">
        <v>43</v>
      </c>
      <c r="O629" t="s">
        <v>668</v>
      </c>
      <c r="P629">
        <v>76</v>
      </c>
      <c r="Q629">
        <v>76</v>
      </c>
      <c r="R629">
        <v>1</v>
      </c>
      <c r="S629" t="s">
        <v>45</v>
      </c>
      <c r="T629">
        <v>0</v>
      </c>
      <c r="U629">
        <v>1001</v>
      </c>
      <c r="V629" t="s">
        <v>46</v>
      </c>
      <c r="W629">
        <v>1</v>
      </c>
      <c r="X629">
        <v>28001</v>
      </c>
      <c r="Y629" t="s">
        <v>47</v>
      </c>
      <c r="Z629">
        <v>28</v>
      </c>
      <c r="AA629">
        <v>930</v>
      </c>
      <c r="AB629" t="s">
        <v>75</v>
      </c>
      <c r="AC629">
        <v>0.92900000000000005</v>
      </c>
      <c r="AD629">
        <v>882</v>
      </c>
      <c r="AE629" t="s">
        <v>48</v>
      </c>
      <c r="AF629">
        <v>0.88100000000000001</v>
      </c>
      <c r="AG629">
        <v>991</v>
      </c>
      <c r="AH629" t="s">
        <v>80</v>
      </c>
      <c r="AI629">
        <v>0.99</v>
      </c>
      <c r="AJ629" t="s">
        <v>1154</v>
      </c>
    </row>
    <row r="630" spans="1:36" x14ac:dyDescent="0.25">
      <c r="A630" t="s">
        <v>956</v>
      </c>
      <c r="B630">
        <v>872683974</v>
      </c>
      <c r="C630" t="s">
        <v>957</v>
      </c>
      <c r="D630" t="s">
        <v>957</v>
      </c>
      <c r="E630" t="s">
        <v>65</v>
      </c>
      <c r="F630" t="s">
        <v>93</v>
      </c>
      <c r="I630" t="s">
        <v>39</v>
      </c>
      <c r="J630" t="s">
        <v>40</v>
      </c>
      <c r="K630" t="s">
        <v>41</v>
      </c>
      <c r="L630" t="s">
        <v>72</v>
      </c>
      <c r="M630" t="s">
        <v>216</v>
      </c>
      <c r="N630" t="s">
        <v>43</v>
      </c>
      <c r="O630" t="s">
        <v>668</v>
      </c>
      <c r="P630">
        <v>76</v>
      </c>
      <c r="Q630">
        <v>76</v>
      </c>
      <c r="S630" t="s">
        <v>39</v>
      </c>
      <c r="V630" t="s">
        <v>39</v>
      </c>
      <c r="X630">
        <v>28001</v>
      </c>
      <c r="Y630" t="s">
        <v>47</v>
      </c>
      <c r="Z630">
        <v>28</v>
      </c>
      <c r="AA630">
        <v>930</v>
      </c>
      <c r="AB630" t="s">
        <v>75</v>
      </c>
      <c r="AC630">
        <v>0.92900000000000005</v>
      </c>
      <c r="AD630">
        <v>882</v>
      </c>
      <c r="AE630" t="s">
        <v>48</v>
      </c>
      <c r="AF630">
        <v>0.88100000000000001</v>
      </c>
      <c r="AG630">
        <v>991</v>
      </c>
      <c r="AH630" t="s">
        <v>80</v>
      </c>
      <c r="AI630">
        <v>0.99</v>
      </c>
      <c r="AJ630" t="s">
        <v>1155</v>
      </c>
    </row>
    <row r="631" spans="1:36" x14ac:dyDescent="0.25">
      <c r="A631" t="s">
        <v>956</v>
      </c>
      <c r="B631">
        <v>872683974</v>
      </c>
      <c r="C631" t="s">
        <v>957</v>
      </c>
      <c r="D631" t="s">
        <v>957</v>
      </c>
      <c r="E631" t="s">
        <v>65</v>
      </c>
      <c r="F631" t="s">
        <v>93</v>
      </c>
      <c r="I631" t="s">
        <v>39</v>
      </c>
      <c r="J631" t="s">
        <v>40</v>
      </c>
      <c r="K631" t="s">
        <v>41</v>
      </c>
      <c r="L631" t="s">
        <v>72</v>
      </c>
      <c r="M631" t="s">
        <v>216</v>
      </c>
      <c r="N631" t="s">
        <v>43</v>
      </c>
      <c r="O631" t="s">
        <v>668</v>
      </c>
      <c r="P631">
        <v>76</v>
      </c>
      <c r="Q631">
        <v>76</v>
      </c>
      <c r="S631" t="s">
        <v>39</v>
      </c>
      <c r="V631" t="s">
        <v>39</v>
      </c>
      <c r="X631">
        <v>28001</v>
      </c>
      <c r="Y631" t="s">
        <v>47</v>
      </c>
      <c r="Z631">
        <v>28</v>
      </c>
      <c r="AA631">
        <v>930</v>
      </c>
      <c r="AB631" t="s">
        <v>75</v>
      </c>
      <c r="AC631">
        <v>0.92900000000000005</v>
      </c>
      <c r="AD631">
        <v>882</v>
      </c>
      <c r="AE631" t="s">
        <v>48</v>
      </c>
      <c r="AF631">
        <v>0.88100000000000001</v>
      </c>
      <c r="AG631">
        <v>991</v>
      </c>
      <c r="AH631" t="s">
        <v>80</v>
      </c>
      <c r="AI631">
        <v>0.99</v>
      </c>
      <c r="AJ631" t="s">
        <v>1156</v>
      </c>
    </row>
    <row r="632" spans="1:36" s="4" customFormat="1" x14ac:dyDescent="0.25">
      <c r="A632" s="4" t="s">
        <v>953</v>
      </c>
      <c r="B632" s="4">
        <v>851977446</v>
      </c>
      <c r="C632" s="4" t="s">
        <v>954</v>
      </c>
      <c r="D632" s="4" t="s">
        <v>954</v>
      </c>
      <c r="E632" s="4" t="s">
        <v>37</v>
      </c>
      <c r="F632" s="4" t="s">
        <v>71</v>
      </c>
      <c r="I632" s="4" t="s">
        <v>39</v>
      </c>
      <c r="J632" s="4" t="s">
        <v>40</v>
      </c>
      <c r="K632" s="4" t="s">
        <v>41</v>
      </c>
      <c r="L632" s="4" t="s">
        <v>955</v>
      </c>
      <c r="M632" s="4" t="s">
        <v>816</v>
      </c>
      <c r="N632" s="4" t="s">
        <v>43</v>
      </c>
      <c r="O632" s="4" t="s">
        <v>123</v>
      </c>
      <c r="P632" s="4">
        <v>77</v>
      </c>
      <c r="Q632" s="4">
        <v>77</v>
      </c>
      <c r="R632" s="4">
        <v>1</v>
      </c>
      <c r="S632" s="4" t="s">
        <v>45</v>
      </c>
      <c r="T632" s="4">
        <v>0</v>
      </c>
      <c r="U632" s="4">
        <v>1000</v>
      </c>
      <c r="V632" s="4" t="s">
        <v>46</v>
      </c>
      <c r="W632" s="4">
        <v>0.999</v>
      </c>
      <c r="X632" s="4">
        <v>29001</v>
      </c>
      <c r="Y632" s="4" t="s">
        <v>47</v>
      </c>
      <c r="Z632" s="4">
        <v>29</v>
      </c>
      <c r="AA632" s="4">
        <v>968</v>
      </c>
      <c r="AB632" s="4" t="s">
        <v>75</v>
      </c>
      <c r="AC632" s="4">
        <v>0.96699999999999997</v>
      </c>
      <c r="AD632" s="4">
        <v>961</v>
      </c>
      <c r="AE632" s="4" t="s">
        <v>48</v>
      </c>
      <c r="AF632" s="4">
        <v>0.96</v>
      </c>
      <c r="AG632" s="4">
        <v>996</v>
      </c>
      <c r="AH632" s="4" t="s">
        <v>80</v>
      </c>
      <c r="AI632" s="4">
        <v>0.995</v>
      </c>
      <c r="AJ632" s="4" t="s">
        <v>50</v>
      </c>
    </row>
    <row r="633" spans="1:36" s="4" customFormat="1" x14ac:dyDescent="0.25">
      <c r="A633" s="4" t="s">
        <v>953</v>
      </c>
      <c r="B633" s="4">
        <v>851977446</v>
      </c>
      <c r="C633" s="4" t="s">
        <v>954</v>
      </c>
      <c r="D633" s="4" t="s">
        <v>954</v>
      </c>
      <c r="E633" s="4" t="s">
        <v>37</v>
      </c>
      <c r="F633" s="4" t="s">
        <v>71</v>
      </c>
      <c r="I633" s="4" t="s">
        <v>39</v>
      </c>
      <c r="J633" s="4" t="s">
        <v>40</v>
      </c>
      <c r="K633" s="4" t="s">
        <v>41</v>
      </c>
      <c r="L633" s="4" t="s">
        <v>955</v>
      </c>
      <c r="M633" s="4" t="s">
        <v>816</v>
      </c>
      <c r="N633" s="4" t="s">
        <v>43</v>
      </c>
      <c r="O633" s="4" t="s">
        <v>123</v>
      </c>
      <c r="P633" s="4">
        <v>77</v>
      </c>
      <c r="Q633" s="4">
        <v>77</v>
      </c>
      <c r="R633" s="4">
        <v>1</v>
      </c>
      <c r="S633" s="4" t="s">
        <v>45</v>
      </c>
      <c r="T633" s="4">
        <v>0</v>
      </c>
      <c r="U633" s="4">
        <v>1000</v>
      </c>
      <c r="V633" s="4" t="s">
        <v>46</v>
      </c>
      <c r="W633" s="4">
        <v>0.999</v>
      </c>
      <c r="X633" s="4">
        <v>29001</v>
      </c>
      <c r="Y633" s="4" t="s">
        <v>47</v>
      </c>
      <c r="Z633" s="4">
        <v>29</v>
      </c>
      <c r="AA633" s="4">
        <v>968</v>
      </c>
      <c r="AB633" s="4" t="s">
        <v>75</v>
      </c>
      <c r="AC633" s="4">
        <v>0.96699999999999997</v>
      </c>
      <c r="AD633" s="4">
        <v>961</v>
      </c>
      <c r="AE633" s="4" t="s">
        <v>48</v>
      </c>
      <c r="AF633" s="4">
        <v>0.96</v>
      </c>
      <c r="AG633" s="4">
        <v>996</v>
      </c>
      <c r="AH633" s="4" t="s">
        <v>80</v>
      </c>
      <c r="AI633" s="4">
        <v>0.995</v>
      </c>
      <c r="AJ633" s="4" t="s">
        <v>1141</v>
      </c>
    </row>
    <row r="634" spans="1:36" s="4" customFormat="1" x14ac:dyDescent="0.25">
      <c r="A634" s="4" t="s">
        <v>953</v>
      </c>
      <c r="B634" s="4">
        <v>851977446</v>
      </c>
      <c r="C634" s="4" t="s">
        <v>954</v>
      </c>
      <c r="D634" s="4" t="s">
        <v>954</v>
      </c>
      <c r="E634" s="4" t="s">
        <v>37</v>
      </c>
      <c r="F634" s="4" t="s">
        <v>71</v>
      </c>
      <c r="I634" s="4" t="s">
        <v>39</v>
      </c>
      <c r="J634" s="4" t="s">
        <v>40</v>
      </c>
      <c r="K634" s="4" t="s">
        <v>41</v>
      </c>
      <c r="L634" s="4" t="s">
        <v>955</v>
      </c>
      <c r="M634" s="4" t="s">
        <v>816</v>
      </c>
      <c r="N634" s="4" t="s">
        <v>43</v>
      </c>
      <c r="O634" s="4" t="s">
        <v>123</v>
      </c>
      <c r="P634" s="4">
        <v>77</v>
      </c>
      <c r="Q634" s="4">
        <v>77</v>
      </c>
      <c r="R634" s="4">
        <v>1</v>
      </c>
      <c r="S634" s="4" t="s">
        <v>45</v>
      </c>
      <c r="T634" s="4">
        <v>0</v>
      </c>
      <c r="U634" s="4">
        <v>1000</v>
      </c>
      <c r="V634" s="4" t="s">
        <v>46</v>
      </c>
      <c r="W634" s="4">
        <v>0.999</v>
      </c>
      <c r="X634" s="4">
        <v>29001</v>
      </c>
      <c r="Y634" s="4" t="s">
        <v>47</v>
      </c>
      <c r="Z634" s="4">
        <v>29</v>
      </c>
      <c r="AA634" s="4">
        <v>968</v>
      </c>
      <c r="AB634" s="4" t="s">
        <v>75</v>
      </c>
      <c r="AC634" s="4">
        <v>0.96699999999999997</v>
      </c>
      <c r="AD634" s="4">
        <v>961</v>
      </c>
      <c r="AE634" s="4" t="s">
        <v>48</v>
      </c>
      <c r="AF634" s="4">
        <v>0.96</v>
      </c>
      <c r="AG634" s="4">
        <v>996</v>
      </c>
      <c r="AH634" s="4" t="s">
        <v>80</v>
      </c>
      <c r="AI634" s="4">
        <v>0.995</v>
      </c>
      <c r="AJ634" s="4" t="s">
        <v>1153</v>
      </c>
    </row>
    <row r="635" spans="1:36" s="4" customFormat="1" x14ac:dyDescent="0.25">
      <c r="A635" s="4" t="s">
        <v>953</v>
      </c>
      <c r="B635" s="4">
        <v>851977446</v>
      </c>
      <c r="C635" s="4" t="s">
        <v>954</v>
      </c>
      <c r="D635" s="4" t="s">
        <v>954</v>
      </c>
      <c r="E635" s="4" t="s">
        <v>37</v>
      </c>
      <c r="F635" s="4" t="s">
        <v>71</v>
      </c>
      <c r="I635" s="4" t="s">
        <v>39</v>
      </c>
      <c r="J635" s="4" t="s">
        <v>40</v>
      </c>
      <c r="K635" s="4" t="s">
        <v>41</v>
      </c>
      <c r="L635" s="4" t="s">
        <v>955</v>
      </c>
      <c r="M635" s="4" t="s">
        <v>816</v>
      </c>
      <c r="N635" s="4" t="s">
        <v>43</v>
      </c>
      <c r="O635" s="4" t="s">
        <v>123</v>
      </c>
      <c r="P635" s="4">
        <v>77</v>
      </c>
      <c r="Q635" s="4">
        <v>77</v>
      </c>
      <c r="R635" s="4">
        <v>1</v>
      </c>
      <c r="S635" s="4" t="s">
        <v>45</v>
      </c>
      <c r="T635" s="4">
        <v>0</v>
      </c>
      <c r="U635" s="4">
        <v>1000</v>
      </c>
      <c r="V635" s="4" t="s">
        <v>46</v>
      </c>
      <c r="W635" s="4">
        <v>0.999</v>
      </c>
      <c r="X635" s="4">
        <v>29001</v>
      </c>
      <c r="Y635" s="4" t="s">
        <v>47</v>
      </c>
      <c r="Z635" s="4">
        <v>29</v>
      </c>
      <c r="AA635" s="4">
        <v>968</v>
      </c>
      <c r="AB635" s="4" t="s">
        <v>75</v>
      </c>
      <c r="AC635" s="4">
        <v>0.96699999999999997</v>
      </c>
      <c r="AD635" s="4">
        <v>961</v>
      </c>
      <c r="AE635" s="4" t="s">
        <v>48</v>
      </c>
      <c r="AF635" s="4">
        <v>0.96</v>
      </c>
      <c r="AG635" s="4">
        <v>996</v>
      </c>
      <c r="AH635" s="4" t="s">
        <v>80</v>
      </c>
      <c r="AI635" s="4">
        <v>0.995</v>
      </c>
      <c r="AJ635" s="4" t="s">
        <v>1154</v>
      </c>
    </row>
    <row r="636" spans="1:36" s="4" customFormat="1" x14ac:dyDescent="0.25">
      <c r="A636" s="4" t="s">
        <v>953</v>
      </c>
      <c r="B636" s="4">
        <v>851977446</v>
      </c>
      <c r="C636" s="4" t="s">
        <v>954</v>
      </c>
      <c r="D636" s="4" t="s">
        <v>954</v>
      </c>
      <c r="E636" s="4" t="s">
        <v>37</v>
      </c>
      <c r="F636" s="4" t="s">
        <v>71</v>
      </c>
      <c r="I636" s="4" t="s">
        <v>39</v>
      </c>
      <c r="J636" s="4" t="s">
        <v>40</v>
      </c>
      <c r="K636" s="4" t="s">
        <v>41</v>
      </c>
      <c r="L636" s="4" t="s">
        <v>955</v>
      </c>
      <c r="M636" s="4" t="s">
        <v>816</v>
      </c>
      <c r="N636" s="4" t="s">
        <v>43</v>
      </c>
      <c r="O636" s="4" t="s">
        <v>123</v>
      </c>
      <c r="P636" s="4">
        <v>77</v>
      </c>
      <c r="Q636" s="4">
        <v>77</v>
      </c>
      <c r="S636" s="4" t="s">
        <v>39</v>
      </c>
      <c r="V636" s="4" t="s">
        <v>39</v>
      </c>
      <c r="X636" s="4">
        <v>29001</v>
      </c>
      <c r="Y636" s="4" t="s">
        <v>47</v>
      </c>
      <c r="Z636" s="4">
        <v>29</v>
      </c>
      <c r="AA636" s="4">
        <v>968</v>
      </c>
      <c r="AB636" s="4" t="s">
        <v>75</v>
      </c>
      <c r="AC636" s="4">
        <v>0.96699999999999997</v>
      </c>
      <c r="AD636" s="4">
        <v>961</v>
      </c>
      <c r="AE636" s="4" t="s">
        <v>48</v>
      </c>
      <c r="AF636" s="4">
        <v>0.96</v>
      </c>
      <c r="AG636" s="4">
        <v>996</v>
      </c>
      <c r="AH636" s="4" t="s">
        <v>80</v>
      </c>
      <c r="AI636" s="4">
        <v>0.995</v>
      </c>
      <c r="AJ636" s="4" t="s">
        <v>1155</v>
      </c>
    </row>
    <row r="637" spans="1:36" s="4" customFormat="1" x14ac:dyDescent="0.25">
      <c r="A637" s="4" t="s">
        <v>953</v>
      </c>
      <c r="B637" s="4">
        <v>851977446</v>
      </c>
      <c r="C637" s="4" t="s">
        <v>954</v>
      </c>
      <c r="D637" s="4" t="s">
        <v>954</v>
      </c>
      <c r="E637" s="4" t="s">
        <v>37</v>
      </c>
      <c r="F637" s="4" t="s">
        <v>71</v>
      </c>
      <c r="I637" s="4" t="s">
        <v>39</v>
      </c>
      <c r="J637" s="4" t="s">
        <v>40</v>
      </c>
      <c r="K637" s="4" t="s">
        <v>41</v>
      </c>
      <c r="L637" s="4" t="s">
        <v>955</v>
      </c>
      <c r="M637" s="4" t="s">
        <v>816</v>
      </c>
      <c r="N637" s="4" t="s">
        <v>43</v>
      </c>
      <c r="O637" s="4" t="s">
        <v>123</v>
      </c>
      <c r="P637" s="4">
        <v>77</v>
      </c>
      <c r="Q637" s="4">
        <v>77</v>
      </c>
      <c r="S637" s="4" t="s">
        <v>39</v>
      </c>
      <c r="V637" s="4" t="s">
        <v>39</v>
      </c>
      <c r="X637" s="4">
        <v>29001</v>
      </c>
      <c r="Y637" s="4" t="s">
        <v>47</v>
      </c>
      <c r="Z637" s="4">
        <v>29</v>
      </c>
      <c r="AA637" s="4">
        <v>968</v>
      </c>
      <c r="AB637" s="4" t="s">
        <v>75</v>
      </c>
      <c r="AC637" s="4">
        <v>0.96699999999999997</v>
      </c>
      <c r="AD637" s="4">
        <v>961</v>
      </c>
      <c r="AE637" s="4" t="s">
        <v>48</v>
      </c>
      <c r="AF637" s="4">
        <v>0.96</v>
      </c>
      <c r="AG637" s="4">
        <v>996</v>
      </c>
      <c r="AH637" s="4" t="s">
        <v>80</v>
      </c>
      <c r="AI637" s="4">
        <v>0.995</v>
      </c>
      <c r="AJ637" s="4" t="s">
        <v>1156</v>
      </c>
    </row>
    <row r="638" spans="1:36" x14ac:dyDescent="0.25">
      <c r="A638" t="s">
        <v>951</v>
      </c>
      <c r="B638">
        <v>874102656</v>
      </c>
      <c r="C638" t="s">
        <v>952</v>
      </c>
      <c r="D638" t="s">
        <v>952</v>
      </c>
      <c r="E638" t="s">
        <v>37</v>
      </c>
      <c r="F638" t="s">
        <v>563</v>
      </c>
      <c r="I638" t="s">
        <v>39</v>
      </c>
      <c r="J638" t="s">
        <v>40</v>
      </c>
      <c r="K638" t="s">
        <v>41</v>
      </c>
      <c r="L638" t="s">
        <v>78</v>
      </c>
      <c r="N638" t="s">
        <v>43</v>
      </c>
      <c r="O638" t="s">
        <v>84</v>
      </c>
      <c r="P638">
        <v>79</v>
      </c>
      <c r="Q638">
        <v>79</v>
      </c>
      <c r="R638">
        <v>441</v>
      </c>
      <c r="S638" t="s">
        <v>56</v>
      </c>
      <c r="T638">
        <v>0.44</v>
      </c>
      <c r="U638">
        <v>2</v>
      </c>
      <c r="V638" t="s">
        <v>55</v>
      </c>
      <c r="W638">
        <v>1E-3</v>
      </c>
      <c r="X638">
        <v>11001</v>
      </c>
      <c r="Y638" t="s">
        <v>47</v>
      </c>
      <c r="Z638">
        <v>11</v>
      </c>
      <c r="AA638">
        <v>227</v>
      </c>
      <c r="AB638" t="s">
        <v>47</v>
      </c>
      <c r="AC638">
        <v>0.22600000000000001</v>
      </c>
      <c r="AD638">
        <v>263</v>
      </c>
      <c r="AE638" t="s">
        <v>56</v>
      </c>
      <c r="AF638">
        <v>0.26200000000000001</v>
      </c>
      <c r="AG638">
        <v>120</v>
      </c>
      <c r="AH638" t="s">
        <v>103</v>
      </c>
      <c r="AI638">
        <v>0.11899999999999999</v>
      </c>
      <c r="AJ638" t="s">
        <v>50</v>
      </c>
    </row>
    <row r="639" spans="1:36" x14ac:dyDescent="0.25">
      <c r="A639" t="s">
        <v>951</v>
      </c>
      <c r="B639">
        <v>874102656</v>
      </c>
      <c r="C639" t="s">
        <v>952</v>
      </c>
      <c r="D639" t="s">
        <v>952</v>
      </c>
      <c r="E639" t="s">
        <v>65</v>
      </c>
      <c r="F639" t="s">
        <v>563</v>
      </c>
      <c r="I639" t="s">
        <v>39</v>
      </c>
      <c r="J639" t="s">
        <v>40</v>
      </c>
      <c r="K639" t="s">
        <v>41</v>
      </c>
      <c r="L639" t="s">
        <v>78</v>
      </c>
      <c r="N639" t="s">
        <v>43</v>
      </c>
      <c r="O639" t="s">
        <v>84</v>
      </c>
      <c r="P639">
        <v>79</v>
      </c>
      <c r="Q639">
        <v>79</v>
      </c>
      <c r="R639">
        <v>441</v>
      </c>
      <c r="S639" t="s">
        <v>56</v>
      </c>
      <c r="T639">
        <v>0.44</v>
      </c>
      <c r="U639">
        <v>2</v>
      </c>
      <c r="V639" t="s">
        <v>55</v>
      </c>
      <c r="W639">
        <v>1E-3</v>
      </c>
      <c r="X639">
        <v>11001</v>
      </c>
      <c r="Y639" t="s">
        <v>47</v>
      </c>
      <c r="Z639">
        <v>11</v>
      </c>
      <c r="AA639">
        <v>227</v>
      </c>
      <c r="AB639" t="s">
        <v>47</v>
      </c>
      <c r="AC639">
        <v>0.22600000000000001</v>
      </c>
      <c r="AD639">
        <v>263</v>
      </c>
      <c r="AE639" t="s">
        <v>56</v>
      </c>
      <c r="AF639">
        <v>0.26200000000000001</v>
      </c>
      <c r="AG639">
        <v>120</v>
      </c>
      <c r="AH639" t="s">
        <v>103</v>
      </c>
      <c r="AI639">
        <v>0.11899999999999999</v>
      </c>
      <c r="AJ639" t="s">
        <v>50</v>
      </c>
    </row>
    <row r="640" spans="1:36" x14ac:dyDescent="0.25">
      <c r="A640" t="s">
        <v>951</v>
      </c>
      <c r="B640">
        <v>874102656</v>
      </c>
      <c r="C640" t="s">
        <v>952</v>
      </c>
      <c r="D640" t="s">
        <v>952</v>
      </c>
      <c r="E640" t="s">
        <v>37</v>
      </c>
      <c r="F640" t="s">
        <v>563</v>
      </c>
      <c r="I640" t="s">
        <v>39</v>
      </c>
      <c r="J640" t="s">
        <v>40</v>
      </c>
      <c r="K640" t="s">
        <v>41</v>
      </c>
      <c r="L640" t="s">
        <v>78</v>
      </c>
      <c r="N640" t="s">
        <v>43</v>
      </c>
      <c r="O640" t="s">
        <v>84</v>
      </c>
      <c r="P640">
        <v>79</v>
      </c>
      <c r="Q640">
        <v>79</v>
      </c>
      <c r="R640">
        <v>201</v>
      </c>
      <c r="S640" t="s">
        <v>56</v>
      </c>
      <c r="T640">
        <v>0.2</v>
      </c>
      <c r="U640">
        <v>4</v>
      </c>
      <c r="V640" t="s">
        <v>55</v>
      </c>
      <c r="W640">
        <v>3.0000000000000001E-3</v>
      </c>
      <c r="X640">
        <v>11001</v>
      </c>
      <c r="Y640" t="s">
        <v>47</v>
      </c>
      <c r="Z640">
        <v>11</v>
      </c>
      <c r="AA640">
        <v>227</v>
      </c>
      <c r="AB640" t="s">
        <v>47</v>
      </c>
      <c r="AC640">
        <v>0.22600000000000001</v>
      </c>
      <c r="AD640">
        <v>263</v>
      </c>
      <c r="AE640" t="s">
        <v>56</v>
      </c>
      <c r="AF640">
        <v>0.26200000000000001</v>
      </c>
      <c r="AG640">
        <v>120</v>
      </c>
      <c r="AH640" t="s">
        <v>103</v>
      </c>
      <c r="AI640">
        <v>0.11899999999999999</v>
      </c>
      <c r="AJ640" t="s">
        <v>1141</v>
      </c>
    </row>
    <row r="641" spans="1:36" x14ac:dyDescent="0.25">
      <c r="A641" t="s">
        <v>951</v>
      </c>
      <c r="B641">
        <v>874102656</v>
      </c>
      <c r="C641" t="s">
        <v>952</v>
      </c>
      <c r="D641" t="s">
        <v>952</v>
      </c>
      <c r="E641" t="s">
        <v>65</v>
      </c>
      <c r="F641" t="s">
        <v>563</v>
      </c>
      <c r="I641" t="s">
        <v>39</v>
      </c>
      <c r="J641" t="s">
        <v>40</v>
      </c>
      <c r="K641" t="s">
        <v>41</v>
      </c>
      <c r="L641" t="s">
        <v>78</v>
      </c>
      <c r="N641" t="s">
        <v>43</v>
      </c>
      <c r="O641" t="s">
        <v>84</v>
      </c>
      <c r="P641">
        <v>79</v>
      </c>
      <c r="Q641">
        <v>79</v>
      </c>
      <c r="R641">
        <v>201</v>
      </c>
      <c r="S641" t="s">
        <v>56</v>
      </c>
      <c r="T641">
        <v>0.2</v>
      </c>
      <c r="U641">
        <v>4</v>
      </c>
      <c r="V641" t="s">
        <v>55</v>
      </c>
      <c r="W641">
        <v>3.0000000000000001E-3</v>
      </c>
      <c r="X641">
        <v>11001</v>
      </c>
      <c r="Y641" t="s">
        <v>47</v>
      </c>
      <c r="Z641">
        <v>11</v>
      </c>
      <c r="AA641">
        <v>227</v>
      </c>
      <c r="AB641" t="s">
        <v>47</v>
      </c>
      <c r="AC641">
        <v>0.22600000000000001</v>
      </c>
      <c r="AD641">
        <v>263</v>
      </c>
      <c r="AE641" t="s">
        <v>56</v>
      </c>
      <c r="AF641">
        <v>0.26200000000000001</v>
      </c>
      <c r="AG641">
        <v>120</v>
      </c>
      <c r="AH641" t="s">
        <v>103</v>
      </c>
      <c r="AI641">
        <v>0.11899999999999999</v>
      </c>
      <c r="AJ641" t="s">
        <v>1141</v>
      </c>
    </row>
    <row r="642" spans="1:36" x14ac:dyDescent="0.25">
      <c r="A642" t="s">
        <v>951</v>
      </c>
      <c r="B642">
        <v>874102656</v>
      </c>
      <c r="C642" t="s">
        <v>952</v>
      </c>
      <c r="D642" t="s">
        <v>952</v>
      </c>
      <c r="E642" t="s">
        <v>37</v>
      </c>
      <c r="F642" t="s">
        <v>563</v>
      </c>
      <c r="I642" t="s">
        <v>39</v>
      </c>
      <c r="J642" t="s">
        <v>40</v>
      </c>
      <c r="K642" t="s">
        <v>41</v>
      </c>
      <c r="L642" t="s">
        <v>78</v>
      </c>
      <c r="N642" t="s">
        <v>43</v>
      </c>
      <c r="O642" t="s">
        <v>84</v>
      </c>
      <c r="P642">
        <v>79</v>
      </c>
      <c r="Q642">
        <v>79</v>
      </c>
      <c r="R642">
        <v>441</v>
      </c>
      <c r="S642" t="s">
        <v>56</v>
      </c>
      <c r="T642">
        <v>0.44</v>
      </c>
      <c r="U642">
        <v>2</v>
      </c>
      <c r="V642" t="s">
        <v>55</v>
      </c>
      <c r="W642">
        <v>1E-3</v>
      </c>
      <c r="X642">
        <v>11001</v>
      </c>
      <c r="Y642" t="s">
        <v>47</v>
      </c>
      <c r="Z642">
        <v>11</v>
      </c>
      <c r="AA642">
        <v>227</v>
      </c>
      <c r="AB642" t="s">
        <v>47</v>
      </c>
      <c r="AC642">
        <v>0.22600000000000001</v>
      </c>
      <c r="AD642">
        <v>263</v>
      </c>
      <c r="AE642" t="s">
        <v>56</v>
      </c>
      <c r="AF642">
        <v>0.26200000000000001</v>
      </c>
      <c r="AG642">
        <v>120</v>
      </c>
      <c r="AH642" t="s">
        <v>103</v>
      </c>
      <c r="AI642">
        <v>0.11899999999999999</v>
      </c>
      <c r="AJ642" t="s">
        <v>1153</v>
      </c>
    </row>
    <row r="643" spans="1:36" x14ac:dyDescent="0.25">
      <c r="A643" t="s">
        <v>951</v>
      </c>
      <c r="B643">
        <v>874102656</v>
      </c>
      <c r="C643" t="s">
        <v>952</v>
      </c>
      <c r="D643" t="s">
        <v>952</v>
      </c>
      <c r="E643" t="s">
        <v>65</v>
      </c>
      <c r="F643" t="s">
        <v>563</v>
      </c>
      <c r="I643" t="s">
        <v>39</v>
      </c>
      <c r="J643" t="s">
        <v>40</v>
      </c>
      <c r="K643" t="s">
        <v>41</v>
      </c>
      <c r="L643" t="s">
        <v>78</v>
      </c>
      <c r="N643" t="s">
        <v>43</v>
      </c>
      <c r="O643" t="s">
        <v>84</v>
      </c>
      <c r="P643">
        <v>79</v>
      </c>
      <c r="Q643">
        <v>79</v>
      </c>
      <c r="R643">
        <v>441</v>
      </c>
      <c r="S643" t="s">
        <v>56</v>
      </c>
      <c r="T643">
        <v>0.44</v>
      </c>
      <c r="U643">
        <v>2</v>
      </c>
      <c r="V643" t="s">
        <v>55</v>
      </c>
      <c r="W643">
        <v>1E-3</v>
      </c>
      <c r="X643">
        <v>11001</v>
      </c>
      <c r="Y643" t="s">
        <v>47</v>
      </c>
      <c r="Z643">
        <v>11</v>
      </c>
      <c r="AA643">
        <v>227</v>
      </c>
      <c r="AB643" t="s">
        <v>47</v>
      </c>
      <c r="AC643">
        <v>0.22600000000000001</v>
      </c>
      <c r="AD643">
        <v>263</v>
      </c>
      <c r="AE643" t="s">
        <v>56</v>
      </c>
      <c r="AF643">
        <v>0.26200000000000001</v>
      </c>
      <c r="AG643">
        <v>120</v>
      </c>
      <c r="AH643" t="s">
        <v>103</v>
      </c>
      <c r="AI643">
        <v>0.11899999999999999</v>
      </c>
      <c r="AJ643" t="s">
        <v>1153</v>
      </c>
    </row>
    <row r="644" spans="1:36" x14ac:dyDescent="0.25">
      <c r="A644" t="s">
        <v>951</v>
      </c>
      <c r="B644">
        <v>874102656</v>
      </c>
      <c r="C644" t="s">
        <v>952</v>
      </c>
      <c r="D644" t="s">
        <v>952</v>
      </c>
      <c r="E644" t="s">
        <v>37</v>
      </c>
      <c r="F644" t="s">
        <v>563</v>
      </c>
      <c r="I644" t="s">
        <v>39</v>
      </c>
      <c r="J644" t="s">
        <v>40</v>
      </c>
      <c r="K644" t="s">
        <v>41</v>
      </c>
      <c r="L644" t="s">
        <v>78</v>
      </c>
      <c r="N644" t="s">
        <v>43</v>
      </c>
      <c r="O644" t="s">
        <v>84</v>
      </c>
      <c r="P644">
        <v>79</v>
      </c>
      <c r="Q644">
        <v>79</v>
      </c>
      <c r="R644">
        <v>441</v>
      </c>
      <c r="S644" t="s">
        <v>56</v>
      </c>
      <c r="T644">
        <v>0.44</v>
      </c>
      <c r="U644">
        <v>2</v>
      </c>
      <c r="V644" t="s">
        <v>55</v>
      </c>
      <c r="W644">
        <v>1E-3</v>
      </c>
      <c r="X644">
        <v>11001</v>
      </c>
      <c r="Y644" t="s">
        <v>47</v>
      </c>
      <c r="Z644">
        <v>11</v>
      </c>
      <c r="AA644">
        <v>227</v>
      </c>
      <c r="AB644" t="s">
        <v>47</v>
      </c>
      <c r="AC644">
        <v>0.22600000000000001</v>
      </c>
      <c r="AD644">
        <v>263</v>
      </c>
      <c r="AE644" t="s">
        <v>56</v>
      </c>
      <c r="AF644">
        <v>0.26200000000000001</v>
      </c>
      <c r="AG644">
        <v>120</v>
      </c>
      <c r="AH644" t="s">
        <v>103</v>
      </c>
      <c r="AI644">
        <v>0.11899999999999999</v>
      </c>
      <c r="AJ644" t="s">
        <v>1154</v>
      </c>
    </row>
    <row r="645" spans="1:36" x14ac:dyDescent="0.25">
      <c r="A645" t="s">
        <v>951</v>
      </c>
      <c r="B645">
        <v>874102656</v>
      </c>
      <c r="C645" t="s">
        <v>952</v>
      </c>
      <c r="D645" t="s">
        <v>952</v>
      </c>
      <c r="E645" t="s">
        <v>65</v>
      </c>
      <c r="F645" t="s">
        <v>563</v>
      </c>
      <c r="I645" t="s">
        <v>39</v>
      </c>
      <c r="J645" t="s">
        <v>40</v>
      </c>
      <c r="K645" t="s">
        <v>41</v>
      </c>
      <c r="L645" t="s">
        <v>78</v>
      </c>
      <c r="N645" t="s">
        <v>43</v>
      </c>
      <c r="O645" t="s">
        <v>84</v>
      </c>
      <c r="P645">
        <v>79</v>
      </c>
      <c r="Q645">
        <v>79</v>
      </c>
      <c r="R645">
        <v>441</v>
      </c>
      <c r="S645" t="s">
        <v>56</v>
      </c>
      <c r="T645">
        <v>0.44</v>
      </c>
      <c r="U645">
        <v>2</v>
      </c>
      <c r="V645" t="s">
        <v>55</v>
      </c>
      <c r="W645">
        <v>1E-3</v>
      </c>
      <c r="X645">
        <v>11001</v>
      </c>
      <c r="Y645" t="s">
        <v>47</v>
      </c>
      <c r="Z645">
        <v>11</v>
      </c>
      <c r="AA645">
        <v>227</v>
      </c>
      <c r="AB645" t="s">
        <v>47</v>
      </c>
      <c r="AC645">
        <v>0.22600000000000001</v>
      </c>
      <c r="AD645">
        <v>263</v>
      </c>
      <c r="AE645" t="s">
        <v>56</v>
      </c>
      <c r="AF645">
        <v>0.26200000000000001</v>
      </c>
      <c r="AG645">
        <v>120</v>
      </c>
      <c r="AH645" t="s">
        <v>103</v>
      </c>
      <c r="AI645">
        <v>0.11899999999999999</v>
      </c>
      <c r="AJ645" t="s">
        <v>1154</v>
      </c>
    </row>
    <row r="646" spans="1:36" x14ac:dyDescent="0.25">
      <c r="A646" t="s">
        <v>951</v>
      </c>
      <c r="B646">
        <v>874102656</v>
      </c>
      <c r="C646" t="s">
        <v>952</v>
      </c>
      <c r="D646" t="s">
        <v>952</v>
      </c>
      <c r="E646" t="s">
        <v>37</v>
      </c>
      <c r="F646" t="s">
        <v>563</v>
      </c>
      <c r="I646" t="s">
        <v>39</v>
      </c>
      <c r="J646" t="s">
        <v>40</v>
      </c>
      <c r="K646" t="s">
        <v>41</v>
      </c>
      <c r="L646" t="s">
        <v>78</v>
      </c>
      <c r="N646" t="s">
        <v>43</v>
      </c>
      <c r="O646" t="s">
        <v>84</v>
      </c>
      <c r="P646">
        <v>79</v>
      </c>
      <c r="Q646">
        <v>79</v>
      </c>
      <c r="S646" t="s">
        <v>39</v>
      </c>
      <c r="V646" t="s">
        <v>39</v>
      </c>
      <c r="X646">
        <v>11001</v>
      </c>
      <c r="Y646" t="s">
        <v>47</v>
      </c>
      <c r="Z646">
        <v>11</v>
      </c>
      <c r="AA646">
        <v>227</v>
      </c>
      <c r="AB646" t="s">
        <v>47</v>
      </c>
      <c r="AC646">
        <v>0.22600000000000001</v>
      </c>
      <c r="AD646">
        <v>263</v>
      </c>
      <c r="AE646" t="s">
        <v>56</v>
      </c>
      <c r="AF646">
        <v>0.26200000000000001</v>
      </c>
      <c r="AG646">
        <v>120</v>
      </c>
      <c r="AH646" t="s">
        <v>103</v>
      </c>
      <c r="AI646">
        <v>0.11899999999999999</v>
      </c>
      <c r="AJ646" t="s">
        <v>1155</v>
      </c>
    </row>
    <row r="647" spans="1:36" x14ac:dyDescent="0.25">
      <c r="A647" t="s">
        <v>951</v>
      </c>
      <c r="B647">
        <v>874102656</v>
      </c>
      <c r="C647" t="s">
        <v>952</v>
      </c>
      <c r="D647" t="s">
        <v>952</v>
      </c>
      <c r="E647" t="s">
        <v>65</v>
      </c>
      <c r="F647" t="s">
        <v>563</v>
      </c>
      <c r="I647" t="s">
        <v>39</v>
      </c>
      <c r="J647" t="s">
        <v>40</v>
      </c>
      <c r="K647" t="s">
        <v>41</v>
      </c>
      <c r="L647" t="s">
        <v>78</v>
      </c>
      <c r="N647" t="s">
        <v>43</v>
      </c>
      <c r="O647" t="s">
        <v>84</v>
      </c>
      <c r="P647">
        <v>79</v>
      </c>
      <c r="Q647">
        <v>79</v>
      </c>
      <c r="S647" t="s">
        <v>39</v>
      </c>
      <c r="V647" t="s">
        <v>39</v>
      </c>
      <c r="X647">
        <v>11001</v>
      </c>
      <c r="Y647" t="s">
        <v>47</v>
      </c>
      <c r="Z647">
        <v>11</v>
      </c>
      <c r="AA647">
        <v>227</v>
      </c>
      <c r="AB647" t="s">
        <v>47</v>
      </c>
      <c r="AC647">
        <v>0.22600000000000001</v>
      </c>
      <c r="AD647">
        <v>263</v>
      </c>
      <c r="AE647" t="s">
        <v>56</v>
      </c>
      <c r="AF647">
        <v>0.26200000000000001</v>
      </c>
      <c r="AG647">
        <v>120</v>
      </c>
      <c r="AH647" t="s">
        <v>103</v>
      </c>
      <c r="AI647">
        <v>0.11899999999999999</v>
      </c>
      <c r="AJ647" t="s">
        <v>1155</v>
      </c>
    </row>
    <row r="648" spans="1:36" x14ac:dyDescent="0.25">
      <c r="A648" t="s">
        <v>951</v>
      </c>
      <c r="B648">
        <v>874102656</v>
      </c>
      <c r="C648" t="s">
        <v>952</v>
      </c>
      <c r="D648" t="s">
        <v>952</v>
      </c>
      <c r="E648" t="s">
        <v>37</v>
      </c>
      <c r="F648" t="s">
        <v>563</v>
      </c>
      <c r="I648" t="s">
        <v>39</v>
      </c>
      <c r="J648" t="s">
        <v>40</v>
      </c>
      <c r="K648" t="s">
        <v>41</v>
      </c>
      <c r="L648" t="s">
        <v>78</v>
      </c>
      <c r="N648" t="s">
        <v>43</v>
      </c>
      <c r="O648" t="s">
        <v>84</v>
      </c>
      <c r="P648">
        <v>79</v>
      </c>
      <c r="Q648">
        <v>79</v>
      </c>
      <c r="S648" t="s">
        <v>39</v>
      </c>
      <c r="V648" t="s">
        <v>39</v>
      </c>
      <c r="X648">
        <v>11001</v>
      </c>
      <c r="Y648" t="s">
        <v>47</v>
      </c>
      <c r="Z648">
        <v>11</v>
      </c>
      <c r="AA648">
        <v>227</v>
      </c>
      <c r="AB648" t="s">
        <v>47</v>
      </c>
      <c r="AC648">
        <v>0.22600000000000001</v>
      </c>
      <c r="AD648">
        <v>263</v>
      </c>
      <c r="AE648" t="s">
        <v>56</v>
      </c>
      <c r="AF648">
        <v>0.26200000000000001</v>
      </c>
      <c r="AG648">
        <v>120</v>
      </c>
      <c r="AH648" t="s">
        <v>103</v>
      </c>
      <c r="AI648">
        <v>0.11899999999999999</v>
      </c>
      <c r="AJ648" t="s">
        <v>1156</v>
      </c>
    </row>
    <row r="649" spans="1:36" x14ac:dyDescent="0.25">
      <c r="A649" t="s">
        <v>951</v>
      </c>
      <c r="B649">
        <v>874102656</v>
      </c>
      <c r="C649" t="s">
        <v>952</v>
      </c>
      <c r="D649" t="s">
        <v>952</v>
      </c>
      <c r="E649" t="s">
        <v>65</v>
      </c>
      <c r="F649" t="s">
        <v>563</v>
      </c>
      <c r="I649" t="s">
        <v>39</v>
      </c>
      <c r="J649" t="s">
        <v>40</v>
      </c>
      <c r="K649" t="s">
        <v>41</v>
      </c>
      <c r="L649" t="s">
        <v>78</v>
      </c>
      <c r="N649" t="s">
        <v>43</v>
      </c>
      <c r="O649" t="s">
        <v>84</v>
      </c>
      <c r="P649">
        <v>79</v>
      </c>
      <c r="Q649">
        <v>79</v>
      </c>
      <c r="S649" t="s">
        <v>39</v>
      </c>
      <c r="V649" t="s">
        <v>39</v>
      </c>
      <c r="X649">
        <v>11001</v>
      </c>
      <c r="Y649" t="s">
        <v>47</v>
      </c>
      <c r="Z649">
        <v>11</v>
      </c>
      <c r="AA649">
        <v>227</v>
      </c>
      <c r="AB649" t="s">
        <v>47</v>
      </c>
      <c r="AC649">
        <v>0.22600000000000001</v>
      </c>
      <c r="AD649">
        <v>263</v>
      </c>
      <c r="AE649" t="s">
        <v>56</v>
      </c>
      <c r="AF649">
        <v>0.26200000000000001</v>
      </c>
      <c r="AG649">
        <v>120</v>
      </c>
      <c r="AH649" t="s">
        <v>103</v>
      </c>
      <c r="AI649">
        <v>0.11899999999999999</v>
      </c>
      <c r="AJ649" t="s">
        <v>1156</v>
      </c>
    </row>
    <row r="650" spans="1:36" x14ac:dyDescent="0.25">
      <c r="A650" t="s">
        <v>949</v>
      </c>
      <c r="B650">
        <v>856508547</v>
      </c>
      <c r="C650" t="s">
        <v>950</v>
      </c>
      <c r="D650" t="s">
        <v>950</v>
      </c>
      <c r="E650" t="s">
        <v>60</v>
      </c>
      <c r="F650" t="s">
        <v>229</v>
      </c>
      <c r="I650" t="s">
        <v>39</v>
      </c>
      <c r="J650" t="s">
        <v>40</v>
      </c>
      <c r="K650" t="s">
        <v>41</v>
      </c>
      <c r="L650" t="s">
        <v>94</v>
      </c>
      <c r="M650" t="s">
        <v>73</v>
      </c>
      <c r="N650" t="s">
        <v>43</v>
      </c>
      <c r="O650" t="s">
        <v>620</v>
      </c>
      <c r="P650">
        <v>79</v>
      </c>
      <c r="Q650">
        <v>79</v>
      </c>
      <c r="R650">
        <v>1</v>
      </c>
      <c r="S650" t="s">
        <v>45</v>
      </c>
      <c r="T650">
        <v>0</v>
      </c>
      <c r="U650">
        <v>989</v>
      </c>
      <c r="V650" t="s">
        <v>46</v>
      </c>
      <c r="W650">
        <v>0.98799999999999999</v>
      </c>
      <c r="X650">
        <v>25001</v>
      </c>
      <c r="Y650" t="s">
        <v>47</v>
      </c>
      <c r="Z650">
        <v>25</v>
      </c>
      <c r="AA650">
        <v>765</v>
      </c>
      <c r="AB650" t="s">
        <v>75</v>
      </c>
      <c r="AC650">
        <v>0.76400000000000001</v>
      </c>
      <c r="AD650">
        <v>815</v>
      </c>
      <c r="AE650" t="s">
        <v>48</v>
      </c>
      <c r="AF650">
        <v>0.81399999999999995</v>
      </c>
      <c r="AG650">
        <v>929</v>
      </c>
      <c r="AH650" t="s">
        <v>49</v>
      </c>
      <c r="AI650">
        <v>0.92800000000000005</v>
      </c>
      <c r="AJ650" t="s">
        <v>50</v>
      </c>
    </row>
    <row r="651" spans="1:36" x14ac:dyDescent="0.25">
      <c r="A651" t="s">
        <v>949</v>
      </c>
      <c r="B651">
        <v>856508547</v>
      </c>
      <c r="C651" t="s">
        <v>950</v>
      </c>
      <c r="D651" t="s">
        <v>950</v>
      </c>
      <c r="E651" t="s">
        <v>60</v>
      </c>
      <c r="F651" t="s">
        <v>229</v>
      </c>
      <c r="I651" t="s">
        <v>39</v>
      </c>
      <c r="J651" t="s">
        <v>40</v>
      </c>
      <c r="K651" t="s">
        <v>41</v>
      </c>
      <c r="L651" t="s">
        <v>94</v>
      </c>
      <c r="M651" t="s">
        <v>73</v>
      </c>
      <c r="N651" t="s">
        <v>43</v>
      </c>
      <c r="O651" t="s">
        <v>620</v>
      </c>
      <c r="P651">
        <v>79</v>
      </c>
      <c r="Q651">
        <v>79</v>
      </c>
      <c r="R651">
        <v>1</v>
      </c>
      <c r="S651" t="s">
        <v>45</v>
      </c>
      <c r="T651">
        <v>0</v>
      </c>
      <c r="U651">
        <v>913</v>
      </c>
      <c r="V651" t="s">
        <v>46</v>
      </c>
      <c r="W651">
        <v>0.91200000000000003</v>
      </c>
      <c r="X651">
        <v>25001</v>
      </c>
      <c r="Y651" t="s">
        <v>47</v>
      </c>
      <c r="Z651">
        <v>25</v>
      </c>
      <c r="AA651">
        <v>765</v>
      </c>
      <c r="AB651" t="s">
        <v>75</v>
      </c>
      <c r="AC651">
        <v>0.76400000000000001</v>
      </c>
      <c r="AD651">
        <v>815</v>
      </c>
      <c r="AE651" t="s">
        <v>48</v>
      </c>
      <c r="AF651">
        <v>0.81399999999999995</v>
      </c>
      <c r="AG651">
        <v>929</v>
      </c>
      <c r="AH651" t="s">
        <v>49</v>
      </c>
      <c r="AI651">
        <v>0.92800000000000005</v>
      </c>
      <c r="AJ651" t="s">
        <v>1141</v>
      </c>
    </row>
    <row r="652" spans="1:36" x14ac:dyDescent="0.25">
      <c r="A652" t="s">
        <v>949</v>
      </c>
      <c r="B652">
        <v>856508547</v>
      </c>
      <c r="C652" t="s">
        <v>950</v>
      </c>
      <c r="D652" t="s">
        <v>950</v>
      </c>
      <c r="E652" t="s">
        <v>60</v>
      </c>
      <c r="F652" t="s">
        <v>229</v>
      </c>
      <c r="I652" t="s">
        <v>39</v>
      </c>
      <c r="J652" t="s">
        <v>40</v>
      </c>
      <c r="K652" t="s">
        <v>41</v>
      </c>
      <c r="L652" t="s">
        <v>94</v>
      </c>
      <c r="M652" t="s">
        <v>73</v>
      </c>
      <c r="N652" t="s">
        <v>43</v>
      </c>
      <c r="O652" t="s">
        <v>620</v>
      </c>
      <c r="P652">
        <v>79</v>
      </c>
      <c r="Q652">
        <v>79</v>
      </c>
      <c r="R652">
        <v>1</v>
      </c>
      <c r="S652" t="s">
        <v>45</v>
      </c>
      <c r="T652">
        <v>0</v>
      </c>
      <c r="U652">
        <v>989</v>
      </c>
      <c r="V652" t="s">
        <v>46</v>
      </c>
      <c r="W652">
        <v>0.98799999999999999</v>
      </c>
      <c r="X652">
        <v>25001</v>
      </c>
      <c r="Y652" t="s">
        <v>47</v>
      </c>
      <c r="Z652">
        <v>25</v>
      </c>
      <c r="AA652">
        <v>765</v>
      </c>
      <c r="AB652" t="s">
        <v>75</v>
      </c>
      <c r="AC652">
        <v>0.76400000000000001</v>
      </c>
      <c r="AD652">
        <v>815</v>
      </c>
      <c r="AE652" t="s">
        <v>48</v>
      </c>
      <c r="AF652">
        <v>0.81399999999999995</v>
      </c>
      <c r="AG652">
        <v>929</v>
      </c>
      <c r="AH652" t="s">
        <v>49</v>
      </c>
      <c r="AI652">
        <v>0.92800000000000005</v>
      </c>
      <c r="AJ652" t="s">
        <v>1153</v>
      </c>
    </row>
    <row r="653" spans="1:36" x14ac:dyDescent="0.25">
      <c r="A653" t="s">
        <v>949</v>
      </c>
      <c r="B653">
        <v>856508547</v>
      </c>
      <c r="C653" t="s">
        <v>950</v>
      </c>
      <c r="D653" t="s">
        <v>950</v>
      </c>
      <c r="E653" t="s">
        <v>60</v>
      </c>
      <c r="F653" t="s">
        <v>229</v>
      </c>
      <c r="I653" t="s">
        <v>39</v>
      </c>
      <c r="J653" t="s">
        <v>40</v>
      </c>
      <c r="K653" t="s">
        <v>41</v>
      </c>
      <c r="L653" t="s">
        <v>94</v>
      </c>
      <c r="M653" t="s">
        <v>73</v>
      </c>
      <c r="N653" t="s">
        <v>43</v>
      </c>
      <c r="O653" t="s">
        <v>620</v>
      </c>
      <c r="P653">
        <v>79</v>
      </c>
      <c r="Q653">
        <v>79</v>
      </c>
      <c r="R653">
        <v>1</v>
      </c>
      <c r="S653" t="s">
        <v>45</v>
      </c>
      <c r="T653">
        <v>0</v>
      </c>
      <c r="U653">
        <v>989</v>
      </c>
      <c r="V653" t="s">
        <v>46</v>
      </c>
      <c r="W653">
        <v>0.98799999999999999</v>
      </c>
      <c r="X653">
        <v>25001</v>
      </c>
      <c r="Y653" t="s">
        <v>47</v>
      </c>
      <c r="Z653">
        <v>25</v>
      </c>
      <c r="AA653">
        <v>765</v>
      </c>
      <c r="AB653" t="s">
        <v>75</v>
      </c>
      <c r="AC653">
        <v>0.76400000000000001</v>
      </c>
      <c r="AD653">
        <v>815</v>
      </c>
      <c r="AE653" t="s">
        <v>48</v>
      </c>
      <c r="AF653">
        <v>0.81399999999999995</v>
      </c>
      <c r="AG653">
        <v>929</v>
      </c>
      <c r="AH653" t="s">
        <v>49</v>
      </c>
      <c r="AI653">
        <v>0.92800000000000005</v>
      </c>
      <c r="AJ653" t="s">
        <v>1154</v>
      </c>
    </row>
    <row r="654" spans="1:36" x14ac:dyDescent="0.25">
      <c r="A654" t="s">
        <v>949</v>
      </c>
      <c r="B654">
        <v>856508547</v>
      </c>
      <c r="C654" t="s">
        <v>950</v>
      </c>
      <c r="D654" t="s">
        <v>950</v>
      </c>
      <c r="E654" t="s">
        <v>60</v>
      </c>
      <c r="F654" t="s">
        <v>229</v>
      </c>
      <c r="I654" t="s">
        <v>39</v>
      </c>
      <c r="J654" t="s">
        <v>40</v>
      </c>
      <c r="K654" t="s">
        <v>41</v>
      </c>
      <c r="L654" t="s">
        <v>94</v>
      </c>
      <c r="M654" t="s">
        <v>73</v>
      </c>
      <c r="N654" t="s">
        <v>43</v>
      </c>
      <c r="O654" t="s">
        <v>620</v>
      </c>
      <c r="P654">
        <v>79</v>
      </c>
      <c r="Q654">
        <v>79</v>
      </c>
      <c r="S654" t="s">
        <v>39</v>
      </c>
      <c r="V654" t="s">
        <v>39</v>
      </c>
      <c r="X654">
        <v>25001</v>
      </c>
      <c r="Y654" t="s">
        <v>47</v>
      </c>
      <c r="Z654">
        <v>25</v>
      </c>
      <c r="AA654">
        <v>765</v>
      </c>
      <c r="AB654" t="s">
        <v>75</v>
      </c>
      <c r="AC654">
        <v>0.76400000000000001</v>
      </c>
      <c r="AD654">
        <v>815</v>
      </c>
      <c r="AE654" t="s">
        <v>48</v>
      </c>
      <c r="AF654">
        <v>0.81399999999999995</v>
      </c>
      <c r="AG654">
        <v>929</v>
      </c>
      <c r="AH654" t="s">
        <v>49</v>
      </c>
      <c r="AI654">
        <v>0.92800000000000005</v>
      </c>
      <c r="AJ654" t="s">
        <v>1155</v>
      </c>
    </row>
    <row r="655" spans="1:36" x14ac:dyDescent="0.25">
      <c r="A655" t="s">
        <v>949</v>
      </c>
      <c r="B655">
        <v>856508547</v>
      </c>
      <c r="C655" t="s">
        <v>950</v>
      </c>
      <c r="D655" t="s">
        <v>950</v>
      </c>
      <c r="E655" t="s">
        <v>60</v>
      </c>
      <c r="F655" t="s">
        <v>229</v>
      </c>
      <c r="I655" t="s">
        <v>39</v>
      </c>
      <c r="J655" t="s">
        <v>40</v>
      </c>
      <c r="K655" t="s">
        <v>41</v>
      </c>
      <c r="L655" t="s">
        <v>94</v>
      </c>
      <c r="M655" t="s">
        <v>73</v>
      </c>
      <c r="N655" t="s">
        <v>43</v>
      </c>
      <c r="O655" t="s">
        <v>620</v>
      </c>
      <c r="P655">
        <v>79</v>
      </c>
      <c r="Q655">
        <v>79</v>
      </c>
      <c r="S655" t="s">
        <v>39</v>
      </c>
      <c r="V655" t="s">
        <v>39</v>
      </c>
      <c r="X655">
        <v>25001</v>
      </c>
      <c r="Y655" t="s">
        <v>47</v>
      </c>
      <c r="Z655">
        <v>25</v>
      </c>
      <c r="AA655">
        <v>765</v>
      </c>
      <c r="AB655" t="s">
        <v>75</v>
      </c>
      <c r="AC655">
        <v>0.76400000000000001</v>
      </c>
      <c r="AD655">
        <v>815</v>
      </c>
      <c r="AE655" t="s">
        <v>48</v>
      </c>
      <c r="AF655">
        <v>0.81399999999999995</v>
      </c>
      <c r="AG655">
        <v>929</v>
      </c>
      <c r="AH655" t="s">
        <v>49</v>
      </c>
      <c r="AI655">
        <v>0.92800000000000005</v>
      </c>
      <c r="AJ655" t="s">
        <v>1156</v>
      </c>
    </row>
    <row r="656" spans="1:36" x14ac:dyDescent="0.25">
      <c r="A656" t="s">
        <v>947</v>
      </c>
      <c r="B656">
        <v>856317635</v>
      </c>
      <c r="C656" t="s">
        <v>948</v>
      </c>
      <c r="D656" t="s">
        <v>948</v>
      </c>
      <c r="E656" t="s">
        <v>60</v>
      </c>
      <c r="F656" t="s">
        <v>88</v>
      </c>
      <c r="I656" t="s">
        <v>39</v>
      </c>
      <c r="J656" t="s">
        <v>40</v>
      </c>
      <c r="K656" t="s">
        <v>41</v>
      </c>
      <c r="L656" t="s">
        <v>118</v>
      </c>
      <c r="N656" t="s">
        <v>43</v>
      </c>
      <c r="O656" t="s">
        <v>462</v>
      </c>
      <c r="P656">
        <v>80</v>
      </c>
      <c r="Q656">
        <v>80</v>
      </c>
      <c r="R656">
        <v>41</v>
      </c>
      <c r="S656" t="s">
        <v>45</v>
      </c>
      <c r="T656">
        <v>0.04</v>
      </c>
      <c r="U656">
        <v>376</v>
      </c>
      <c r="V656" t="s">
        <v>55</v>
      </c>
      <c r="W656">
        <v>0.375</v>
      </c>
      <c r="X656">
        <v>23001</v>
      </c>
      <c r="Y656" t="s">
        <v>47</v>
      </c>
      <c r="Z656">
        <v>23</v>
      </c>
      <c r="AA656">
        <v>631</v>
      </c>
      <c r="AB656" t="s">
        <v>75</v>
      </c>
      <c r="AC656">
        <v>0.63</v>
      </c>
      <c r="AD656">
        <v>867</v>
      </c>
      <c r="AE656" t="s">
        <v>48</v>
      </c>
      <c r="AF656">
        <v>0.86599999999999999</v>
      </c>
      <c r="AG656">
        <v>951</v>
      </c>
      <c r="AH656" t="s">
        <v>80</v>
      </c>
      <c r="AI656">
        <v>0.95</v>
      </c>
      <c r="AJ656" t="s">
        <v>50</v>
      </c>
    </row>
    <row r="657" spans="1:36" x14ac:dyDescent="0.25">
      <c r="A657" t="s">
        <v>947</v>
      </c>
      <c r="B657">
        <v>856317635</v>
      </c>
      <c r="C657" t="s">
        <v>948</v>
      </c>
      <c r="D657" t="s">
        <v>948</v>
      </c>
      <c r="E657" t="s">
        <v>60</v>
      </c>
      <c r="F657" t="s">
        <v>88</v>
      </c>
      <c r="I657" t="s">
        <v>39</v>
      </c>
      <c r="J657" t="s">
        <v>40</v>
      </c>
      <c r="K657" t="s">
        <v>41</v>
      </c>
      <c r="L657" t="s">
        <v>118</v>
      </c>
      <c r="N657" t="s">
        <v>43</v>
      </c>
      <c r="O657" t="s">
        <v>462</v>
      </c>
      <c r="P657">
        <v>80</v>
      </c>
      <c r="Q657">
        <v>80</v>
      </c>
      <c r="R657">
        <v>71</v>
      </c>
      <c r="S657" t="s">
        <v>56</v>
      </c>
      <c r="T657">
        <v>7.0000000000000007E-2</v>
      </c>
      <c r="U657">
        <v>259</v>
      </c>
      <c r="V657" t="s">
        <v>55</v>
      </c>
      <c r="W657">
        <v>0.25800000000000001</v>
      </c>
      <c r="X657">
        <v>23001</v>
      </c>
      <c r="Y657" t="s">
        <v>47</v>
      </c>
      <c r="Z657">
        <v>23</v>
      </c>
      <c r="AA657">
        <v>631</v>
      </c>
      <c r="AB657" t="s">
        <v>75</v>
      </c>
      <c r="AC657">
        <v>0.63</v>
      </c>
      <c r="AD657">
        <v>867</v>
      </c>
      <c r="AE657" t="s">
        <v>48</v>
      </c>
      <c r="AF657">
        <v>0.86599999999999999</v>
      </c>
      <c r="AG657">
        <v>951</v>
      </c>
      <c r="AH657" t="s">
        <v>80</v>
      </c>
      <c r="AI657">
        <v>0.95</v>
      </c>
      <c r="AJ657" t="s">
        <v>1141</v>
      </c>
    </row>
    <row r="658" spans="1:36" x14ac:dyDescent="0.25">
      <c r="A658" t="s">
        <v>947</v>
      </c>
      <c r="B658">
        <v>856317635</v>
      </c>
      <c r="C658" t="s">
        <v>948</v>
      </c>
      <c r="D658" t="s">
        <v>948</v>
      </c>
      <c r="E658" t="s">
        <v>60</v>
      </c>
      <c r="F658" t="s">
        <v>88</v>
      </c>
      <c r="I658" t="s">
        <v>39</v>
      </c>
      <c r="J658" t="s">
        <v>40</v>
      </c>
      <c r="K658" t="s">
        <v>41</v>
      </c>
      <c r="L658" t="s">
        <v>118</v>
      </c>
      <c r="N658" t="s">
        <v>43</v>
      </c>
      <c r="O658" t="s">
        <v>462</v>
      </c>
      <c r="P658">
        <v>80</v>
      </c>
      <c r="Q658">
        <v>80</v>
      </c>
      <c r="R658">
        <v>41</v>
      </c>
      <c r="S658" t="s">
        <v>45</v>
      </c>
      <c r="T658">
        <v>0.04</v>
      </c>
      <c r="U658">
        <v>376</v>
      </c>
      <c r="V658" t="s">
        <v>55</v>
      </c>
      <c r="W658">
        <v>0.375</v>
      </c>
      <c r="X658">
        <v>23001</v>
      </c>
      <c r="Y658" t="s">
        <v>47</v>
      </c>
      <c r="Z658">
        <v>23</v>
      </c>
      <c r="AA658">
        <v>631</v>
      </c>
      <c r="AB658" t="s">
        <v>75</v>
      </c>
      <c r="AC658">
        <v>0.63</v>
      </c>
      <c r="AD658">
        <v>867</v>
      </c>
      <c r="AE658" t="s">
        <v>48</v>
      </c>
      <c r="AF658">
        <v>0.86599999999999999</v>
      </c>
      <c r="AG658">
        <v>951</v>
      </c>
      <c r="AH658" t="s">
        <v>80</v>
      </c>
      <c r="AI658">
        <v>0.95</v>
      </c>
      <c r="AJ658" t="s">
        <v>1153</v>
      </c>
    </row>
    <row r="659" spans="1:36" x14ac:dyDescent="0.25">
      <c r="A659" t="s">
        <v>947</v>
      </c>
      <c r="B659">
        <v>856317635</v>
      </c>
      <c r="C659" t="s">
        <v>948</v>
      </c>
      <c r="D659" t="s">
        <v>948</v>
      </c>
      <c r="E659" t="s">
        <v>60</v>
      </c>
      <c r="F659" t="s">
        <v>88</v>
      </c>
      <c r="I659" t="s">
        <v>39</v>
      </c>
      <c r="J659" t="s">
        <v>40</v>
      </c>
      <c r="K659" t="s">
        <v>41</v>
      </c>
      <c r="L659" t="s">
        <v>118</v>
      </c>
      <c r="N659" t="s">
        <v>43</v>
      </c>
      <c r="O659" t="s">
        <v>462</v>
      </c>
      <c r="P659">
        <v>80</v>
      </c>
      <c r="Q659">
        <v>80</v>
      </c>
      <c r="R659">
        <v>41</v>
      </c>
      <c r="S659" t="s">
        <v>45</v>
      </c>
      <c r="T659">
        <v>0.04</v>
      </c>
      <c r="U659">
        <v>376</v>
      </c>
      <c r="V659" t="s">
        <v>55</v>
      </c>
      <c r="W659">
        <v>0.375</v>
      </c>
      <c r="X659">
        <v>23001</v>
      </c>
      <c r="Y659" t="s">
        <v>47</v>
      </c>
      <c r="Z659">
        <v>23</v>
      </c>
      <c r="AA659">
        <v>631</v>
      </c>
      <c r="AB659" t="s">
        <v>75</v>
      </c>
      <c r="AC659">
        <v>0.63</v>
      </c>
      <c r="AD659">
        <v>867</v>
      </c>
      <c r="AE659" t="s">
        <v>48</v>
      </c>
      <c r="AF659">
        <v>0.86599999999999999</v>
      </c>
      <c r="AG659">
        <v>951</v>
      </c>
      <c r="AH659" t="s">
        <v>80</v>
      </c>
      <c r="AI659">
        <v>0.95</v>
      </c>
      <c r="AJ659" t="s">
        <v>1154</v>
      </c>
    </row>
    <row r="660" spans="1:36" x14ac:dyDescent="0.25">
      <c r="A660" t="s">
        <v>947</v>
      </c>
      <c r="B660">
        <v>856317635</v>
      </c>
      <c r="C660" t="s">
        <v>948</v>
      </c>
      <c r="D660" t="s">
        <v>948</v>
      </c>
      <c r="E660" t="s">
        <v>60</v>
      </c>
      <c r="F660" t="s">
        <v>88</v>
      </c>
      <c r="I660" t="s">
        <v>39</v>
      </c>
      <c r="J660" t="s">
        <v>40</v>
      </c>
      <c r="K660" t="s">
        <v>41</v>
      </c>
      <c r="L660" t="s">
        <v>118</v>
      </c>
      <c r="N660" t="s">
        <v>43</v>
      </c>
      <c r="O660" t="s">
        <v>462</v>
      </c>
      <c r="P660">
        <v>80</v>
      </c>
      <c r="Q660">
        <v>80</v>
      </c>
      <c r="S660" t="s">
        <v>39</v>
      </c>
      <c r="V660" t="s">
        <v>39</v>
      </c>
      <c r="X660">
        <v>23001</v>
      </c>
      <c r="Y660" t="s">
        <v>47</v>
      </c>
      <c r="Z660">
        <v>23</v>
      </c>
      <c r="AA660">
        <v>631</v>
      </c>
      <c r="AB660" t="s">
        <v>75</v>
      </c>
      <c r="AC660">
        <v>0.63</v>
      </c>
      <c r="AD660">
        <v>867</v>
      </c>
      <c r="AE660" t="s">
        <v>48</v>
      </c>
      <c r="AF660">
        <v>0.86599999999999999</v>
      </c>
      <c r="AG660">
        <v>951</v>
      </c>
      <c r="AH660" t="s">
        <v>80</v>
      </c>
      <c r="AI660">
        <v>0.95</v>
      </c>
      <c r="AJ660" t="s">
        <v>1155</v>
      </c>
    </row>
    <row r="661" spans="1:36" x14ac:dyDescent="0.25">
      <c r="A661" t="s">
        <v>947</v>
      </c>
      <c r="B661">
        <v>856317635</v>
      </c>
      <c r="C661" t="s">
        <v>948</v>
      </c>
      <c r="D661" t="s">
        <v>948</v>
      </c>
      <c r="E661" t="s">
        <v>60</v>
      </c>
      <c r="F661" t="s">
        <v>88</v>
      </c>
      <c r="I661" t="s">
        <v>39</v>
      </c>
      <c r="J661" t="s">
        <v>40</v>
      </c>
      <c r="K661" t="s">
        <v>41</v>
      </c>
      <c r="L661" t="s">
        <v>118</v>
      </c>
      <c r="N661" t="s">
        <v>43</v>
      </c>
      <c r="O661" t="s">
        <v>462</v>
      </c>
      <c r="P661">
        <v>80</v>
      </c>
      <c r="Q661">
        <v>80</v>
      </c>
      <c r="S661" t="s">
        <v>39</v>
      </c>
      <c r="V661" t="s">
        <v>39</v>
      </c>
      <c r="X661">
        <v>23001</v>
      </c>
      <c r="Y661" t="s">
        <v>47</v>
      </c>
      <c r="Z661">
        <v>23</v>
      </c>
      <c r="AA661">
        <v>631</v>
      </c>
      <c r="AB661" t="s">
        <v>75</v>
      </c>
      <c r="AC661">
        <v>0.63</v>
      </c>
      <c r="AD661">
        <v>867</v>
      </c>
      <c r="AE661" t="s">
        <v>48</v>
      </c>
      <c r="AF661">
        <v>0.86599999999999999</v>
      </c>
      <c r="AG661">
        <v>951</v>
      </c>
      <c r="AH661" t="s">
        <v>80</v>
      </c>
      <c r="AI661">
        <v>0.95</v>
      </c>
      <c r="AJ661" t="s">
        <v>1156</v>
      </c>
    </row>
    <row r="662" spans="1:36" x14ac:dyDescent="0.25">
      <c r="A662" t="s">
        <v>945</v>
      </c>
      <c r="B662">
        <v>881530622</v>
      </c>
      <c r="C662" t="s">
        <v>946</v>
      </c>
      <c r="D662" t="s">
        <v>946</v>
      </c>
      <c r="E662" t="s">
        <v>99</v>
      </c>
      <c r="F662" t="s">
        <v>143</v>
      </c>
      <c r="I662" t="s">
        <v>39</v>
      </c>
      <c r="J662" t="s">
        <v>40</v>
      </c>
      <c r="K662" t="s">
        <v>41</v>
      </c>
      <c r="L662" t="s">
        <v>406</v>
      </c>
      <c r="M662" t="s">
        <v>73</v>
      </c>
      <c r="N662" t="s">
        <v>43</v>
      </c>
      <c r="O662" t="s">
        <v>163</v>
      </c>
      <c r="P662">
        <v>81</v>
      </c>
      <c r="Q662">
        <v>81</v>
      </c>
      <c r="R662">
        <v>71</v>
      </c>
      <c r="S662" t="s">
        <v>56</v>
      </c>
      <c r="T662">
        <v>7.0000000000000007E-2</v>
      </c>
      <c r="U662">
        <v>507</v>
      </c>
      <c r="V662" t="s">
        <v>113</v>
      </c>
      <c r="W662">
        <v>0.50600000000000001</v>
      </c>
      <c r="X662">
        <v>17001</v>
      </c>
      <c r="Y662" t="s">
        <v>47</v>
      </c>
      <c r="Z662">
        <v>17</v>
      </c>
      <c r="AA662">
        <v>416</v>
      </c>
      <c r="AB662" t="s">
        <v>47</v>
      </c>
      <c r="AC662">
        <v>0.41499999999999998</v>
      </c>
      <c r="AD662">
        <v>670</v>
      </c>
      <c r="AE662" t="s">
        <v>48</v>
      </c>
      <c r="AF662">
        <v>0.66900000000000004</v>
      </c>
      <c r="AG662">
        <v>457</v>
      </c>
      <c r="AH662" t="s">
        <v>57</v>
      </c>
      <c r="AI662">
        <v>0.45600000000000002</v>
      </c>
      <c r="AJ662" t="s">
        <v>50</v>
      </c>
    </row>
    <row r="663" spans="1:36" x14ac:dyDescent="0.25">
      <c r="A663" t="s">
        <v>945</v>
      </c>
      <c r="B663">
        <v>881530622</v>
      </c>
      <c r="C663" t="s">
        <v>946</v>
      </c>
      <c r="D663" t="s">
        <v>946</v>
      </c>
      <c r="E663" t="s">
        <v>99</v>
      </c>
      <c r="F663" t="s">
        <v>143</v>
      </c>
      <c r="I663" t="s">
        <v>39</v>
      </c>
      <c r="J663" t="s">
        <v>40</v>
      </c>
      <c r="K663" t="s">
        <v>41</v>
      </c>
      <c r="L663" t="s">
        <v>406</v>
      </c>
      <c r="M663" t="s">
        <v>73</v>
      </c>
      <c r="N663" t="s">
        <v>43</v>
      </c>
      <c r="O663" t="s">
        <v>163</v>
      </c>
      <c r="P663">
        <v>81</v>
      </c>
      <c r="Q663">
        <v>81</v>
      </c>
      <c r="R663">
        <v>111</v>
      </c>
      <c r="S663" t="s">
        <v>56</v>
      </c>
      <c r="T663">
        <v>0.11</v>
      </c>
      <c r="U663">
        <v>262</v>
      </c>
      <c r="V663" t="s">
        <v>55</v>
      </c>
      <c r="W663">
        <v>0.26100000000000001</v>
      </c>
      <c r="X663">
        <v>17001</v>
      </c>
      <c r="Y663" t="s">
        <v>47</v>
      </c>
      <c r="Z663">
        <v>17</v>
      </c>
      <c r="AA663">
        <v>416</v>
      </c>
      <c r="AB663" t="s">
        <v>47</v>
      </c>
      <c r="AC663">
        <v>0.41499999999999998</v>
      </c>
      <c r="AD663">
        <v>670</v>
      </c>
      <c r="AE663" t="s">
        <v>48</v>
      </c>
      <c r="AF663">
        <v>0.66900000000000004</v>
      </c>
      <c r="AG663">
        <v>457</v>
      </c>
      <c r="AH663" t="s">
        <v>57</v>
      </c>
      <c r="AI663">
        <v>0.45600000000000002</v>
      </c>
      <c r="AJ663" t="s">
        <v>1141</v>
      </c>
    </row>
    <row r="664" spans="1:36" x14ac:dyDescent="0.25">
      <c r="A664" t="s">
        <v>945</v>
      </c>
      <c r="B664">
        <v>881530622</v>
      </c>
      <c r="C664" t="s">
        <v>946</v>
      </c>
      <c r="D664" t="s">
        <v>946</v>
      </c>
      <c r="E664" t="s">
        <v>99</v>
      </c>
      <c r="F664" t="s">
        <v>143</v>
      </c>
      <c r="I664" t="s">
        <v>39</v>
      </c>
      <c r="J664" t="s">
        <v>40</v>
      </c>
      <c r="K664" t="s">
        <v>41</v>
      </c>
      <c r="L664" t="s">
        <v>406</v>
      </c>
      <c r="M664" t="s">
        <v>73</v>
      </c>
      <c r="N664" t="s">
        <v>43</v>
      </c>
      <c r="O664" t="s">
        <v>163</v>
      </c>
      <c r="P664">
        <v>81</v>
      </c>
      <c r="Q664">
        <v>81</v>
      </c>
      <c r="R664">
        <v>71</v>
      </c>
      <c r="S664" t="s">
        <v>56</v>
      </c>
      <c r="T664">
        <v>7.0000000000000007E-2</v>
      </c>
      <c r="U664">
        <v>507</v>
      </c>
      <c r="V664" t="s">
        <v>113</v>
      </c>
      <c r="W664">
        <v>0.50600000000000001</v>
      </c>
      <c r="X664">
        <v>17001</v>
      </c>
      <c r="Y664" t="s">
        <v>47</v>
      </c>
      <c r="Z664">
        <v>17</v>
      </c>
      <c r="AA664">
        <v>416</v>
      </c>
      <c r="AB664" t="s">
        <v>47</v>
      </c>
      <c r="AC664">
        <v>0.41499999999999998</v>
      </c>
      <c r="AD664">
        <v>670</v>
      </c>
      <c r="AE664" t="s">
        <v>48</v>
      </c>
      <c r="AF664">
        <v>0.66900000000000004</v>
      </c>
      <c r="AG664">
        <v>457</v>
      </c>
      <c r="AH664" t="s">
        <v>57</v>
      </c>
      <c r="AI664">
        <v>0.45600000000000002</v>
      </c>
      <c r="AJ664" t="s">
        <v>1153</v>
      </c>
    </row>
    <row r="665" spans="1:36" x14ac:dyDescent="0.25">
      <c r="A665" t="s">
        <v>945</v>
      </c>
      <c r="B665">
        <v>881530622</v>
      </c>
      <c r="C665" t="s">
        <v>946</v>
      </c>
      <c r="D665" t="s">
        <v>946</v>
      </c>
      <c r="E665" t="s">
        <v>99</v>
      </c>
      <c r="F665" t="s">
        <v>143</v>
      </c>
      <c r="I665" t="s">
        <v>39</v>
      </c>
      <c r="J665" t="s">
        <v>40</v>
      </c>
      <c r="K665" t="s">
        <v>41</v>
      </c>
      <c r="L665" t="s">
        <v>406</v>
      </c>
      <c r="M665" t="s">
        <v>73</v>
      </c>
      <c r="N665" t="s">
        <v>43</v>
      </c>
      <c r="O665" t="s">
        <v>163</v>
      </c>
      <c r="P665">
        <v>81</v>
      </c>
      <c r="Q665">
        <v>81</v>
      </c>
      <c r="R665">
        <v>71</v>
      </c>
      <c r="S665" t="s">
        <v>56</v>
      </c>
      <c r="T665">
        <v>7.0000000000000007E-2</v>
      </c>
      <c r="U665">
        <v>507</v>
      </c>
      <c r="V665" t="s">
        <v>113</v>
      </c>
      <c r="W665">
        <v>0.50600000000000001</v>
      </c>
      <c r="X665">
        <v>17001</v>
      </c>
      <c r="Y665" t="s">
        <v>47</v>
      </c>
      <c r="Z665">
        <v>17</v>
      </c>
      <c r="AA665">
        <v>416</v>
      </c>
      <c r="AB665" t="s">
        <v>47</v>
      </c>
      <c r="AC665">
        <v>0.41499999999999998</v>
      </c>
      <c r="AD665">
        <v>670</v>
      </c>
      <c r="AE665" t="s">
        <v>48</v>
      </c>
      <c r="AF665">
        <v>0.66900000000000004</v>
      </c>
      <c r="AG665">
        <v>457</v>
      </c>
      <c r="AH665" t="s">
        <v>57</v>
      </c>
      <c r="AI665">
        <v>0.45600000000000002</v>
      </c>
      <c r="AJ665" t="s">
        <v>1154</v>
      </c>
    </row>
    <row r="666" spans="1:36" x14ac:dyDescent="0.25">
      <c r="A666" t="s">
        <v>945</v>
      </c>
      <c r="B666">
        <v>881530622</v>
      </c>
      <c r="C666" t="s">
        <v>946</v>
      </c>
      <c r="D666" t="s">
        <v>946</v>
      </c>
      <c r="E666" t="s">
        <v>99</v>
      </c>
      <c r="F666" t="s">
        <v>143</v>
      </c>
      <c r="I666" t="s">
        <v>39</v>
      </c>
      <c r="J666" t="s">
        <v>40</v>
      </c>
      <c r="K666" t="s">
        <v>41</v>
      </c>
      <c r="L666" t="s">
        <v>406</v>
      </c>
      <c r="M666" t="s">
        <v>73</v>
      </c>
      <c r="N666" t="s">
        <v>43</v>
      </c>
      <c r="O666" t="s">
        <v>163</v>
      </c>
      <c r="P666">
        <v>81</v>
      </c>
      <c r="Q666">
        <v>81</v>
      </c>
      <c r="S666" t="s">
        <v>39</v>
      </c>
      <c r="V666" t="s">
        <v>39</v>
      </c>
      <c r="X666">
        <v>17001</v>
      </c>
      <c r="Y666" t="s">
        <v>47</v>
      </c>
      <c r="Z666">
        <v>17</v>
      </c>
      <c r="AA666">
        <v>416</v>
      </c>
      <c r="AB666" t="s">
        <v>47</v>
      </c>
      <c r="AC666">
        <v>0.41499999999999998</v>
      </c>
      <c r="AD666">
        <v>670</v>
      </c>
      <c r="AE666" t="s">
        <v>48</v>
      </c>
      <c r="AF666">
        <v>0.66900000000000004</v>
      </c>
      <c r="AG666">
        <v>457</v>
      </c>
      <c r="AH666" t="s">
        <v>57</v>
      </c>
      <c r="AI666">
        <v>0.45600000000000002</v>
      </c>
      <c r="AJ666" t="s">
        <v>1155</v>
      </c>
    </row>
    <row r="667" spans="1:36" x14ac:dyDescent="0.25">
      <c r="A667" t="s">
        <v>945</v>
      </c>
      <c r="B667">
        <v>881530622</v>
      </c>
      <c r="C667" t="s">
        <v>946</v>
      </c>
      <c r="D667" t="s">
        <v>946</v>
      </c>
      <c r="E667" t="s">
        <v>99</v>
      </c>
      <c r="F667" t="s">
        <v>143</v>
      </c>
      <c r="I667" t="s">
        <v>39</v>
      </c>
      <c r="J667" t="s">
        <v>40</v>
      </c>
      <c r="K667" t="s">
        <v>41</v>
      </c>
      <c r="L667" t="s">
        <v>406</v>
      </c>
      <c r="M667" t="s">
        <v>73</v>
      </c>
      <c r="N667" t="s">
        <v>43</v>
      </c>
      <c r="O667" t="s">
        <v>163</v>
      </c>
      <c r="P667">
        <v>81</v>
      </c>
      <c r="Q667">
        <v>81</v>
      </c>
      <c r="S667" t="s">
        <v>39</v>
      </c>
      <c r="V667" t="s">
        <v>39</v>
      </c>
      <c r="X667">
        <v>17001</v>
      </c>
      <c r="Y667" t="s">
        <v>47</v>
      </c>
      <c r="Z667">
        <v>17</v>
      </c>
      <c r="AA667">
        <v>416</v>
      </c>
      <c r="AB667" t="s">
        <v>47</v>
      </c>
      <c r="AC667">
        <v>0.41499999999999998</v>
      </c>
      <c r="AD667">
        <v>670</v>
      </c>
      <c r="AE667" t="s">
        <v>48</v>
      </c>
      <c r="AF667">
        <v>0.66900000000000004</v>
      </c>
      <c r="AG667">
        <v>457</v>
      </c>
      <c r="AH667" t="s">
        <v>57</v>
      </c>
      <c r="AI667">
        <v>0.45600000000000002</v>
      </c>
      <c r="AJ667" t="s">
        <v>1156</v>
      </c>
    </row>
    <row r="668" spans="1:36" x14ac:dyDescent="0.25">
      <c r="A668" t="s">
        <v>942</v>
      </c>
      <c r="B668">
        <v>852318281</v>
      </c>
      <c r="C668" t="s">
        <v>943</v>
      </c>
      <c r="D668" t="s">
        <v>943</v>
      </c>
      <c r="E668" t="s">
        <v>65</v>
      </c>
      <c r="F668" t="s">
        <v>83</v>
      </c>
      <c r="I668" t="s">
        <v>39</v>
      </c>
      <c r="J668" t="s">
        <v>40</v>
      </c>
      <c r="K668" t="s">
        <v>41</v>
      </c>
      <c r="L668" t="s">
        <v>248</v>
      </c>
      <c r="M668" t="s">
        <v>944</v>
      </c>
      <c r="N668" t="s">
        <v>43</v>
      </c>
      <c r="O668" t="s">
        <v>325</v>
      </c>
      <c r="P668">
        <v>82</v>
      </c>
      <c r="Q668">
        <v>82</v>
      </c>
      <c r="R668">
        <v>1</v>
      </c>
      <c r="S668" t="s">
        <v>45</v>
      </c>
      <c r="T668">
        <v>0</v>
      </c>
      <c r="U668">
        <v>840</v>
      </c>
      <c r="V668" t="s">
        <v>113</v>
      </c>
      <c r="W668">
        <v>0.83899999999999997</v>
      </c>
      <c r="X668">
        <v>21001</v>
      </c>
      <c r="Y668" t="s">
        <v>47</v>
      </c>
      <c r="Z668">
        <v>21</v>
      </c>
      <c r="AA668">
        <v>692</v>
      </c>
      <c r="AB668" t="s">
        <v>75</v>
      </c>
      <c r="AC668">
        <v>0.69099999999999995</v>
      </c>
      <c r="AD668">
        <v>814</v>
      </c>
      <c r="AE668" t="s">
        <v>48</v>
      </c>
      <c r="AF668">
        <v>0.81299999999999994</v>
      </c>
      <c r="AG668">
        <v>925</v>
      </c>
      <c r="AH668" t="s">
        <v>49</v>
      </c>
      <c r="AI668">
        <v>0.92400000000000004</v>
      </c>
      <c r="AJ668" t="s">
        <v>50</v>
      </c>
    </row>
    <row r="669" spans="1:36" x14ac:dyDescent="0.25">
      <c r="A669" t="s">
        <v>942</v>
      </c>
      <c r="B669">
        <v>852318281</v>
      </c>
      <c r="C669" t="s">
        <v>943</v>
      </c>
      <c r="D669" t="s">
        <v>943</v>
      </c>
      <c r="E669" t="s">
        <v>60</v>
      </c>
      <c r="F669" t="s">
        <v>83</v>
      </c>
      <c r="I669" t="s">
        <v>39</v>
      </c>
      <c r="J669" t="s">
        <v>40</v>
      </c>
      <c r="K669" t="s">
        <v>41</v>
      </c>
      <c r="L669" t="s">
        <v>248</v>
      </c>
      <c r="M669" t="s">
        <v>944</v>
      </c>
      <c r="N669" t="s">
        <v>43</v>
      </c>
      <c r="O669" t="s">
        <v>229</v>
      </c>
      <c r="P669">
        <v>82</v>
      </c>
      <c r="Q669">
        <v>82</v>
      </c>
      <c r="R669">
        <v>41</v>
      </c>
      <c r="S669" t="s">
        <v>45</v>
      </c>
      <c r="T669">
        <v>0.04</v>
      </c>
      <c r="U669">
        <v>22</v>
      </c>
      <c r="V669" t="s">
        <v>55</v>
      </c>
      <c r="W669">
        <v>2.1000000000000001E-2</v>
      </c>
      <c r="X669">
        <v>19001</v>
      </c>
      <c r="Y669" t="s">
        <v>47</v>
      </c>
      <c r="Z669">
        <v>19</v>
      </c>
      <c r="AA669">
        <v>266</v>
      </c>
      <c r="AB669" t="s">
        <v>47</v>
      </c>
      <c r="AC669">
        <v>0.26500000000000001</v>
      </c>
      <c r="AD669">
        <v>467</v>
      </c>
      <c r="AE669" t="s">
        <v>56</v>
      </c>
      <c r="AF669">
        <v>0.46600000000000003</v>
      </c>
      <c r="AG669">
        <v>490</v>
      </c>
      <c r="AH669" t="s">
        <v>57</v>
      </c>
      <c r="AI669">
        <v>0.48899999999999999</v>
      </c>
      <c r="AJ669" t="s">
        <v>50</v>
      </c>
    </row>
    <row r="670" spans="1:36" x14ac:dyDescent="0.25">
      <c r="A670" t="s">
        <v>942</v>
      </c>
      <c r="B670">
        <v>852318281</v>
      </c>
      <c r="C670" t="s">
        <v>943</v>
      </c>
      <c r="D670" t="s">
        <v>943</v>
      </c>
      <c r="E670" t="s">
        <v>65</v>
      </c>
      <c r="F670" t="s">
        <v>83</v>
      </c>
      <c r="I670" t="s">
        <v>39</v>
      </c>
      <c r="J670" t="s">
        <v>40</v>
      </c>
      <c r="K670" t="s">
        <v>41</v>
      </c>
      <c r="L670" t="s">
        <v>248</v>
      </c>
      <c r="M670" t="s">
        <v>944</v>
      </c>
      <c r="N670" t="s">
        <v>43</v>
      </c>
      <c r="O670" t="s">
        <v>325</v>
      </c>
      <c r="P670">
        <v>82</v>
      </c>
      <c r="Q670">
        <v>82</v>
      </c>
      <c r="R670">
        <v>1</v>
      </c>
      <c r="S670" t="s">
        <v>45</v>
      </c>
      <c r="T670">
        <v>0</v>
      </c>
      <c r="U670">
        <v>752</v>
      </c>
      <c r="V670" t="s">
        <v>113</v>
      </c>
      <c r="W670">
        <v>0.751</v>
      </c>
      <c r="X670">
        <v>21001</v>
      </c>
      <c r="Y670" t="s">
        <v>47</v>
      </c>
      <c r="Z670">
        <v>21</v>
      </c>
      <c r="AA670">
        <v>692</v>
      </c>
      <c r="AB670" t="s">
        <v>75</v>
      </c>
      <c r="AC670">
        <v>0.69099999999999995</v>
      </c>
      <c r="AD670">
        <v>814</v>
      </c>
      <c r="AE670" t="s">
        <v>48</v>
      </c>
      <c r="AF670">
        <v>0.81299999999999994</v>
      </c>
      <c r="AG670">
        <v>925</v>
      </c>
      <c r="AH670" t="s">
        <v>49</v>
      </c>
      <c r="AI670">
        <v>0.92400000000000004</v>
      </c>
      <c r="AJ670" t="s">
        <v>1141</v>
      </c>
    </row>
    <row r="671" spans="1:36" x14ac:dyDescent="0.25">
      <c r="A671" t="s">
        <v>942</v>
      </c>
      <c r="B671">
        <v>852318281</v>
      </c>
      <c r="C671" t="s">
        <v>943</v>
      </c>
      <c r="D671" t="s">
        <v>943</v>
      </c>
      <c r="E671" t="s">
        <v>60</v>
      </c>
      <c r="F671" t="s">
        <v>83</v>
      </c>
      <c r="I671" t="s">
        <v>39</v>
      </c>
      <c r="J671" t="s">
        <v>40</v>
      </c>
      <c r="K671" t="s">
        <v>41</v>
      </c>
      <c r="L671" t="s">
        <v>248</v>
      </c>
      <c r="M671" t="s">
        <v>944</v>
      </c>
      <c r="N671" t="s">
        <v>43</v>
      </c>
      <c r="O671" t="s">
        <v>229</v>
      </c>
      <c r="P671">
        <v>82</v>
      </c>
      <c r="Q671">
        <v>82</v>
      </c>
      <c r="R671">
        <v>41</v>
      </c>
      <c r="S671" t="s">
        <v>45</v>
      </c>
      <c r="T671">
        <v>0.04</v>
      </c>
      <c r="U671">
        <v>13</v>
      </c>
      <c r="V671" t="s">
        <v>55</v>
      </c>
      <c r="W671">
        <v>1.2E-2</v>
      </c>
      <c r="X671">
        <v>19001</v>
      </c>
      <c r="Y671" t="s">
        <v>47</v>
      </c>
      <c r="Z671">
        <v>19</v>
      </c>
      <c r="AA671">
        <v>266</v>
      </c>
      <c r="AB671" t="s">
        <v>47</v>
      </c>
      <c r="AC671">
        <v>0.26500000000000001</v>
      </c>
      <c r="AD671">
        <v>467</v>
      </c>
      <c r="AE671" t="s">
        <v>56</v>
      </c>
      <c r="AF671">
        <v>0.46600000000000003</v>
      </c>
      <c r="AG671">
        <v>490</v>
      </c>
      <c r="AH671" t="s">
        <v>57</v>
      </c>
      <c r="AI671">
        <v>0.48899999999999999</v>
      </c>
      <c r="AJ671" t="s">
        <v>1141</v>
      </c>
    </row>
    <row r="672" spans="1:36" x14ac:dyDescent="0.25">
      <c r="A672" t="s">
        <v>942</v>
      </c>
      <c r="B672">
        <v>852318281</v>
      </c>
      <c r="C672" t="s">
        <v>943</v>
      </c>
      <c r="D672" t="s">
        <v>943</v>
      </c>
      <c r="E672" t="s">
        <v>65</v>
      </c>
      <c r="F672" t="s">
        <v>83</v>
      </c>
      <c r="I672" t="s">
        <v>39</v>
      </c>
      <c r="J672" t="s">
        <v>40</v>
      </c>
      <c r="K672" t="s">
        <v>41</v>
      </c>
      <c r="L672" t="s">
        <v>248</v>
      </c>
      <c r="M672" t="s">
        <v>944</v>
      </c>
      <c r="N672" t="s">
        <v>43</v>
      </c>
      <c r="O672" t="s">
        <v>325</v>
      </c>
      <c r="P672">
        <v>82</v>
      </c>
      <c r="Q672">
        <v>82</v>
      </c>
      <c r="R672">
        <v>1</v>
      </c>
      <c r="S672" t="s">
        <v>45</v>
      </c>
      <c r="T672">
        <v>0</v>
      </c>
      <c r="U672">
        <v>840</v>
      </c>
      <c r="V672" t="s">
        <v>113</v>
      </c>
      <c r="W672">
        <v>0.83899999999999997</v>
      </c>
      <c r="X672">
        <v>21001</v>
      </c>
      <c r="Y672" t="s">
        <v>47</v>
      </c>
      <c r="Z672">
        <v>21</v>
      </c>
      <c r="AA672">
        <v>692</v>
      </c>
      <c r="AB672" t="s">
        <v>75</v>
      </c>
      <c r="AC672">
        <v>0.69099999999999995</v>
      </c>
      <c r="AD672">
        <v>814</v>
      </c>
      <c r="AE672" t="s">
        <v>48</v>
      </c>
      <c r="AF672">
        <v>0.81299999999999994</v>
      </c>
      <c r="AG672">
        <v>925</v>
      </c>
      <c r="AH672" t="s">
        <v>49</v>
      </c>
      <c r="AI672">
        <v>0.92400000000000004</v>
      </c>
      <c r="AJ672" t="s">
        <v>1153</v>
      </c>
    </row>
    <row r="673" spans="1:36" x14ac:dyDescent="0.25">
      <c r="A673" t="s">
        <v>942</v>
      </c>
      <c r="B673">
        <v>852318281</v>
      </c>
      <c r="C673" t="s">
        <v>943</v>
      </c>
      <c r="D673" t="s">
        <v>943</v>
      </c>
      <c r="E673" t="s">
        <v>60</v>
      </c>
      <c r="F673" t="s">
        <v>83</v>
      </c>
      <c r="I673" t="s">
        <v>39</v>
      </c>
      <c r="J673" t="s">
        <v>40</v>
      </c>
      <c r="K673" t="s">
        <v>41</v>
      </c>
      <c r="L673" t="s">
        <v>248</v>
      </c>
      <c r="M673" t="s">
        <v>944</v>
      </c>
      <c r="N673" t="s">
        <v>43</v>
      </c>
      <c r="O673" t="s">
        <v>229</v>
      </c>
      <c r="P673">
        <v>82</v>
      </c>
      <c r="Q673">
        <v>82</v>
      </c>
      <c r="R673">
        <v>41</v>
      </c>
      <c r="S673" t="s">
        <v>45</v>
      </c>
      <c r="T673">
        <v>0.04</v>
      </c>
      <c r="U673">
        <v>22</v>
      </c>
      <c r="V673" t="s">
        <v>55</v>
      </c>
      <c r="W673">
        <v>2.1000000000000001E-2</v>
      </c>
      <c r="X673">
        <v>19001</v>
      </c>
      <c r="Y673" t="s">
        <v>47</v>
      </c>
      <c r="Z673">
        <v>19</v>
      </c>
      <c r="AA673">
        <v>266</v>
      </c>
      <c r="AB673" t="s">
        <v>47</v>
      </c>
      <c r="AC673">
        <v>0.26500000000000001</v>
      </c>
      <c r="AD673">
        <v>467</v>
      </c>
      <c r="AE673" t="s">
        <v>56</v>
      </c>
      <c r="AF673">
        <v>0.46600000000000003</v>
      </c>
      <c r="AG673">
        <v>490</v>
      </c>
      <c r="AH673" t="s">
        <v>57</v>
      </c>
      <c r="AI673">
        <v>0.48899999999999999</v>
      </c>
      <c r="AJ673" t="s">
        <v>1153</v>
      </c>
    </row>
    <row r="674" spans="1:36" x14ac:dyDescent="0.25">
      <c r="A674" t="s">
        <v>942</v>
      </c>
      <c r="B674">
        <v>852318281</v>
      </c>
      <c r="C674" t="s">
        <v>943</v>
      </c>
      <c r="D674" t="s">
        <v>943</v>
      </c>
      <c r="E674" t="s">
        <v>65</v>
      </c>
      <c r="F674" t="s">
        <v>83</v>
      </c>
      <c r="I674" t="s">
        <v>39</v>
      </c>
      <c r="J674" t="s">
        <v>40</v>
      </c>
      <c r="K674" t="s">
        <v>41</v>
      </c>
      <c r="L674" t="s">
        <v>248</v>
      </c>
      <c r="M674" t="s">
        <v>944</v>
      </c>
      <c r="N674" t="s">
        <v>43</v>
      </c>
      <c r="O674" t="s">
        <v>325</v>
      </c>
      <c r="P674">
        <v>82</v>
      </c>
      <c r="Q674">
        <v>82</v>
      </c>
      <c r="R674">
        <v>1</v>
      </c>
      <c r="S674" t="s">
        <v>45</v>
      </c>
      <c r="T674">
        <v>0</v>
      </c>
      <c r="U674">
        <v>840</v>
      </c>
      <c r="V674" t="s">
        <v>113</v>
      </c>
      <c r="W674">
        <v>0.83899999999999997</v>
      </c>
      <c r="X674">
        <v>21001</v>
      </c>
      <c r="Y674" t="s">
        <v>47</v>
      </c>
      <c r="Z674">
        <v>21</v>
      </c>
      <c r="AA674">
        <v>692</v>
      </c>
      <c r="AB674" t="s">
        <v>75</v>
      </c>
      <c r="AC674">
        <v>0.69099999999999995</v>
      </c>
      <c r="AD674">
        <v>814</v>
      </c>
      <c r="AE674" t="s">
        <v>48</v>
      </c>
      <c r="AF674">
        <v>0.81299999999999994</v>
      </c>
      <c r="AG674">
        <v>925</v>
      </c>
      <c r="AH674" t="s">
        <v>49</v>
      </c>
      <c r="AI674">
        <v>0.92400000000000004</v>
      </c>
      <c r="AJ674" t="s">
        <v>1154</v>
      </c>
    </row>
    <row r="675" spans="1:36" x14ac:dyDescent="0.25">
      <c r="A675" t="s">
        <v>942</v>
      </c>
      <c r="B675">
        <v>852318281</v>
      </c>
      <c r="C675" t="s">
        <v>943</v>
      </c>
      <c r="D675" t="s">
        <v>943</v>
      </c>
      <c r="E675" t="s">
        <v>60</v>
      </c>
      <c r="F675" t="s">
        <v>83</v>
      </c>
      <c r="I675" t="s">
        <v>39</v>
      </c>
      <c r="J675" t="s">
        <v>40</v>
      </c>
      <c r="K675" t="s">
        <v>41</v>
      </c>
      <c r="L675" t="s">
        <v>248</v>
      </c>
      <c r="M675" t="s">
        <v>944</v>
      </c>
      <c r="N675" t="s">
        <v>43</v>
      </c>
      <c r="O675" t="s">
        <v>229</v>
      </c>
      <c r="P675">
        <v>82</v>
      </c>
      <c r="Q675">
        <v>82</v>
      </c>
      <c r="R675">
        <v>41</v>
      </c>
      <c r="S675" t="s">
        <v>45</v>
      </c>
      <c r="T675">
        <v>0.04</v>
      </c>
      <c r="U675">
        <v>22</v>
      </c>
      <c r="V675" t="s">
        <v>55</v>
      </c>
      <c r="W675">
        <v>2.1000000000000001E-2</v>
      </c>
      <c r="X675">
        <v>19001</v>
      </c>
      <c r="Y675" t="s">
        <v>47</v>
      </c>
      <c r="Z675">
        <v>19</v>
      </c>
      <c r="AA675">
        <v>266</v>
      </c>
      <c r="AB675" t="s">
        <v>47</v>
      </c>
      <c r="AC675">
        <v>0.26500000000000001</v>
      </c>
      <c r="AD675">
        <v>467</v>
      </c>
      <c r="AE675" t="s">
        <v>56</v>
      </c>
      <c r="AF675">
        <v>0.46600000000000003</v>
      </c>
      <c r="AG675">
        <v>490</v>
      </c>
      <c r="AH675" t="s">
        <v>57</v>
      </c>
      <c r="AI675">
        <v>0.48899999999999999</v>
      </c>
      <c r="AJ675" t="s">
        <v>1154</v>
      </c>
    </row>
    <row r="676" spans="1:36" x14ac:dyDescent="0.25">
      <c r="A676" t="s">
        <v>942</v>
      </c>
      <c r="B676">
        <v>852318281</v>
      </c>
      <c r="C676" t="s">
        <v>943</v>
      </c>
      <c r="D676" t="s">
        <v>943</v>
      </c>
      <c r="E676" t="s">
        <v>65</v>
      </c>
      <c r="F676" t="s">
        <v>83</v>
      </c>
      <c r="I676" t="s">
        <v>39</v>
      </c>
      <c r="J676" t="s">
        <v>40</v>
      </c>
      <c r="K676" t="s">
        <v>41</v>
      </c>
      <c r="L676" t="s">
        <v>248</v>
      </c>
      <c r="M676" t="s">
        <v>944</v>
      </c>
      <c r="N676" t="s">
        <v>43</v>
      </c>
      <c r="O676" t="s">
        <v>325</v>
      </c>
      <c r="P676">
        <v>82</v>
      </c>
      <c r="Q676">
        <v>82</v>
      </c>
      <c r="S676" t="s">
        <v>39</v>
      </c>
      <c r="V676" t="s">
        <v>39</v>
      </c>
      <c r="X676">
        <v>21001</v>
      </c>
      <c r="Y676" t="s">
        <v>47</v>
      </c>
      <c r="Z676">
        <v>21</v>
      </c>
      <c r="AA676">
        <v>692</v>
      </c>
      <c r="AB676" t="s">
        <v>75</v>
      </c>
      <c r="AC676">
        <v>0.69099999999999995</v>
      </c>
      <c r="AD676">
        <v>814</v>
      </c>
      <c r="AE676" t="s">
        <v>48</v>
      </c>
      <c r="AF676">
        <v>0.81299999999999994</v>
      </c>
      <c r="AG676">
        <v>925</v>
      </c>
      <c r="AH676" t="s">
        <v>49</v>
      </c>
      <c r="AI676">
        <v>0.92400000000000004</v>
      </c>
      <c r="AJ676" t="s">
        <v>1155</v>
      </c>
    </row>
    <row r="677" spans="1:36" x14ac:dyDescent="0.25">
      <c r="A677" t="s">
        <v>942</v>
      </c>
      <c r="B677">
        <v>852318281</v>
      </c>
      <c r="C677" t="s">
        <v>943</v>
      </c>
      <c r="D677" t="s">
        <v>943</v>
      </c>
      <c r="E677" t="s">
        <v>60</v>
      </c>
      <c r="F677" t="s">
        <v>83</v>
      </c>
      <c r="I677" t="s">
        <v>39</v>
      </c>
      <c r="J677" t="s">
        <v>40</v>
      </c>
      <c r="K677" t="s">
        <v>41</v>
      </c>
      <c r="L677" t="s">
        <v>248</v>
      </c>
      <c r="M677" t="s">
        <v>944</v>
      </c>
      <c r="N677" t="s">
        <v>43</v>
      </c>
      <c r="O677" t="s">
        <v>229</v>
      </c>
      <c r="P677">
        <v>82</v>
      </c>
      <c r="Q677">
        <v>82</v>
      </c>
      <c r="S677" t="s">
        <v>39</v>
      </c>
      <c r="V677" t="s">
        <v>39</v>
      </c>
      <c r="X677">
        <v>19001</v>
      </c>
      <c r="Y677" t="s">
        <v>47</v>
      </c>
      <c r="Z677">
        <v>19</v>
      </c>
      <c r="AA677">
        <v>266</v>
      </c>
      <c r="AB677" t="s">
        <v>47</v>
      </c>
      <c r="AC677">
        <v>0.26500000000000001</v>
      </c>
      <c r="AD677">
        <v>467</v>
      </c>
      <c r="AE677" t="s">
        <v>56</v>
      </c>
      <c r="AF677">
        <v>0.46600000000000003</v>
      </c>
      <c r="AG677">
        <v>490</v>
      </c>
      <c r="AH677" t="s">
        <v>57</v>
      </c>
      <c r="AI677">
        <v>0.48899999999999999</v>
      </c>
      <c r="AJ677" t="s">
        <v>1155</v>
      </c>
    </row>
    <row r="678" spans="1:36" x14ac:dyDescent="0.25">
      <c r="A678" t="s">
        <v>942</v>
      </c>
      <c r="B678">
        <v>852318281</v>
      </c>
      <c r="C678" t="s">
        <v>943</v>
      </c>
      <c r="D678" t="s">
        <v>943</v>
      </c>
      <c r="E678" t="s">
        <v>65</v>
      </c>
      <c r="F678" t="s">
        <v>83</v>
      </c>
      <c r="I678" t="s">
        <v>39</v>
      </c>
      <c r="J678" t="s">
        <v>40</v>
      </c>
      <c r="K678" t="s">
        <v>41</v>
      </c>
      <c r="L678" t="s">
        <v>248</v>
      </c>
      <c r="M678" t="s">
        <v>944</v>
      </c>
      <c r="N678" t="s">
        <v>43</v>
      </c>
      <c r="O678" t="s">
        <v>325</v>
      </c>
      <c r="P678">
        <v>82</v>
      </c>
      <c r="Q678">
        <v>82</v>
      </c>
      <c r="S678" t="s">
        <v>39</v>
      </c>
      <c r="V678" t="s">
        <v>39</v>
      </c>
      <c r="X678">
        <v>21001</v>
      </c>
      <c r="Y678" t="s">
        <v>47</v>
      </c>
      <c r="Z678">
        <v>21</v>
      </c>
      <c r="AA678">
        <v>692</v>
      </c>
      <c r="AB678" t="s">
        <v>75</v>
      </c>
      <c r="AC678">
        <v>0.69099999999999995</v>
      </c>
      <c r="AD678">
        <v>814</v>
      </c>
      <c r="AE678" t="s">
        <v>48</v>
      </c>
      <c r="AF678">
        <v>0.81299999999999994</v>
      </c>
      <c r="AG678">
        <v>925</v>
      </c>
      <c r="AH678" t="s">
        <v>49</v>
      </c>
      <c r="AI678">
        <v>0.92400000000000004</v>
      </c>
      <c r="AJ678" t="s">
        <v>1156</v>
      </c>
    </row>
    <row r="679" spans="1:36" x14ac:dyDescent="0.25">
      <c r="A679" t="s">
        <v>942</v>
      </c>
      <c r="B679">
        <v>852318281</v>
      </c>
      <c r="C679" t="s">
        <v>943</v>
      </c>
      <c r="D679" t="s">
        <v>943</v>
      </c>
      <c r="E679" t="s">
        <v>60</v>
      </c>
      <c r="F679" t="s">
        <v>83</v>
      </c>
      <c r="I679" t="s">
        <v>39</v>
      </c>
      <c r="J679" t="s">
        <v>40</v>
      </c>
      <c r="K679" t="s">
        <v>41</v>
      </c>
      <c r="L679" t="s">
        <v>248</v>
      </c>
      <c r="M679" t="s">
        <v>944</v>
      </c>
      <c r="N679" t="s">
        <v>43</v>
      </c>
      <c r="O679" t="s">
        <v>229</v>
      </c>
      <c r="P679">
        <v>82</v>
      </c>
      <c r="Q679">
        <v>82</v>
      </c>
      <c r="S679" t="s">
        <v>39</v>
      </c>
      <c r="V679" t="s">
        <v>39</v>
      </c>
      <c r="X679">
        <v>19001</v>
      </c>
      <c r="Y679" t="s">
        <v>47</v>
      </c>
      <c r="Z679">
        <v>19</v>
      </c>
      <c r="AA679">
        <v>266</v>
      </c>
      <c r="AB679" t="s">
        <v>47</v>
      </c>
      <c r="AC679">
        <v>0.26500000000000001</v>
      </c>
      <c r="AD679">
        <v>467</v>
      </c>
      <c r="AE679" t="s">
        <v>56</v>
      </c>
      <c r="AF679">
        <v>0.46600000000000003</v>
      </c>
      <c r="AG679">
        <v>490</v>
      </c>
      <c r="AH679" t="s">
        <v>57</v>
      </c>
      <c r="AI679">
        <v>0.48899999999999999</v>
      </c>
      <c r="AJ679" t="s">
        <v>1156</v>
      </c>
    </row>
    <row r="680" spans="1:36" x14ac:dyDescent="0.25">
      <c r="A680" t="s">
        <v>940</v>
      </c>
      <c r="B680">
        <v>868933724</v>
      </c>
      <c r="C680" t="s">
        <v>941</v>
      </c>
      <c r="D680" t="s">
        <v>941</v>
      </c>
      <c r="E680" t="s">
        <v>99</v>
      </c>
      <c r="F680" t="s">
        <v>111</v>
      </c>
      <c r="I680" t="s">
        <v>39</v>
      </c>
      <c r="J680" t="s">
        <v>40</v>
      </c>
      <c r="K680" t="s">
        <v>41</v>
      </c>
      <c r="L680" t="s">
        <v>173</v>
      </c>
      <c r="N680" t="s">
        <v>43</v>
      </c>
      <c r="O680" t="s">
        <v>372</v>
      </c>
      <c r="P680">
        <v>83</v>
      </c>
      <c r="Q680">
        <v>83</v>
      </c>
      <c r="R680">
        <v>11</v>
      </c>
      <c r="S680" t="s">
        <v>45</v>
      </c>
      <c r="T680">
        <v>0.01</v>
      </c>
      <c r="U680">
        <v>436</v>
      </c>
      <c r="V680" t="s">
        <v>55</v>
      </c>
      <c r="W680">
        <v>0.435</v>
      </c>
      <c r="X680">
        <v>17001</v>
      </c>
      <c r="Y680" t="s">
        <v>47</v>
      </c>
      <c r="Z680">
        <v>17</v>
      </c>
      <c r="AA680">
        <v>522</v>
      </c>
      <c r="AB680" t="s">
        <v>75</v>
      </c>
      <c r="AC680">
        <v>0.52100000000000002</v>
      </c>
      <c r="AD680">
        <v>783</v>
      </c>
      <c r="AE680" t="s">
        <v>48</v>
      </c>
      <c r="AF680">
        <v>0.78200000000000003</v>
      </c>
      <c r="AG680">
        <v>863</v>
      </c>
      <c r="AH680" t="s">
        <v>49</v>
      </c>
      <c r="AI680">
        <v>0.86199999999999999</v>
      </c>
      <c r="AJ680" t="s">
        <v>50</v>
      </c>
    </row>
    <row r="681" spans="1:36" x14ac:dyDescent="0.25">
      <c r="A681" t="s">
        <v>940</v>
      </c>
      <c r="B681">
        <v>868933724</v>
      </c>
      <c r="C681" t="s">
        <v>941</v>
      </c>
      <c r="D681" t="s">
        <v>941</v>
      </c>
      <c r="E681" t="s">
        <v>99</v>
      </c>
      <c r="F681" t="s">
        <v>111</v>
      </c>
      <c r="I681" t="s">
        <v>39</v>
      </c>
      <c r="J681" t="s">
        <v>40</v>
      </c>
      <c r="K681" t="s">
        <v>41</v>
      </c>
      <c r="L681" t="s">
        <v>173</v>
      </c>
      <c r="N681" t="s">
        <v>43</v>
      </c>
      <c r="O681" t="s">
        <v>372</v>
      </c>
      <c r="P681">
        <v>83</v>
      </c>
      <c r="Q681">
        <v>83</v>
      </c>
      <c r="R681">
        <v>11</v>
      </c>
      <c r="S681" t="s">
        <v>45</v>
      </c>
      <c r="T681">
        <v>0.01</v>
      </c>
      <c r="U681">
        <v>244</v>
      </c>
      <c r="V681" t="s">
        <v>55</v>
      </c>
      <c r="W681">
        <v>0.24299999999999999</v>
      </c>
      <c r="X681">
        <v>17001</v>
      </c>
      <c r="Y681" t="s">
        <v>47</v>
      </c>
      <c r="Z681">
        <v>17</v>
      </c>
      <c r="AA681">
        <v>522</v>
      </c>
      <c r="AB681" t="s">
        <v>75</v>
      </c>
      <c r="AC681">
        <v>0.52100000000000002</v>
      </c>
      <c r="AD681">
        <v>783</v>
      </c>
      <c r="AE681" t="s">
        <v>48</v>
      </c>
      <c r="AF681">
        <v>0.78200000000000003</v>
      </c>
      <c r="AG681">
        <v>863</v>
      </c>
      <c r="AH681" t="s">
        <v>49</v>
      </c>
      <c r="AI681">
        <v>0.86199999999999999</v>
      </c>
      <c r="AJ681" t="s">
        <v>1141</v>
      </c>
    </row>
    <row r="682" spans="1:36" x14ac:dyDescent="0.25">
      <c r="A682" t="s">
        <v>940</v>
      </c>
      <c r="B682">
        <v>868933724</v>
      </c>
      <c r="C682" t="s">
        <v>941</v>
      </c>
      <c r="D682" t="s">
        <v>941</v>
      </c>
      <c r="E682" t="s">
        <v>99</v>
      </c>
      <c r="F682" t="s">
        <v>111</v>
      </c>
      <c r="I682" t="s">
        <v>39</v>
      </c>
      <c r="J682" t="s">
        <v>40</v>
      </c>
      <c r="K682" t="s">
        <v>41</v>
      </c>
      <c r="L682" t="s">
        <v>173</v>
      </c>
      <c r="N682" t="s">
        <v>43</v>
      </c>
      <c r="O682" t="s">
        <v>372</v>
      </c>
      <c r="P682">
        <v>83</v>
      </c>
      <c r="Q682">
        <v>83</v>
      </c>
      <c r="R682">
        <v>11</v>
      </c>
      <c r="S682" t="s">
        <v>45</v>
      </c>
      <c r="T682">
        <v>0.01</v>
      </c>
      <c r="U682">
        <v>436</v>
      </c>
      <c r="V682" t="s">
        <v>55</v>
      </c>
      <c r="W682">
        <v>0.435</v>
      </c>
      <c r="X682">
        <v>17001</v>
      </c>
      <c r="Y682" t="s">
        <v>47</v>
      </c>
      <c r="Z682">
        <v>17</v>
      </c>
      <c r="AA682">
        <v>522</v>
      </c>
      <c r="AB682" t="s">
        <v>75</v>
      </c>
      <c r="AC682">
        <v>0.52100000000000002</v>
      </c>
      <c r="AD682">
        <v>783</v>
      </c>
      <c r="AE682" t="s">
        <v>48</v>
      </c>
      <c r="AF682">
        <v>0.78200000000000003</v>
      </c>
      <c r="AG682">
        <v>863</v>
      </c>
      <c r="AH682" t="s">
        <v>49</v>
      </c>
      <c r="AI682">
        <v>0.86199999999999999</v>
      </c>
      <c r="AJ682" t="s">
        <v>1153</v>
      </c>
    </row>
    <row r="683" spans="1:36" x14ac:dyDescent="0.25">
      <c r="A683" t="s">
        <v>940</v>
      </c>
      <c r="B683">
        <v>868933724</v>
      </c>
      <c r="C683" t="s">
        <v>941</v>
      </c>
      <c r="D683" t="s">
        <v>941</v>
      </c>
      <c r="E683" t="s">
        <v>99</v>
      </c>
      <c r="F683" t="s">
        <v>111</v>
      </c>
      <c r="I683" t="s">
        <v>39</v>
      </c>
      <c r="J683" t="s">
        <v>40</v>
      </c>
      <c r="K683" t="s">
        <v>41</v>
      </c>
      <c r="L683" t="s">
        <v>173</v>
      </c>
      <c r="N683" t="s">
        <v>43</v>
      </c>
      <c r="O683" t="s">
        <v>372</v>
      </c>
      <c r="P683">
        <v>83</v>
      </c>
      <c r="Q683">
        <v>83</v>
      </c>
      <c r="R683">
        <v>11</v>
      </c>
      <c r="S683" t="s">
        <v>45</v>
      </c>
      <c r="T683">
        <v>0.01</v>
      </c>
      <c r="U683">
        <v>436</v>
      </c>
      <c r="V683" t="s">
        <v>55</v>
      </c>
      <c r="W683">
        <v>0.435</v>
      </c>
      <c r="X683">
        <v>17001</v>
      </c>
      <c r="Y683" t="s">
        <v>47</v>
      </c>
      <c r="Z683">
        <v>17</v>
      </c>
      <c r="AA683">
        <v>522</v>
      </c>
      <c r="AB683" t="s">
        <v>75</v>
      </c>
      <c r="AC683">
        <v>0.52100000000000002</v>
      </c>
      <c r="AD683">
        <v>783</v>
      </c>
      <c r="AE683" t="s">
        <v>48</v>
      </c>
      <c r="AF683">
        <v>0.78200000000000003</v>
      </c>
      <c r="AG683">
        <v>863</v>
      </c>
      <c r="AH683" t="s">
        <v>49</v>
      </c>
      <c r="AI683">
        <v>0.86199999999999999</v>
      </c>
      <c r="AJ683" t="s">
        <v>1154</v>
      </c>
    </row>
    <row r="684" spans="1:36" x14ac:dyDescent="0.25">
      <c r="A684" t="s">
        <v>940</v>
      </c>
      <c r="B684">
        <v>868933724</v>
      </c>
      <c r="C684" t="s">
        <v>941</v>
      </c>
      <c r="D684" t="s">
        <v>941</v>
      </c>
      <c r="E684" t="s">
        <v>99</v>
      </c>
      <c r="F684" t="s">
        <v>111</v>
      </c>
      <c r="I684" t="s">
        <v>39</v>
      </c>
      <c r="J684" t="s">
        <v>40</v>
      </c>
      <c r="K684" t="s">
        <v>41</v>
      </c>
      <c r="L684" t="s">
        <v>173</v>
      </c>
      <c r="N684" t="s">
        <v>43</v>
      </c>
      <c r="O684" t="s">
        <v>372</v>
      </c>
      <c r="P684">
        <v>83</v>
      </c>
      <c r="Q684">
        <v>83</v>
      </c>
      <c r="S684" t="s">
        <v>39</v>
      </c>
      <c r="V684" t="s">
        <v>39</v>
      </c>
      <c r="X684">
        <v>17001</v>
      </c>
      <c r="Y684" t="s">
        <v>47</v>
      </c>
      <c r="Z684">
        <v>17</v>
      </c>
      <c r="AA684">
        <v>522</v>
      </c>
      <c r="AB684" t="s">
        <v>75</v>
      </c>
      <c r="AC684">
        <v>0.52100000000000002</v>
      </c>
      <c r="AD684">
        <v>783</v>
      </c>
      <c r="AE684" t="s">
        <v>48</v>
      </c>
      <c r="AF684">
        <v>0.78200000000000003</v>
      </c>
      <c r="AG684">
        <v>863</v>
      </c>
      <c r="AH684" t="s">
        <v>49</v>
      </c>
      <c r="AI684">
        <v>0.86199999999999999</v>
      </c>
      <c r="AJ684" t="s">
        <v>1155</v>
      </c>
    </row>
    <row r="685" spans="1:36" x14ac:dyDescent="0.25">
      <c r="A685" t="s">
        <v>940</v>
      </c>
      <c r="B685">
        <v>868933724</v>
      </c>
      <c r="C685" t="s">
        <v>941</v>
      </c>
      <c r="D685" t="s">
        <v>941</v>
      </c>
      <c r="E685" t="s">
        <v>99</v>
      </c>
      <c r="F685" t="s">
        <v>111</v>
      </c>
      <c r="I685" t="s">
        <v>39</v>
      </c>
      <c r="J685" t="s">
        <v>40</v>
      </c>
      <c r="K685" t="s">
        <v>41</v>
      </c>
      <c r="L685" t="s">
        <v>173</v>
      </c>
      <c r="N685" t="s">
        <v>43</v>
      </c>
      <c r="O685" t="s">
        <v>372</v>
      </c>
      <c r="P685">
        <v>83</v>
      </c>
      <c r="Q685">
        <v>83</v>
      </c>
      <c r="S685" t="s">
        <v>39</v>
      </c>
      <c r="V685" t="s">
        <v>39</v>
      </c>
      <c r="X685">
        <v>17001</v>
      </c>
      <c r="Y685" t="s">
        <v>47</v>
      </c>
      <c r="Z685">
        <v>17</v>
      </c>
      <c r="AA685">
        <v>522</v>
      </c>
      <c r="AB685" t="s">
        <v>75</v>
      </c>
      <c r="AC685">
        <v>0.52100000000000002</v>
      </c>
      <c r="AD685">
        <v>783</v>
      </c>
      <c r="AE685" t="s">
        <v>48</v>
      </c>
      <c r="AF685">
        <v>0.78200000000000003</v>
      </c>
      <c r="AG685">
        <v>863</v>
      </c>
      <c r="AH685" t="s">
        <v>49</v>
      </c>
      <c r="AI685">
        <v>0.86199999999999999</v>
      </c>
      <c r="AJ685" t="s">
        <v>1156</v>
      </c>
    </row>
    <row r="686" spans="1:36" x14ac:dyDescent="0.25">
      <c r="A686" t="s">
        <v>938</v>
      </c>
      <c r="B686">
        <v>852257028</v>
      </c>
      <c r="C686" t="s">
        <v>939</v>
      </c>
      <c r="D686" t="s">
        <v>939</v>
      </c>
      <c r="E686" t="s">
        <v>60</v>
      </c>
      <c r="F686" t="s">
        <v>88</v>
      </c>
      <c r="I686" t="s">
        <v>39</v>
      </c>
      <c r="J686" t="s">
        <v>40</v>
      </c>
      <c r="K686" t="s">
        <v>41</v>
      </c>
      <c r="L686" t="s">
        <v>177</v>
      </c>
      <c r="M686" t="s">
        <v>73</v>
      </c>
      <c r="N686" t="s">
        <v>43</v>
      </c>
      <c r="O686" t="s">
        <v>229</v>
      </c>
      <c r="P686">
        <v>84</v>
      </c>
      <c r="Q686">
        <v>84</v>
      </c>
      <c r="R686">
        <v>21</v>
      </c>
      <c r="S686" t="s">
        <v>45</v>
      </c>
      <c r="T686">
        <v>0.02</v>
      </c>
      <c r="U686">
        <v>889</v>
      </c>
      <c r="V686" t="s">
        <v>113</v>
      </c>
      <c r="W686">
        <v>0.88800000000000001</v>
      </c>
      <c r="X686">
        <v>24001</v>
      </c>
      <c r="Y686" t="s">
        <v>47</v>
      </c>
      <c r="Z686">
        <v>24</v>
      </c>
      <c r="AA686">
        <v>660</v>
      </c>
      <c r="AB686" t="s">
        <v>75</v>
      </c>
      <c r="AC686">
        <v>0.65900000000000003</v>
      </c>
      <c r="AD686">
        <v>779</v>
      </c>
      <c r="AE686" t="s">
        <v>48</v>
      </c>
      <c r="AF686">
        <v>0.77800000000000002</v>
      </c>
      <c r="AG686">
        <v>696</v>
      </c>
      <c r="AH686" t="s">
        <v>49</v>
      </c>
      <c r="AI686">
        <v>0.69499999999999995</v>
      </c>
      <c r="AJ686" t="s">
        <v>50</v>
      </c>
    </row>
    <row r="687" spans="1:36" x14ac:dyDescent="0.25">
      <c r="A687" t="s">
        <v>938</v>
      </c>
      <c r="B687">
        <v>852257028</v>
      </c>
      <c r="C687" t="s">
        <v>939</v>
      </c>
      <c r="D687" t="s">
        <v>939</v>
      </c>
      <c r="E687" t="s">
        <v>60</v>
      </c>
      <c r="F687" t="s">
        <v>88</v>
      </c>
      <c r="I687" t="s">
        <v>39</v>
      </c>
      <c r="J687" t="s">
        <v>40</v>
      </c>
      <c r="K687" t="s">
        <v>41</v>
      </c>
      <c r="L687" t="s">
        <v>177</v>
      </c>
      <c r="M687" t="s">
        <v>73</v>
      </c>
      <c r="N687" t="s">
        <v>43</v>
      </c>
      <c r="O687" t="s">
        <v>229</v>
      </c>
      <c r="P687">
        <v>84</v>
      </c>
      <c r="Q687">
        <v>84</v>
      </c>
      <c r="R687">
        <v>31</v>
      </c>
      <c r="S687" t="s">
        <v>45</v>
      </c>
      <c r="T687">
        <v>0.03</v>
      </c>
      <c r="U687">
        <v>908</v>
      </c>
      <c r="V687" t="s">
        <v>113</v>
      </c>
      <c r="W687">
        <v>0.90700000000000003</v>
      </c>
      <c r="X687">
        <v>24001</v>
      </c>
      <c r="Y687" t="s">
        <v>47</v>
      </c>
      <c r="Z687">
        <v>24</v>
      </c>
      <c r="AA687">
        <v>660</v>
      </c>
      <c r="AB687" t="s">
        <v>75</v>
      </c>
      <c r="AC687">
        <v>0.65900000000000003</v>
      </c>
      <c r="AD687">
        <v>779</v>
      </c>
      <c r="AE687" t="s">
        <v>48</v>
      </c>
      <c r="AF687">
        <v>0.77800000000000002</v>
      </c>
      <c r="AG687">
        <v>696</v>
      </c>
      <c r="AH687" t="s">
        <v>49</v>
      </c>
      <c r="AI687">
        <v>0.69499999999999995</v>
      </c>
      <c r="AJ687" t="s">
        <v>1141</v>
      </c>
    </row>
    <row r="688" spans="1:36" x14ac:dyDescent="0.25">
      <c r="A688" t="s">
        <v>938</v>
      </c>
      <c r="B688">
        <v>852257028</v>
      </c>
      <c r="C688" t="s">
        <v>939</v>
      </c>
      <c r="D688" t="s">
        <v>939</v>
      </c>
      <c r="E688" t="s">
        <v>60</v>
      </c>
      <c r="F688" t="s">
        <v>88</v>
      </c>
      <c r="I688" t="s">
        <v>39</v>
      </c>
      <c r="J688" t="s">
        <v>40</v>
      </c>
      <c r="K688" t="s">
        <v>41</v>
      </c>
      <c r="L688" t="s">
        <v>177</v>
      </c>
      <c r="M688" t="s">
        <v>73</v>
      </c>
      <c r="N688" t="s">
        <v>43</v>
      </c>
      <c r="O688" t="s">
        <v>229</v>
      </c>
      <c r="P688">
        <v>84</v>
      </c>
      <c r="Q688">
        <v>84</v>
      </c>
      <c r="R688">
        <v>21</v>
      </c>
      <c r="S688" t="s">
        <v>45</v>
      </c>
      <c r="T688">
        <v>0.02</v>
      </c>
      <c r="U688">
        <v>889</v>
      </c>
      <c r="V688" t="s">
        <v>113</v>
      </c>
      <c r="W688">
        <v>0.88800000000000001</v>
      </c>
      <c r="X688">
        <v>24001</v>
      </c>
      <c r="Y688" t="s">
        <v>47</v>
      </c>
      <c r="Z688">
        <v>24</v>
      </c>
      <c r="AA688">
        <v>660</v>
      </c>
      <c r="AB688" t="s">
        <v>75</v>
      </c>
      <c r="AC688">
        <v>0.65900000000000003</v>
      </c>
      <c r="AD688">
        <v>779</v>
      </c>
      <c r="AE688" t="s">
        <v>48</v>
      </c>
      <c r="AF688">
        <v>0.77800000000000002</v>
      </c>
      <c r="AG688">
        <v>696</v>
      </c>
      <c r="AH688" t="s">
        <v>49</v>
      </c>
      <c r="AI688">
        <v>0.69499999999999995</v>
      </c>
      <c r="AJ688" t="s">
        <v>1153</v>
      </c>
    </row>
    <row r="689" spans="1:36" x14ac:dyDescent="0.25">
      <c r="A689" t="s">
        <v>938</v>
      </c>
      <c r="B689">
        <v>852257028</v>
      </c>
      <c r="C689" t="s">
        <v>939</v>
      </c>
      <c r="D689" t="s">
        <v>939</v>
      </c>
      <c r="E689" t="s">
        <v>60</v>
      </c>
      <c r="F689" t="s">
        <v>88</v>
      </c>
      <c r="I689" t="s">
        <v>39</v>
      </c>
      <c r="J689" t="s">
        <v>40</v>
      </c>
      <c r="K689" t="s">
        <v>41</v>
      </c>
      <c r="L689" t="s">
        <v>177</v>
      </c>
      <c r="M689" t="s">
        <v>73</v>
      </c>
      <c r="N689" t="s">
        <v>43</v>
      </c>
      <c r="O689" t="s">
        <v>229</v>
      </c>
      <c r="P689">
        <v>84</v>
      </c>
      <c r="Q689">
        <v>84</v>
      </c>
      <c r="R689">
        <v>21</v>
      </c>
      <c r="S689" t="s">
        <v>45</v>
      </c>
      <c r="T689">
        <v>0.02</v>
      </c>
      <c r="U689">
        <v>889</v>
      </c>
      <c r="V689" t="s">
        <v>113</v>
      </c>
      <c r="W689">
        <v>0.88800000000000001</v>
      </c>
      <c r="X689">
        <v>24001</v>
      </c>
      <c r="Y689" t="s">
        <v>47</v>
      </c>
      <c r="Z689">
        <v>24</v>
      </c>
      <c r="AA689">
        <v>660</v>
      </c>
      <c r="AB689" t="s">
        <v>75</v>
      </c>
      <c r="AC689">
        <v>0.65900000000000003</v>
      </c>
      <c r="AD689">
        <v>779</v>
      </c>
      <c r="AE689" t="s">
        <v>48</v>
      </c>
      <c r="AF689">
        <v>0.77800000000000002</v>
      </c>
      <c r="AG689">
        <v>696</v>
      </c>
      <c r="AH689" t="s">
        <v>49</v>
      </c>
      <c r="AI689">
        <v>0.69499999999999995</v>
      </c>
      <c r="AJ689" t="s">
        <v>1154</v>
      </c>
    </row>
    <row r="690" spans="1:36" x14ac:dyDescent="0.25">
      <c r="A690" t="s">
        <v>938</v>
      </c>
      <c r="B690">
        <v>852257028</v>
      </c>
      <c r="C690" t="s">
        <v>939</v>
      </c>
      <c r="D690" t="s">
        <v>939</v>
      </c>
      <c r="E690" t="s">
        <v>60</v>
      </c>
      <c r="F690" t="s">
        <v>88</v>
      </c>
      <c r="I690" t="s">
        <v>39</v>
      </c>
      <c r="J690" t="s">
        <v>40</v>
      </c>
      <c r="K690" t="s">
        <v>41</v>
      </c>
      <c r="L690" t="s">
        <v>177</v>
      </c>
      <c r="M690" t="s">
        <v>73</v>
      </c>
      <c r="N690" t="s">
        <v>43</v>
      </c>
      <c r="O690" t="s">
        <v>229</v>
      </c>
      <c r="P690">
        <v>84</v>
      </c>
      <c r="Q690">
        <v>84</v>
      </c>
      <c r="S690" t="s">
        <v>39</v>
      </c>
      <c r="V690" t="s">
        <v>39</v>
      </c>
      <c r="X690">
        <v>24001</v>
      </c>
      <c r="Y690" t="s">
        <v>47</v>
      </c>
      <c r="Z690">
        <v>24</v>
      </c>
      <c r="AA690">
        <v>660</v>
      </c>
      <c r="AB690" t="s">
        <v>75</v>
      </c>
      <c r="AC690">
        <v>0.65900000000000003</v>
      </c>
      <c r="AD690">
        <v>779</v>
      </c>
      <c r="AE690" t="s">
        <v>48</v>
      </c>
      <c r="AF690">
        <v>0.77800000000000002</v>
      </c>
      <c r="AG690">
        <v>696</v>
      </c>
      <c r="AH690" t="s">
        <v>49</v>
      </c>
      <c r="AI690">
        <v>0.69499999999999995</v>
      </c>
      <c r="AJ690" t="s">
        <v>1155</v>
      </c>
    </row>
    <row r="691" spans="1:36" x14ac:dyDescent="0.25">
      <c r="A691" t="s">
        <v>938</v>
      </c>
      <c r="B691">
        <v>852257028</v>
      </c>
      <c r="C691" t="s">
        <v>939</v>
      </c>
      <c r="D691" t="s">
        <v>939</v>
      </c>
      <c r="E691" t="s">
        <v>60</v>
      </c>
      <c r="F691" t="s">
        <v>88</v>
      </c>
      <c r="I691" t="s">
        <v>39</v>
      </c>
      <c r="J691" t="s">
        <v>40</v>
      </c>
      <c r="K691" t="s">
        <v>41</v>
      </c>
      <c r="L691" t="s">
        <v>177</v>
      </c>
      <c r="M691" t="s">
        <v>73</v>
      </c>
      <c r="N691" t="s">
        <v>43</v>
      </c>
      <c r="O691" t="s">
        <v>229</v>
      </c>
      <c r="P691">
        <v>84</v>
      </c>
      <c r="Q691">
        <v>84</v>
      </c>
      <c r="S691" t="s">
        <v>39</v>
      </c>
      <c r="V691" t="s">
        <v>39</v>
      </c>
      <c r="X691">
        <v>24001</v>
      </c>
      <c r="Y691" t="s">
        <v>47</v>
      </c>
      <c r="Z691">
        <v>24</v>
      </c>
      <c r="AA691">
        <v>660</v>
      </c>
      <c r="AB691" t="s">
        <v>75</v>
      </c>
      <c r="AC691">
        <v>0.65900000000000003</v>
      </c>
      <c r="AD691">
        <v>779</v>
      </c>
      <c r="AE691" t="s">
        <v>48</v>
      </c>
      <c r="AF691">
        <v>0.77800000000000002</v>
      </c>
      <c r="AG691">
        <v>696</v>
      </c>
      <c r="AH691" t="s">
        <v>49</v>
      </c>
      <c r="AI691">
        <v>0.69499999999999995</v>
      </c>
      <c r="AJ691" t="s">
        <v>1156</v>
      </c>
    </row>
    <row r="692" spans="1:36" x14ac:dyDescent="0.25">
      <c r="A692" t="s">
        <v>936</v>
      </c>
      <c r="B692">
        <v>871702353</v>
      </c>
      <c r="C692" t="s">
        <v>937</v>
      </c>
      <c r="D692" t="s">
        <v>937</v>
      </c>
      <c r="E692" t="s">
        <v>37</v>
      </c>
      <c r="F692" t="s">
        <v>71</v>
      </c>
      <c r="I692" t="s">
        <v>39</v>
      </c>
      <c r="J692" t="s">
        <v>40</v>
      </c>
      <c r="K692" t="s">
        <v>41</v>
      </c>
      <c r="L692" t="s">
        <v>173</v>
      </c>
      <c r="N692" t="s">
        <v>43</v>
      </c>
      <c r="O692" t="s">
        <v>225</v>
      </c>
      <c r="P692">
        <v>84</v>
      </c>
      <c r="Q692">
        <v>84</v>
      </c>
      <c r="R692">
        <v>11</v>
      </c>
      <c r="S692" t="s">
        <v>45</v>
      </c>
      <c r="T692">
        <v>0.01</v>
      </c>
      <c r="U692">
        <v>933</v>
      </c>
      <c r="V692" t="s">
        <v>46</v>
      </c>
      <c r="W692">
        <v>0.93200000000000005</v>
      </c>
      <c r="X692">
        <v>25001</v>
      </c>
      <c r="Y692" t="s">
        <v>47</v>
      </c>
      <c r="Z692">
        <v>25</v>
      </c>
      <c r="AA692">
        <v>689</v>
      </c>
      <c r="AB692" t="s">
        <v>75</v>
      </c>
      <c r="AC692">
        <v>0.68799999999999994</v>
      </c>
      <c r="AD692">
        <v>759</v>
      </c>
      <c r="AE692" t="s">
        <v>48</v>
      </c>
      <c r="AF692">
        <v>0.75800000000000001</v>
      </c>
      <c r="AG692">
        <v>841</v>
      </c>
      <c r="AH692" t="s">
        <v>49</v>
      </c>
      <c r="AI692">
        <v>0.84</v>
      </c>
      <c r="AJ692" t="s">
        <v>50</v>
      </c>
    </row>
    <row r="693" spans="1:36" x14ac:dyDescent="0.25">
      <c r="A693" t="s">
        <v>936</v>
      </c>
      <c r="B693">
        <v>871702353</v>
      </c>
      <c r="C693" t="s">
        <v>937</v>
      </c>
      <c r="D693" t="s">
        <v>937</v>
      </c>
      <c r="E693" t="s">
        <v>37</v>
      </c>
      <c r="F693" t="s">
        <v>71</v>
      </c>
      <c r="I693" t="s">
        <v>39</v>
      </c>
      <c r="J693" t="s">
        <v>40</v>
      </c>
      <c r="K693" t="s">
        <v>41</v>
      </c>
      <c r="L693" t="s">
        <v>173</v>
      </c>
      <c r="N693" t="s">
        <v>43</v>
      </c>
      <c r="O693" t="s">
        <v>225</v>
      </c>
      <c r="P693">
        <v>84</v>
      </c>
      <c r="Q693">
        <v>84</v>
      </c>
      <c r="R693">
        <v>31</v>
      </c>
      <c r="S693" t="s">
        <v>45</v>
      </c>
      <c r="T693">
        <v>0.03</v>
      </c>
      <c r="U693">
        <v>932</v>
      </c>
      <c r="V693" t="s">
        <v>46</v>
      </c>
      <c r="W693">
        <v>0.93100000000000005</v>
      </c>
      <c r="X693">
        <v>25001</v>
      </c>
      <c r="Y693" t="s">
        <v>47</v>
      </c>
      <c r="Z693">
        <v>25</v>
      </c>
      <c r="AA693">
        <v>689</v>
      </c>
      <c r="AB693" t="s">
        <v>75</v>
      </c>
      <c r="AC693">
        <v>0.68799999999999994</v>
      </c>
      <c r="AD693">
        <v>759</v>
      </c>
      <c r="AE693" t="s">
        <v>48</v>
      </c>
      <c r="AF693">
        <v>0.75800000000000001</v>
      </c>
      <c r="AG693">
        <v>841</v>
      </c>
      <c r="AH693" t="s">
        <v>49</v>
      </c>
      <c r="AI693">
        <v>0.84</v>
      </c>
      <c r="AJ693" t="s">
        <v>1141</v>
      </c>
    </row>
    <row r="694" spans="1:36" x14ac:dyDescent="0.25">
      <c r="A694" t="s">
        <v>936</v>
      </c>
      <c r="B694">
        <v>871702353</v>
      </c>
      <c r="C694" t="s">
        <v>937</v>
      </c>
      <c r="D694" t="s">
        <v>937</v>
      </c>
      <c r="E694" t="s">
        <v>37</v>
      </c>
      <c r="F694" t="s">
        <v>71</v>
      </c>
      <c r="I694" t="s">
        <v>39</v>
      </c>
      <c r="J694" t="s">
        <v>40</v>
      </c>
      <c r="K694" t="s">
        <v>41</v>
      </c>
      <c r="L694" t="s">
        <v>173</v>
      </c>
      <c r="N694" t="s">
        <v>43</v>
      </c>
      <c r="O694" t="s">
        <v>225</v>
      </c>
      <c r="P694">
        <v>84</v>
      </c>
      <c r="Q694">
        <v>84</v>
      </c>
      <c r="R694">
        <v>11</v>
      </c>
      <c r="S694" t="s">
        <v>45</v>
      </c>
      <c r="T694">
        <v>0.01</v>
      </c>
      <c r="U694">
        <v>933</v>
      </c>
      <c r="V694" t="s">
        <v>46</v>
      </c>
      <c r="W694">
        <v>0.93200000000000005</v>
      </c>
      <c r="X694">
        <v>25001</v>
      </c>
      <c r="Y694" t="s">
        <v>47</v>
      </c>
      <c r="Z694">
        <v>25</v>
      </c>
      <c r="AA694">
        <v>689</v>
      </c>
      <c r="AB694" t="s">
        <v>75</v>
      </c>
      <c r="AC694">
        <v>0.68799999999999994</v>
      </c>
      <c r="AD694">
        <v>759</v>
      </c>
      <c r="AE694" t="s">
        <v>48</v>
      </c>
      <c r="AF694">
        <v>0.75800000000000001</v>
      </c>
      <c r="AG694">
        <v>841</v>
      </c>
      <c r="AH694" t="s">
        <v>49</v>
      </c>
      <c r="AI694">
        <v>0.84</v>
      </c>
      <c r="AJ694" t="s">
        <v>1153</v>
      </c>
    </row>
    <row r="695" spans="1:36" x14ac:dyDescent="0.25">
      <c r="A695" t="s">
        <v>936</v>
      </c>
      <c r="B695">
        <v>871702353</v>
      </c>
      <c r="C695" t="s">
        <v>937</v>
      </c>
      <c r="D695" t="s">
        <v>937</v>
      </c>
      <c r="E695" t="s">
        <v>37</v>
      </c>
      <c r="F695" t="s">
        <v>71</v>
      </c>
      <c r="I695" t="s">
        <v>39</v>
      </c>
      <c r="J695" t="s">
        <v>40</v>
      </c>
      <c r="K695" t="s">
        <v>41</v>
      </c>
      <c r="L695" t="s">
        <v>173</v>
      </c>
      <c r="N695" t="s">
        <v>43</v>
      </c>
      <c r="O695" t="s">
        <v>225</v>
      </c>
      <c r="P695">
        <v>84</v>
      </c>
      <c r="Q695">
        <v>84</v>
      </c>
      <c r="R695">
        <v>11</v>
      </c>
      <c r="S695" t="s">
        <v>45</v>
      </c>
      <c r="T695">
        <v>0.01</v>
      </c>
      <c r="U695">
        <v>933</v>
      </c>
      <c r="V695" t="s">
        <v>46</v>
      </c>
      <c r="W695">
        <v>0.93200000000000005</v>
      </c>
      <c r="X695">
        <v>25001</v>
      </c>
      <c r="Y695" t="s">
        <v>47</v>
      </c>
      <c r="Z695">
        <v>25</v>
      </c>
      <c r="AA695">
        <v>689</v>
      </c>
      <c r="AB695" t="s">
        <v>75</v>
      </c>
      <c r="AC695">
        <v>0.68799999999999994</v>
      </c>
      <c r="AD695">
        <v>759</v>
      </c>
      <c r="AE695" t="s">
        <v>48</v>
      </c>
      <c r="AF695">
        <v>0.75800000000000001</v>
      </c>
      <c r="AG695">
        <v>841</v>
      </c>
      <c r="AH695" t="s">
        <v>49</v>
      </c>
      <c r="AI695">
        <v>0.84</v>
      </c>
      <c r="AJ695" t="s">
        <v>1154</v>
      </c>
    </row>
    <row r="696" spans="1:36" x14ac:dyDescent="0.25">
      <c r="A696" t="s">
        <v>936</v>
      </c>
      <c r="B696">
        <v>871702353</v>
      </c>
      <c r="C696" t="s">
        <v>937</v>
      </c>
      <c r="D696" t="s">
        <v>937</v>
      </c>
      <c r="E696" t="s">
        <v>37</v>
      </c>
      <c r="F696" t="s">
        <v>71</v>
      </c>
      <c r="I696" t="s">
        <v>39</v>
      </c>
      <c r="J696" t="s">
        <v>40</v>
      </c>
      <c r="K696" t="s">
        <v>41</v>
      </c>
      <c r="L696" t="s">
        <v>173</v>
      </c>
      <c r="N696" t="s">
        <v>43</v>
      </c>
      <c r="O696" t="s">
        <v>225</v>
      </c>
      <c r="P696">
        <v>84</v>
      </c>
      <c r="Q696">
        <v>84</v>
      </c>
      <c r="S696" t="s">
        <v>39</v>
      </c>
      <c r="V696" t="s">
        <v>39</v>
      </c>
      <c r="X696">
        <v>25001</v>
      </c>
      <c r="Y696" t="s">
        <v>47</v>
      </c>
      <c r="Z696">
        <v>25</v>
      </c>
      <c r="AA696">
        <v>689</v>
      </c>
      <c r="AB696" t="s">
        <v>75</v>
      </c>
      <c r="AC696">
        <v>0.68799999999999994</v>
      </c>
      <c r="AD696">
        <v>759</v>
      </c>
      <c r="AE696" t="s">
        <v>48</v>
      </c>
      <c r="AF696">
        <v>0.75800000000000001</v>
      </c>
      <c r="AG696">
        <v>841</v>
      </c>
      <c r="AH696" t="s">
        <v>49</v>
      </c>
      <c r="AI696">
        <v>0.84</v>
      </c>
      <c r="AJ696" t="s">
        <v>1155</v>
      </c>
    </row>
    <row r="697" spans="1:36" x14ac:dyDescent="0.25">
      <c r="A697" t="s">
        <v>936</v>
      </c>
      <c r="B697">
        <v>871702353</v>
      </c>
      <c r="C697" t="s">
        <v>937</v>
      </c>
      <c r="D697" t="s">
        <v>937</v>
      </c>
      <c r="E697" t="s">
        <v>37</v>
      </c>
      <c r="F697" t="s">
        <v>71</v>
      </c>
      <c r="I697" t="s">
        <v>39</v>
      </c>
      <c r="J697" t="s">
        <v>40</v>
      </c>
      <c r="K697" t="s">
        <v>41</v>
      </c>
      <c r="L697" t="s">
        <v>173</v>
      </c>
      <c r="N697" t="s">
        <v>43</v>
      </c>
      <c r="O697" t="s">
        <v>225</v>
      </c>
      <c r="P697">
        <v>84</v>
      </c>
      <c r="Q697">
        <v>84</v>
      </c>
      <c r="S697" t="s">
        <v>39</v>
      </c>
      <c r="V697" t="s">
        <v>39</v>
      </c>
      <c r="X697">
        <v>25001</v>
      </c>
      <c r="Y697" t="s">
        <v>47</v>
      </c>
      <c r="Z697">
        <v>25</v>
      </c>
      <c r="AA697">
        <v>689</v>
      </c>
      <c r="AB697" t="s">
        <v>75</v>
      </c>
      <c r="AC697">
        <v>0.68799999999999994</v>
      </c>
      <c r="AD697">
        <v>759</v>
      </c>
      <c r="AE697" t="s">
        <v>48</v>
      </c>
      <c r="AF697">
        <v>0.75800000000000001</v>
      </c>
      <c r="AG697">
        <v>841</v>
      </c>
      <c r="AH697" t="s">
        <v>49</v>
      </c>
      <c r="AI697">
        <v>0.84</v>
      </c>
      <c r="AJ697" t="s">
        <v>1156</v>
      </c>
    </row>
    <row r="698" spans="1:36" x14ac:dyDescent="0.25">
      <c r="A698" t="s">
        <v>934</v>
      </c>
      <c r="B698">
        <v>868912976</v>
      </c>
      <c r="C698" t="s">
        <v>935</v>
      </c>
      <c r="D698" t="s">
        <v>935</v>
      </c>
      <c r="E698" t="s">
        <v>65</v>
      </c>
      <c r="F698" t="s">
        <v>93</v>
      </c>
      <c r="I698" t="s">
        <v>39</v>
      </c>
      <c r="J698" t="s">
        <v>40</v>
      </c>
      <c r="K698" t="s">
        <v>41</v>
      </c>
      <c r="L698" t="s">
        <v>173</v>
      </c>
      <c r="N698" t="s">
        <v>43</v>
      </c>
      <c r="O698" t="s">
        <v>668</v>
      </c>
      <c r="P698">
        <v>85</v>
      </c>
      <c r="Q698">
        <v>85</v>
      </c>
      <c r="R698">
        <v>1</v>
      </c>
      <c r="S698" t="s">
        <v>45</v>
      </c>
      <c r="T698">
        <v>0</v>
      </c>
      <c r="U698">
        <v>993</v>
      </c>
      <c r="V698" t="s">
        <v>46</v>
      </c>
      <c r="W698">
        <v>0.99199999999999999</v>
      </c>
      <c r="X698">
        <v>27001</v>
      </c>
      <c r="Y698" t="s">
        <v>47</v>
      </c>
      <c r="Z698">
        <v>27</v>
      </c>
      <c r="AA698">
        <v>766</v>
      </c>
      <c r="AB698" t="s">
        <v>75</v>
      </c>
      <c r="AC698">
        <v>0.76500000000000001</v>
      </c>
      <c r="AD698">
        <v>782</v>
      </c>
      <c r="AE698" t="s">
        <v>48</v>
      </c>
      <c r="AF698">
        <v>0.78100000000000003</v>
      </c>
      <c r="AG698">
        <v>941</v>
      </c>
      <c r="AH698" t="s">
        <v>80</v>
      </c>
      <c r="AI698">
        <v>0.94</v>
      </c>
      <c r="AJ698" t="s">
        <v>50</v>
      </c>
    </row>
    <row r="699" spans="1:36" x14ac:dyDescent="0.25">
      <c r="A699" t="s">
        <v>934</v>
      </c>
      <c r="B699">
        <v>868912976</v>
      </c>
      <c r="C699" t="s">
        <v>935</v>
      </c>
      <c r="D699" t="s">
        <v>935</v>
      </c>
      <c r="E699" t="s">
        <v>65</v>
      </c>
      <c r="F699" t="s">
        <v>93</v>
      </c>
      <c r="I699" t="s">
        <v>39</v>
      </c>
      <c r="J699" t="s">
        <v>40</v>
      </c>
      <c r="K699" t="s">
        <v>41</v>
      </c>
      <c r="L699" t="s">
        <v>173</v>
      </c>
      <c r="N699" t="s">
        <v>43</v>
      </c>
      <c r="O699" t="s">
        <v>668</v>
      </c>
      <c r="P699">
        <v>85</v>
      </c>
      <c r="Q699">
        <v>85</v>
      </c>
      <c r="R699">
        <v>51</v>
      </c>
      <c r="S699" t="s">
        <v>45</v>
      </c>
      <c r="T699">
        <v>0.05</v>
      </c>
      <c r="U699">
        <v>919</v>
      </c>
      <c r="V699" t="s">
        <v>46</v>
      </c>
      <c r="W699">
        <v>0.91800000000000004</v>
      </c>
      <c r="X699">
        <v>27001</v>
      </c>
      <c r="Y699" t="s">
        <v>47</v>
      </c>
      <c r="Z699">
        <v>27</v>
      </c>
      <c r="AA699">
        <v>766</v>
      </c>
      <c r="AB699" t="s">
        <v>75</v>
      </c>
      <c r="AC699">
        <v>0.76500000000000001</v>
      </c>
      <c r="AD699">
        <v>782</v>
      </c>
      <c r="AE699" t="s">
        <v>48</v>
      </c>
      <c r="AF699">
        <v>0.78100000000000003</v>
      </c>
      <c r="AG699">
        <v>941</v>
      </c>
      <c r="AH699" t="s">
        <v>80</v>
      </c>
      <c r="AI699">
        <v>0.94</v>
      </c>
      <c r="AJ699" t="s">
        <v>1141</v>
      </c>
    </row>
    <row r="700" spans="1:36" x14ac:dyDescent="0.25">
      <c r="A700" t="s">
        <v>934</v>
      </c>
      <c r="B700">
        <v>868912976</v>
      </c>
      <c r="C700" t="s">
        <v>935</v>
      </c>
      <c r="D700" t="s">
        <v>935</v>
      </c>
      <c r="E700" t="s">
        <v>65</v>
      </c>
      <c r="F700" t="s">
        <v>93</v>
      </c>
      <c r="I700" t="s">
        <v>39</v>
      </c>
      <c r="J700" t="s">
        <v>40</v>
      </c>
      <c r="K700" t="s">
        <v>41</v>
      </c>
      <c r="L700" t="s">
        <v>173</v>
      </c>
      <c r="N700" t="s">
        <v>43</v>
      </c>
      <c r="O700" t="s">
        <v>668</v>
      </c>
      <c r="P700">
        <v>85</v>
      </c>
      <c r="Q700">
        <v>85</v>
      </c>
      <c r="R700">
        <v>1</v>
      </c>
      <c r="S700" t="s">
        <v>45</v>
      </c>
      <c r="T700">
        <v>0</v>
      </c>
      <c r="U700">
        <v>993</v>
      </c>
      <c r="V700" t="s">
        <v>46</v>
      </c>
      <c r="W700">
        <v>0.99199999999999999</v>
      </c>
      <c r="X700">
        <v>27001</v>
      </c>
      <c r="Y700" t="s">
        <v>47</v>
      </c>
      <c r="Z700">
        <v>27</v>
      </c>
      <c r="AA700">
        <v>766</v>
      </c>
      <c r="AB700" t="s">
        <v>75</v>
      </c>
      <c r="AC700">
        <v>0.76500000000000001</v>
      </c>
      <c r="AD700">
        <v>782</v>
      </c>
      <c r="AE700" t="s">
        <v>48</v>
      </c>
      <c r="AF700">
        <v>0.78100000000000003</v>
      </c>
      <c r="AG700">
        <v>941</v>
      </c>
      <c r="AH700" t="s">
        <v>80</v>
      </c>
      <c r="AI700">
        <v>0.94</v>
      </c>
      <c r="AJ700" t="s">
        <v>1153</v>
      </c>
    </row>
    <row r="701" spans="1:36" x14ac:dyDescent="0.25">
      <c r="A701" t="s">
        <v>934</v>
      </c>
      <c r="B701">
        <v>868912976</v>
      </c>
      <c r="C701" t="s">
        <v>935</v>
      </c>
      <c r="D701" t="s">
        <v>935</v>
      </c>
      <c r="E701" t="s">
        <v>65</v>
      </c>
      <c r="F701" t="s">
        <v>93</v>
      </c>
      <c r="I701" t="s">
        <v>39</v>
      </c>
      <c r="J701" t="s">
        <v>40</v>
      </c>
      <c r="K701" t="s">
        <v>41</v>
      </c>
      <c r="L701" t="s">
        <v>173</v>
      </c>
      <c r="N701" t="s">
        <v>43</v>
      </c>
      <c r="O701" t="s">
        <v>668</v>
      </c>
      <c r="P701">
        <v>85</v>
      </c>
      <c r="Q701">
        <v>85</v>
      </c>
      <c r="R701">
        <v>1</v>
      </c>
      <c r="S701" t="s">
        <v>45</v>
      </c>
      <c r="T701">
        <v>0</v>
      </c>
      <c r="U701">
        <v>993</v>
      </c>
      <c r="V701" t="s">
        <v>46</v>
      </c>
      <c r="W701">
        <v>0.99199999999999999</v>
      </c>
      <c r="X701">
        <v>27001</v>
      </c>
      <c r="Y701" t="s">
        <v>47</v>
      </c>
      <c r="Z701">
        <v>27</v>
      </c>
      <c r="AA701">
        <v>766</v>
      </c>
      <c r="AB701" t="s">
        <v>75</v>
      </c>
      <c r="AC701">
        <v>0.76500000000000001</v>
      </c>
      <c r="AD701">
        <v>782</v>
      </c>
      <c r="AE701" t="s">
        <v>48</v>
      </c>
      <c r="AF701">
        <v>0.78100000000000003</v>
      </c>
      <c r="AG701">
        <v>941</v>
      </c>
      <c r="AH701" t="s">
        <v>80</v>
      </c>
      <c r="AI701">
        <v>0.94</v>
      </c>
      <c r="AJ701" t="s">
        <v>1154</v>
      </c>
    </row>
    <row r="702" spans="1:36" x14ac:dyDescent="0.25">
      <c r="A702" t="s">
        <v>934</v>
      </c>
      <c r="B702">
        <v>868912976</v>
      </c>
      <c r="C702" t="s">
        <v>935</v>
      </c>
      <c r="D702" t="s">
        <v>935</v>
      </c>
      <c r="E702" t="s">
        <v>65</v>
      </c>
      <c r="F702" t="s">
        <v>93</v>
      </c>
      <c r="I702" t="s">
        <v>39</v>
      </c>
      <c r="J702" t="s">
        <v>40</v>
      </c>
      <c r="K702" t="s">
        <v>41</v>
      </c>
      <c r="L702" t="s">
        <v>173</v>
      </c>
      <c r="N702" t="s">
        <v>43</v>
      </c>
      <c r="O702" t="s">
        <v>668</v>
      </c>
      <c r="P702">
        <v>85</v>
      </c>
      <c r="Q702">
        <v>85</v>
      </c>
      <c r="S702" t="s">
        <v>39</v>
      </c>
      <c r="V702" t="s">
        <v>39</v>
      </c>
      <c r="X702">
        <v>27001</v>
      </c>
      <c r="Y702" t="s">
        <v>47</v>
      </c>
      <c r="Z702">
        <v>27</v>
      </c>
      <c r="AA702">
        <v>766</v>
      </c>
      <c r="AB702" t="s">
        <v>75</v>
      </c>
      <c r="AC702">
        <v>0.76500000000000001</v>
      </c>
      <c r="AD702">
        <v>782</v>
      </c>
      <c r="AE702" t="s">
        <v>48</v>
      </c>
      <c r="AF702">
        <v>0.78100000000000003</v>
      </c>
      <c r="AG702">
        <v>941</v>
      </c>
      <c r="AH702" t="s">
        <v>80</v>
      </c>
      <c r="AI702">
        <v>0.94</v>
      </c>
      <c r="AJ702" t="s">
        <v>1155</v>
      </c>
    </row>
    <row r="703" spans="1:36" x14ac:dyDescent="0.25">
      <c r="A703" t="s">
        <v>934</v>
      </c>
      <c r="B703">
        <v>868912976</v>
      </c>
      <c r="C703" t="s">
        <v>935</v>
      </c>
      <c r="D703" t="s">
        <v>935</v>
      </c>
      <c r="E703" t="s">
        <v>65</v>
      </c>
      <c r="F703" t="s">
        <v>93</v>
      </c>
      <c r="I703" t="s">
        <v>39</v>
      </c>
      <c r="J703" t="s">
        <v>40</v>
      </c>
      <c r="K703" t="s">
        <v>41</v>
      </c>
      <c r="L703" t="s">
        <v>173</v>
      </c>
      <c r="N703" t="s">
        <v>43</v>
      </c>
      <c r="O703" t="s">
        <v>668</v>
      </c>
      <c r="P703">
        <v>85</v>
      </c>
      <c r="Q703">
        <v>85</v>
      </c>
      <c r="S703" t="s">
        <v>39</v>
      </c>
      <c r="V703" t="s">
        <v>39</v>
      </c>
      <c r="X703">
        <v>27001</v>
      </c>
      <c r="Y703" t="s">
        <v>47</v>
      </c>
      <c r="Z703">
        <v>27</v>
      </c>
      <c r="AA703">
        <v>766</v>
      </c>
      <c r="AB703" t="s">
        <v>75</v>
      </c>
      <c r="AC703">
        <v>0.76500000000000001</v>
      </c>
      <c r="AD703">
        <v>782</v>
      </c>
      <c r="AE703" t="s">
        <v>48</v>
      </c>
      <c r="AF703">
        <v>0.78100000000000003</v>
      </c>
      <c r="AG703">
        <v>941</v>
      </c>
      <c r="AH703" t="s">
        <v>80</v>
      </c>
      <c r="AI703">
        <v>0.94</v>
      </c>
      <c r="AJ703" t="s">
        <v>1156</v>
      </c>
    </row>
    <row r="704" spans="1:36" x14ac:dyDescent="0.25">
      <c r="A704" t="s">
        <v>932</v>
      </c>
      <c r="B704">
        <v>863352962</v>
      </c>
      <c r="C704" t="s">
        <v>933</v>
      </c>
      <c r="D704" t="s">
        <v>933</v>
      </c>
      <c r="E704" t="s">
        <v>37</v>
      </c>
      <c r="F704" t="s">
        <v>280</v>
      </c>
      <c r="I704" t="s">
        <v>39</v>
      </c>
      <c r="J704" t="s">
        <v>40</v>
      </c>
      <c r="K704" t="s">
        <v>41</v>
      </c>
      <c r="L704" t="s">
        <v>78</v>
      </c>
      <c r="N704" t="s">
        <v>43</v>
      </c>
      <c r="O704" t="s">
        <v>236</v>
      </c>
      <c r="P704">
        <v>88</v>
      </c>
      <c r="Q704">
        <v>88</v>
      </c>
      <c r="R704">
        <v>1</v>
      </c>
      <c r="S704" t="s">
        <v>45</v>
      </c>
      <c r="T704">
        <v>0</v>
      </c>
      <c r="U704">
        <v>999</v>
      </c>
      <c r="V704" t="s">
        <v>46</v>
      </c>
      <c r="W704">
        <v>0.998</v>
      </c>
      <c r="X704">
        <v>23001</v>
      </c>
      <c r="Y704" t="s">
        <v>47</v>
      </c>
      <c r="Z704">
        <v>23</v>
      </c>
      <c r="AA704">
        <v>620</v>
      </c>
      <c r="AB704" t="s">
        <v>75</v>
      </c>
      <c r="AC704">
        <v>0.61899999999999999</v>
      </c>
      <c r="AD704">
        <v>854</v>
      </c>
      <c r="AE704" t="s">
        <v>48</v>
      </c>
      <c r="AF704">
        <v>0.85299999999999998</v>
      </c>
      <c r="AG704">
        <v>941</v>
      </c>
      <c r="AH704" t="s">
        <v>80</v>
      </c>
      <c r="AI704">
        <v>0.94</v>
      </c>
      <c r="AJ704" t="s">
        <v>50</v>
      </c>
    </row>
    <row r="705" spans="1:36" x14ac:dyDescent="0.25">
      <c r="A705" t="s">
        <v>932</v>
      </c>
      <c r="B705">
        <v>863352962</v>
      </c>
      <c r="C705" t="s">
        <v>933</v>
      </c>
      <c r="D705" t="s">
        <v>933</v>
      </c>
      <c r="E705" t="s">
        <v>99</v>
      </c>
      <c r="F705" t="s">
        <v>280</v>
      </c>
      <c r="I705" t="s">
        <v>39</v>
      </c>
      <c r="J705" t="s">
        <v>40</v>
      </c>
      <c r="K705" t="s">
        <v>41</v>
      </c>
      <c r="L705" t="s">
        <v>78</v>
      </c>
      <c r="N705" t="s">
        <v>43</v>
      </c>
      <c r="O705" t="s">
        <v>112</v>
      </c>
      <c r="P705">
        <v>88</v>
      </c>
      <c r="Q705">
        <v>88</v>
      </c>
      <c r="R705">
        <v>41</v>
      </c>
      <c r="S705" t="s">
        <v>45</v>
      </c>
      <c r="T705">
        <v>0.04</v>
      </c>
      <c r="U705">
        <v>958</v>
      </c>
      <c r="V705" t="s">
        <v>46</v>
      </c>
      <c r="W705">
        <v>0.95699999999999996</v>
      </c>
      <c r="X705">
        <v>22001</v>
      </c>
      <c r="Y705" t="s">
        <v>47</v>
      </c>
      <c r="Z705">
        <v>22</v>
      </c>
      <c r="AA705">
        <v>461</v>
      </c>
      <c r="AB705" t="s">
        <v>47</v>
      </c>
      <c r="AC705">
        <v>0.46</v>
      </c>
      <c r="AD705">
        <v>654</v>
      </c>
      <c r="AE705" t="s">
        <v>48</v>
      </c>
      <c r="AF705">
        <v>0.65300000000000002</v>
      </c>
      <c r="AG705">
        <v>416</v>
      </c>
      <c r="AH705" t="s">
        <v>57</v>
      </c>
      <c r="AI705">
        <v>0.41499999999999998</v>
      </c>
      <c r="AJ705" t="s">
        <v>50</v>
      </c>
    </row>
    <row r="706" spans="1:36" x14ac:dyDescent="0.25">
      <c r="A706" t="s">
        <v>932</v>
      </c>
      <c r="B706">
        <v>863352962</v>
      </c>
      <c r="C706" t="s">
        <v>933</v>
      </c>
      <c r="D706" t="s">
        <v>933</v>
      </c>
      <c r="E706" t="s">
        <v>37</v>
      </c>
      <c r="F706" t="s">
        <v>280</v>
      </c>
      <c r="I706" t="s">
        <v>39</v>
      </c>
      <c r="J706" t="s">
        <v>40</v>
      </c>
      <c r="K706" t="s">
        <v>41</v>
      </c>
      <c r="L706" t="s">
        <v>78</v>
      </c>
      <c r="N706" t="s">
        <v>43</v>
      </c>
      <c r="O706" t="s">
        <v>236</v>
      </c>
      <c r="P706">
        <v>88</v>
      </c>
      <c r="Q706">
        <v>88</v>
      </c>
      <c r="R706">
        <v>1</v>
      </c>
      <c r="S706" t="s">
        <v>45</v>
      </c>
      <c r="T706">
        <v>0</v>
      </c>
      <c r="U706">
        <v>985</v>
      </c>
      <c r="V706" t="s">
        <v>46</v>
      </c>
      <c r="W706">
        <v>0.98399999999999999</v>
      </c>
      <c r="X706">
        <v>23001</v>
      </c>
      <c r="Y706" t="s">
        <v>47</v>
      </c>
      <c r="Z706">
        <v>23</v>
      </c>
      <c r="AA706">
        <v>620</v>
      </c>
      <c r="AB706" t="s">
        <v>75</v>
      </c>
      <c r="AC706">
        <v>0.61899999999999999</v>
      </c>
      <c r="AD706">
        <v>854</v>
      </c>
      <c r="AE706" t="s">
        <v>48</v>
      </c>
      <c r="AF706">
        <v>0.85299999999999998</v>
      </c>
      <c r="AG706">
        <v>941</v>
      </c>
      <c r="AH706" t="s">
        <v>80</v>
      </c>
      <c r="AI706">
        <v>0.94</v>
      </c>
      <c r="AJ706" t="s">
        <v>1141</v>
      </c>
    </row>
    <row r="707" spans="1:36" x14ac:dyDescent="0.25">
      <c r="A707" t="s">
        <v>932</v>
      </c>
      <c r="B707">
        <v>863352962</v>
      </c>
      <c r="C707" t="s">
        <v>933</v>
      </c>
      <c r="D707" t="s">
        <v>933</v>
      </c>
      <c r="E707" t="s">
        <v>99</v>
      </c>
      <c r="F707" t="s">
        <v>280</v>
      </c>
      <c r="I707" t="s">
        <v>39</v>
      </c>
      <c r="J707" t="s">
        <v>40</v>
      </c>
      <c r="K707" t="s">
        <v>41</v>
      </c>
      <c r="L707" t="s">
        <v>78</v>
      </c>
      <c r="N707" t="s">
        <v>43</v>
      </c>
      <c r="O707" t="s">
        <v>112</v>
      </c>
      <c r="P707">
        <v>88</v>
      </c>
      <c r="Q707">
        <v>88</v>
      </c>
      <c r="R707">
        <v>61</v>
      </c>
      <c r="S707" t="s">
        <v>56</v>
      </c>
      <c r="T707">
        <v>0.06</v>
      </c>
      <c r="U707">
        <v>598</v>
      </c>
      <c r="V707" t="s">
        <v>113</v>
      </c>
      <c r="W707">
        <v>0.59699999999999998</v>
      </c>
      <c r="X707">
        <v>22001</v>
      </c>
      <c r="Y707" t="s">
        <v>47</v>
      </c>
      <c r="Z707">
        <v>22</v>
      </c>
      <c r="AA707">
        <v>461</v>
      </c>
      <c r="AB707" t="s">
        <v>47</v>
      </c>
      <c r="AC707">
        <v>0.46</v>
      </c>
      <c r="AD707">
        <v>654</v>
      </c>
      <c r="AE707" t="s">
        <v>48</v>
      </c>
      <c r="AF707">
        <v>0.65300000000000002</v>
      </c>
      <c r="AG707">
        <v>416</v>
      </c>
      <c r="AH707" t="s">
        <v>57</v>
      </c>
      <c r="AI707">
        <v>0.41499999999999998</v>
      </c>
      <c r="AJ707" t="s">
        <v>1141</v>
      </c>
    </row>
    <row r="708" spans="1:36" x14ac:dyDescent="0.25">
      <c r="A708" t="s">
        <v>932</v>
      </c>
      <c r="B708">
        <v>863352962</v>
      </c>
      <c r="C708" t="s">
        <v>933</v>
      </c>
      <c r="D708" t="s">
        <v>933</v>
      </c>
      <c r="E708" t="s">
        <v>37</v>
      </c>
      <c r="F708" t="s">
        <v>280</v>
      </c>
      <c r="I708" t="s">
        <v>39</v>
      </c>
      <c r="J708" t="s">
        <v>40</v>
      </c>
      <c r="K708" t="s">
        <v>41</v>
      </c>
      <c r="L708" t="s">
        <v>78</v>
      </c>
      <c r="N708" t="s">
        <v>43</v>
      </c>
      <c r="O708" t="s">
        <v>236</v>
      </c>
      <c r="P708">
        <v>88</v>
      </c>
      <c r="Q708">
        <v>88</v>
      </c>
      <c r="R708">
        <v>1</v>
      </c>
      <c r="S708" t="s">
        <v>45</v>
      </c>
      <c r="T708">
        <v>0</v>
      </c>
      <c r="U708">
        <v>999</v>
      </c>
      <c r="V708" t="s">
        <v>46</v>
      </c>
      <c r="W708">
        <v>0.998</v>
      </c>
      <c r="X708">
        <v>23001</v>
      </c>
      <c r="Y708" t="s">
        <v>47</v>
      </c>
      <c r="Z708">
        <v>23</v>
      </c>
      <c r="AA708">
        <v>620</v>
      </c>
      <c r="AB708" t="s">
        <v>75</v>
      </c>
      <c r="AC708">
        <v>0.61899999999999999</v>
      </c>
      <c r="AD708">
        <v>854</v>
      </c>
      <c r="AE708" t="s">
        <v>48</v>
      </c>
      <c r="AF708">
        <v>0.85299999999999998</v>
      </c>
      <c r="AG708">
        <v>941</v>
      </c>
      <c r="AH708" t="s">
        <v>80</v>
      </c>
      <c r="AI708">
        <v>0.94</v>
      </c>
      <c r="AJ708" t="s">
        <v>1153</v>
      </c>
    </row>
    <row r="709" spans="1:36" x14ac:dyDescent="0.25">
      <c r="A709" t="s">
        <v>932</v>
      </c>
      <c r="B709">
        <v>863352962</v>
      </c>
      <c r="C709" t="s">
        <v>933</v>
      </c>
      <c r="D709" t="s">
        <v>933</v>
      </c>
      <c r="E709" t="s">
        <v>99</v>
      </c>
      <c r="F709" t="s">
        <v>280</v>
      </c>
      <c r="I709" t="s">
        <v>39</v>
      </c>
      <c r="J709" t="s">
        <v>40</v>
      </c>
      <c r="K709" t="s">
        <v>41</v>
      </c>
      <c r="L709" t="s">
        <v>78</v>
      </c>
      <c r="N709" t="s">
        <v>43</v>
      </c>
      <c r="O709" t="s">
        <v>112</v>
      </c>
      <c r="P709">
        <v>88</v>
      </c>
      <c r="Q709">
        <v>88</v>
      </c>
      <c r="R709">
        <v>41</v>
      </c>
      <c r="S709" t="s">
        <v>45</v>
      </c>
      <c r="T709">
        <v>0.04</v>
      </c>
      <c r="U709">
        <v>958</v>
      </c>
      <c r="V709" t="s">
        <v>46</v>
      </c>
      <c r="W709">
        <v>0.95699999999999996</v>
      </c>
      <c r="X709">
        <v>22001</v>
      </c>
      <c r="Y709" t="s">
        <v>47</v>
      </c>
      <c r="Z709">
        <v>22</v>
      </c>
      <c r="AA709">
        <v>461</v>
      </c>
      <c r="AB709" t="s">
        <v>47</v>
      </c>
      <c r="AC709">
        <v>0.46</v>
      </c>
      <c r="AD709">
        <v>654</v>
      </c>
      <c r="AE709" t="s">
        <v>48</v>
      </c>
      <c r="AF709">
        <v>0.65300000000000002</v>
      </c>
      <c r="AG709">
        <v>416</v>
      </c>
      <c r="AH709" t="s">
        <v>57</v>
      </c>
      <c r="AI709">
        <v>0.41499999999999998</v>
      </c>
      <c r="AJ709" t="s">
        <v>1153</v>
      </c>
    </row>
    <row r="710" spans="1:36" x14ac:dyDescent="0.25">
      <c r="A710" t="s">
        <v>932</v>
      </c>
      <c r="B710">
        <v>863352962</v>
      </c>
      <c r="C710" t="s">
        <v>933</v>
      </c>
      <c r="D710" t="s">
        <v>933</v>
      </c>
      <c r="E710" t="s">
        <v>37</v>
      </c>
      <c r="F710" t="s">
        <v>280</v>
      </c>
      <c r="I710" t="s">
        <v>39</v>
      </c>
      <c r="J710" t="s">
        <v>40</v>
      </c>
      <c r="K710" t="s">
        <v>41</v>
      </c>
      <c r="L710" t="s">
        <v>78</v>
      </c>
      <c r="N710" t="s">
        <v>43</v>
      </c>
      <c r="O710" t="s">
        <v>236</v>
      </c>
      <c r="P710">
        <v>88</v>
      </c>
      <c r="Q710">
        <v>88</v>
      </c>
      <c r="R710">
        <v>1</v>
      </c>
      <c r="S710" t="s">
        <v>45</v>
      </c>
      <c r="T710">
        <v>0</v>
      </c>
      <c r="U710">
        <v>999</v>
      </c>
      <c r="V710" t="s">
        <v>46</v>
      </c>
      <c r="W710">
        <v>0.998</v>
      </c>
      <c r="X710">
        <v>23001</v>
      </c>
      <c r="Y710" t="s">
        <v>47</v>
      </c>
      <c r="Z710">
        <v>23</v>
      </c>
      <c r="AA710">
        <v>620</v>
      </c>
      <c r="AB710" t="s">
        <v>75</v>
      </c>
      <c r="AC710">
        <v>0.61899999999999999</v>
      </c>
      <c r="AD710">
        <v>854</v>
      </c>
      <c r="AE710" t="s">
        <v>48</v>
      </c>
      <c r="AF710">
        <v>0.85299999999999998</v>
      </c>
      <c r="AG710">
        <v>941</v>
      </c>
      <c r="AH710" t="s">
        <v>80</v>
      </c>
      <c r="AI710">
        <v>0.94</v>
      </c>
      <c r="AJ710" t="s">
        <v>1154</v>
      </c>
    </row>
    <row r="711" spans="1:36" x14ac:dyDescent="0.25">
      <c r="A711" t="s">
        <v>932</v>
      </c>
      <c r="B711">
        <v>863352962</v>
      </c>
      <c r="C711" t="s">
        <v>933</v>
      </c>
      <c r="D711" t="s">
        <v>933</v>
      </c>
      <c r="E711" t="s">
        <v>99</v>
      </c>
      <c r="F711" t="s">
        <v>280</v>
      </c>
      <c r="I711" t="s">
        <v>39</v>
      </c>
      <c r="J711" t="s">
        <v>40</v>
      </c>
      <c r="K711" t="s">
        <v>41</v>
      </c>
      <c r="L711" t="s">
        <v>78</v>
      </c>
      <c r="N711" t="s">
        <v>43</v>
      </c>
      <c r="O711" t="s">
        <v>112</v>
      </c>
      <c r="P711">
        <v>88</v>
      </c>
      <c r="Q711">
        <v>88</v>
      </c>
      <c r="R711">
        <v>41</v>
      </c>
      <c r="S711" t="s">
        <v>45</v>
      </c>
      <c r="T711">
        <v>0.04</v>
      </c>
      <c r="U711">
        <v>958</v>
      </c>
      <c r="V711" t="s">
        <v>46</v>
      </c>
      <c r="W711">
        <v>0.95699999999999996</v>
      </c>
      <c r="X711">
        <v>22001</v>
      </c>
      <c r="Y711" t="s">
        <v>47</v>
      </c>
      <c r="Z711">
        <v>22</v>
      </c>
      <c r="AA711">
        <v>461</v>
      </c>
      <c r="AB711" t="s">
        <v>47</v>
      </c>
      <c r="AC711">
        <v>0.46</v>
      </c>
      <c r="AD711">
        <v>654</v>
      </c>
      <c r="AE711" t="s">
        <v>48</v>
      </c>
      <c r="AF711">
        <v>0.65300000000000002</v>
      </c>
      <c r="AG711">
        <v>416</v>
      </c>
      <c r="AH711" t="s">
        <v>57</v>
      </c>
      <c r="AI711">
        <v>0.41499999999999998</v>
      </c>
      <c r="AJ711" t="s">
        <v>1154</v>
      </c>
    </row>
    <row r="712" spans="1:36" x14ac:dyDescent="0.25">
      <c r="A712" t="s">
        <v>932</v>
      </c>
      <c r="B712">
        <v>863352962</v>
      </c>
      <c r="C712" t="s">
        <v>933</v>
      </c>
      <c r="D712" t="s">
        <v>933</v>
      </c>
      <c r="E712" t="s">
        <v>37</v>
      </c>
      <c r="F712" t="s">
        <v>280</v>
      </c>
      <c r="I712" t="s">
        <v>39</v>
      </c>
      <c r="J712" t="s">
        <v>40</v>
      </c>
      <c r="K712" t="s">
        <v>41</v>
      </c>
      <c r="L712" t="s">
        <v>78</v>
      </c>
      <c r="N712" t="s">
        <v>43</v>
      </c>
      <c r="O712" t="s">
        <v>236</v>
      </c>
      <c r="P712">
        <v>88</v>
      </c>
      <c r="Q712">
        <v>88</v>
      </c>
      <c r="S712" t="s">
        <v>39</v>
      </c>
      <c r="V712" t="s">
        <v>39</v>
      </c>
      <c r="X712">
        <v>23001</v>
      </c>
      <c r="Y712" t="s">
        <v>47</v>
      </c>
      <c r="Z712">
        <v>23</v>
      </c>
      <c r="AA712">
        <v>620</v>
      </c>
      <c r="AB712" t="s">
        <v>75</v>
      </c>
      <c r="AC712">
        <v>0.61899999999999999</v>
      </c>
      <c r="AD712">
        <v>854</v>
      </c>
      <c r="AE712" t="s">
        <v>48</v>
      </c>
      <c r="AF712">
        <v>0.85299999999999998</v>
      </c>
      <c r="AG712">
        <v>941</v>
      </c>
      <c r="AH712" t="s">
        <v>80</v>
      </c>
      <c r="AI712">
        <v>0.94</v>
      </c>
      <c r="AJ712" t="s">
        <v>1155</v>
      </c>
    </row>
    <row r="713" spans="1:36" x14ac:dyDescent="0.25">
      <c r="A713" t="s">
        <v>932</v>
      </c>
      <c r="B713">
        <v>863352962</v>
      </c>
      <c r="C713" t="s">
        <v>933</v>
      </c>
      <c r="D713" t="s">
        <v>933</v>
      </c>
      <c r="E713" t="s">
        <v>99</v>
      </c>
      <c r="F713" t="s">
        <v>280</v>
      </c>
      <c r="I713" t="s">
        <v>39</v>
      </c>
      <c r="J713" t="s">
        <v>40</v>
      </c>
      <c r="K713" t="s">
        <v>41</v>
      </c>
      <c r="L713" t="s">
        <v>78</v>
      </c>
      <c r="N713" t="s">
        <v>43</v>
      </c>
      <c r="O713" t="s">
        <v>112</v>
      </c>
      <c r="P713">
        <v>88</v>
      </c>
      <c r="Q713">
        <v>88</v>
      </c>
      <c r="S713" t="s">
        <v>39</v>
      </c>
      <c r="V713" t="s">
        <v>39</v>
      </c>
      <c r="X713">
        <v>22001</v>
      </c>
      <c r="Y713" t="s">
        <v>47</v>
      </c>
      <c r="Z713">
        <v>22</v>
      </c>
      <c r="AA713">
        <v>461</v>
      </c>
      <c r="AB713" t="s">
        <v>47</v>
      </c>
      <c r="AC713">
        <v>0.46</v>
      </c>
      <c r="AD713">
        <v>654</v>
      </c>
      <c r="AE713" t="s">
        <v>48</v>
      </c>
      <c r="AF713">
        <v>0.65300000000000002</v>
      </c>
      <c r="AG713">
        <v>416</v>
      </c>
      <c r="AH713" t="s">
        <v>57</v>
      </c>
      <c r="AI713">
        <v>0.41499999999999998</v>
      </c>
      <c r="AJ713" t="s">
        <v>1155</v>
      </c>
    </row>
    <row r="714" spans="1:36" x14ac:dyDescent="0.25">
      <c r="A714" t="s">
        <v>932</v>
      </c>
      <c r="B714">
        <v>863352962</v>
      </c>
      <c r="C714" t="s">
        <v>933</v>
      </c>
      <c r="D714" t="s">
        <v>933</v>
      </c>
      <c r="E714" t="s">
        <v>37</v>
      </c>
      <c r="F714" t="s">
        <v>280</v>
      </c>
      <c r="I714" t="s">
        <v>39</v>
      </c>
      <c r="J714" t="s">
        <v>40</v>
      </c>
      <c r="K714" t="s">
        <v>41</v>
      </c>
      <c r="L714" t="s">
        <v>78</v>
      </c>
      <c r="N714" t="s">
        <v>43</v>
      </c>
      <c r="O714" t="s">
        <v>236</v>
      </c>
      <c r="P714">
        <v>88</v>
      </c>
      <c r="Q714">
        <v>88</v>
      </c>
      <c r="S714" t="s">
        <v>39</v>
      </c>
      <c r="V714" t="s">
        <v>39</v>
      </c>
      <c r="X714">
        <v>23001</v>
      </c>
      <c r="Y714" t="s">
        <v>47</v>
      </c>
      <c r="Z714">
        <v>23</v>
      </c>
      <c r="AA714">
        <v>620</v>
      </c>
      <c r="AB714" t="s">
        <v>75</v>
      </c>
      <c r="AC714">
        <v>0.61899999999999999</v>
      </c>
      <c r="AD714">
        <v>854</v>
      </c>
      <c r="AE714" t="s">
        <v>48</v>
      </c>
      <c r="AF714">
        <v>0.85299999999999998</v>
      </c>
      <c r="AG714">
        <v>941</v>
      </c>
      <c r="AH714" t="s">
        <v>80</v>
      </c>
      <c r="AI714">
        <v>0.94</v>
      </c>
      <c r="AJ714" t="s">
        <v>1156</v>
      </c>
    </row>
    <row r="715" spans="1:36" x14ac:dyDescent="0.25">
      <c r="A715" t="s">
        <v>932</v>
      </c>
      <c r="B715">
        <v>863352962</v>
      </c>
      <c r="C715" t="s">
        <v>933</v>
      </c>
      <c r="D715" t="s">
        <v>933</v>
      </c>
      <c r="E715" t="s">
        <v>99</v>
      </c>
      <c r="F715" t="s">
        <v>280</v>
      </c>
      <c r="I715" t="s">
        <v>39</v>
      </c>
      <c r="J715" t="s">
        <v>40</v>
      </c>
      <c r="K715" t="s">
        <v>41</v>
      </c>
      <c r="L715" t="s">
        <v>78</v>
      </c>
      <c r="N715" t="s">
        <v>43</v>
      </c>
      <c r="O715" t="s">
        <v>112</v>
      </c>
      <c r="P715">
        <v>88</v>
      </c>
      <c r="Q715">
        <v>88</v>
      </c>
      <c r="S715" t="s">
        <v>39</v>
      </c>
      <c r="V715" t="s">
        <v>39</v>
      </c>
      <c r="X715">
        <v>22001</v>
      </c>
      <c r="Y715" t="s">
        <v>47</v>
      </c>
      <c r="Z715">
        <v>22</v>
      </c>
      <c r="AA715">
        <v>461</v>
      </c>
      <c r="AB715" t="s">
        <v>47</v>
      </c>
      <c r="AC715">
        <v>0.46</v>
      </c>
      <c r="AD715">
        <v>654</v>
      </c>
      <c r="AE715" t="s">
        <v>48</v>
      </c>
      <c r="AF715">
        <v>0.65300000000000002</v>
      </c>
      <c r="AG715">
        <v>416</v>
      </c>
      <c r="AH715" t="s">
        <v>57</v>
      </c>
      <c r="AI715">
        <v>0.41499999999999998</v>
      </c>
      <c r="AJ715" t="s">
        <v>1156</v>
      </c>
    </row>
    <row r="716" spans="1:36" x14ac:dyDescent="0.25">
      <c r="A716" t="s">
        <v>930</v>
      </c>
      <c r="B716">
        <v>870847408</v>
      </c>
      <c r="C716" t="s">
        <v>931</v>
      </c>
      <c r="D716" t="s">
        <v>931</v>
      </c>
      <c r="E716" t="s">
        <v>99</v>
      </c>
      <c r="F716" t="s">
        <v>111</v>
      </c>
      <c r="I716" t="s">
        <v>39</v>
      </c>
      <c r="J716" t="s">
        <v>40</v>
      </c>
      <c r="K716" t="s">
        <v>41</v>
      </c>
      <c r="L716" t="s">
        <v>173</v>
      </c>
      <c r="N716" t="s">
        <v>43</v>
      </c>
      <c r="O716" t="s">
        <v>112</v>
      </c>
      <c r="P716">
        <v>90</v>
      </c>
      <c r="Q716">
        <v>90</v>
      </c>
      <c r="R716">
        <v>11</v>
      </c>
      <c r="S716" t="s">
        <v>45</v>
      </c>
      <c r="T716">
        <v>0.01</v>
      </c>
      <c r="U716">
        <v>915</v>
      </c>
      <c r="V716" t="s">
        <v>46</v>
      </c>
      <c r="W716">
        <v>0.91400000000000003</v>
      </c>
      <c r="X716">
        <v>21001</v>
      </c>
      <c r="Y716" t="s">
        <v>47</v>
      </c>
      <c r="Z716">
        <v>21</v>
      </c>
      <c r="AA716">
        <v>457</v>
      </c>
      <c r="AB716" t="s">
        <v>47</v>
      </c>
      <c r="AC716">
        <v>0.45600000000000002</v>
      </c>
      <c r="AD716">
        <v>799</v>
      </c>
      <c r="AE716" t="s">
        <v>48</v>
      </c>
      <c r="AF716">
        <v>0.79800000000000004</v>
      </c>
      <c r="AG716">
        <v>893</v>
      </c>
      <c r="AH716" t="s">
        <v>49</v>
      </c>
      <c r="AI716">
        <v>0.89200000000000002</v>
      </c>
      <c r="AJ716" t="s">
        <v>50</v>
      </c>
    </row>
    <row r="717" spans="1:36" x14ac:dyDescent="0.25">
      <c r="A717" t="s">
        <v>930</v>
      </c>
      <c r="B717">
        <v>870847408</v>
      </c>
      <c r="C717" t="s">
        <v>931</v>
      </c>
      <c r="D717" t="s">
        <v>931</v>
      </c>
      <c r="E717" t="s">
        <v>99</v>
      </c>
      <c r="F717" t="s">
        <v>111</v>
      </c>
      <c r="I717" t="s">
        <v>39</v>
      </c>
      <c r="J717" t="s">
        <v>40</v>
      </c>
      <c r="K717" t="s">
        <v>41</v>
      </c>
      <c r="L717" t="s">
        <v>173</v>
      </c>
      <c r="N717" t="s">
        <v>43</v>
      </c>
      <c r="O717" t="s">
        <v>112</v>
      </c>
      <c r="P717">
        <v>90</v>
      </c>
      <c r="Q717">
        <v>90</v>
      </c>
      <c r="R717">
        <v>11</v>
      </c>
      <c r="S717" t="s">
        <v>45</v>
      </c>
      <c r="T717">
        <v>0.01</v>
      </c>
      <c r="U717">
        <v>795</v>
      </c>
      <c r="V717" t="s">
        <v>113</v>
      </c>
      <c r="W717">
        <v>0.79400000000000004</v>
      </c>
      <c r="X717">
        <v>21001</v>
      </c>
      <c r="Y717" t="s">
        <v>47</v>
      </c>
      <c r="Z717">
        <v>21</v>
      </c>
      <c r="AA717">
        <v>457</v>
      </c>
      <c r="AB717" t="s">
        <v>47</v>
      </c>
      <c r="AC717">
        <v>0.45600000000000002</v>
      </c>
      <c r="AD717">
        <v>799</v>
      </c>
      <c r="AE717" t="s">
        <v>48</v>
      </c>
      <c r="AF717">
        <v>0.79800000000000004</v>
      </c>
      <c r="AG717">
        <v>893</v>
      </c>
      <c r="AH717" t="s">
        <v>49</v>
      </c>
      <c r="AI717">
        <v>0.89200000000000002</v>
      </c>
      <c r="AJ717" t="s">
        <v>1141</v>
      </c>
    </row>
    <row r="718" spans="1:36" x14ac:dyDescent="0.25">
      <c r="A718" t="s">
        <v>930</v>
      </c>
      <c r="B718">
        <v>870847408</v>
      </c>
      <c r="C718" t="s">
        <v>931</v>
      </c>
      <c r="D718" t="s">
        <v>931</v>
      </c>
      <c r="E718" t="s">
        <v>99</v>
      </c>
      <c r="F718" t="s">
        <v>111</v>
      </c>
      <c r="I718" t="s">
        <v>39</v>
      </c>
      <c r="J718" t="s">
        <v>40</v>
      </c>
      <c r="K718" t="s">
        <v>41</v>
      </c>
      <c r="L718" t="s">
        <v>173</v>
      </c>
      <c r="N718" t="s">
        <v>43</v>
      </c>
      <c r="O718" t="s">
        <v>112</v>
      </c>
      <c r="P718">
        <v>90</v>
      </c>
      <c r="Q718">
        <v>90</v>
      </c>
      <c r="R718">
        <v>11</v>
      </c>
      <c r="S718" t="s">
        <v>45</v>
      </c>
      <c r="T718">
        <v>0.01</v>
      </c>
      <c r="U718">
        <v>915</v>
      </c>
      <c r="V718" t="s">
        <v>46</v>
      </c>
      <c r="W718">
        <v>0.91400000000000003</v>
      </c>
      <c r="X718">
        <v>21001</v>
      </c>
      <c r="Y718" t="s">
        <v>47</v>
      </c>
      <c r="Z718">
        <v>21</v>
      </c>
      <c r="AA718">
        <v>457</v>
      </c>
      <c r="AB718" t="s">
        <v>47</v>
      </c>
      <c r="AC718">
        <v>0.45600000000000002</v>
      </c>
      <c r="AD718">
        <v>799</v>
      </c>
      <c r="AE718" t="s">
        <v>48</v>
      </c>
      <c r="AF718">
        <v>0.79800000000000004</v>
      </c>
      <c r="AG718">
        <v>893</v>
      </c>
      <c r="AH718" t="s">
        <v>49</v>
      </c>
      <c r="AI718">
        <v>0.89200000000000002</v>
      </c>
      <c r="AJ718" t="s">
        <v>1153</v>
      </c>
    </row>
    <row r="719" spans="1:36" x14ac:dyDescent="0.25">
      <c r="A719" t="s">
        <v>930</v>
      </c>
      <c r="B719">
        <v>870847408</v>
      </c>
      <c r="C719" t="s">
        <v>931</v>
      </c>
      <c r="D719" t="s">
        <v>931</v>
      </c>
      <c r="E719" t="s">
        <v>99</v>
      </c>
      <c r="F719" t="s">
        <v>111</v>
      </c>
      <c r="I719" t="s">
        <v>39</v>
      </c>
      <c r="J719" t="s">
        <v>40</v>
      </c>
      <c r="K719" t="s">
        <v>41</v>
      </c>
      <c r="L719" t="s">
        <v>173</v>
      </c>
      <c r="N719" t="s">
        <v>43</v>
      </c>
      <c r="O719" t="s">
        <v>112</v>
      </c>
      <c r="P719">
        <v>90</v>
      </c>
      <c r="Q719">
        <v>90</v>
      </c>
      <c r="R719">
        <v>11</v>
      </c>
      <c r="S719" t="s">
        <v>45</v>
      </c>
      <c r="T719">
        <v>0.01</v>
      </c>
      <c r="U719">
        <v>915</v>
      </c>
      <c r="V719" t="s">
        <v>46</v>
      </c>
      <c r="W719">
        <v>0.91400000000000003</v>
      </c>
      <c r="X719">
        <v>21001</v>
      </c>
      <c r="Y719" t="s">
        <v>47</v>
      </c>
      <c r="Z719">
        <v>21</v>
      </c>
      <c r="AA719">
        <v>457</v>
      </c>
      <c r="AB719" t="s">
        <v>47</v>
      </c>
      <c r="AC719">
        <v>0.45600000000000002</v>
      </c>
      <c r="AD719">
        <v>799</v>
      </c>
      <c r="AE719" t="s">
        <v>48</v>
      </c>
      <c r="AF719">
        <v>0.79800000000000004</v>
      </c>
      <c r="AG719">
        <v>893</v>
      </c>
      <c r="AH719" t="s">
        <v>49</v>
      </c>
      <c r="AI719">
        <v>0.89200000000000002</v>
      </c>
      <c r="AJ719" t="s">
        <v>1154</v>
      </c>
    </row>
    <row r="720" spans="1:36" x14ac:dyDescent="0.25">
      <c r="A720" t="s">
        <v>930</v>
      </c>
      <c r="B720">
        <v>870847408</v>
      </c>
      <c r="C720" t="s">
        <v>931</v>
      </c>
      <c r="D720" t="s">
        <v>931</v>
      </c>
      <c r="E720" t="s">
        <v>99</v>
      </c>
      <c r="F720" t="s">
        <v>111</v>
      </c>
      <c r="I720" t="s">
        <v>39</v>
      </c>
      <c r="J720" t="s">
        <v>40</v>
      </c>
      <c r="K720" t="s">
        <v>41</v>
      </c>
      <c r="L720" t="s">
        <v>173</v>
      </c>
      <c r="N720" t="s">
        <v>43</v>
      </c>
      <c r="O720" t="s">
        <v>112</v>
      </c>
      <c r="P720">
        <v>90</v>
      </c>
      <c r="Q720">
        <v>90</v>
      </c>
      <c r="S720" t="s">
        <v>39</v>
      </c>
      <c r="V720" t="s">
        <v>39</v>
      </c>
      <c r="X720">
        <v>21001</v>
      </c>
      <c r="Y720" t="s">
        <v>47</v>
      </c>
      <c r="Z720">
        <v>21</v>
      </c>
      <c r="AA720">
        <v>457</v>
      </c>
      <c r="AB720" t="s">
        <v>47</v>
      </c>
      <c r="AC720">
        <v>0.45600000000000002</v>
      </c>
      <c r="AD720">
        <v>799</v>
      </c>
      <c r="AE720" t="s">
        <v>48</v>
      </c>
      <c r="AF720">
        <v>0.79800000000000004</v>
      </c>
      <c r="AG720">
        <v>893</v>
      </c>
      <c r="AH720" t="s">
        <v>49</v>
      </c>
      <c r="AI720">
        <v>0.89200000000000002</v>
      </c>
      <c r="AJ720" t="s">
        <v>1155</v>
      </c>
    </row>
    <row r="721" spans="1:36" x14ac:dyDescent="0.25">
      <c r="A721" t="s">
        <v>930</v>
      </c>
      <c r="B721">
        <v>870847408</v>
      </c>
      <c r="C721" t="s">
        <v>931</v>
      </c>
      <c r="D721" t="s">
        <v>931</v>
      </c>
      <c r="E721" t="s">
        <v>99</v>
      </c>
      <c r="F721" t="s">
        <v>111</v>
      </c>
      <c r="I721" t="s">
        <v>39</v>
      </c>
      <c r="J721" t="s">
        <v>40</v>
      </c>
      <c r="K721" t="s">
        <v>41</v>
      </c>
      <c r="L721" t="s">
        <v>173</v>
      </c>
      <c r="N721" t="s">
        <v>43</v>
      </c>
      <c r="O721" t="s">
        <v>112</v>
      </c>
      <c r="P721">
        <v>90</v>
      </c>
      <c r="Q721">
        <v>90</v>
      </c>
      <c r="S721" t="s">
        <v>39</v>
      </c>
      <c r="V721" t="s">
        <v>39</v>
      </c>
      <c r="X721">
        <v>21001</v>
      </c>
      <c r="Y721" t="s">
        <v>47</v>
      </c>
      <c r="Z721">
        <v>21</v>
      </c>
      <c r="AA721">
        <v>457</v>
      </c>
      <c r="AB721" t="s">
        <v>47</v>
      </c>
      <c r="AC721">
        <v>0.45600000000000002</v>
      </c>
      <c r="AD721">
        <v>799</v>
      </c>
      <c r="AE721" t="s">
        <v>48</v>
      </c>
      <c r="AF721">
        <v>0.79800000000000004</v>
      </c>
      <c r="AG721">
        <v>893</v>
      </c>
      <c r="AH721" t="s">
        <v>49</v>
      </c>
      <c r="AI721">
        <v>0.89200000000000002</v>
      </c>
      <c r="AJ721" t="s">
        <v>1156</v>
      </c>
    </row>
    <row r="722" spans="1:36" x14ac:dyDescent="0.25">
      <c r="A722" t="s">
        <v>928</v>
      </c>
      <c r="B722">
        <v>854812294</v>
      </c>
      <c r="C722" t="s">
        <v>929</v>
      </c>
      <c r="D722" t="s">
        <v>929</v>
      </c>
      <c r="E722" t="s">
        <v>99</v>
      </c>
      <c r="F722" t="s">
        <v>214</v>
      </c>
      <c r="G722" t="s">
        <v>99</v>
      </c>
      <c r="H722">
        <v>1.9623199999999999E-4</v>
      </c>
      <c r="I722" t="s">
        <v>268</v>
      </c>
      <c r="J722" t="s">
        <v>40</v>
      </c>
      <c r="K722" t="s">
        <v>41</v>
      </c>
      <c r="L722" t="s">
        <v>313</v>
      </c>
      <c r="N722" t="s">
        <v>43</v>
      </c>
      <c r="O722" t="s">
        <v>108</v>
      </c>
      <c r="P722">
        <v>90</v>
      </c>
      <c r="Q722">
        <v>90</v>
      </c>
      <c r="R722">
        <v>21</v>
      </c>
      <c r="S722" t="s">
        <v>45</v>
      </c>
      <c r="T722">
        <v>0.02</v>
      </c>
      <c r="U722">
        <v>999</v>
      </c>
      <c r="V722" t="s">
        <v>46</v>
      </c>
      <c r="W722">
        <v>0.998</v>
      </c>
      <c r="X722">
        <v>22001</v>
      </c>
      <c r="Y722" t="s">
        <v>47</v>
      </c>
      <c r="Z722">
        <v>22</v>
      </c>
      <c r="AA722">
        <v>679</v>
      </c>
      <c r="AB722" t="s">
        <v>75</v>
      </c>
      <c r="AC722">
        <v>0.67800000000000005</v>
      </c>
      <c r="AD722">
        <v>883</v>
      </c>
      <c r="AE722" t="s">
        <v>48</v>
      </c>
      <c r="AF722">
        <v>0.88200000000000001</v>
      </c>
      <c r="AG722">
        <v>982</v>
      </c>
      <c r="AH722" t="s">
        <v>80</v>
      </c>
      <c r="AI722">
        <v>0.98099999999999998</v>
      </c>
      <c r="AJ722" t="s">
        <v>50</v>
      </c>
    </row>
    <row r="723" spans="1:36" x14ac:dyDescent="0.25">
      <c r="A723" t="s">
        <v>928</v>
      </c>
      <c r="B723">
        <v>854812294</v>
      </c>
      <c r="C723" t="s">
        <v>929</v>
      </c>
      <c r="D723" t="s">
        <v>929</v>
      </c>
      <c r="E723" t="s">
        <v>65</v>
      </c>
      <c r="F723" t="s">
        <v>214</v>
      </c>
      <c r="G723" t="s">
        <v>99</v>
      </c>
      <c r="H723">
        <v>1.9623199999999999E-4</v>
      </c>
      <c r="I723" t="s">
        <v>268</v>
      </c>
      <c r="J723" t="s">
        <v>40</v>
      </c>
      <c r="K723" t="s">
        <v>41</v>
      </c>
      <c r="L723" t="s">
        <v>313</v>
      </c>
      <c r="N723" t="s">
        <v>43</v>
      </c>
      <c r="O723" t="s">
        <v>307</v>
      </c>
      <c r="P723">
        <v>90</v>
      </c>
      <c r="Q723">
        <v>90</v>
      </c>
      <c r="R723">
        <v>1</v>
      </c>
      <c r="S723" t="s">
        <v>45</v>
      </c>
      <c r="T723">
        <v>0</v>
      </c>
      <c r="U723">
        <v>1001</v>
      </c>
      <c r="V723" t="s">
        <v>46</v>
      </c>
      <c r="W723">
        <v>1</v>
      </c>
      <c r="X723">
        <v>23001</v>
      </c>
      <c r="Y723" t="s">
        <v>47</v>
      </c>
      <c r="Z723">
        <v>23</v>
      </c>
      <c r="AA723">
        <v>702</v>
      </c>
      <c r="AB723" t="s">
        <v>75</v>
      </c>
      <c r="AC723">
        <v>0.70099999999999996</v>
      </c>
      <c r="AD723">
        <v>874</v>
      </c>
      <c r="AE723" t="s">
        <v>48</v>
      </c>
      <c r="AF723">
        <v>0.873</v>
      </c>
      <c r="AG723">
        <v>949</v>
      </c>
      <c r="AH723" t="s">
        <v>80</v>
      </c>
      <c r="AI723">
        <v>0.94799999999999995</v>
      </c>
      <c r="AJ723" t="s">
        <v>50</v>
      </c>
    </row>
    <row r="724" spans="1:36" x14ac:dyDescent="0.25">
      <c r="A724" t="s">
        <v>928</v>
      </c>
      <c r="B724">
        <v>854812294</v>
      </c>
      <c r="C724" t="s">
        <v>929</v>
      </c>
      <c r="D724" t="s">
        <v>929</v>
      </c>
      <c r="E724" t="s">
        <v>99</v>
      </c>
      <c r="F724" t="s">
        <v>214</v>
      </c>
      <c r="G724" t="s">
        <v>99</v>
      </c>
      <c r="H724">
        <v>1.9623199999999999E-4</v>
      </c>
      <c r="I724" t="s">
        <v>268</v>
      </c>
      <c r="J724" t="s">
        <v>40</v>
      </c>
      <c r="K724" t="s">
        <v>41</v>
      </c>
      <c r="L724" t="s">
        <v>313</v>
      </c>
      <c r="N724" t="s">
        <v>43</v>
      </c>
      <c r="O724" t="s">
        <v>108</v>
      </c>
      <c r="P724">
        <v>90</v>
      </c>
      <c r="Q724">
        <v>90</v>
      </c>
      <c r="R724">
        <v>11</v>
      </c>
      <c r="S724" t="s">
        <v>45</v>
      </c>
      <c r="T724">
        <v>0.01</v>
      </c>
      <c r="U724">
        <v>995</v>
      </c>
      <c r="V724" t="s">
        <v>46</v>
      </c>
      <c r="W724">
        <v>0.99399999999999999</v>
      </c>
      <c r="X724">
        <v>22001</v>
      </c>
      <c r="Y724" t="s">
        <v>47</v>
      </c>
      <c r="Z724">
        <v>22</v>
      </c>
      <c r="AA724">
        <v>679</v>
      </c>
      <c r="AB724" t="s">
        <v>75</v>
      </c>
      <c r="AC724">
        <v>0.67800000000000005</v>
      </c>
      <c r="AD724">
        <v>883</v>
      </c>
      <c r="AE724" t="s">
        <v>48</v>
      </c>
      <c r="AF724">
        <v>0.88200000000000001</v>
      </c>
      <c r="AG724">
        <v>982</v>
      </c>
      <c r="AH724" t="s">
        <v>80</v>
      </c>
      <c r="AI724">
        <v>0.98099999999999998</v>
      </c>
      <c r="AJ724" t="s">
        <v>1141</v>
      </c>
    </row>
    <row r="725" spans="1:36" x14ac:dyDescent="0.25">
      <c r="A725" t="s">
        <v>928</v>
      </c>
      <c r="B725">
        <v>854812294</v>
      </c>
      <c r="C725" t="s">
        <v>929</v>
      </c>
      <c r="D725" t="s">
        <v>929</v>
      </c>
      <c r="E725" t="s">
        <v>65</v>
      </c>
      <c r="F725" t="s">
        <v>214</v>
      </c>
      <c r="G725" t="s">
        <v>99</v>
      </c>
      <c r="H725">
        <v>1.9623199999999999E-4</v>
      </c>
      <c r="I725" t="s">
        <v>268</v>
      </c>
      <c r="J725" t="s">
        <v>40</v>
      </c>
      <c r="K725" t="s">
        <v>41</v>
      </c>
      <c r="L725" t="s">
        <v>313</v>
      </c>
      <c r="N725" t="s">
        <v>43</v>
      </c>
      <c r="O725" t="s">
        <v>307</v>
      </c>
      <c r="P725">
        <v>90</v>
      </c>
      <c r="Q725">
        <v>90</v>
      </c>
      <c r="R725">
        <v>1</v>
      </c>
      <c r="S725" t="s">
        <v>45</v>
      </c>
      <c r="T725">
        <v>0</v>
      </c>
      <c r="U725">
        <v>1001</v>
      </c>
      <c r="V725" t="s">
        <v>46</v>
      </c>
      <c r="W725">
        <v>1</v>
      </c>
      <c r="X725">
        <v>23001</v>
      </c>
      <c r="Y725" t="s">
        <v>47</v>
      </c>
      <c r="Z725">
        <v>23</v>
      </c>
      <c r="AA725">
        <v>702</v>
      </c>
      <c r="AB725" t="s">
        <v>75</v>
      </c>
      <c r="AC725">
        <v>0.70099999999999996</v>
      </c>
      <c r="AD725">
        <v>874</v>
      </c>
      <c r="AE725" t="s">
        <v>48</v>
      </c>
      <c r="AF725">
        <v>0.873</v>
      </c>
      <c r="AG725">
        <v>949</v>
      </c>
      <c r="AH725" t="s">
        <v>80</v>
      </c>
      <c r="AI725">
        <v>0.94799999999999995</v>
      </c>
      <c r="AJ725" t="s">
        <v>1141</v>
      </c>
    </row>
    <row r="726" spans="1:36" x14ac:dyDescent="0.25">
      <c r="A726" t="s">
        <v>928</v>
      </c>
      <c r="B726">
        <v>854812294</v>
      </c>
      <c r="C726" t="s">
        <v>929</v>
      </c>
      <c r="D726" t="s">
        <v>929</v>
      </c>
      <c r="E726" t="s">
        <v>99</v>
      </c>
      <c r="F726" t="s">
        <v>214</v>
      </c>
      <c r="G726" t="s">
        <v>99</v>
      </c>
      <c r="H726">
        <v>1.9623199999999999E-4</v>
      </c>
      <c r="I726" t="s">
        <v>268</v>
      </c>
      <c r="J726" t="s">
        <v>40</v>
      </c>
      <c r="K726" t="s">
        <v>41</v>
      </c>
      <c r="L726" t="s">
        <v>313</v>
      </c>
      <c r="N726" t="s">
        <v>43</v>
      </c>
      <c r="O726" t="s">
        <v>108</v>
      </c>
      <c r="P726">
        <v>90</v>
      </c>
      <c r="Q726">
        <v>90</v>
      </c>
      <c r="R726">
        <v>21</v>
      </c>
      <c r="S726" t="s">
        <v>45</v>
      </c>
      <c r="T726">
        <v>0.02</v>
      </c>
      <c r="U726">
        <v>999</v>
      </c>
      <c r="V726" t="s">
        <v>46</v>
      </c>
      <c r="W726">
        <v>0.998</v>
      </c>
      <c r="X726">
        <v>22001</v>
      </c>
      <c r="Y726" t="s">
        <v>47</v>
      </c>
      <c r="Z726">
        <v>22</v>
      </c>
      <c r="AA726">
        <v>679</v>
      </c>
      <c r="AB726" t="s">
        <v>75</v>
      </c>
      <c r="AC726">
        <v>0.67800000000000005</v>
      </c>
      <c r="AD726">
        <v>883</v>
      </c>
      <c r="AE726" t="s">
        <v>48</v>
      </c>
      <c r="AF726">
        <v>0.88200000000000001</v>
      </c>
      <c r="AG726">
        <v>982</v>
      </c>
      <c r="AH726" t="s">
        <v>80</v>
      </c>
      <c r="AI726">
        <v>0.98099999999999998</v>
      </c>
      <c r="AJ726" t="s">
        <v>1153</v>
      </c>
    </row>
    <row r="727" spans="1:36" x14ac:dyDescent="0.25">
      <c r="A727" t="s">
        <v>928</v>
      </c>
      <c r="B727">
        <v>854812294</v>
      </c>
      <c r="C727" t="s">
        <v>929</v>
      </c>
      <c r="D727" t="s">
        <v>929</v>
      </c>
      <c r="E727" t="s">
        <v>65</v>
      </c>
      <c r="F727" t="s">
        <v>214</v>
      </c>
      <c r="G727" t="s">
        <v>99</v>
      </c>
      <c r="H727">
        <v>1.9623199999999999E-4</v>
      </c>
      <c r="I727" t="s">
        <v>268</v>
      </c>
      <c r="J727" t="s">
        <v>40</v>
      </c>
      <c r="K727" t="s">
        <v>41</v>
      </c>
      <c r="L727" t="s">
        <v>313</v>
      </c>
      <c r="N727" t="s">
        <v>43</v>
      </c>
      <c r="O727" t="s">
        <v>307</v>
      </c>
      <c r="P727">
        <v>90</v>
      </c>
      <c r="Q727">
        <v>90</v>
      </c>
      <c r="R727">
        <v>1</v>
      </c>
      <c r="S727" t="s">
        <v>45</v>
      </c>
      <c r="T727">
        <v>0</v>
      </c>
      <c r="U727">
        <v>1001</v>
      </c>
      <c r="V727" t="s">
        <v>46</v>
      </c>
      <c r="W727">
        <v>1</v>
      </c>
      <c r="X727">
        <v>23001</v>
      </c>
      <c r="Y727" t="s">
        <v>47</v>
      </c>
      <c r="Z727">
        <v>23</v>
      </c>
      <c r="AA727">
        <v>702</v>
      </c>
      <c r="AB727" t="s">
        <v>75</v>
      </c>
      <c r="AC727">
        <v>0.70099999999999996</v>
      </c>
      <c r="AD727">
        <v>874</v>
      </c>
      <c r="AE727" t="s">
        <v>48</v>
      </c>
      <c r="AF727">
        <v>0.873</v>
      </c>
      <c r="AG727">
        <v>949</v>
      </c>
      <c r="AH727" t="s">
        <v>80</v>
      </c>
      <c r="AI727">
        <v>0.94799999999999995</v>
      </c>
      <c r="AJ727" t="s">
        <v>1153</v>
      </c>
    </row>
    <row r="728" spans="1:36" x14ac:dyDescent="0.25">
      <c r="A728" t="s">
        <v>928</v>
      </c>
      <c r="B728">
        <v>854812294</v>
      </c>
      <c r="C728" t="s">
        <v>929</v>
      </c>
      <c r="D728" t="s">
        <v>929</v>
      </c>
      <c r="E728" t="s">
        <v>99</v>
      </c>
      <c r="F728" t="s">
        <v>214</v>
      </c>
      <c r="G728" t="s">
        <v>99</v>
      </c>
      <c r="H728">
        <v>1.9623199999999999E-4</v>
      </c>
      <c r="I728" t="s">
        <v>268</v>
      </c>
      <c r="J728" t="s">
        <v>40</v>
      </c>
      <c r="K728" t="s">
        <v>41</v>
      </c>
      <c r="L728" t="s">
        <v>313</v>
      </c>
      <c r="N728" t="s">
        <v>43</v>
      </c>
      <c r="O728" t="s">
        <v>108</v>
      </c>
      <c r="P728">
        <v>90</v>
      </c>
      <c r="Q728">
        <v>90</v>
      </c>
      <c r="R728">
        <v>21</v>
      </c>
      <c r="S728" t="s">
        <v>45</v>
      </c>
      <c r="T728">
        <v>0.02</v>
      </c>
      <c r="U728">
        <v>999</v>
      </c>
      <c r="V728" t="s">
        <v>46</v>
      </c>
      <c r="W728">
        <v>0.998</v>
      </c>
      <c r="X728">
        <v>22001</v>
      </c>
      <c r="Y728" t="s">
        <v>47</v>
      </c>
      <c r="Z728">
        <v>22</v>
      </c>
      <c r="AA728">
        <v>679</v>
      </c>
      <c r="AB728" t="s">
        <v>75</v>
      </c>
      <c r="AC728">
        <v>0.67800000000000005</v>
      </c>
      <c r="AD728">
        <v>883</v>
      </c>
      <c r="AE728" t="s">
        <v>48</v>
      </c>
      <c r="AF728">
        <v>0.88200000000000001</v>
      </c>
      <c r="AG728">
        <v>982</v>
      </c>
      <c r="AH728" t="s">
        <v>80</v>
      </c>
      <c r="AI728">
        <v>0.98099999999999998</v>
      </c>
      <c r="AJ728" t="s">
        <v>1154</v>
      </c>
    </row>
    <row r="729" spans="1:36" x14ac:dyDescent="0.25">
      <c r="A729" t="s">
        <v>928</v>
      </c>
      <c r="B729">
        <v>854812294</v>
      </c>
      <c r="C729" t="s">
        <v>929</v>
      </c>
      <c r="D729" t="s">
        <v>929</v>
      </c>
      <c r="E729" t="s">
        <v>65</v>
      </c>
      <c r="F729" t="s">
        <v>214</v>
      </c>
      <c r="G729" t="s">
        <v>99</v>
      </c>
      <c r="H729">
        <v>1.9623199999999999E-4</v>
      </c>
      <c r="I729" t="s">
        <v>268</v>
      </c>
      <c r="J729" t="s">
        <v>40</v>
      </c>
      <c r="K729" t="s">
        <v>41</v>
      </c>
      <c r="L729" t="s">
        <v>313</v>
      </c>
      <c r="N729" t="s">
        <v>43</v>
      </c>
      <c r="O729" t="s">
        <v>307</v>
      </c>
      <c r="P729">
        <v>90</v>
      </c>
      <c r="Q729">
        <v>90</v>
      </c>
      <c r="R729">
        <v>1</v>
      </c>
      <c r="S729" t="s">
        <v>45</v>
      </c>
      <c r="T729">
        <v>0</v>
      </c>
      <c r="U729">
        <v>1001</v>
      </c>
      <c r="V729" t="s">
        <v>46</v>
      </c>
      <c r="W729">
        <v>1</v>
      </c>
      <c r="X729">
        <v>23001</v>
      </c>
      <c r="Y729" t="s">
        <v>47</v>
      </c>
      <c r="Z729">
        <v>23</v>
      </c>
      <c r="AA729">
        <v>702</v>
      </c>
      <c r="AB729" t="s">
        <v>75</v>
      </c>
      <c r="AC729">
        <v>0.70099999999999996</v>
      </c>
      <c r="AD729">
        <v>874</v>
      </c>
      <c r="AE729" t="s">
        <v>48</v>
      </c>
      <c r="AF729">
        <v>0.873</v>
      </c>
      <c r="AG729">
        <v>949</v>
      </c>
      <c r="AH729" t="s">
        <v>80</v>
      </c>
      <c r="AI729">
        <v>0.94799999999999995</v>
      </c>
      <c r="AJ729" t="s">
        <v>1154</v>
      </c>
    </row>
    <row r="730" spans="1:36" x14ac:dyDescent="0.25">
      <c r="A730" t="s">
        <v>928</v>
      </c>
      <c r="B730">
        <v>854812294</v>
      </c>
      <c r="C730" t="s">
        <v>929</v>
      </c>
      <c r="D730" t="s">
        <v>929</v>
      </c>
      <c r="E730" t="s">
        <v>99</v>
      </c>
      <c r="F730" t="s">
        <v>214</v>
      </c>
      <c r="G730" t="s">
        <v>99</v>
      </c>
      <c r="H730">
        <v>1.9623199999999999E-4</v>
      </c>
      <c r="I730" t="s">
        <v>268</v>
      </c>
      <c r="J730" t="s">
        <v>40</v>
      </c>
      <c r="K730" t="s">
        <v>41</v>
      </c>
      <c r="L730" t="s">
        <v>313</v>
      </c>
      <c r="N730" t="s">
        <v>43</v>
      </c>
      <c r="O730" t="s">
        <v>108</v>
      </c>
      <c r="P730">
        <v>90</v>
      </c>
      <c r="Q730">
        <v>90</v>
      </c>
      <c r="S730" t="s">
        <v>39</v>
      </c>
      <c r="V730" t="s">
        <v>39</v>
      </c>
      <c r="X730">
        <v>22001</v>
      </c>
      <c r="Y730" t="s">
        <v>47</v>
      </c>
      <c r="Z730">
        <v>22</v>
      </c>
      <c r="AA730">
        <v>679</v>
      </c>
      <c r="AB730" t="s">
        <v>75</v>
      </c>
      <c r="AC730">
        <v>0.67800000000000005</v>
      </c>
      <c r="AD730">
        <v>883</v>
      </c>
      <c r="AE730" t="s">
        <v>48</v>
      </c>
      <c r="AF730">
        <v>0.88200000000000001</v>
      </c>
      <c r="AG730">
        <v>982</v>
      </c>
      <c r="AH730" t="s">
        <v>80</v>
      </c>
      <c r="AI730">
        <v>0.98099999999999998</v>
      </c>
      <c r="AJ730" t="s">
        <v>1155</v>
      </c>
    </row>
    <row r="731" spans="1:36" x14ac:dyDescent="0.25">
      <c r="A731" t="s">
        <v>928</v>
      </c>
      <c r="B731">
        <v>854812294</v>
      </c>
      <c r="C731" t="s">
        <v>929</v>
      </c>
      <c r="D731" t="s">
        <v>929</v>
      </c>
      <c r="E731" t="s">
        <v>65</v>
      </c>
      <c r="F731" t="s">
        <v>214</v>
      </c>
      <c r="G731" t="s">
        <v>99</v>
      </c>
      <c r="H731">
        <v>1.9623199999999999E-4</v>
      </c>
      <c r="I731" t="s">
        <v>268</v>
      </c>
      <c r="J731" t="s">
        <v>40</v>
      </c>
      <c r="K731" t="s">
        <v>41</v>
      </c>
      <c r="L731" t="s">
        <v>313</v>
      </c>
      <c r="N731" t="s">
        <v>43</v>
      </c>
      <c r="O731" t="s">
        <v>307</v>
      </c>
      <c r="P731">
        <v>90</v>
      </c>
      <c r="Q731">
        <v>90</v>
      </c>
      <c r="S731" t="s">
        <v>39</v>
      </c>
      <c r="V731" t="s">
        <v>39</v>
      </c>
      <c r="X731">
        <v>23001</v>
      </c>
      <c r="Y731" t="s">
        <v>47</v>
      </c>
      <c r="Z731">
        <v>23</v>
      </c>
      <c r="AA731">
        <v>702</v>
      </c>
      <c r="AB731" t="s">
        <v>75</v>
      </c>
      <c r="AC731">
        <v>0.70099999999999996</v>
      </c>
      <c r="AD731">
        <v>874</v>
      </c>
      <c r="AE731" t="s">
        <v>48</v>
      </c>
      <c r="AF731">
        <v>0.873</v>
      </c>
      <c r="AG731">
        <v>949</v>
      </c>
      <c r="AH731" t="s">
        <v>80</v>
      </c>
      <c r="AI731">
        <v>0.94799999999999995</v>
      </c>
      <c r="AJ731" t="s">
        <v>1155</v>
      </c>
    </row>
    <row r="732" spans="1:36" x14ac:dyDescent="0.25">
      <c r="A732" t="s">
        <v>928</v>
      </c>
      <c r="B732">
        <v>854812294</v>
      </c>
      <c r="C732" t="s">
        <v>929</v>
      </c>
      <c r="D732" t="s">
        <v>929</v>
      </c>
      <c r="E732" t="s">
        <v>99</v>
      </c>
      <c r="F732" t="s">
        <v>214</v>
      </c>
      <c r="G732" t="s">
        <v>99</v>
      </c>
      <c r="H732">
        <v>1.9623199999999999E-4</v>
      </c>
      <c r="I732" t="s">
        <v>268</v>
      </c>
      <c r="J732" t="s">
        <v>40</v>
      </c>
      <c r="K732" t="s">
        <v>41</v>
      </c>
      <c r="L732" t="s">
        <v>313</v>
      </c>
      <c r="N732" t="s">
        <v>43</v>
      </c>
      <c r="O732" t="s">
        <v>108</v>
      </c>
      <c r="P732">
        <v>90</v>
      </c>
      <c r="Q732">
        <v>90</v>
      </c>
      <c r="S732" t="s">
        <v>39</v>
      </c>
      <c r="V732" t="s">
        <v>39</v>
      </c>
      <c r="X732">
        <v>22001</v>
      </c>
      <c r="Y732" t="s">
        <v>47</v>
      </c>
      <c r="Z732">
        <v>22</v>
      </c>
      <c r="AA732">
        <v>679</v>
      </c>
      <c r="AB732" t="s">
        <v>75</v>
      </c>
      <c r="AC732">
        <v>0.67800000000000005</v>
      </c>
      <c r="AD732">
        <v>883</v>
      </c>
      <c r="AE732" t="s">
        <v>48</v>
      </c>
      <c r="AF732">
        <v>0.88200000000000001</v>
      </c>
      <c r="AG732">
        <v>982</v>
      </c>
      <c r="AH732" t="s">
        <v>80</v>
      </c>
      <c r="AI732">
        <v>0.98099999999999998</v>
      </c>
      <c r="AJ732" t="s">
        <v>1156</v>
      </c>
    </row>
    <row r="733" spans="1:36" x14ac:dyDescent="0.25">
      <c r="A733" t="s">
        <v>928</v>
      </c>
      <c r="B733">
        <v>854812294</v>
      </c>
      <c r="C733" t="s">
        <v>929</v>
      </c>
      <c r="D733" t="s">
        <v>929</v>
      </c>
      <c r="E733" t="s">
        <v>65</v>
      </c>
      <c r="F733" t="s">
        <v>214</v>
      </c>
      <c r="G733" t="s">
        <v>99</v>
      </c>
      <c r="H733">
        <v>1.9623199999999999E-4</v>
      </c>
      <c r="I733" t="s">
        <v>268</v>
      </c>
      <c r="J733" t="s">
        <v>40</v>
      </c>
      <c r="K733" t="s">
        <v>41</v>
      </c>
      <c r="L733" t="s">
        <v>313</v>
      </c>
      <c r="N733" t="s">
        <v>43</v>
      </c>
      <c r="O733" t="s">
        <v>307</v>
      </c>
      <c r="P733">
        <v>90</v>
      </c>
      <c r="Q733">
        <v>90</v>
      </c>
      <c r="S733" t="s">
        <v>39</v>
      </c>
      <c r="V733" t="s">
        <v>39</v>
      </c>
      <c r="X733">
        <v>23001</v>
      </c>
      <c r="Y733" t="s">
        <v>47</v>
      </c>
      <c r="Z733">
        <v>23</v>
      </c>
      <c r="AA733">
        <v>702</v>
      </c>
      <c r="AB733" t="s">
        <v>75</v>
      </c>
      <c r="AC733">
        <v>0.70099999999999996</v>
      </c>
      <c r="AD733">
        <v>874</v>
      </c>
      <c r="AE733" t="s">
        <v>48</v>
      </c>
      <c r="AF733">
        <v>0.873</v>
      </c>
      <c r="AG733">
        <v>949</v>
      </c>
      <c r="AH733" t="s">
        <v>80</v>
      </c>
      <c r="AI733">
        <v>0.94799999999999995</v>
      </c>
      <c r="AJ733" t="s">
        <v>1156</v>
      </c>
    </row>
    <row r="734" spans="1:36" x14ac:dyDescent="0.25">
      <c r="A734" t="s">
        <v>926</v>
      </c>
      <c r="B734">
        <v>851914902</v>
      </c>
      <c r="C734" t="s">
        <v>927</v>
      </c>
      <c r="D734" t="s">
        <v>927</v>
      </c>
      <c r="E734" t="s">
        <v>60</v>
      </c>
      <c r="F734" t="s">
        <v>88</v>
      </c>
      <c r="I734" t="s">
        <v>39</v>
      </c>
      <c r="J734" t="s">
        <v>40</v>
      </c>
      <c r="K734" t="s">
        <v>41</v>
      </c>
      <c r="L734" t="s">
        <v>234</v>
      </c>
      <c r="M734" t="s">
        <v>816</v>
      </c>
      <c r="N734" t="s">
        <v>43</v>
      </c>
      <c r="O734" t="s">
        <v>90</v>
      </c>
      <c r="P734">
        <v>91</v>
      </c>
      <c r="Q734">
        <v>91</v>
      </c>
      <c r="R734">
        <v>1</v>
      </c>
      <c r="S734" t="s">
        <v>45</v>
      </c>
      <c r="T734">
        <v>0</v>
      </c>
      <c r="U734">
        <v>1000</v>
      </c>
      <c r="V734" t="s">
        <v>46</v>
      </c>
      <c r="W734">
        <v>0.999</v>
      </c>
      <c r="X734">
        <v>27001</v>
      </c>
      <c r="Y734" t="s">
        <v>47</v>
      </c>
      <c r="Z734">
        <v>27</v>
      </c>
      <c r="AA734">
        <v>854</v>
      </c>
      <c r="AB734" t="s">
        <v>75</v>
      </c>
      <c r="AC734">
        <v>0.85299999999999998</v>
      </c>
      <c r="AD734">
        <v>936</v>
      </c>
      <c r="AE734" t="s">
        <v>48</v>
      </c>
      <c r="AF734">
        <v>0.93500000000000005</v>
      </c>
      <c r="AG734">
        <v>987</v>
      </c>
      <c r="AH734" t="s">
        <v>80</v>
      </c>
      <c r="AI734">
        <v>0.98599999999999999</v>
      </c>
      <c r="AJ734" t="s">
        <v>50</v>
      </c>
    </row>
    <row r="735" spans="1:36" x14ac:dyDescent="0.25">
      <c r="A735" t="s">
        <v>926</v>
      </c>
      <c r="B735">
        <v>851914902</v>
      </c>
      <c r="C735" t="s">
        <v>927</v>
      </c>
      <c r="D735" t="s">
        <v>927</v>
      </c>
      <c r="E735" t="s">
        <v>60</v>
      </c>
      <c r="F735" t="s">
        <v>88</v>
      </c>
      <c r="I735" t="s">
        <v>39</v>
      </c>
      <c r="J735" t="s">
        <v>40</v>
      </c>
      <c r="K735" t="s">
        <v>41</v>
      </c>
      <c r="L735" t="s">
        <v>234</v>
      </c>
      <c r="M735" t="s">
        <v>816</v>
      </c>
      <c r="N735" t="s">
        <v>43</v>
      </c>
      <c r="O735" t="s">
        <v>90</v>
      </c>
      <c r="P735">
        <v>91</v>
      </c>
      <c r="Q735">
        <v>91</v>
      </c>
      <c r="R735">
        <v>1</v>
      </c>
      <c r="S735" t="s">
        <v>45</v>
      </c>
      <c r="T735">
        <v>0</v>
      </c>
      <c r="U735">
        <v>999</v>
      </c>
      <c r="V735" t="s">
        <v>46</v>
      </c>
      <c r="W735">
        <v>0.998</v>
      </c>
      <c r="X735">
        <v>27001</v>
      </c>
      <c r="Y735" t="s">
        <v>47</v>
      </c>
      <c r="Z735">
        <v>27</v>
      </c>
      <c r="AA735">
        <v>854</v>
      </c>
      <c r="AB735" t="s">
        <v>75</v>
      </c>
      <c r="AC735">
        <v>0.85299999999999998</v>
      </c>
      <c r="AD735">
        <v>936</v>
      </c>
      <c r="AE735" t="s">
        <v>48</v>
      </c>
      <c r="AF735">
        <v>0.93500000000000005</v>
      </c>
      <c r="AG735">
        <v>987</v>
      </c>
      <c r="AH735" t="s">
        <v>80</v>
      </c>
      <c r="AI735">
        <v>0.98599999999999999</v>
      </c>
      <c r="AJ735" t="s">
        <v>1141</v>
      </c>
    </row>
    <row r="736" spans="1:36" x14ac:dyDescent="0.25">
      <c r="A736" t="s">
        <v>926</v>
      </c>
      <c r="B736">
        <v>851914902</v>
      </c>
      <c r="C736" t="s">
        <v>927</v>
      </c>
      <c r="D736" t="s">
        <v>927</v>
      </c>
      <c r="E736" t="s">
        <v>60</v>
      </c>
      <c r="F736" t="s">
        <v>88</v>
      </c>
      <c r="I736" t="s">
        <v>39</v>
      </c>
      <c r="J736" t="s">
        <v>40</v>
      </c>
      <c r="K736" t="s">
        <v>41</v>
      </c>
      <c r="L736" t="s">
        <v>234</v>
      </c>
      <c r="M736" t="s">
        <v>816</v>
      </c>
      <c r="N736" t="s">
        <v>43</v>
      </c>
      <c r="O736" t="s">
        <v>90</v>
      </c>
      <c r="P736">
        <v>91</v>
      </c>
      <c r="Q736">
        <v>91</v>
      </c>
      <c r="R736">
        <v>1</v>
      </c>
      <c r="S736" t="s">
        <v>45</v>
      </c>
      <c r="T736">
        <v>0</v>
      </c>
      <c r="U736">
        <v>1000</v>
      </c>
      <c r="V736" t="s">
        <v>46</v>
      </c>
      <c r="W736">
        <v>0.999</v>
      </c>
      <c r="X736">
        <v>27001</v>
      </c>
      <c r="Y736" t="s">
        <v>47</v>
      </c>
      <c r="Z736">
        <v>27</v>
      </c>
      <c r="AA736">
        <v>854</v>
      </c>
      <c r="AB736" t="s">
        <v>75</v>
      </c>
      <c r="AC736">
        <v>0.85299999999999998</v>
      </c>
      <c r="AD736">
        <v>936</v>
      </c>
      <c r="AE736" t="s">
        <v>48</v>
      </c>
      <c r="AF736">
        <v>0.93500000000000005</v>
      </c>
      <c r="AG736">
        <v>987</v>
      </c>
      <c r="AH736" t="s">
        <v>80</v>
      </c>
      <c r="AI736">
        <v>0.98599999999999999</v>
      </c>
      <c r="AJ736" t="s">
        <v>1153</v>
      </c>
    </row>
    <row r="737" spans="1:36" x14ac:dyDescent="0.25">
      <c r="A737" t="s">
        <v>926</v>
      </c>
      <c r="B737">
        <v>851914902</v>
      </c>
      <c r="C737" t="s">
        <v>927</v>
      </c>
      <c r="D737" t="s">
        <v>927</v>
      </c>
      <c r="E737" t="s">
        <v>60</v>
      </c>
      <c r="F737" t="s">
        <v>88</v>
      </c>
      <c r="I737" t="s">
        <v>39</v>
      </c>
      <c r="J737" t="s">
        <v>40</v>
      </c>
      <c r="K737" t="s">
        <v>41</v>
      </c>
      <c r="L737" t="s">
        <v>234</v>
      </c>
      <c r="M737" t="s">
        <v>816</v>
      </c>
      <c r="N737" t="s">
        <v>43</v>
      </c>
      <c r="O737" t="s">
        <v>90</v>
      </c>
      <c r="P737">
        <v>91</v>
      </c>
      <c r="Q737">
        <v>91</v>
      </c>
      <c r="R737">
        <v>1</v>
      </c>
      <c r="S737" t="s">
        <v>45</v>
      </c>
      <c r="T737">
        <v>0</v>
      </c>
      <c r="U737">
        <v>1000</v>
      </c>
      <c r="V737" t="s">
        <v>46</v>
      </c>
      <c r="W737">
        <v>0.999</v>
      </c>
      <c r="X737">
        <v>27001</v>
      </c>
      <c r="Y737" t="s">
        <v>47</v>
      </c>
      <c r="Z737">
        <v>27</v>
      </c>
      <c r="AA737">
        <v>854</v>
      </c>
      <c r="AB737" t="s">
        <v>75</v>
      </c>
      <c r="AC737">
        <v>0.85299999999999998</v>
      </c>
      <c r="AD737">
        <v>936</v>
      </c>
      <c r="AE737" t="s">
        <v>48</v>
      </c>
      <c r="AF737">
        <v>0.93500000000000005</v>
      </c>
      <c r="AG737">
        <v>987</v>
      </c>
      <c r="AH737" t="s">
        <v>80</v>
      </c>
      <c r="AI737">
        <v>0.98599999999999999</v>
      </c>
      <c r="AJ737" t="s">
        <v>1154</v>
      </c>
    </row>
    <row r="738" spans="1:36" x14ac:dyDescent="0.25">
      <c r="A738" t="s">
        <v>926</v>
      </c>
      <c r="B738">
        <v>851914902</v>
      </c>
      <c r="C738" t="s">
        <v>927</v>
      </c>
      <c r="D738" t="s">
        <v>927</v>
      </c>
      <c r="E738" t="s">
        <v>60</v>
      </c>
      <c r="F738" t="s">
        <v>88</v>
      </c>
      <c r="I738" t="s">
        <v>39</v>
      </c>
      <c r="J738" t="s">
        <v>40</v>
      </c>
      <c r="K738" t="s">
        <v>41</v>
      </c>
      <c r="L738" t="s">
        <v>234</v>
      </c>
      <c r="M738" t="s">
        <v>816</v>
      </c>
      <c r="N738" t="s">
        <v>43</v>
      </c>
      <c r="O738" t="s">
        <v>90</v>
      </c>
      <c r="P738">
        <v>91</v>
      </c>
      <c r="Q738">
        <v>91</v>
      </c>
      <c r="S738" t="s">
        <v>39</v>
      </c>
      <c r="V738" t="s">
        <v>39</v>
      </c>
      <c r="X738">
        <v>27001</v>
      </c>
      <c r="Y738" t="s">
        <v>47</v>
      </c>
      <c r="Z738">
        <v>27</v>
      </c>
      <c r="AA738">
        <v>854</v>
      </c>
      <c r="AB738" t="s">
        <v>75</v>
      </c>
      <c r="AC738">
        <v>0.85299999999999998</v>
      </c>
      <c r="AD738">
        <v>936</v>
      </c>
      <c r="AE738" t="s">
        <v>48</v>
      </c>
      <c r="AF738">
        <v>0.93500000000000005</v>
      </c>
      <c r="AG738">
        <v>987</v>
      </c>
      <c r="AH738" t="s">
        <v>80</v>
      </c>
      <c r="AI738">
        <v>0.98599999999999999</v>
      </c>
      <c r="AJ738" t="s">
        <v>1155</v>
      </c>
    </row>
    <row r="739" spans="1:36" x14ac:dyDescent="0.25">
      <c r="A739" t="s">
        <v>926</v>
      </c>
      <c r="B739">
        <v>851914902</v>
      </c>
      <c r="C739" t="s">
        <v>927</v>
      </c>
      <c r="D739" t="s">
        <v>927</v>
      </c>
      <c r="E739" t="s">
        <v>60</v>
      </c>
      <c r="F739" t="s">
        <v>88</v>
      </c>
      <c r="I739" t="s">
        <v>39</v>
      </c>
      <c r="J739" t="s">
        <v>40</v>
      </c>
      <c r="K739" t="s">
        <v>41</v>
      </c>
      <c r="L739" t="s">
        <v>234</v>
      </c>
      <c r="M739" t="s">
        <v>816</v>
      </c>
      <c r="N739" t="s">
        <v>43</v>
      </c>
      <c r="O739" t="s">
        <v>90</v>
      </c>
      <c r="P739">
        <v>91</v>
      </c>
      <c r="Q739">
        <v>91</v>
      </c>
      <c r="S739" t="s">
        <v>39</v>
      </c>
      <c r="V739" t="s">
        <v>39</v>
      </c>
      <c r="X739">
        <v>27001</v>
      </c>
      <c r="Y739" t="s">
        <v>47</v>
      </c>
      <c r="Z739">
        <v>27</v>
      </c>
      <c r="AA739">
        <v>854</v>
      </c>
      <c r="AB739" t="s">
        <v>75</v>
      </c>
      <c r="AC739">
        <v>0.85299999999999998</v>
      </c>
      <c r="AD739">
        <v>936</v>
      </c>
      <c r="AE739" t="s">
        <v>48</v>
      </c>
      <c r="AF739">
        <v>0.93500000000000005</v>
      </c>
      <c r="AG739">
        <v>987</v>
      </c>
      <c r="AH739" t="s">
        <v>80</v>
      </c>
      <c r="AI739">
        <v>0.98599999999999999</v>
      </c>
      <c r="AJ739" t="s">
        <v>1156</v>
      </c>
    </row>
    <row r="740" spans="1:36" x14ac:dyDescent="0.25">
      <c r="A740" t="s">
        <v>924</v>
      </c>
      <c r="B740">
        <v>872607461</v>
      </c>
      <c r="C740" t="s">
        <v>925</v>
      </c>
      <c r="D740" t="s">
        <v>925</v>
      </c>
      <c r="E740" t="s">
        <v>37</v>
      </c>
      <c r="F740" t="s">
        <v>280</v>
      </c>
      <c r="I740" t="s">
        <v>39</v>
      </c>
      <c r="J740" t="s">
        <v>40</v>
      </c>
      <c r="K740" t="s">
        <v>41</v>
      </c>
      <c r="L740" t="s">
        <v>78</v>
      </c>
      <c r="N740" t="s">
        <v>43</v>
      </c>
      <c r="O740" t="s">
        <v>138</v>
      </c>
      <c r="P740">
        <v>92</v>
      </c>
      <c r="Q740">
        <v>92</v>
      </c>
      <c r="R740">
        <v>1</v>
      </c>
      <c r="S740" t="s">
        <v>45</v>
      </c>
      <c r="T740">
        <v>0</v>
      </c>
      <c r="U740">
        <v>549</v>
      </c>
      <c r="V740" t="s">
        <v>113</v>
      </c>
      <c r="W740">
        <v>0.54800000000000004</v>
      </c>
      <c r="X740">
        <v>23001</v>
      </c>
      <c r="Y740" t="s">
        <v>47</v>
      </c>
      <c r="Z740">
        <v>23</v>
      </c>
      <c r="AA740">
        <v>644</v>
      </c>
      <c r="AB740" t="s">
        <v>75</v>
      </c>
      <c r="AC740">
        <v>0.64300000000000002</v>
      </c>
      <c r="AD740">
        <v>786</v>
      </c>
      <c r="AE740" t="s">
        <v>48</v>
      </c>
      <c r="AF740">
        <v>0.78500000000000003</v>
      </c>
      <c r="AG740">
        <v>693</v>
      </c>
      <c r="AH740" t="s">
        <v>49</v>
      </c>
      <c r="AI740">
        <v>0.69199999999999995</v>
      </c>
      <c r="AJ740" t="s">
        <v>50</v>
      </c>
    </row>
    <row r="741" spans="1:36" x14ac:dyDescent="0.25">
      <c r="A741" t="s">
        <v>924</v>
      </c>
      <c r="B741">
        <v>872607461</v>
      </c>
      <c r="C741" t="s">
        <v>925</v>
      </c>
      <c r="D741" t="s">
        <v>925</v>
      </c>
      <c r="E741" t="s">
        <v>99</v>
      </c>
      <c r="F741" t="s">
        <v>280</v>
      </c>
      <c r="I741" t="s">
        <v>39</v>
      </c>
      <c r="J741" t="s">
        <v>40</v>
      </c>
      <c r="K741" t="s">
        <v>41</v>
      </c>
      <c r="L741" t="s">
        <v>78</v>
      </c>
      <c r="N741" t="s">
        <v>43</v>
      </c>
      <c r="O741" t="s">
        <v>139</v>
      </c>
      <c r="P741">
        <v>92</v>
      </c>
      <c r="Q741">
        <v>92</v>
      </c>
      <c r="R741">
        <v>191</v>
      </c>
      <c r="S741" t="s">
        <v>56</v>
      </c>
      <c r="T741">
        <v>0.19</v>
      </c>
      <c r="U741">
        <v>217</v>
      </c>
      <c r="V741" t="s">
        <v>55</v>
      </c>
      <c r="W741">
        <v>0.216</v>
      </c>
      <c r="X741">
        <v>1</v>
      </c>
      <c r="Y741" t="s">
        <v>47</v>
      </c>
      <c r="Z741">
        <v>0</v>
      </c>
      <c r="AA741">
        <v>164</v>
      </c>
      <c r="AB741" t="s">
        <v>47</v>
      </c>
      <c r="AC741">
        <v>0.16300000000000001</v>
      </c>
      <c r="AD741">
        <v>415</v>
      </c>
      <c r="AE741" t="s">
        <v>56</v>
      </c>
      <c r="AF741">
        <v>0.41399999999999998</v>
      </c>
      <c r="AG741">
        <v>326</v>
      </c>
      <c r="AH741" t="s">
        <v>57</v>
      </c>
      <c r="AI741">
        <v>0.32500000000000001</v>
      </c>
      <c r="AJ741" t="s">
        <v>50</v>
      </c>
    </row>
    <row r="742" spans="1:36" x14ac:dyDescent="0.25">
      <c r="A742" t="s">
        <v>924</v>
      </c>
      <c r="B742">
        <v>872607461</v>
      </c>
      <c r="C742" t="s">
        <v>925</v>
      </c>
      <c r="D742" t="s">
        <v>925</v>
      </c>
      <c r="E742" t="s">
        <v>37</v>
      </c>
      <c r="F742" t="s">
        <v>280</v>
      </c>
      <c r="I742" t="s">
        <v>39</v>
      </c>
      <c r="J742" t="s">
        <v>40</v>
      </c>
      <c r="K742" t="s">
        <v>41</v>
      </c>
      <c r="L742" t="s">
        <v>78</v>
      </c>
      <c r="N742" t="s">
        <v>43</v>
      </c>
      <c r="O742" t="s">
        <v>138</v>
      </c>
      <c r="P742">
        <v>92</v>
      </c>
      <c r="Q742">
        <v>92</v>
      </c>
      <c r="R742">
        <v>1</v>
      </c>
      <c r="S742" t="s">
        <v>45</v>
      </c>
      <c r="T742">
        <v>0</v>
      </c>
      <c r="U742">
        <v>249</v>
      </c>
      <c r="V742" t="s">
        <v>55</v>
      </c>
      <c r="W742">
        <v>0.248</v>
      </c>
      <c r="X742">
        <v>23001</v>
      </c>
      <c r="Y742" t="s">
        <v>47</v>
      </c>
      <c r="Z742">
        <v>23</v>
      </c>
      <c r="AA742">
        <v>644</v>
      </c>
      <c r="AB742" t="s">
        <v>75</v>
      </c>
      <c r="AC742">
        <v>0.64300000000000002</v>
      </c>
      <c r="AD742">
        <v>786</v>
      </c>
      <c r="AE742" t="s">
        <v>48</v>
      </c>
      <c r="AF742">
        <v>0.78500000000000003</v>
      </c>
      <c r="AG742">
        <v>693</v>
      </c>
      <c r="AH742" t="s">
        <v>49</v>
      </c>
      <c r="AI742">
        <v>0.69199999999999995</v>
      </c>
      <c r="AJ742" t="s">
        <v>1141</v>
      </c>
    </row>
    <row r="743" spans="1:36" x14ac:dyDescent="0.25">
      <c r="A743" t="s">
        <v>924</v>
      </c>
      <c r="B743">
        <v>872607461</v>
      </c>
      <c r="C743" t="s">
        <v>925</v>
      </c>
      <c r="D743" t="s">
        <v>925</v>
      </c>
      <c r="E743" t="s">
        <v>99</v>
      </c>
      <c r="F743" t="s">
        <v>280</v>
      </c>
      <c r="I743" t="s">
        <v>39</v>
      </c>
      <c r="J743" t="s">
        <v>40</v>
      </c>
      <c r="K743" t="s">
        <v>41</v>
      </c>
      <c r="L743" t="s">
        <v>78</v>
      </c>
      <c r="N743" t="s">
        <v>43</v>
      </c>
      <c r="O743" t="s">
        <v>139</v>
      </c>
      <c r="P743">
        <v>92</v>
      </c>
      <c r="Q743">
        <v>92</v>
      </c>
      <c r="R743">
        <v>101</v>
      </c>
      <c r="S743" t="s">
        <v>56</v>
      </c>
      <c r="T743">
        <v>0.1</v>
      </c>
      <c r="U743">
        <v>212</v>
      </c>
      <c r="V743" t="s">
        <v>55</v>
      </c>
      <c r="W743">
        <v>0.21099999999999999</v>
      </c>
      <c r="X743">
        <v>1</v>
      </c>
      <c r="Y743" t="s">
        <v>47</v>
      </c>
      <c r="Z743">
        <v>0</v>
      </c>
      <c r="AA743">
        <v>164</v>
      </c>
      <c r="AB743" t="s">
        <v>47</v>
      </c>
      <c r="AC743">
        <v>0.16300000000000001</v>
      </c>
      <c r="AD743">
        <v>415</v>
      </c>
      <c r="AE743" t="s">
        <v>56</v>
      </c>
      <c r="AF743">
        <v>0.41399999999999998</v>
      </c>
      <c r="AG743">
        <v>326</v>
      </c>
      <c r="AH743" t="s">
        <v>57</v>
      </c>
      <c r="AI743">
        <v>0.32500000000000001</v>
      </c>
      <c r="AJ743" t="s">
        <v>1141</v>
      </c>
    </row>
    <row r="744" spans="1:36" x14ac:dyDescent="0.25">
      <c r="A744" t="s">
        <v>924</v>
      </c>
      <c r="B744">
        <v>872607461</v>
      </c>
      <c r="C744" t="s">
        <v>925</v>
      </c>
      <c r="D744" t="s">
        <v>925</v>
      </c>
      <c r="E744" t="s">
        <v>37</v>
      </c>
      <c r="F744" t="s">
        <v>280</v>
      </c>
      <c r="I744" t="s">
        <v>39</v>
      </c>
      <c r="J744" t="s">
        <v>40</v>
      </c>
      <c r="K744" t="s">
        <v>41</v>
      </c>
      <c r="L744" t="s">
        <v>78</v>
      </c>
      <c r="N744" t="s">
        <v>43</v>
      </c>
      <c r="O744" t="s">
        <v>138</v>
      </c>
      <c r="P744">
        <v>92</v>
      </c>
      <c r="Q744">
        <v>92</v>
      </c>
      <c r="R744">
        <v>1</v>
      </c>
      <c r="S744" t="s">
        <v>45</v>
      </c>
      <c r="T744">
        <v>0</v>
      </c>
      <c r="U744">
        <v>549</v>
      </c>
      <c r="V744" t="s">
        <v>113</v>
      </c>
      <c r="W744">
        <v>0.54800000000000004</v>
      </c>
      <c r="X744">
        <v>23001</v>
      </c>
      <c r="Y744" t="s">
        <v>47</v>
      </c>
      <c r="Z744">
        <v>23</v>
      </c>
      <c r="AA744">
        <v>644</v>
      </c>
      <c r="AB744" t="s">
        <v>75</v>
      </c>
      <c r="AC744">
        <v>0.64300000000000002</v>
      </c>
      <c r="AD744">
        <v>786</v>
      </c>
      <c r="AE744" t="s">
        <v>48</v>
      </c>
      <c r="AF744">
        <v>0.78500000000000003</v>
      </c>
      <c r="AG744">
        <v>693</v>
      </c>
      <c r="AH744" t="s">
        <v>49</v>
      </c>
      <c r="AI744">
        <v>0.69199999999999995</v>
      </c>
      <c r="AJ744" t="s">
        <v>1153</v>
      </c>
    </row>
    <row r="745" spans="1:36" x14ac:dyDescent="0.25">
      <c r="A745" t="s">
        <v>924</v>
      </c>
      <c r="B745">
        <v>872607461</v>
      </c>
      <c r="C745" t="s">
        <v>925</v>
      </c>
      <c r="D745" t="s">
        <v>925</v>
      </c>
      <c r="E745" t="s">
        <v>99</v>
      </c>
      <c r="F745" t="s">
        <v>280</v>
      </c>
      <c r="I745" t="s">
        <v>39</v>
      </c>
      <c r="J745" t="s">
        <v>40</v>
      </c>
      <c r="K745" t="s">
        <v>41</v>
      </c>
      <c r="L745" t="s">
        <v>78</v>
      </c>
      <c r="N745" t="s">
        <v>43</v>
      </c>
      <c r="O745" t="s">
        <v>139</v>
      </c>
      <c r="P745">
        <v>92</v>
      </c>
      <c r="Q745">
        <v>92</v>
      </c>
      <c r="R745">
        <v>191</v>
      </c>
      <c r="S745" t="s">
        <v>56</v>
      </c>
      <c r="T745">
        <v>0.19</v>
      </c>
      <c r="U745">
        <v>217</v>
      </c>
      <c r="V745" t="s">
        <v>55</v>
      </c>
      <c r="W745">
        <v>0.216</v>
      </c>
      <c r="X745">
        <v>1</v>
      </c>
      <c r="Y745" t="s">
        <v>47</v>
      </c>
      <c r="Z745">
        <v>0</v>
      </c>
      <c r="AA745">
        <v>164</v>
      </c>
      <c r="AB745" t="s">
        <v>47</v>
      </c>
      <c r="AC745">
        <v>0.16300000000000001</v>
      </c>
      <c r="AD745">
        <v>415</v>
      </c>
      <c r="AE745" t="s">
        <v>56</v>
      </c>
      <c r="AF745">
        <v>0.41399999999999998</v>
      </c>
      <c r="AG745">
        <v>326</v>
      </c>
      <c r="AH745" t="s">
        <v>57</v>
      </c>
      <c r="AI745">
        <v>0.32500000000000001</v>
      </c>
      <c r="AJ745" t="s">
        <v>1153</v>
      </c>
    </row>
    <row r="746" spans="1:36" x14ac:dyDescent="0.25">
      <c r="A746" t="s">
        <v>924</v>
      </c>
      <c r="B746">
        <v>872607461</v>
      </c>
      <c r="C746" t="s">
        <v>925</v>
      </c>
      <c r="D746" t="s">
        <v>925</v>
      </c>
      <c r="E746" t="s">
        <v>37</v>
      </c>
      <c r="F746" t="s">
        <v>280</v>
      </c>
      <c r="I746" t="s">
        <v>39</v>
      </c>
      <c r="J746" t="s">
        <v>40</v>
      </c>
      <c r="K746" t="s">
        <v>41</v>
      </c>
      <c r="L746" t="s">
        <v>78</v>
      </c>
      <c r="N746" t="s">
        <v>43</v>
      </c>
      <c r="O746" t="s">
        <v>138</v>
      </c>
      <c r="P746">
        <v>92</v>
      </c>
      <c r="Q746">
        <v>92</v>
      </c>
      <c r="R746">
        <v>1</v>
      </c>
      <c r="S746" t="s">
        <v>45</v>
      </c>
      <c r="T746">
        <v>0</v>
      </c>
      <c r="U746">
        <v>549</v>
      </c>
      <c r="V746" t="s">
        <v>113</v>
      </c>
      <c r="W746">
        <v>0.54800000000000004</v>
      </c>
      <c r="X746">
        <v>23001</v>
      </c>
      <c r="Y746" t="s">
        <v>47</v>
      </c>
      <c r="Z746">
        <v>23</v>
      </c>
      <c r="AA746">
        <v>644</v>
      </c>
      <c r="AB746" t="s">
        <v>75</v>
      </c>
      <c r="AC746">
        <v>0.64300000000000002</v>
      </c>
      <c r="AD746">
        <v>786</v>
      </c>
      <c r="AE746" t="s">
        <v>48</v>
      </c>
      <c r="AF746">
        <v>0.78500000000000003</v>
      </c>
      <c r="AG746">
        <v>693</v>
      </c>
      <c r="AH746" t="s">
        <v>49</v>
      </c>
      <c r="AI746">
        <v>0.69199999999999995</v>
      </c>
      <c r="AJ746" t="s">
        <v>1154</v>
      </c>
    </row>
    <row r="747" spans="1:36" x14ac:dyDescent="0.25">
      <c r="A747" t="s">
        <v>924</v>
      </c>
      <c r="B747">
        <v>872607461</v>
      </c>
      <c r="C747" t="s">
        <v>925</v>
      </c>
      <c r="D747" t="s">
        <v>925</v>
      </c>
      <c r="E747" t="s">
        <v>99</v>
      </c>
      <c r="F747" t="s">
        <v>280</v>
      </c>
      <c r="I747" t="s">
        <v>39</v>
      </c>
      <c r="J747" t="s">
        <v>40</v>
      </c>
      <c r="K747" t="s">
        <v>41</v>
      </c>
      <c r="L747" t="s">
        <v>78</v>
      </c>
      <c r="N747" t="s">
        <v>43</v>
      </c>
      <c r="O747" t="s">
        <v>139</v>
      </c>
      <c r="P747">
        <v>92</v>
      </c>
      <c r="Q747">
        <v>92</v>
      </c>
      <c r="R747">
        <v>191</v>
      </c>
      <c r="S747" t="s">
        <v>56</v>
      </c>
      <c r="T747">
        <v>0.19</v>
      </c>
      <c r="U747">
        <v>217</v>
      </c>
      <c r="V747" t="s">
        <v>55</v>
      </c>
      <c r="W747">
        <v>0.216</v>
      </c>
      <c r="X747">
        <v>1</v>
      </c>
      <c r="Y747" t="s">
        <v>47</v>
      </c>
      <c r="Z747">
        <v>0</v>
      </c>
      <c r="AA747">
        <v>164</v>
      </c>
      <c r="AB747" t="s">
        <v>47</v>
      </c>
      <c r="AC747">
        <v>0.16300000000000001</v>
      </c>
      <c r="AD747">
        <v>415</v>
      </c>
      <c r="AE747" t="s">
        <v>56</v>
      </c>
      <c r="AF747">
        <v>0.41399999999999998</v>
      </c>
      <c r="AG747">
        <v>326</v>
      </c>
      <c r="AH747" t="s">
        <v>57</v>
      </c>
      <c r="AI747">
        <v>0.32500000000000001</v>
      </c>
      <c r="AJ747" t="s">
        <v>1154</v>
      </c>
    </row>
    <row r="748" spans="1:36" x14ac:dyDescent="0.25">
      <c r="A748" t="s">
        <v>924</v>
      </c>
      <c r="B748">
        <v>872607461</v>
      </c>
      <c r="C748" t="s">
        <v>925</v>
      </c>
      <c r="D748" t="s">
        <v>925</v>
      </c>
      <c r="E748" t="s">
        <v>37</v>
      </c>
      <c r="F748" t="s">
        <v>280</v>
      </c>
      <c r="I748" t="s">
        <v>39</v>
      </c>
      <c r="J748" t="s">
        <v>40</v>
      </c>
      <c r="K748" t="s">
        <v>41</v>
      </c>
      <c r="L748" t="s">
        <v>78</v>
      </c>
      <c r="N748" t="s">
        <v>43</v>
      </c>
      <c r="O748" t="s">
        <v>138</v>
      </c>
      <c r="P748">
        <v>92</v>
      </c>
      <c r="Q748">
        <v>92</v>
      </c>
      <c r="S748" t="s">
        <v>39</v>
      </c>
      <c r="V748" t="s">
        <v>39</v>
      </c>
      <c r="X748">
        <v>23001</v>
      </c>
      <c r="Y748" t="s">
        <v>47</v>
      </c>
      <c r="Z748">
        <v>23</v>
      </c>
      <c r="AA748">
        <v>644</v>
      </c>
      <c r="AB748" t="s">
        <v>75</v>
      </c>
      <c r="AC748">
        <v>0.64300000000000002</v>
      </c>
      <c r="AD748">
        <v>786</v>
      </c>
      <c r="AE748" t="s">
        <v>48</v>
      </c>
      <c r="AF748">
        <v>0.78500000000000003</v>
      </c>
      <c r="AG748">
        <v>693</v>
      </c>
      <c r="AH748" t="s">
        <v>49</v>
      </c>
      <c r="AI748">
        <v>0.69199999999999995</v>
      </c>
      <c r="AJ748" t="s">
        <v>1155</v>
      </c>
    </row>
    <row r="749" spans="1:36" x14ac:dyDescent="0.25">
      <c r="A749" t="s">
        <v>924</v>
      </c>
      <c r="B749">
        <v>872607461</v>
      </c>
      <c r="C749" t="s">
        <v>925</v>
      </c>
      <c r="D749" t="s">
        <v>925</v>
      </c>
      <c r="E749" t="s">
        <v>99</v>
      </c>
      <c r="F749" t="s">
        <v>280</v>
      </c>
      <c r="I749" t="s">
        <v>39</v>
      </c>
      <c r="J749" t="s">
        <v>40</v>
      </c>
      <c r="K749" t="s">
        <v>41</v>
      </c>
      <c r="L749" t="s">
        <v>78</v>
      </c>
      <c r="N749" t="s">
        <v>43</v>
      </c>
      <c r="O749" t="s">
        <v>139</v>
      </c>
      <c r="P749">
        <v>92</v>
      </c>
      <c r="Q749">
        <v>92</v>
      </c>
      <c r="S749" t="s">
        <v>39</v>
      </c>
      <c r="V749" t="s">
        <v>39</v>
      </c>
      <c r="X749">
        <v>1</v>
      </c>
      <c r="Y749" t="s">
        <v>47</v>
      </c>
      <c r="Z749">
        <v>0</v>
      </c>
      <c r="AA749">
        <v>164</v>
      </c>
      <c r="AB749" t="s">
        <v>47</v>
      </c>
      <c r="AC749">
        <v>0.16300000000000001</v>
      </c>
      <c r="AD749">
        <v>415</v>
      </c>
      <c r="AE749" t="s">
        <v>56</v>
      </c>
      <c r="AF749">
        <v>0.41399999999999998</v>
      </c>
      <c r="AG749">
        <v>326</v>
      </c>
      <c r="AH749" t="s">
        <v>57</v>
      </c>
      <c r="AI749">
        <v>0.32500000000000001</v>
      </c>
      <c r="AJ749" t="s">
        <v>1155</v>
      </c>
    </row>
    <row r="750" spans="1:36" x14ac:dyDescent="0.25">
      <c r="A750" t="s">
        <v>924</v>
      </c>
      <c r="B750">
        <v>872607461</v>
      </c>
      <c r="C750" t="s">
        <v>925</v>
      </c>
      <c r="D750" t="s">
        <v>925</v>
      </c>
      <c r="E750" t="s">
        <v>37</v>
      </c>
      <c r="F750" t="s">
        <v>280</v>
      </c>
      <c r="I750" t="s">
        <v>39</v>
      </c>
      <c r="J750" t="s">
        <v>40</v>
      </c>
      <c r="K750" t="s">
        <v>41</v>
      </c>
      <c r="L750" t="s">
        <v>78</v>
      </c>
      <c r="N750" t="s">
        <v>43</v>
      </c>
      <c r="O750" t="s">
        <v>138</v>
      </c>
      <c r="P750">
        <v>92</v>
      </c>
      <c r="Q750">
        <v>92</v>
      </c>
      <c r="S750" t="s">
        <v>39</v>
      </c>
      <c r="V750" t="s">
        <v>39</v>
      </c>
      <c r="X750">
        <v>23001</v>
      </c>
      <c r="Y750" t="s">
        <v>47</v>
      </c>
      <c r="Z750">
        <v>23</v>
      </c>
      <c r="AA750">
        <v>644</v>
      </c>
      <c r="AB750" t="s">
        <v>75</v>
      </c>
      <c r="AC750">
        <v>0.64300000000000002</v>
      </c>
      <c r="AD750">
        <v>786</v>
      </c>
      <c r="AE750" t="s">
        <v>48</v>
      </c>
      <c r="AF750">
        <v>0.78500000000000003</v>
      </c>
      <c r="AG750">
        <v>693</v>
      </c>
      <c r="AH750" t="s">
        <v>49</v>
      </c>
      <c r="AI750">
        <v>0.69199999999999995</v>
      </c>
      <c r="AJ750" t="s">
        <v>1156</v>
      </c>
    </row>
    <row r="751" spans="1:36" x14ac:dyDescent="0.25">
      <c r="A751" t="s">
        <v>924</v>
      </c>
      <c r="B751">
        <v>872607461</v>
      </c>
      <c r="C751" t="s">
        <v>925</v>
      </c>
      <c r="D751" t="s">
        <v>925</v>
      </c>
      <c r="E751" t="s">
        <v>99</v>
      </c>
      <c r="F751" t="s">
        <v>280</v>
      </c>
      <c r="I751" t="s">
        <v>39</v>
      </c>
      <c r="J751" t="s">
        <v>40</v>
      </c>
      <c r="K751" t="s">
        <v>41</v>
      </c>
      <c r="L751" t="s">
        <v>78</v>
      </c>
      <c r="N751" t="s">
        <v>43</v>
      </c>
      <c r="O751" t="s">
        <v>139</v>
      </c>
      <c r="P751">
        <v>92</v>
      </c>
      <c r="Q751">
        <v>92</v>
      </c>
      <c r="S751" t="s">
        <v>39</v>
      </c>
      <c r="V751" t="s">
        <v>39</v>
      </c>
      <c r="X751">
        <v>1</v>
      </c>
      <c r="Y751" t="s">
        <v>47</v>
      </c>
      <c r="Z751">
        <v>0</v>
      </c>
      <c r="AA751">
        <v>164</v>
      </c>
      <c r="AB751" t="s">
        <v>47</v>
      </c>
      <c r="AC751">
        <v>0.16300000000000001</v>
      </c>
      <c r="AD751">
        <v>415</v>
      </c>
      <c r="AE751" t="s">
        <v>56</v>
      </c>
      <c r="AF751">
        <v>0.41399999999999998</v>
      </c>
      <c r="AG751">
        <v>326</v>
      </c>
      <c r="AH751" t="s">
        <v>57</v>
      </c>
      <c r="AI751">
        <v>0.32500000000000001</v>
      </c>
      <c r="AJ751" t="s">
        <v>1156</v>
      </c>
    </row>
    <row r="752" spans="1:36" x14ac:dyDescent="0.25">
      <c r="A752" t="s">
        <v>920</v>
      </c>
      <c r="B752">
        <v>874102582</v>
      </c>
      <c r="C752" t="s">
        <v>921</v>
      </c>
      <c r="D752" t="s">
        <v>921</v>
      </c>
      <c r="E752" t="s">
        <v>99</v>
      </c>
      <c r="F752" t="s">
        <v>111</v>
      </c>
      <c r="I752" t="s">
        <v>39</v>
      </c>
      <c r="J752" t="s">
        <v>40</v>
      </c>
      <c r="K752" t="s">
        <v>41</v>
      </c>
      <c r="L752" t="s">
        <v>89</v>
      </c>
      <c r="N752" t="s">
        <v>43</v>
      </c>
      <c r="O752" t="s">
        <v>93</v>
      </c>
      <c r="P752">
        <v>94</v>
      </c>
      <c r="Q752">
        <v>94</v>
      </c>
      <c r="R752">
        <v>871</v>
      </c>
      <c r="S752" t="s">
        <v>56</v>
      </c>
      <c r="T752">
        <v>0.87</v>
      </c>
      <c r="U752">
        <v>8</v>
      </c>
      <c r="V752" t="s">
        <v>55</v>
      </c>
      <c r="W752">
        <v>7.0000000000000001E-3</v>
      </c>
      <c r="X752">
        <v>12001</v>
      </c>
      <c r="Y752" t="s">
        <v>47</v>
      </c>
      <c r="Z752">
        <v>12</v>
      </c>
      <c r="AA752">
        <v>227</v>
      </c>
      <c r="AB752" t="s">
        <v>47</v>
      </c>
      <c r="AC752">
        <v>0.22600000000000001</v>
      </c>
      <c r="AD752">
        <v>161</v>
      </c>
      <c r="AE752" t="s">
        <v>56</v>
      </c>
      <c r="AF752">
        <v>0.16</v>
      </c>
      <c r="AG752">
        <v>3</v>
      </c>
      <c r="AH752" t="s">
        <v>103</v>
      </c>
      <c r="AI752">
        <v>2E-3</v>
      </c>
      <c r="AJ752" t="s">
        <v>50</v>
      </c>
    </row>
    <row r="753" spans="1:36" x14ac:dyDescent="0.25">
      <c r="A753" t="s">
        <v>920</v>
      </c>
      <c r="B753">
        <v>874102582</v>
      </c>
      <c r="C753" t="s">
        <v>921</v>
      </c>
      <c r="D753" t="s">
        <v>921</v>
      </c>
      <c r="E753" t="s">
        <v>99</v>
      </c>
      <c r="F753" t="s">
        <v>111</v>
      </c>
      <c r="I753" t="s">
        <v>39</v>
      </c>
      <c r="J753" t="s">
        <v>40</v>
      </c>
      <c r="K753" t="s">
        <v>41</v>
      </c>
      <c r="L753" t="s">
        <v>89</v>
      </c>
      <c r="N753" t="s">
        <v>43</v>
      </c>
      <c r="O753" t="s">
        <v>93</v>
      </c>
      <c r="P753">
        <v>94</v>
      </c>
      <c r="Q753">
        <v>94</v>
      </c>
      <c r="R753">
        <v>1001</v>
      </c>
      <c r="S753" t="s">
        <v>56</v>
      </c>
      <c r="T753">
        <v>1</v>
      </c>
      <c r="U753">
        <v>1</v>
      </c>
      <c r="V753" t="s">
        <v>55</v>
      </c>
      <c r="W753">
        <v>0</v>
      </c>
      <c r="X753">
        <v>12001</v>
      </c>
      <c r="Y753" t="s">
        <v>47</v>
      </c>
      <c r="Z753">
        <v>12</v>
      </c>
      <c r="AA753">
        <v>227</v>
      </c>
      <c r="AB753" t="s">
        <v>47</v>
      </c>
      <c r="AC753">
        <v>0.22600000000000001</v>
      </c>
      <c r="AD753">
        <v>161</v>
      </c>
      <c r="AE753" t="s">
        <v>56</v>
      </c>
      <c r="AF753">
        <v>0.16</v>
      </c>
      <c r="AG753">
        <v>3</v>
      </c>
      <c r="AH753" t="s">
        <v>103</v>
      </c>
      <c r="AI753">
        <v>2E-3</v>
      </c>
      <c r="AJ753" t="s">
        <v>1141</v>
      </c>
    </row>
    <row r="754" spans="1:36" x14ac:dyDescent="0.25">
      <c r="A754" t="s">
        <v>920</v>
      </c>
      <c r="B754">
        <v>874102582</v>
      </c>
      <c r="C754" t="s">
        <v>921</v>
      </c>
      <c r="D754" t="s">
        <v>921</v>
      </c>
      <c r="E754" t="s">
        <v>99</v>
      </c>
      <c r="F754" t="s">
        <v>111</v>
      </c>
      <c r="I754" t="s">
        <v>39</v>
      </c>
      <c r="J754" t="s">
        <v>40</v>
      </c>
      <c r="K754" t="s">
        <v>41</v>
      </c>
      <c r="L754" t="s">
        <v>89</v>
      </c>
      <c r="N754" t="s">
        <v>43</v>
      </c>
      <c r="O754" t="s">
        <v>93</v>
      </c>
      <c r="P754">
        <v>94</v>
      </c>
      <c r="Q754">
        <v>94</v>
      </c>
      <c r="R754">
        <v>871</v>
      </c>
      <c r="S754" t="s">
        <v>56</v>
      </c>
      <c r="T754">
        <v>0.87</v>
      </c>
      <c r="U754">
        <v>8</v>
      </c>
      <c r="V754" t="s">
        <v>55</v>
      </c>
      <c r="W754">
        <v>7.0000000000000001E-3</v>
      </c>
      <c r="X754">
        <v>12001</v>
      </c>
      <c r="Y754" t="s">
        <v>47</v>
      </c>
      <c r="Z754">
        <v>12</v>
      </c>
      <c r="AA754">
        <v>227</v>
      </c>
      <c r="AB754" t="s">
        <v>47</v>
      </c>
      <c r="AC754">
        <v>0.22600000000000001</v>
      </c>
      <c r="AD754">
        <v>161</v>
      </c>
      <c r="AE754" t="s">
        <v>56</v>
      </c>
      <c r="AF754">
        <v>0.16</v>
      </c>
      <c r="AG754">
        <v>3</v>
      </c>
      <c r="AH754" t="s">
        <v>103</v>
      </c>
      <c r="AI754">
        <v>2E-3</v>
      </c>
      <c r="AJ754" t="s">
        <v>1153</v>
      </c>
    </row>
    <row r="755" spans="1:36" x14ac:dyDescent="0.25">
      <c r="A755" t="s">
        <v>920</v>
      </c>
      <c r="B755">
        <v>874102582</v>
      </c>
      <c r="C755" t="s">
        <v>921</v>
      </c>
      <c r="D755" t="s">
        <v>921</v>
      </c>
      <c r="E755" t="s">
        <v>99</v>
      </c>
      <c r="F755" t="s">
        <v>111</v>
      </c>
      <c r="I755" t="s">
        <v>39</v>
      </c>
      <c r="J755" t="s">
        <v>40</v>
      </c>
      <c r="K755" t="s">
        <v>41</v>
      </c>
      <c r="L755" t="s">
        <v>89</v>
      </c>
      <c r="N755" t="s">
        <v>43</v>
      </c>
      <c r="O755" t="s">
        <v>93</v>
      </c>
      <c r="P755">
        <v>94</v>
      </c>
      <c r="Q755">
        <v>94</v>
      </c>
      <c r="R755">
        <v>871</v>
      </c>
      <c r="S755" t="s">
        <v>56</v>
      </c>
      <c r="T755">
        <v>0.87</v>
      </c>
      <c r="U755">
        <v>8</v>
      </c>
      <c r="V755" t="s">
        <v>55</v>
      </c>
      <c r="W755">
        <v>7.0000000000000001E-3</v>
      </c>
      <c r="X755">
        <v>12001</v>
      </c>
      <c r="Y755" t="s">
        <v>47</v>
      </c>
      <c r="Z755">
        <v>12</v>
      </c>
      <c r="AA755">
        <v>227</v>
      </c>
      <c r="AB755" t="s">
        <v>47</v>
      </c>
      <c r="AC755">
        <v>0.22600000000000001</v>
      </c>
      <c r="AD755">
        <v>161</v>
      </c>
      <c r="AE755" t="s">
        <v>56</v>
      </c>
      <c r="AF755">
        <v>0.16</v>
      </c>
      <c r="AG755">
        <v>3</v>
      </c>
      <c r="AH755" t="s">
        <v>103</v>
      </c>
      <c r="AI755">
        <v>2E-3</v>
      </c>
      <c r="AJ755" t="s">
        <v>1154</v>
      </c>
    </row>
    <row r="756" spans="1:36" x14ac:dyDescent="0.25">
      <c r="A756" t="s">
        <v>920</v>
      </c>
      <c r="B756">
        <v>874102582</v>
      </c>
      <c r="C756" t="s">
        <v>921</v>
      </c>
      <c r="D756" t="s">
        <v>921</v>
      </c>
      <c r="E756" t="s">
        <v>99</v>
      </c>
      <c r="F756" t="s">
        <v>111</v>
      </c>
      <c r="I756" t="s">
        <v>39</v>
      </c>
      <c r="J756" t="s">
        <v>40</v>
      </c>
      <c r="K756" t="s">
        <v>41</v>
      </c>
      <c r="L756" t="s">
        <v>89</v>
      </c>
      <c r="N756" t="s">
        <v>43</v>
      </c>
      <c r="O756" t="s">
        <v>93</v>
      </c>
      <c r="P756">
        <v>94</v>
      </c>
      <c r="Q756">
        <v>94</v>
      </c>
      <c r="S756" t="s">
        <v>39</v>
      </c>
      <c r="V756" t="s">
        <v>39</v>
      </c>
      <c r="X756">
        <v>12001</v>
      </c>
      <c r="Y756" t="s">
        <v>47</v>
      </c>
      <c r="Z756">
        <v>12</v>
      </c>
      <c r="AA756">
        <v>227</v>
      </c>
      <c r="AB756" t="s">
        <v>47</v>
      </c>
      <c r="AC756">
        <v>0.22600000000000001</v>
      </c>
      <c r="AD756">
        <v>161</v>
      </c>
      <c r="AE756" t="s">
        <v>56</v>
      </c>
      <c r="AF756">
        <v>0.16</v>
      </c>
      <c r="AG756">
        <v>3</v>
      </c>
      <c r="AH756" t="s">
        <v>103</v>
      </c>
      <c r="AI756">
        <v>2E-3</v>
      </c>
      <c r="AJ756" t="s">
        <v>1155</v>
      </c>
    </row>
    <row r="757" spans="1:36" x14ac:dyDescent="0.25">
      <c r="A757" t="s">
        <v>920</v>
      </c>
      <c r="B757">
        <v>874102582</v>
      </c>
      <c r="C757" t="s">
        <v>921</v>
      </c>
      <c r="D757" t="s">
        <v>921</v>
      </c>
      <c r="E757" t="s">
        <v>99</v>
      </c>
      <c r="F757" t="s">
        <v>111</v>
      </c>
      <c r="I757" t="s">
        <v>39</v>
      </c>
      <c r="J757" t="s">
        <v>40</v>
      </c>
      <c r="K757" t="s">
        <v>41</v>
      </c>
      <c r="L757" t="s">
        <v>89</v>
      </c>
      <c r="N757" t="s">
        <v>43</v>
      </c>
      <c r="O757" t="s">
        <v>93</v>
      </c>
      <c r="P757">
        <v>94</v>
      </c>
      <c r="Q757">
        <v>94</v>
      </c>
      <c r="S757" t="s">
        <v>39</v>
      </c>
      <c r="V757" t="s">
        <v>39</v>
      </c>
      <c r="X757">
        <v>12001</v>
      </c>
      <c r="Y757" t="s">
        <v>47</v>
      </c>
      <c r="Z757">
        <v>12</v>
      </c>
      <c r="AA757">
        <v>227</v>
      </c>
      <c r="AB757" t="s">
        <v>47</v>
      </c>
      <c r="AC757">
        <v>0.22600000000000001</v>
      </c>
      <c r="AD757">
        <v>161</v>
      </c>
      <c r="AE757" t="s">
        <v>56</v>
      </c>
      <c r="AF757">
        <v>0.16</v>
      </c>
      <c r="AG757">
        <v>3</v>
      </c>
      <c r="AH757" t="s">
        <v>103</v>
      </c>
      <c r="AI757">
        <v>2E-3</v>
      </c>
      <c r="AJ757" t="s">
        <v>1156</v>
      </c>
    </row>
    <row r="758" spans="1:36" x14ac:dyDescent="0.25">
      <c r="A758" t="s">
        <v>922</v>
      </c>
      <c r="B758">
        <v>881529975</v>
      </c>
      <c r="C758" t="s">
        <v>923</v>
      </c>
      <c r="D758" t="s">
        <v>923</v>
      </c>
      <c r="E758" t="s">
        <v>60</v>
      </c>
      <c r="F758" t="s">
        <v>88</v>
      </c>
      <c r="I758" t="s">
        <v>39</v>
      </c>
      <c r="J758" t="s">
        <v>40</v>
      </c>
      <c r="K758" t="s">
        <v>41</v>
      </c>
      <c r="L758" t="s">
        <v>42</v>
      </c>
      <c r="N758" t="s">
        <v>43</v>
      </c>
      <c r="O758" t="s">
        <v>229</v>
      </c>
      <c r="P758">
        <v>94</v>
      </c>
      <c r="Q758">
        <v>94</v>
      </c>
      <c r="R758">
        <v>81</v>
      </c>
      <c r="S758" t="s">
        <v>56</v>
      </c>
      <c r="T758">
        <v>0.08</v>
      </c>
      <c r="U758">
        <v>218</v>
      </c>
      <c r="V758" t="s">
        <v>55</v>
      </c>
      <c r="W758">
        <v>0.217</v>
      </c>
      <c r="X758">
        <v>18001</v>
      </c>
      <c r="Y758" t="s">
        <v>47</v>
      </c>
      <c r="Z758">
        <v>18</v>
      </c>
      <c r="AA758">
        <v>220</v>
      </c>
      <c r="AB758" t="s">
        <v>47</v>
      </c>
      <c r="AC758">
        <v>0.219</v>
      </c>
      <c r="AD758">
        <v>567</v>
      </c>
      <c r="AE758" t="s">
        <v>48</v>
      </c>
      <c r="AF758">
        <v>0.56599999999999995</v>
      </c>
      <c r="AG758">
        <v>337</v>
      </c>
      <c r="AH758" t="s">
        <v>57</v>
      </c>
      <c r="AI758">
        <v>0.33600000000000002</v>
      </c>
      <c r="AJ758" t="s">
        <v>50</v>
      </c>
    </row>
    <row r="759" spans="1:36" x14ac:dyDescent="0.25">
      <c r="A759" t="s">
        <v>922</v>
      </c>
      <c r="B759">
        <v>881529975</v>
      </c>
      <c r="C759" t="s">
        <v>923</v>
      </c>
      <c r="D759" t="s">
        <v>923</v>
      </c>
      <c r="E759" t="s">
        <v>60</v>
      </c>
      <c r="F759" t="s">
        <v>88</v>
      </c>
      <c r="I759" t="s">
        <v>39</v>
      </c>
      <c r="J759" t="s">
        <v>40</v>
      </c>
      <c r="K759" t="s">
        <v>41</v>
      </c>
      <c r="L759" t="s">
        <v>42</v>
      </c>
      <c r="N759" t="s">
        <v>43</v>
      </c>
      <c r="O759" t="s">
        <v>229</v>
      </c>
      <c r="P759">
        <v>94</v>
      </c>
      <c r="Q759">
        <v>94</v>
      </c>
      <c r="R759">
        <v>1</v>
      </c>
      <c r="S759" t="s">
        <v>45</v>
      </c>
      <c r="T759">
        <v>0</v>
      </c>
      <c r="U759">
        <v>24</v>
      </c>
      <c r="V759" t="s">
        <v>55</v>
      </c>
      <c r="W759">
        <v>2.3E-2</v>
      </c>
      <c r="X759">
        <v>18001</v>
      </c>
      <c r="Y759" t="s">
        <v>47</v>
      </c>
      <c r="Z759">
        <v>18</v>
      </c>
      <c r="AA759">
        <v>220</v>
      </c>
      <c r="AB759" t="s">
        <v>47</v>
      </c>
      <c r="AC759">
        <v>0.219</v>
      </c>
      <c r="AD759">
        <v>567</v>
      </c>
      <c r="AE759" t="s">
        <v>48</v>
      </c>
      <c r="AF759">
        <v>0.56599999999999995</v>
      </c>
      <c r="AG759">
        <v>337</v>
      </c>
      <c r="AH759" t="s">
        <v>57</v>
      </c>
      <c r="AI759">
        <v>0.33600000000000002</v>
      </c>
      <c r="AJ759" t="s">
        <v>1141</v>
      </c>
    </row>
    <row r="760" spans="1:36" x14ac:dyDescent="0.25">
      <c r="A760" t="s">
        <v>922</v>
      </c>
      <c r="B760">
        <v>881529975</v>
      </c>
      <c r="C760" t="s">
        <v>923</v>
      </c>
      <c r="D760" t="s">
        <v>923</v>
      </c>
      <c r="E760" t="s">
        <v>60</v>
      </c>
      <c r="F760" t="s">
        <v>88</v>
      </c>
      <c r="I760" t="s">
        <v>39</v>
      </c>
      <c r="J760" t="s">
        <v>40</v>
      </c>
      <c r="K760" t="s">
        <v>41</v>
      </c>
      <c r="L760" t="s">
        <v>42</v>
      </c>
      <c r="N760" t="s">
        <v>43</v>
      </c>
      <c r="O760" t="s">
        <v>229</v>
      </c>
      <c r="P760">
        <v>94</v>
      </c>
      <c r="Q760">
        <v>94</v>
      </c>
      <c r="R760">
        <v>81</v>
      </c>
      <c r="S760" t="s">
        <v>56</v>
      </c>
      <c r="T760">
        <v>0.08</v>
      </c>
      <c r="U760">
        <v>218</v>
      </c>
      <c r="V760" t="s">
        <v>55</v>
      </c>
      <c r="W760">
        <v>0.217</v>
      </c>
      <c r="X760">
        <v>18001</v>
      </c>
      <c r="Y760" t="s">
        <v>47</v>
      </c>
      <c r="Z760">
        <v>18</v>
      </c>
      <c r="AA760">
        <v>220</v>
      </c>
      <c r="AB760" t="s">
        <v>47</v>
      </c>
      <c r="AC760">
        <v>0.219</v>
      </c>
      <c r="AD760">
        <v>567</v>
      </c>
      <c r="AE760" t="s">
        <v>48</v>
      </c>
      <c r="AF760">
        <v>0.56599999999999995</v>
      </c>
      <c r="AG760">
        <v>337</v>
      </c>
      <c r="AH760" t="s">
        <v>57</v>
      </c>
      <c r="AI760">
        <v>0.33600000000000002</v>
      </c>
      <c r="AJ760" t="s">
        <v>1153</v>
      </c>
    </row>
    <row r="761" spans="1:36" x14ac:dyDescent="0.25">
      <c r="A761" t="s">
        <v>922</v>
      </c>
      <c r="B761">
        <v>881529975</v>
      </c>
      <c r="C761" t="s">
        <v>923</v>
      </c>
      <c r="D761" t="s">
        <v>923</v>
      </c>
      <c r="E761" t="s">
        <v>60</v>
      </c>
      <c r="F761" t="s">
        <v>88</v>
      </c>
      <c r="I761" t="s">
        <v>39</v>
      </c>
      <c r="J761" t="s">
        <v>40</v>
      </c>
      <c r="K761" t="s">
        <v>41</v>
      </c>
      <c r="L761" t="s">
        <v>42</v>
      </c>
      <c r="N761" t="s">
        <v>43</v>
      </c>
      <c r="O761" t="s">
        <v>229</v>
      </c>
      <c r="P761">
        <v>94</v>
      </c>
      <c r="Q761">
        <v>94</v>
      </c>
      <c r="R761">
        <v>81</v>
      </c>
      <c r="S761" t="s">
        <v>56</v>
      </c>
      <c r="T761">
        <v>0.08</v>
      </c>
      <c r="U761">
        <v>218</v>
      </c>
      <c r="V761" t="s">
        <v>55</v>
      </c>
      <c r="W761">
        <v>0.217</v>
      </c>
      <c r="X761">
        <v>18001</v>
      </c>
      <c r="Y761" t="s">
        <v>47</v>
      </c>
      <c r="Z761">
        <v>18</v>
      </c>
      <c r="AA761">
        <v>220</v>
      </c>
      <c r="AB761" t="s">
        <v>47</v>
      </c>
      <c r="AC761">
        <v>0.219</v>
      </c>
      <c r="AD761">
        <v>567</v>
      </c>
      <c r="AE761" t="s">
        <v>48</v>
      </c>
      <c r="AF761">
        <v>0.56599999999999995</v>
      </c>
      <c r="AG761">
        <v>337</v>
      </c>
      <c r="AH761" t="s">
        <v>57</v>
      </c>
      <c r="AI761">
        <v>0.33600000000000002</v>
      </c>
      <c r="AJ761" t="s">
        <v>1154</v>
      </c>
    </row>
    <row r="762" spans="1:36" x14ac:dyDescent="0.25">
      <c r="A762" t="s">
        <v>922</v>
      </c>
      <c r="B762">
        <v>881529975</v>
      </c>
      <c r="C762" t="s">
        <v>923</v>
      </c>
      <c r="D762" t="s">
        <v>923</v>
      </c>
      <c r="E762" t="s">
        <v>60</v>
      </c>
      <c r="F762" t="s">
        <v>88</v>
      </c>
      <c r="I762" t="s">
        <v>39</v>
      </c>
      <c r="J762" t="s">
        <v>40</v>
      </c>
      <c r="K762" t="s">
        <v>41</v>
      </c>
      <c r="L762" t="s">
        <v>42</v>
      </c>
      <c r="N762" t="s">
        <v>43</v>
      </c>
      <c r="O762" t="s">
        <v>229</v>
      </c>
      <c r="P762">
        <v>94</v>
      </c>
      <c r="Q762">
        <v>94</v>
      </c>
      <c r="S762" t="s">
        <v>39</v>
      </c>
      <c r="V762" t="s">
        <v>39</v>
      </c>
      <c r="X762">
        <v>18001</v>
      </c>
      <c r="Y762" t="s">
        <v>47</v>
      </c>
      <c r="Z762">
        <v>18</v>
      </c>
      <c r="AA762">
        <v>220</v>
      </c>
      <c r="AB762" t="s">
        <v>47</v>
      </c>
      <c r="AC762">
        <v>0.219</v>
      </c>
      <c r="AD762">
        <v>567</v>
      </c>
      <c r="AE762" t="s">
        <v>48</v>
      </c>
      <c r="AF762">
        <v>0.56599999999999995</v>
      </c>
      <c r="AG762">
        <v>337</v>
      </c>
      <c r="AH762" t="s">
        <v>57</v>
      </c>
      <c r="AI762">
        <v>0.33600000000000002</v>
      </c>
      <c r="AJ762" t="s">
        <v>1155</v>
      </c>
    </row>
    <row r="763" spans="1:36" x14ac:dyDescent="0.25">
      <c r="A763" t="s">
        <v>922</v>
      </c>
      <c r="B763">
        <v>881529975</v>
      </c>
      <c r="C763" t="s">
        <v>923</v>
      </c>
      <c r="D763" t="s">
        <v>923</v>
      </c>
      <c r="E763" t="s">
        <v>60</v>
      </c>
      <c r="F763" t="s">
        <v>88</v>
      </c>
      <c r="I763" t="s">
        <v>39</v>
      </c>
      <c r="J763" t="s">
        <v>40</v>
      </c>
      <c r="K763" t="s">
        <v>41</v>
      </c>
      <c r="L763" t="s">
        <v>42</v>
      </c>
      <c r="N763" t="s">
        <v>43</v>
      </c>
      <c r="O763" t="s">
        <v>229</v>
      </c>
      <c r="P763">
        <v>94</v>
      </c>
      <c r="Q763">
        <v>94</v>
      </c>
      <c r="S763" t="s">
        <v>39</v>
      </c>
      <c r="V763" t="s">
        <v>39</v>
      </c>
      <c r="X763">
        <v>18001</v>
      </c>
      <c r="Y763" t="s">
        <v>47</v>
      </c>
      <c r="Z763">
        <v>18</v>
      </c>
      <c r="AA763">
        <v>220</v>
      </c>
      <c r="AB763" t="s">
        <v>47</v>
      </c>
      <c r="AC763">
        <v>0.219</v>
      </c>
      <c r="AD763">
        <v>567</v>
      </c>
      <c r="AE763" t="s">
        <v>48</v>
      </c>
      <c r="AF763">
        <v>0.56599999999999995</v>
      </c>
      <c r="AG763">
        <v>337</v>
      </c>
      <c r="AH763" t="s">
        <v>57</v>
      </c>
      <c r="AI763">
        <v>0.33600000000000002</v>
      </c>
      <c r="AJ763" t="s">
        <v>1156</v>
      </c>
    </row>
    <row r="764" spans="1:36" x14ac:dyDescent="0.25">
      <c r="A764" t="s">
        <v>918</v>
      </c>
      <c r="B764">
        <v>865230525</v>
      </c>
      <c r="C764" t="s">
        <v>919</v>
      </c>
      <c r="D764" t="s">
        <v>919</v>
      </c>
      <c r="E764" t="s">
        <v>60</v>
      </c>
      <c r="F764" t="s">
        <v>88</v>
      </c>
      <c r="I764" t="s">
        <v>39</v>
      </c>
      <c r="J764" t="s">
        <v>40</v>
      </c>
      <c r="K764" t="s">
        <v>41</v>
      </c>
      <c r="L764" t="s">
        <v>173</v>
      </c>
      <c r="N764" t="s">
        <v>43</v>
      </c>
      <c r="O764" t="s">
        <v>295</v>
      </c>
      <c r="P764">
        <v>95</v>
      </c>
      <c r="Q764">
        <v>95</v>
      </c>
      <c r="R764">
        <v>571</v>
      </c>
      <c r="S764" t="s">
        <v>56</v>
      </c>
      <c r="T764">
        <v>0.56999999999999995</v>
      </c>
      <c r="U764">
        <v>8</v>
      </c>
      <c r="V764" t="s">
        <v>55</v>
      </c>
      <c r="W764">
        <v>7.0000000000000001E-3</v>
      </c>
      <c r="X764">
        <v>15001</v>
      </c>
      <c r="Y764" t="s">
        <v>47</v>
      </c>
      <c r="Z764">
        <v>15</v>
      </c>
      <c r="AA764">
        <v>88</v>
      </c>
      <c r="AB764" t="s">
        <v>47</v>
      </c>
      <c r="AC764">
        <v>8.6999999999999994E-2</v>
      </c>
      <c r="AD764">
        <v>385</v>
      </c>
      <c r="AE764" t="s">
        <v>56</v>
      </c>
      <c r="AF764">
        <v>0.38400000000000001</v>
      </c>
      <c r="AG764">
        <v>186</v>
      </c>
      <c r="AH764" t="s">
        <v>103</v>
      </c>
      <c r="AI764">
        <v>0.185</v>
      </c>
      <c r="AJ764" t="s">
        <v>50</v>
      </c>
    </row>
    <row r="765" spans="1:36" x14ac:dyDescent="0.25">
      <c r="A765" t="s">
        <v>918</v>
      </c>
      <c r="B765">
        <v>865230525</v>
      </c>
      <c r="C765" t="s">
        <v>919</v>
      </c>
      <c r="D765" t="s">
        <v>919</v>
      </c>
      <c r="E765" t="s">
        <v>60</v>
      </c>
      <c r="F765" t="s">
        <v>88</v>
      </c>
      <c r="I765" t="s">
        <v>39</v>
      </c>
      <c r="J765" t="s">
        <v>40</v>
      </c>
      <c r="K765" t="s">
        <v>41</v>
      </c>
      <c r="L765" t="s">
        <v>173</v>
      </c>
      <c r="N765" t="s">
        <v>43</v>
      </c>
      <c r="O765" t="s">
        <v>295</v>
      </c>
      <c r="P765">
        <v>95</v>
      </c>
      <c r="Q765">
        <v>95</v>
      </c>
      <c r="R765">
        <v>181</v>
      </c>
      <c r="S765" t="s">
        <v>56</v>
      </c>
      <c r="T765">
        <v>0.18</v>
      </c>
      <c r="U765">
        <v>6</v>
      </c>
      <c r="V765" t="s">
        <v>55</v>
      </c>
      <c r="W765">
        <v>5.0000000000000001E-3</v>
      </c>
      <c r="X765">
        <v>15001</v>
      </c>
      <c r="Y765" t="s">
        <v>47</v>
      </c>
      <c r="Z765">
        <v>15</v>
      </c>
      <c r="AA765">
        <v>88</v>
      </c>
      <c r="AB765" t="s">
        <v>47</v>
      </c>
      <c r="AC765">
        <v>8.6999999999999994E-2</v>
      </c>
      <c r="AD765">
        <v>385</v>
      </c>
      <c r="AE765" t="s">
        <v>56</v>
      </c>
      <c r="AF765">
        <v>0.38400000000000001</v>
      </c>
      <c r="AG765">
        <v>186</v>
      </c>
      <c r="AH765" t="s">
        <v>103</v>
      </c>
      <c r="AI765">
        <v>0.185</v>
      </c>
      <c r="AJ765" t="s">
        <v>1141</v>
      </c>
    </row>
    <row r="766" spans="1:36" x14ac:dyDescent="0.25">
      <c r="A766" t="s">
        <v>918</v>
      </c>
      <c r="B766">
        <v>865230525</v>
      </c>
      <c r="C766" t="s">
        <v>919</v>
      </c>
      <c r="D766" t="s">
        <v>919</v>
      </c>
      <c r="E766" t="s">
        <v>60</v>
      </c>
      <c r="F766" t="s">
        <v>88</v>
      </c>
      <c r="I766" t="s">
        <v>39</v>
      </c>
      <c r="J766" t="s">
        <v>40</v>
      </c>
      <c r="K766" t="s">
        <v>41</v>
      </c>
      <c r="L766" t="s">
        <v>173</v>
      </c>
      <c r="N766" t="s">
        <v>43</v>
      </c>
      <c r="O766" t="s">
        <v>295</v>
      </c>
      <c r="P766">
        <v>95</v>
      </c>
      <c r="Q766">
        <v>95</v>
      </c>
      <c r="R766">
        <v>571</v>
      </c>
      <c r="S766" t="s">
        <v>56</v>
      </c>
      <c r="T766">
        <v>0.56999999999999995</v>
      </c>
      <c r="U766">
        <v>8</v>
      </c>
      <c r="V766" t="s">
        <v>55</v>
      </c>
      <c r="W766">
        <v>7.0000000000000001E-3</v>
      </c>
      <c r="X766">
        <v>15001</v>
      </c>
      <c r="Y766" t="s">
        <v>47</v>
      </c>
      <c r="Z766">
        <v>15</v>
      </c>
      <c r="AA766">
        <v>88</v>
      </c>
      <c r="AB766" t="s">
        <v>47</v>
      </c>
      <c r="AC766">
        <v>8.6999999999999994E-2</v>
      </c>
      <c r="AD766">
        <v>385</v>
      </c>
      <c r="AE766" t="s">
        <v>56</v>
      </c>
      <c r="AF766">
        <v>0.38400000000000001</v>
      </c>
      <c r="AG766">
        <v>186</v>
      </c>
      <c r="AH766" t="s">
        <v>103</v>
      </c>
      <c r="AI766">
        <v>0.185</v>
      </c>
      <c r="AJ766" t="s">
        <v>1153</v>
      </c>
    </row>
    <row r="767" spans="1:36" x14ac:dyDescent="0.25">
      <c r="A767" t="s">
        <v>918</v>
      </c>
      <c r="B767">
        <v>865230525</v>
      </c>
      <c r="C767" t="s">
        <v>919</v>
      </c>
      <c r="D767" t="s">
        <v>919</v>
      </c>
      <c r="E767" t="s">
        <v>60</v>
      </c>
      <c r="F767" t="s">
        <v>88</v>
      </c>
      <c r="I767" t="s">
        <v>39</v>
      </c>
      <c r="J767" t="s">
        <v>40</v>
      </c>
      <c r="K767" t="s">
        <v>41</v>
      </c>
      <c r="L767" t="s">
        <v>173</v>
      </c>
      <c r="N767" t="s">
        <v>43</v>
      </c>
      <c r="O767" t="s">
        <v>295</v>
      </c>
      <c r="P767">
        <v>95</v>
      </c>
      <c r="Q767">
        <v>95</v>
      </c>
      <c r="R767">
        <v>571</v>
      </c>
      <c r="S767" t="s">
        <v>56</v>
      </c>
      <c r="T767">
        <v>0.56999999999999995</v>
      </c>
      <c r="U767">
        <v>8</v>
      </c>
      <c r="V767" t="s">
        <v>55</v>
      </c>
      <c r="W767">
        <v>7.0000000000000001E-3</v>
      </c>
      <c r="X767">
        <v>15001</v>
      </c>
      <c r="Y767" t="s">
        <v>47</v>
      </c>
      <c r="Z767">
        <v>15</v>
      </c>
      <c r="AA767">
        <v>88</v>
      </c>
      <c r="AB767" t="s">
        <v>47</v>
      </c>
      <c r="AC767">
        <v>8.6999999999999994E-2</v>
      </c>
      <c r="AD767">
        <v>385</v>
      </c>
      <c r="AE767" t="s">
        <v>56</v>
      </c>
      <c r="AF767">
        <v>0.38400000000000001</v>
      </c>
      <c r="AG767">
        <v>186</v>
      </c>
      <c r="AH767" t="s">
        <v>103</v>
      </c>
      <c r="AI767">
        <v>0.185</v>
      </c>
      <c r="AJ767" t="s">
        <v>1154</v>
      </c>
    </row>
    <row r="768" spans="1:36" x14ac:dyDescent="0.25">
      <c r="A768" t="s">
        <v>918</v>
      </c>
      <c r="B768">
        <v>865230525</v>
      </c>
      <c r="C768" t="s">
        <v>919</v>
      </c>
      <c r="D768" t="s">
        <v>919</v>
      </c>
      <c r="E768" t="s">
        <v>60</v>
      </c>
      <c r="F768" t="s">
        <v>88</v>
      </c>
      <c r="I768" t="s">
        <v>39</v>
      </c>
      <c r="J768" t="s">
        <v>40</v>
      </c>
      <c r="K768" t="s">
        <v>41</v>
      </c>
      <c r="L768" t="s">
        <v>173</v>
      </c>
      <c r="N768" t="s">
        <v>43</v>
      </c>
      <c r="O768" t="s">
        <v>295</v>
      </c>
      <c r="P768">
        <v>95</v>
      </c>
      <c r="Q768">
        <v>95</v>
      </c>
      <c r="S768" t="s">
        <v>39</v>
      </c>
      <c r="V768" t="s">
        <v>39</v>
      </c>
      <c r="X768">
        <v>15001</v>
      </c>
      <c r="Y768" t="s">
        <v>47</v>
      </c>
      <c r="Z768">
        <v>15</v>
      </c>
      <c r="AA768">
        <v>88</v>
      </c>
      <c r="AB768" t="s">
        <v>47</v>
      </c>
      <c r="AC768">
        <v>8.6999999999999994E-2</v>
      </c>
      <c r="AD768">
        <v>385</v>
      </c>
      <c r="AE768" t="s">
        <v>56</v>
      </c>
      <c r="AF768">
        <v>0.38400000000000001</v>
      </c>
      <c r="AG768">
        <v>186</v>
      </c>
      <c r="AH768" t="s">
        <v>103</v>
      </c>
      <c r="AI768">
        <v>0.185</v>
      </c>
      <c r="AJ768" t="s">
        <v>1155</v>
      </c>
    </row>
    <row r="769" spans="1:36" x14ac:dyDescent="0.25">
      <c r="A769" t="s">
        <v>918</v>
      </c>
      <c r="B769">
        <v>865230525</v>
      </c>
      <c r="C769" t="s">
        <v>919</v>
      </c>
      <c r="D769" t="s">
        <v>919</v>
      </c>
      <c r="E769" t="s">
        <v>60</v>
      </c>
      <c r="F769" t="s">
        <v>88</v>
      </c>
      <c r="I769" t="s">
        <v>39</v>
      </c>
      <c r="J769" t="s">
        <v>40</v>
      </c>
      <c r="K769" t="s">
        <v>41</v>
      </c>
      <c r="L769" t="s">
        <v>173</v>
      </c>
      <c r="N769" t="s">
        <v>43</v>
      </c>
      <c r="O769" t="s">
        <v>295</v>
      </c>
      <c r="P769">
        <v>95</v>
      </c>
      <c r="Q769">
        <v>95</v>
      </c>
      <c r="S769" t="s">
        <v>39</v>
      </c>
      <c r="V769" t="s">
        <v>39</v>
      </c>
      <c r="X769">
        <v>15001</v>
      </c>
      <c r="Y769" t="s">
        <v>47</v>
      </c>
      <c r="Z769">
        <v>15</v>
      </c>
      <c r="AA769">
        <v>88</v>
      </c>
      <c r="AB769" t="s">
        <v>47</v>
      </c>
      <c r="AC769">
        <v>8.6999999999999994E-2</v>
      </c>
      <c r="AD769">
        <v>385</v>
      </c>
      <c r="AE769" t="s">
        <v>56</v>
      </c>
      <c r="AF769">
        <v>0.38400000000000001</v>
      </c>
      <c r="AG769">
        <v>186</v>
      </c>
      <c r="AH769" t="s">
        <v>103</v>
      </c>
      <c r="AI769">
        <v>0.185</v>
      </c>
      <c r="AJ769" t="s">
        <v>1156</v>
      </c>
    </row>
    <row r="770" spans="1:36" x14ac:dyDescent="0.25">
      <c r="A770" t="s">
        <v>916</v>
      </c>
      <c r="B770">
        <v>853205597</v>
      </c>
      <c r="C770" t="s">
        <v>917</v>
      </c>
      <c r="D770" t="s">
        <v>917</v>
      </c>
      <c r="E770" t="s">
        <v>60</v>
      </c>
      <c r="F770" t="s">
        <v>122</v>
      </c>
      <c r="I770" t="s">
        <v>39</v>
      </c>
      <c r="J770" t="s">
        <v>40</v>
      </c>
      <c r="K770" t="s">
        <v>41</v>
      </c>
      <c r="L770" t="s">
        <v>78</v>
      </c>
      <c r="N770" t="s">
        <v>43</v>
      </c>
      <c r="O770" t="s">
        <v>283</v>
      </c>
      <c r="P770">
        <v>95</v>
      </c>
      <c r="Q770">
        <v>95</v>
      </c>
      <c r="R770">
        <v>271</v>
      </c>
      <c r="S770" t="s">
        <v>56</v>
      </c>
      <c r="T770">
        <v>0.27</v>
      </c>
      <c r="U770">
        <v>23</v>
      </c>
      <c r="V770" t="s">
        <v>55</v>
      </c>
      <c r="W770">
        <v>2.1999999999999999E-2</v>
      </c>
      <c r="X770">
        <v>10001</v>
      </c>
      <c r="Y770" t="s">
        <v>47</v>
      </c>
      <c r="Z770">
        <v>10</v>
      </c>
      <c r="AA770">
        <v>130</v>
      </c>
      <c r="AB770" t="s">
        <v>47</v>
      </c>
      <c r="AC770">
        <v>0.129</v>
      </c>
      <c r="AD770">
        <v>436</v>
      </c>
      <c r="AE770" t="s">
        <v>56</v>
      </c>
      <c r="AF770">
        <v>0.435</v>
      </c>
      <c r="AG770">
        <v>396</v>
      </c>
      <c r="AH770" t="s">
        <v>57</v>
      </c>
      <c r="AI770">
        <v>0.39500000000000002</v>
      </c>
      <c r="AJ770" t="s">
        <v>50</v>
      </c>
    </row>
    <row r="771" spans="1:36" x14ac:dyDescent="0.25">
      <c r="A771" t="s">
        <v>916</v>
      </c>
      <c r="B771">
        <v>853205597</v>
      </c>
      <c r="C771" t="s">
        <v>917</v>
      </c>
      <c r="D771" t="s">
        <v>917</v>
      </c>
      <c r="E771" t="s">
        <v>60</v>
      </c>
      <c r="F771" t="s">
        <v>122</v>
      </c>
      <c r="I771" t="s">
        <v>39</v>
      </c>
      <c r="J771" t="s">
        <v>40</v>
      </c>
      <c r="K771" t="s">
        <v>41</v>
      </c>
      <c r="L771" t="s">
        <v>78</v>
      </c>
      <c r="N771" t="s">
        <v>43</v>
      </c>
      <c r="O771" t="s">
        <v>283</v>
      </c>
      <c r="P771">
        <v>95</v>
      </c>
      <c r="Q771">
        <v>95</v>
      </c>
      <c r="R771">
        <v>181</v>
      </c>
      <c r="S771" t="s">
        <v>56</v>
      </c>
      <c r="T771">
        <v>0.18</v>
      </c>
      <c r="U771">
        <v>6</v>
      </c>
      <c r="V771" t="s">
        <v>55</v>
      </c>
      <c r="W771">
        <v>5.0000000000000001E-3</v>
      </c>
      <c r="X771">
        <v>10001</v>
      </c>
      <c r="Y771" t="s">
        <v>47</v>
      </c>
      <c r="Z771">
        <v>10</v>
      </c>
      <c r="AA771">
        <v>130</v>
      </c>
      <c r="AB771" t="s">
        <v>47</v>
      </c>
      <c r="AC771">
        <v>0.129</v>
      </c>
      <c r="AD771">
        <v>436</v>
      </c>
      <c r="AE771" t="s">
        <v>56</v>
      </c>
      <c r="AF771">
        <v>0.435</v>
      </c>
      <c r="AG771">
        <v>396</v>
      </c>
      <c r="AH771" t="s">
        <v>57</v>
      </c>
      <c r="AI771">
        <v>0.39500000000000002</v>
      </c>
      <c r="AJ771" t="s">
        <v>1141</v>
      </c>
    </row>
    <row r="772" spans="1:36" x14ac:dyDescent="0.25">
      <c r="A772" t="s">
        <v>916</v>
      </c>
      <c r="B772">
        <v>853205597</v>
      </c>
      <c r="C772" t="s">
        <v>917</v>
      </c>
      <c r="D772" t="s">
        <v>917</v>
      </c>
      <c r="E772" t="s">
        <v>60</v>
      </c>
      <c r="F772" t="s">
        <v>122</v>
      </c>
      <c r="I772" t="s">
        <v>39</v>
      </c>
      <c r="J772" t="s">
        <v>40</v>
      </c>
      <c r="K772" t="s">
        <v>41</v>
      </c>
      <c r="L772" t="s">
        <v>78</v>
      </c>
      <c r="N772" t="s">
        <v>43</v>
      </c>
      <c r="O772" t="s">
        <v>283</v>
      </c>
      <c r="P772">
        <v>95</v>
      </c>
      <c r="Q772">
        <v>95</v>
      </c>
      <c r="R772">
        <v>271</v>
      </c>
      <c r="S772" t="s">
        <v>56</v>
      </c>
      <c r="T772">
        <v>0.27</v>
      </c>
      <c r="U772">
        <v>23</v>
      </c>
      <c r="V772" t="s">
        <v>55</v>
      </c>
      <c r="W772">
        <v>2.1999999999999999E-2</v>
      </c>
      <c r="X772">
        <v>10001</v>
      </c>
      <c r="Y772" t="s">
        <v>47</v>
      </c>
      <c r="Z772">
        <v>10</v>
      </c>
      <c r="AA772">
        <v>130</v>
      </c>
      <c r="AB772" t="s">
        <v>47</v>
      </c>
      <c r="AC772">
        <v>0.129</v>
      </c>
      <c r="AD772">
        <v>436</v>
      </c>
      <c r="AE772" t="s">
        <v>56</v>
      </c>
      <c r="AF772">
        <v>0.435</v>
      </c>
      <c r="AG772">
        <v>396</v>
      </c>
      <c r="AH772" t="s">
        <v>57</v>
      </c>
      <c r="AI772">
        <v>0.39500000000000002</v>
      </c>
      <c r="AJ772" t="s">
        <v>1153</v>
      </c>
    </row>
    <row r="773" spans="1:36" x14ac:dyDescent="0.25">
      <c r="A773" t="s">
        <v>916</v>
      </c>
      <c r="B773">
        <v>853205597</v>
      </c>
      <c r="C773" t="s">
        <v>917</v>
      </c>
      <c r="D773" t="s">
        <v>917</v>
      </c>
      <c r="E773" t="s">
        <v>60</v>
      </c>
      <c r="F773" t="s">
        <v>122</v>
      </c>
      <c r="I773" t="s">
        <v>39</v>
      </c>
      <c r="J773" t="s">
        <v>40</v>
      </c>
      <c r="K773" t="s">
        <v>41</v>
      </c>
      <c r="L773" t="s">
        <v>78</v>
      </c>
      <c r="N773" t="s">
        <v>43</v>
      </c>
      <c r="O773" t="s">
        <v>283</v>
      </c>
      <c r="P773">
        <v>95</v>
      </c>
      <c r="Q773">
        <v>95</v>
      </c>
      <c r="R773">
        <v>271</v>
      </c>
      <c r="S773" t="s">
        <v>56</v>
      </c>
      <c r="T773">
        <v>0.27</v>
      </c>
      <c r="U773">
        <v>23</v>
      </c>
      <c r="V773" t="s">
        <v>55</v>
      </c>
      <c r="W773">
        <v>2.1999999999999999E-2</v>
      </c>
      <c r="X773">
        <v>10001</v>
      </c>
      <c r="Y773" t="s">
        <v>47</v>
      </c>
      <c r="Z773">
        <v>10</v>
      </c>
      <c r="AA773">
        <v>130</v>
      </c>
      <c r="AB773" t="s">
        <v>47</v>
      </c>
      <c r="AC773">
        <v>0.129</v>
      </c>
      <c r="AD773">
        <v>436</v>
      </c>
      <c r="AE773" t="s">
        <v>56</v>
      </c>
      <c r="AF773">
        <v>0.435</v>
      </c>
      <c r="AG773">
        <v>396</v>
      </c>
      <c r="AH773" t="s">
        <v>57</v>
      </c>
      <c r="AI773">
        <v>0.39500000000000002</v>
      </c>
      <c r="AJ773" t="s">
        <v>1154</v>
      </c>
    </row>
    <row r="774" spans="1:36" x14ac:dyDescent="0.25">
      <c r="A774" t="s">
        <v>916</v>
      </c>
      <c r="B774">
        <v>853205597</v>
      </c>
      <c r="C774" t="s">
        <v>917</v>
      </c>
      <c r="D774" t="s">
        <v>917</v>
      </c>
      <c r="E774" t="s">
        <v>60</v>
      </c>
      <c r="F774" t="s">
        <v>122</v>
      </c>
      <c r="I774" t="s">
        <v>39</v>
      </c>
      <c r="J774" t="s">
        <v>40</v>
      </c>
      <c r="K774" t="s">
        <v>41</v>
      </c>
      <c r="L774" t="s">
        <v>78</v>
      </c>
      <c r="N774" t="s">
        <v>43</v>
      </c>
      <c r="O774" t="s">
        <v>283</v>
      </c>
      <c r="P774">
        <v>95</v>
      </c>
      <c r="Q774">
        <v>95</v>
      </c>
      <c r="S774" t="s">
        <v>39</v>
      </c>
      <c r="V774" t="s">
        <v>39</v>
      </c>
      <c r="X774">
        <v>10001</v>
      </c>
      <c r="Y774" t="s">
        <v>47</v>
      </c>
      <c r="Z774">
        <v>10</v>
      </c>
      <c r="AA774">
        <v>130</v>
      </c>
      <c r="AB774" t="s">
        <v>47</v>
      </c>
      <c r="AC774">
        <v>0.129</v>
      </c>
      <c r="AD774">
        <v>436</v>
      </c>
      <c r="AE774" t="s">
        <v>56</v>
      </c>
      <c r="AF774">
        <v>0.435</v>
      </c>
      <c r="AG774">
        <v>396</v>
      </c>
      <c r="AH774" t="s">
        <v>57</v>
      </c>
      <c r="AI774">
        <v>0.39500000000000002</v>
      </c>
      <c r="AJ774" t="s">
        <v>1155</v>
      </c>
    </row>
    <row r="775" spans="1:36" x14ac:dyDescent="0.25">
      <c r="A775" t="s">
        <v>916</v>
      </c>
      <c r="B775">
        <v>853205597</v>
      </c>
      <c r="C775" t="s">
        <v>917</v>
      </c>
      <c r="D775" t="s">
        <v>917</v>
      </c>
      <c r="E775" t="s">
        <v>60</v>
      </c>
      <c r="F775" t="s">
        <v>122</v>
      </c>
      <c r="I775" t="s">
        <v>39</v>
      </c>
      <c r="J775" t="s">
        <v>40</v>
      </c>
      <c r="K775" t="s">
        <v>41</v>
      </c>
      <c r="L775" t="s">
        <v>78</v>
      </c>
      <c r="N775" t="s">
        <v>43</v>
      </c>
      <c r="O775" t="s">
        <v>283</v>
      </c>
      <c r="P775">
        <v>95</v>
      </c>
      <c r="Q775">
        <v>95</v>
      </c>
      <c r="S775" t="s">
        <v>39</v>
      </c>
      <c r="V775" t="s">
        <v>39</v>
      </c>
      <c r="X775">
        <v>10001</v>
      </c>
      <c r="Y775" t="s">
        <v>47</v>
      </c>
      <c r="Z775">
        <v>10</v>
      </c>
      <c r="AA775">
        <v>130</v>
      </c>
      <c r="AB775" t="s">
        <v>47</v>
      </c>
      <c r="AC775">
        <v>0.129</v>
      </c>
      <c r="AD775">
        <v>436</v>
      </c>
      <c r="AE775" t="s">
        <v>56</v>
      </c>
      <c r="AF775">
        <v>0.435</v>
      </c>
      <c r="AG775">
        <v>396</v>
      </c>
      <c r="AH775" t="s">
        <v>57</v>
      </c>
      <c r="AI775">
        <v>0.39500000000000002</v>
      </c>
      <c r="AJ775" t="s">
        <v>1156</v>
      </c>
    </row>
    <row r="776" spans="1:36" x14ac:dyDescent="0.25">
      <c r="A776" t="s">
        <v>912</v>
      </c>
      <c r="B776">
        <v>870610844</v>
      </c>
      <c r="C776" t="s">
        <v>913</v>
      </c>
      <c r="D776" t="s">
        <v>913</v>
      </c>
      <c r="E776" t="s">
        <v>37</v>
      </c>
      <c r="F776" t="s">
        <v>71</v>
      </c>
      <c r="I776" t="s">
        <v>39</v>
      </c>
      <c r="J776" t="s">
        <v>40</v>
      </c>
      <c r="K776" t="s">
        <v>41</v>
      </c>
      <c r="L776" t="s">
        <v>42</v>
      </c>
      <c r="N776" t="s">
        <v>43</v>
      </c>
      <c r="O776" t="s">
        <v>138</v>
      </c>
      <c r="P776">
        <v>96</v>
      </c>
      <c r="Q776">
        <v>96</v>
      </c>
      <c r="R776">
        <v>1</v>
      </c>
      <c r="S776" t="s">
        <v>45</v>
      </c>
      <c r="T776">
        <v>0</v>
      </c>
      <c r="U776">
        <v>998</v>
      </c>
      <c r="V776" t="s">
        <v>46</v>
      </c>
      <c r="W776">
        <v>0.997</v>
      </c>
      <c r="X776">
        <v>24001</v>
      </c>
      <c r="Y776" t="s">
        <v>47</v>
      </c>
      <c r="Z776">
        <v>24</v>
      </c>
      <c r="AA776">
        <v>758</v>
      </c>
      <c r="AB776" t="s">
        <v>75</v>
      </c>
      <c r="AC776">
        <v>0.75700000000000001</v>
      </c>
      <c r="AD776">
        <v>927</v>
      </c>
      <c r="AE776" t="s">
        <v>48</v>
      </c>
      <c r="AF776">
        <v>0.92600000000000005</v>
      </c>
      <c r="AG776">
        <v>985</v>
      </c>
      <c r="AH776" t="s">
        <v>80</v>
      </c>
      <c r="AI776">
        <v>0.98399999999999999</v>
      </c>
      <c r="AJ776" t="s">
        <v>50</v>
      </c>
    </row>
    <row r="777" spans="1:36" x14ac:dyDescent="0.25">
      <c r="A777" t="s">
        <v>912</v>
      </c>
      <c r="B777">
        <v>870610844</v>
      </c>
      <c r="C777" t="s">
        <v>913</v>
      </c>
      <c r="D777" t="s">
        <v>913</v>
      </c>
      <c r="E777" t="s">
        <v>37</v>
      </c>
      <c r="F777" t="s">
        <v>71</v>
      </c>
      <c r="I777" t="s">
        <v>39</v>
      </c>
      <c r="J777" t="s">
        <v>40</v>
      </c>
      <c r="K777" t="s">
        <v>41</v>
      </c>
      <c r="L777" t="s">
        <v>42</v>
      </c>
      <c r="N777" t="s">
        <v>43</v>
      </c>
      <c r="O777" t="s">
        <v>138</v>
      </c>
      <c r="P777">
        <v>96</v>
      </c>
      <c r="Q777">
        <v>96</v>
      </c>
      <c r="R777">
        <v>1</v>
      </c>
      <c r="S777" t="s">
        <v>45</v>
      </c>
      <c r="T777">
        <v>0</v>
      </c>
      <c r="U777">
        <v>985</v>
      </c>
      <c r="V777" t="s">
        <v>46</v>
      </c>
      <c r="W777">
        <v>0.98399999999999999</v>
      </c>
      <c r="X777">
        <v>24001</v>
      </c>
      <c r="Y777" t="s">
        <v>47</v>
      </c>
      <c r="Z777">
        <v>24</v>
      </c>
      <c r="AA777">
        <v>758</v>
      </c>
      <c r="AB777" t="s">
        <v>75</v>
      </c>
      <c r="AC777">
        <v>0.75700000000000001</v>
      </c>
      <c r="AD777">
        <v>927</v>
      </c>
      <c r="AE777" t="s">
        <v>48</v>
      </c>
      <c r="AF777">
        <v>0.92600000000000005</v>
      </c>
      <c r="AG777">
        <v>985</v>
      </c>
      <c r="AH777" t="s">
        <v>80</v>
      </c>
      <c r="AI777">
        <v>0.98399999999999999</v>
      </c>
      <c r="AJ777" t="s">
        <v>1141</v>
      </c>
    </row>
    <row r="778" spans="1:36" x14ac:dyDescent="0.25">
      <c r="A778" t="s">
        <v>912</v>
      </c>
      <c r="B778">
        <v>870610844</v>
      </c>
      <c r="C778" t="s">
        <v>913</v>
      </c>
      <c r="D778" t="s">
        <v>913</v>
      </c>
      <c r="E778" t="s">
        <v>37</v>
      </c>
      <c r="F778" t="s">
        <v>71</v>
      </c>
      <c r="I778" t="s">
        <v>39</v>
      </c>
      <c r="J778" t="s">
        <v>40</v>
      </c>
      <c r="K778" t="s">
        <v>41</v>
      </c>
      <c r="L778" t="s">
        <v>42</v>
      </c>
      <c r="N778" t="s">
        <v>43</v>
      </c>
      <c r="O778" t="s">
        <v>138</v>
      </c>
      <c r="P778">
        <v>96</v>
      </c>
      <c r="Q778">
        <v>96</v>
      </c>
      <c r="R778">
        <v>1</v>
      </c>
      <c r="S778" t="s">
        <v>45</v>
      </c>
      <c r="T778">
        <v>0</v>
      </c>
      <c r="U778">
        <v>998</v>
      </c>
      <c r="V778" t="s">
        <v>46</v>
      </c>
      <c r="W778">
        <v>0.997</v>
      </c>
      <c r="X778">
        <v>24001</v>
      </c>
      <c r="Y778" t="s">
        <v>47</v>
      </c>
      <c r="Z778">
        <v>24</v>
      </c>
      <c r="AA778">
        <v>758</v>
      </c>
      <c r="AB778" t="s">
        <v>75</v>
      </c>
      <c r="AC778">
        <v>0.75700000000000001</v>
      </c>
      <c r="AD778">
        <v>927</v>
      </c>
      <c r="AE778" t="s">
        <v>48</v>
      </c>
      <c r="AF778">
        <v>0.92600000000000005</v>
      </c>
      <c r="AG778">
        <v>985</v>
      </c>
      <c r="AH778" t="s">
        <v>80</v>
      </c>
      <c r="AI778">
        <v>0.98399999999999999</v>
      </c>
      <c r="AJ778" t="s">
        <v>1153</v>
      </c>
    </row>
    <row r="779" spans="1:36" x14ac:dyDescent="0.25">
      <c r="A779" t="s">
        <v>912</v>
      </c>
      <c r="B779">
        <v>870610844</v>
      </c>
      <c r="C779" t="s">
        <v>913</v>
      </c>
      <c r="D779" t="s">
        <v>913</v>
      </c>
      <c r="E779" t="s">
        <v>37</v>
      </c>
      <c r="F779" t="s">
        <v>71</v>
      </c>
      <c r="I779" t="s">
        <v>39</v>
      </c>
      <c r="J779" t="s">
        <v>40</v>
      </c>
      <c r="K779" t="s">
        <v>41</v>
      </c>
      <c r="L779" t="s">
        <v>42</v>
      </c>
      <c r="N779" t="s">
        <v>43</v>
      </c>
      <c r="O779" t="s">
        <v>138</v>
      </c>
      <c r="P779">
        <v>96</v>
      </c>
      <c r="Q779">
        <v>96</v>
      </c>
      <c r="R779">
        <v>1</v>
      </c>
      <c r="S779" t="s">
        <v>45</v>
      </c>
      <c r="T779">
        <v>0</v>
      </c>
      <c r="U779">
        <v>998</v>
      </c>
      <c r="V779" t="s">
        <v>46</v>
      </c>
      <c r="W779">
        <v>0.997</v>
      </c>
      <c r="X779">
        <v>24001</v>
      </c>
      <c r="Y779" t="s">
        <v>47</v>
      </c>
      <c r="Z779">
        <v>24</v>
      </c>
      <c r="AA779">
        <v>758</v>
      </c>
      <c r="AB779" t="s">
        <v>75</v>
      </c>
      <c r="AC779">
        <v>0.75700000000000001</v>
      </c>
      <c r="AD779">
        <v>927</v>
      </c>
      <c r="AE779" t="s">
        <v>48</v>
      </c>
      <c r="AF779">
        <v>0.92600000000000005</v>
      </c>
      <c r="AG779">
        <v>985</v>
      </c>
      <c r="AH779" t="s">
        <v>80</v>
      </c>
      <c r="AI779">
        <v>0.98399999999999999</v>
      </c>
      <c r="AJ779" t="s">
        <v>1154</v>
      </c>
    </row>
    <row r="780" spans="1:36" x14ac:dyDescent="0.25">
      <c r="A780" t="s">
        <v>912</v>
      </c>
      <c r="B780">
        <v>870610844</v>
      </c>
      <c r="C780" t="s">
        <v>913</v>
      </c>
      <c r="D780" t="s">
        <v>913</v>
      </c>
      <c r="E780" t="s">
        <v>37</v>
      </c>
      <c r="F780" t="s">
        <v>71</v>
      </c>
      <c r="I780" t="s">
        <v>39</v>
      </c>
      <c r="J780" t="s">
        <v>40</v>
      </c>
      <c r="K780" t="s">
        <v>41</v>
      </c>
      <c r="L780" t="s">
        <v>42</v>
      </c>
      <c r="N780" t="s">
        <v>43</v>
      </c>
      <c r="O780" t="s">
        <v>138</v>
      </c>
      <c r="P780">
        <v>96</v>
      </c>
      <c r="Q780">
        <v>96</v>
      </c>
      <c r="S780" t="s">
        <v>39</v>
      </c>
      <c r="V780" t="s">
        <v>39</v>
      </c>
      <c r="X780">
        <v>24001</v>
      </c>
      <c r="Y780" t="s">
        <v>47</v>
      </c>
      <c r="Z780">
        <v>24</v>
      </c>
      <c r="AA780">
        <v>758</v>
      </c>
      <c r="AB780" t="s">
        <v>75</v>
      </c>
      <c r="AC780">
        <v>0.75700000000000001</v>
      </c>
      <c r="AD780">
        <v>927</v>
      </c>
      <c r="AE780" t="s">
        <v>48</v>
      </c>
      <c r="AF780">
        <v>0.92600000000000005</v>
      </c>
      <c r="AG780">
        <v>985</v>
      </c>
      <c r="AH780" t="s">
        <v>80</v>
      </c>
      <c r="AI780">
        <v>0.98399999999999999</v>
      </c>
      <c r="AJ780" t="s">
        <v>1155</v>
      </c>
    </row>
    <row r="781" spans="1:36" x14ac:dyDescent="0.25">
      <c r="A781" t="s">
        <v>912</v>
      </c>
      <c r="B781">
        <v>870610844</v>
      </c>
      <c r="C781" t="s">
        <v>913</v>
      </c>
      <c r="D781" t="s">
        <v>913</v>
      </c>
      <c r="E781" t="s">
        <v>37</v>
      </c>
      <c r="F781" t="s">
        <v>71</v>
      </c>
      <c r="I781" t="s">
        <v>39</v>
      </c>
      <c r="J781" t="s">
        <v>40</v>
      </c>
      <c r="K781" t="s">
        <v>41</v>
      </c>
      <c r="L781" t="s">
        <v>42</v>
      </c>
      <c r="N781" t="s">
        <v>43</v>
      </c>
      <c r="O781" t="s">
        <v>138</v>
      </c>
      <c r="P781">
        <v>96</v>
      </c>
      <c r="Q781">
        <v>96</v>
      </c>
      <c r="S781" t="s">
        <v>39</v>
      </c>
      <c r="V781" t="s">
        <v>39</v>
      </c>
      <c r="X781">
        <v>24001</v>
      </c>
      <c r="Y781" t="s">
        <v>47</v>
      </c>
      <c r="Z781">
        <v>24</v>
      </c>
      <c r="AA781">
        <v>758</v>
      </c>
      <c r="AB781" t="s">
        <v>75</v>
      </c>
      <c r="AC781">
        <v>0.75700000000000001</v>
      </c>
      <c r="AD781">
        <v>927</v>
      </c>
      <c r="AE781" t="s">
        <v>48</v>
      </c>
      <c r="AF781">
        <v>0.92600000000000005</v>
      </c>
      <c r="AG781">
        <v>985</v>
      </c>
      <c r="AH781" t="s">
        <v>80</v>
      </c>
      <c r="AI781">
        <v>0.98399999999999999</v>
      </c>
      <c r="AJ781" t="s">
        <v>1156</v>
      </c>
    </row>
    <row r="782" spans="1:36" x14ac:dyDescent="0.25">
      <c r="A782" t="s">
        <v>914</v>
      </c>
      <c r="B782">
        <v>853531929</v>
      </c>
      <c r="C782" t="s">
        <v>915</v>
      </c>
      <c r="D782" t="s">
        <v>915</v>
      </c>
      <c r="E782" t="s">
        <v>99</v>
      </c>
      <c r="F782" t="s">
        <v>143</v>
      </c>
      <c r="I782" t="s">
        <v>39</v>
      </c>
      <c r="J782" t="s">
        <v>40</v>
      </c>
      <c r="K782" t="s">
        <v>41</v>
      </c>
      <c r="L782" t="s">
        <v>361</v>
      </c>
      <c r="N782" t="s">
        <v>43</v>
      </c>
      <c r="O782" t="s">
        <v>38</v>
      </c>
      <c r="P782">
        <v>96</v>
      </c>
      <c r="Q782">
        <v>96</v>
      </c>
      <c r="R782">
        <v>1</v>
      </c>
      <c r="S782" t="s">
        <v>45</v>
      </c>
      <c r="T782">
        <v>0</v>
      </c>
      <c r="U782">
        <v>968</v>
      </c>
      <c r="V782" t="s">
        <v>46</v>
      </c>
      <c r="W782">
        <v>0.96699999999999997</v>
      </c>
      <c r="X782">
        <v>25001</v>
      </c>
      <c r="Y782" t="s">
        <v>47</v>
      </c>
      <c r="Z782">
        <v>25</v>
      </c>
      <c r="AA782">
        <v>839</v>
      </c>
      <c r="AB782" t="s">
        <v>75</v>
      </c>
      <c r="AC782">
        <v>0.83799999999999997</v>
      </c>
      <c r="AD782">
        <v>899</v>
      </c>
      <c r="AE782" t="s">
        <v>48</v>
      </c>
      <c r="AF782">
        <v>0.89800000000000002</v>
      </c>
      <c r="AG782">
        <v>928</v>
      </c>
      <c r="AH782" t="s">
        <v>49</v>
      </c>
      <c r="AI782">
        <v>0.92700000000000005</v>
      </c>
      <c r="AJ782" t="s">
        <v>50</v>
      </c>
    </row>
    <row r="783" spans="1:36" x14ac:dyDescent="0.25">
      <c r="A783" t="s">
        <v>914</v>
      </c>
      <c r="B783">
        <v>853531929</v>
      </c>
      <c r="C783" t="s">
        <v>915</v>
      </c>
      <c r="D783" t="s">
        <v>915</v>
      </c>
      <c r="E783" t="s">
        <v>99</v>
      </c>
      <c r="F783" t="s">
        <v>143</v>
      </c>
      <c r="I783" t="s">
        <v>39</v>
      </c>
      <c r="J783" t="s">
        <v>40</v>
      </c>
      <c r="K783" t="s">
        <v>41</v>
      </c>
      <c r="L783" t="s">
        <v>361</v>
      </c>
      <c r="N783" t="s">
        <v>43</v>
      </c>
      <c r="O783" t="s">
        <v>38</v>
      </c>
      <c r="P783">
        <v>96</v>
      </c>
      <c r="Q783">
        <v>96</v>
      </c>
      <c r="R783">
        <v>1</v>
      </c>
      <c r="S783" t="s">
        <v>45</v>
      </c>
      <c r="T783">
        <v>0</v>
      </c>
      <c r="U783">
        <v>825</v>
      </c>
      <c r="V783" t="s">
        <v>113</v>
      </c>
      <c r="W783">
        <v>0.82399999999999995</v>
      </c>
      <c r="X783">
        <v>25001</v>
      </c>
      <c r="Y783" t="s">
        <v>47</v>
      </c>
      <c r="Z783">
        <v>25</v>
      </c>
      <c r="AA783">
        <v>839</v>
      </c>
      <c r="AB783" t="s">
        <v>75</v>
      </c>
      <c r="AC783">
        <v>0.83799999999999997</v>
      </c>
      <c r="AD783">
        <v>899</v>
      </c>
      <c r="AE783" t="s">
        <v>48</v>
      </c>
      <c r="AF783">
        <v>0.89800000000000002</v>
      </c>
      <c r="AG783">
        <v>928</v>
      </c>
      <c r="AH783" t="s">
        <v>49</v>
      </c>
      <c r="AI783">
        <v>0.92700000000000005</v>
      </c>
      <c r="AJ783" t="s">
        <v>1141</v>
      </c>
    </row>
    <row r="784" spans="1:36" x14ac:dyDescent="0.25">
      <c r="A784" t="s">
        <v>914</v>
      </c>
      <c r="B784">
        <v>853531929</v>
      </c>
      <c r="C784" t="s">
        <v>915</v>
      </c>
      <c r="D784" t="s">
        <v>915</v>
      </c>
      <c r="E784" t="s">
        <v>99</v>
      </c>
      <c r="F784" t="s">
        <v>143</v>
      </c>
      <c r="I784" t="s">
        <v>39</v>
      </c>
      <c r="J784" t="s">
        <v>40</v>
      </c>
      <c r="K784" t="s">
        <v>41</v>
      </c>
      <c r="L784" t="s">
        <v>361</v>
      </c>
      <c r="N784" t="s">
        <v>43</v>
      </c>
      <c r="O784" t="s">
        <v>38</v>
      </c>
      <c r="P784">
        <v>96</v>
      </c>
      <c r="Q784">
        <v>96</v>
      </c>
      <c r="R784">
        <v>1</v>
      </c>
      <c r="S784" t="s">
        <v>45</v>
      </c>
      <c r="T784">
        <v>0</v>
      </c>
      <c r="U784">
        <v>968</v>
      </c>
      <c r="V784" t="s">
        <v>46</v>
      </c>
      <c r="W784">
        <v>0.96699999999999997</v>
      </c>
      <c r="X784">
        <v>25001</v>
      </c>
      <c r="Y784" t="s">
        <v>47</v>
      </c>
      <c r="Z784">
        <v>25</v>
      </c>
      <c r="AA784">
        <v>839</v>
      </c>
      <c r="AB784" t="s">
        <v>75</v>
      </c>
      <c r="AC784">
        <v>0.83799999999999997</v>
      </c>
      <c r="AD784">
        <v>899</v>
      </c>
      <c r="AE784" t="s">
        <v>48</v>
      </c>
      <c r="AF784">
        <v>0.89800000000000002</v>
      </c>
      <c r="AG784">
        <v>928</v>
      </c>
      <c r="AH784" t="s">
        <v>49</v>
      </c>
      <c r="AI784">
        <v>0.92700000000000005</v>
      </c>
      <c r="AJ784" t="s">
        <v>1153</v>
      </c>
    </row>
    <row r="785" spans="1:36" x14ac:dyDescent="0.25">
      <c r="A785" t="s">
        <v>914</v>
      </c>
      <c r="B785">
        <v>853531929</v>
      </c>
      <c r="C785" t="s">
        <v>915</v>
      </c>
      <c r="D785" t="s">
        <v>915</v>
      </c>
      <c r="E785" t="s">
        <v>99</v>
      </c>
      <c r="F785" t="s">
        <v>143</v>
      </c>
      <c r="I785" t="s">
        <v>39</v>
      </c>
      <c r="J785" t="s">
        <v>40</v>
      </c>
      <c r="K785" t="s">
        <v>41</v>
      </c>
      <c r="L785" t="s">
        <v>361</v>
      </c>
      <c r="N785" t="s">
        <v>43</v>
      </c>
      <c r="O785" t="s">
        <v>38</v>
      </c>
      <c r="P785">
        <v>96</v>
      </c>
      <c r="Q785">
        <v>96</v>
      </c>
      <c r="R785">
        <v>1</v>
      </c>
      <c r="S785" t="s">
        <v>45</v>
      </c>
      <c r="T785">
        <v>0</v>
      </c>
      <c r="U785">
        <v>968</v>
      </c>
      <c r="V785" t="s">
        <v>46</v>
      </c>
      <c r="W785">
        <v>0.96699999999999997</v>
      </c>
      <c r="X785">
        <v>25001</v>
      </c>
      <c r="Y785" t="s">
        <v>47</v>
      </c>
      <c r="Z785">
        <v>25</v>
      </c>
      <c r="AA785">
        <v>839</v>
      </c>
      <c r="AB785" t="s">
        <v>75</v>
      </c>
      <c r="AC785">
        <v>0.83799999999999997</v>
      </c>
      <c r="AD785">
        <v>899</v>
      </c>
      <c r="AE785" t="s">
        <v>48</v>
      </c>
      <c r="AF785">
        <v>0.89800000000000002</v>
      </c>
      <c r="AG785">
        <v>928</v>
      </c>
      <c r="AH785" t="s">
        <v>49</v>
      </c>
      <c r="AI785">
        <v>0.92700000000000005</v>
      </c>
      <c r="AJ785" t="s">
        <v>1154</v>
      </c>
    </row>
    <row r="786" spans="1:36" x14ac:dyDescent="0.25">
      <c r="A786" t="s">
        <v>914</v>
      </c>
      <c r="B786">
        <v>853531929</v>
      </c>
      <c r="C786" t="s">
        <v>915</v>
      </c>
      <c r="D786" t="s">
        <v>915</v>
      </c>
      <c r="E786" t="s">
        <v>99</v>
      </c>
      <c r="F786" t="s">
        <v>143</v>
      </c>
      <c r="I786" t="s">
        <v>39</v>
      </c>
      <c r="J786" t="s">
        <v>40</v>
      </c>
      <c r="K786" t="s">
        <v>41</v>
      </c>
      <c r="L786" t="s">
        <v>361</v>
      </c>
      <c r="N786" t="s">
        <v>43</v>
      </c>
      <c r="O786" t="s">
        <v>38</v>
      </c>
      <c r="P786">
        <v>96</v>
      </c>
      <c r="Q786">
        <v>96</v>
      </c>
      <c r="S786" t="s">
        <v>39</v>
      </c>
      <c r="V786" t="s">
        <v>39</v>
      </c>
      <c r="X786">
        <v>25001</v>
      </c>
      <c r="Y786" t="s">
        <v>47</v>
      </c>
      <c r="Z786">
        <v>25</v>
      </c>
      <c r="AA786">
        <v>839</v>
      </c>
      <c r="AB786" t="s">
        <v>75</v>
      </c>
      <c r="AC786">
        <v>0.83799999999999997</v>
      </c>
      <c r="AD786">
        <v>899</v>
      </c>
      <c r="AE786" t="s">
        <v>48</v>
      </c>
      <c r="AF786">
        <v>0.89800000000000002</v>
      </c>
      <c r="AG786">
        <v>928</v>
      </c>
      <c r="AH786" t="s">
        <v>49</v>
      </c>
      <c r="AI786">
        <v>0.92700000000000005</v>
      </c>
      <c r="AJ786" t="s">
        <v>1155</v>
      </c>
    </row>
    <row r="787" spans="1:36" x14ac:dyDescent="0.25">
      <c r="A787" t="s">
        <v>914</v>
      </c>
      <c r="B787">
        <v>853531929</v>
      </c>
      <c r="C787" t="s">
        <v>915</v>
      </c>
      <c r="D787" t="s">
        <v>915</v>
      </c>
      <c r="E787" t="s">
        <v>99</v>
      </c>
      <c r="F787" t="s">
        <v>143</v>
      </c>
      <c r="I787" t="s">
        <v>39</v>
      </c>
      <c r="J787" t="s">
        <v>40</v>
      </c>
      <c r="K787" t="s">
        <v>41</v>
      </c>
      <c r="L787" t="s">
        <v>361</v>
      </c>
      <c r="N787" t="s">
        <v>43</v>
      </c>
      <c r="O787" t="s">
        <v>38</v>
      </c>
      <c r="P787">
        <v>96</v>
      </c>
      <c r="Q787">
        <v>96</v>
      </c>
      <c r="S787" t="s">
        <v>39</v>
      </c>
      <c r="V787" t="s">
        <v>39</v>
      </c>
      <c r="X787">
        <v>25001</v>
      </c>
      <c r="Y787" t="s">
        <v>47</v>
      </c>
      <c r="Z787">
        <v>25</v>
      </c>
      <c r="AA787">
        <v>839</v>
      </c>
      <c r="AB787" t="s">
        <v>75</v>
      </c>
      <c r="AC787">
        <v>0.83799999999999997</v>
      </c>
      <c r="AD787">
        <v>899</v>
      </c>
      <c r="AE787" t="s">
        <v>48</v>
      </c>
      <c r="AF787">
        <v>0.89800000000000002</v>
      </c>
      <c r="AG787">
        <v>928</v>
      </c>
      <c r="AH787" t="s">
        <v>49</v>
      </c>
      <c r="AI787">
        <v>0.92700000000000005</v>
      </c>
      <c r="AJ787" t="s">
        <v>1156</v>
      </c>
    </row>
    <row r="788" spans="1:36" x14ac:dyDescent="0.25">
      <c r="A788" t="s">
        <v>910</v>
      </c>
      <c r="B788">
        <v>856444308</v>
      </c>
      <c r="C788" t="s">
        <v>911</v>
      </c>
      <c r="D788" t="s">
        <v>911</v>
      </c>
      <c r="E788" t="s">
        <v>99</v>
      </c>
      <c r="F788" t="s">
        <v>136</v>
      </c>
      <c r="I788" t="s">
        <v>39</v>
      </c>
      <c r="J788" t="s">
        <v>40</v>
      </c>
      <c r="K788" t="s">
        <v>41</v>
      </c>
      <c r="L788" t="s">
        <v>248</v>
      </c>
      <c r="M788" t="s">
        <v>47</v>
      </c>
      <c r="N788" t="s">
        <v>43</v>
      </c>
      <c r="O788" t="s">
        <v>495</v>
      </c>
      <c r="P788">
        <v>97</v>
      </c>
      <c r="Q788">
        <v>97</v>
      </c>
      <c r="R788">
        <v>561</v>
      </c>
      <c r="S788" t="s">
        <v>56</v>
      </c>
      <c r="T788">
        <v>0.56000000000000005</v>
      </c>
      <c r="U788">
        <v>172</v>
      </c>
      <c r="V788" t="s">
        <v>55</v>
      </c>
      <c r="W788">
        <v>0.17100000000000001</v>
      </c>
      <c r="X788">
        <v>9001</v>
      </c>
      <c r="Y788" t="s">
        <v>47</v>
      </c>
      <c r="Z788">
        <v>9</v>
      </c>
      <c r="AA788">
        <v>358</v>
      </c>
      <c r="AB788" t="s">
        <v>47</v>
      </c>
      <c r="AC788">
        <v>0.35699999999999998</v>
      </c>
      <c r="AD788">
        <v>449</v>
      </c>
      <c r="AE788" t="s">
        <v>56</v>
      </c>
      <c r="AF788">
        <v>0.44800000000000001</v>
      </c>
      <c r="AG788">
        <v>318</v>
      </c>
      <c r="AH788" t="s">
        <v>57</v>
      </c>
      <c r="AI788">
        <v>0.317</v>
      </c>
      <c r="AJ788" t="s">
        <v>50</v>
      </c>
    </row>
    <row r="789" spans="1:36" x14ac:dyDescent="0.25">
      <c r="A789" t="s">
        <v>910</v>
      </c>
      <c r="B789">
        <v>856444308</v>
      </c>
      <c r="C789" t="s">
        <v>911</v>
      </c>
      <c r="D789" t="s">
        <v>911</v>
      </c>
      <c r="E789" t="s">
        <v>60</v>
      </c>
      <c r="F789" t="s">
        <v>136</v>
      </c>
      <c r="I789" t="s">
        <v>39</v>
      </c>
      <c r="J789" t="s">
        <v>40</v>
      </c>
      <c r="K789" t="s">
        <v>41</v>
      </c>
      <c r="L789" t="s">
        <v>248</v>
      </c>
      <c r="M789" t="s">
        <v>47</v>
      </c>
      <c r="N789" t="s">
        <v>43</v>
      </c>
      <c r="O789" t="s">
        <v>495</v>
      </c>
      <c r="P789">
        <v>97</v>
      </c>
      <c r="Q789">
        <v>97</v>
      </c>
      <c r="R789">
        <v>561</v>
      </c>
      <c r="S789" t="s">
        <v>56</v>
      </c>
      <c r="T789">
        <v>0.56000000000000005</v>
      </c>
      <c r="U789">
        <v>172</v>
      </c>
      <c r="V789" t="s">
        <v>55</v>
      </c>
      <c r="W789">
        <v>0.17100000000000001</v>
      </c>
      <c r="X789">
        <v>9001</v>
      </c>
      <c r="Y789" t="s">
        <v>47</v>
      </c>
      <c r="Z789">
        <v>9</v>
      </c>
      <c r="AA789">
        <v>358</v>
      </c>
      <c r="AB789" t="s">
        <v>47</v>
      </c>
      <c r="AC789">
        <v>0.35699999999999998</v>
      </c>
      <c r="AD789">
        <v>449</v>
      </c>
      <c r="AE789" t="s">
        <v>56</v>
      </c>
      <c r="AF789">
        <v>0.44800000000000001</v>
      </c>
      <c r="AG789">
        <v>318</v>
      </c>
      <c r="AH789" t="s">
        <v>57</v>
      </c>
      <c r="AI789">
        <v>0.317</v>
      </c>
      <c r="AJ789" t="s">
        <v>50</v>
      </c>
    </row>
    <row r="790" spans="1:36" x14ac:dyDescent="0.25">
      <c r="A790" t="s">
        <v>910</v>
      </c>
      <c r="B790">
        <v>856444308</v>
      </c>
      <c r="C790" t="s">
        <v>911</v>
      </c>
      <c r="D790" t="s">
        <v>911</v>
      </c>
      <c r="E790" t="s">
        <v>99</v>
      </c>
      <c r="F790" t="s">
        <v>136</v>
      </c>
      <c r="I790" t="s">
        <v>39</v>
      </c>
      <c r="J790" t="s">
        <v>40</v>
      </c>
      <c r="K790" t="s">
        <v>41</v>
      </c>
      <c r="L790" t="s">
        <v>248</v>
      </c>
      <c r="M790" t="s">
        <v>47</v>
      </c>
      <c r="N790" t="s">
        <v>43</v>
      </c>
      <c r="O790" t="s">
        <v>495</v>
      </c>
      <c r="P790">
        <v>97</v>
      </c>
      <c r="Q790">
        <v>97</v>
      </c>
      <c r="R790">
        <v>131</v>
      </c>
      <c r="S790" t="s">
        <v>56</v>
      </c>
      <c r="T790">
        <v>0.13</v>
      </c>
      <c r="U790">
        <v>428</v>
      </c>
      <c r="V790" t="s">
        <v>55</v>
      </c>
      <c r="W790">
        <v>0.42699999999999999</v>
      </c>
      <c r="X790">
        <v>9001</v>
      </c>
      <c r="Y790" t="s">
        <v>47</v>
      </c>
      <c r="Z790">
        <v>9</v>
      </c>
      <c r="AA790">
        <v>358</v>
      </c>
      <c r="AB790" t="s">
        <v>47</v>
      </c>
      <c r="AC790">
        <v>0.35699999999999998</v>
      </c>
      <c r="AD790">
        <v>449</v>
      </c>
      <c r="AE790" t="s">
        <v>56</v>
      </c>
      <c r="AF790">
        <v>0.44800000000000001</v>
      </c>
      <c r="AG790">
        <v>318</v>
      </c>
      <c r="AH790" t="s">
        <v>57</v>
      </c>
      <c r="AI790">
        <v>0.317</v>
      </c>
      <c r="AJ790" t="s">
        <v>1141</v>
      </c>
    </row>
    <row r="791" spans="1:36" x14ac:dyDescent="0.25">
      <c r="A791" t="s">
        <v>910</v>
      </c>
      <c r="B791">
        <v>856444308</v>
      </c>
      <c r="C791" t="s">
        <v>911</v>
      </c>
      <c r="D791" t="s">
        <v>911</v>
      </c>
      <c r="E791" t="s">
        <v>60</v>
      </c>
      <c r="F791" t="s">
        <v>136</v>
      </c>
      <c r="I791" t="s">
        <v>39</v>
      </c>
      <c r="J791" t="s">
        <v>40</v>
      </c>
      <c r="K791" t="s">
        <v>41</v>
      </c>
      <c r="L791" t="s">
        <v>248</v>
      </c>
      <c r="M791" t="s">
        <v>47</v>
      </c>
      <c r="N791" t="s">
        <v>43</v>
      </c>
      <c r="O791" t="s">
        <v>495</v>
      </c>
      <c r="P791">
        <v>97</v>
      </c>
      <c r="Q791">
        <v>97</v>
      </c>
      <c r="R791">
        <v>131</v>
      </c>
      <c r="S791" t="s">
        <v>56</v>
      </c>
      <c r="T791">
        <v>0.13</v>
      </c>
      <c r="U791">
        <v>428</v>
      </c>
      <c r="V791" t="s">
        <v>55</v>
      </c>
      <c r="W791">
        <v>0.42699999999999999</v>
      </c>
      <c r="X791">
        <v>9001</v>
      </c>
      <c r="Y791" t="s">
        <v>47</v>
      </c>
      <c r="Z791">
        <v>9</v>
      </c>
      <c r="AA791">
        <v>358</v>
      </c>
      <c r="AB791" t="s">
        <v>47</v>
      </c>
      <c r="AC791">
        <v>0.35699999999999998</v>
      </c>
      <c r="AD791">
        <v>449</v>
      </c>
      <c r="AE791" t="s">
        <v>56</v>
      </c>
      <c r="AF791">
        <v>0.44800000000000001</v>
      </c>
      <c r="AG791">
        <v>318</v>
      </c>
      <c r="AH791" t="s">
        <v>57</v>
      </c>
      <c r="AI791">
        <v>0.317</v>
      </c>
      <c r="AJ791" t="s">
        <v>1141</v>
      </c>
    </row>
    <row r="792" spans="1:36" x14ac:dyDescent="0.25">
      <c r="A792" t="s">
        <v>910</v>
      </c>
      <c r="B792">
        <v>856444308</v>
      </c>
      <c r="C792" t="s">
        <v>911</v>
      </c>
      <c r="D792" t="s">
        <v>911</v>
      </c>
      <c r="E792" t="s">
        <v>99</v>
      </c>
      <c r="F792" t="s">
        <v>136</v>
      </c>
      <c r="I792" t="s">
        <v>39</v>
      </c>
      <c r="J792" t="s">
        <v>40</v>
      </c>
      <c r="K792" t="s">
        <v>41</v>
      </c>
      <c r="L792" t="s">
        <v>248</v>
      </c>
      <c r="M792" t="s">
        <v>47</v>
      </c>
      <c r="N792" t="s">
        <v>43</v>
      </c>
      <c r="O792" t="s">
        <v>495</v>
      </c>
      <c r="P792">
        <v>97</v>
      </c>
      <c r="Q792">
        <v>97</v>
      </c>
      <c r="R792">
        <v>561</v>
      </c>
      <c r="S792" t="s">
        <v>56</v>
      </c>
      <c r="T792">
        <v>0.56000000000000005</v>
      </c>
      <c r="U792">
        <v>172</v>
      </c>
      <c r="V792" t="s">
        <v>55</v>
      </c>
      <c r="W792">
        <v>0.17100000000000001</v>
      </c>
      <c r="X792">
        <v>9001</v>
      </c>
      <c r="Y792" t="s">
        <v>47</v>
      </c>
      <c r="Z792">
        <v>9</v>
      </c>
      <c r="AA792">
        <v>358</v>
      </c>
      <c r="AB792" t="s">
        <v>47</v>
      </c>
      <c r="AC792">
        <v>0.35699999999999998</v>
      </c>
      <c r="AD792">
        <v>449</v>
      </c>
      <c r="AE792" t="s">
        <v>56</v>
      </c>
      <c r="AF792">
        <v>0.44800000000000001</v>
      </c>
      <c r="AG792">
        <v>318</v>
      </c>
      <c r="AH792" t="s">
        <v>57</v>
      </c>
      <c r="AI792">
        <v>0.317</v>
      </c>
      <c r="AJ792" t="s">
        <v>1153</v>
      </c>
    </row>
    <row r="793" spans="1:36" x14ac:dyDescent="0.25">
      <c r="A793" t="s">
        <v>910</v>
      </c>
      <c r="B793">
        <v>856444308</v>
      </c>
      <c r="C793" t="s">
        <v>911</v>
      </c>
      <c r="D793" t="s">
        <v>911</v>
      </c>
      <c r="E793" t="s">
        <v>60</v>
      </c>
      <c r="F793" t="s">
        <v>136</v>
      </c>
      <c r="I793" t="s">
        <v>39</v>
      </c>
      <c r="J793" t="s">
        <v>40</v>
      </c>
      <c r="K793" t="s">
        <v>41</v>
      </c>
      <c r="L793" t="s">
        <v>248</v>
      </c>
      <c r="M793" t="s">
        <v>47</v>
      </c>
      <c r="N793" t="s">
        <v>43</v>
      </c>
      <c r="O793" t="s">
        <v>495</v>
      </c>
      <c r="P793">
        <v>97</v>
      </c>
      <c r="Q793">
        <v>97</v>
      </c>
      <c r="R793">
        <v>561</v>
      </c>
      <c r="S793" t="s">
        <v>56</v>
      </c>
      <c r="T793">
        <v>0.56000000000000005</v>
      </c>
      <c r="U793">
        <v>172</v>
      </c>
      <c r="V793" t="s">
        <v>55</v>
      </c>
      <c r="W793">
        <v>0.17100000000000001</v>
      </c>
      <c r="X793">
        <v>9001</v>
      </c>
      <c r="Y793" t="s">
        <v>47</v>
      </c>
      <c r="Z793">
        <v>9</v>
      </c>
      <c r="AA793">
        <v>358</v>
      </c>
      <c r="AB793" t="s">
        <v>47</v>
      </c>
      <c r="AC793">
        <v>0.35699999999999998</v>
      </c>
      <c r="AD793">
        <v>449</v>
      </c>
      <c r="AE793" t="s">
        <v>56</v>
      </c>
      <c r="AF793">
        <v>0.44800000000000001</v>
      </c>
      <c r="AG793">
        <v>318</v>
      </c>
      <c r="AH793" t="s">
        <v>57</v>
      </c>
      <c r="AI793">
        <v>0.317</v>
      </c>
      <c r="AJ793" t="s">
        <v>1153</v>
      </c>
    </row>
    <row r="794" spans="1:36" x14ac:dyDescent="0.25">
      <c r="A794" t="s">
        <v>910</v>
      </c>
      <c r="B794">
        <v>856444308</v>
      </c>
      <c r="C794" t="s">
        <v>911</v>
      </c>
      <c r="D794" t="s">
        <v>911</v>
      </c>
      <c r="E794" t="s">
        <v>99</v>
      </c>
      <c r="F794" t="s">
        <v>136</v>
      </c>
      <c r="I794" t="s">
        <v>39</v>
      </c>
      <c r="J794" t="s">
        <v>40</v>
      </c>
      <c r="K794" t="s">
        <v>41</v>
      </c>
      <c r="L794" t="s">
        <v>248</v>
      </c>
      <c r="M794" t="s">
        <v>47</v>
      </c>
      <c r="N794" t="s">
        <v>43</v>
      </c>
      <c r="O794" t="s">
        <v>495</v>
      </c>
      <c r="P794">
        <v>97</v>
      </c>
      <c r="Q794">
        <v>97</v>
      </c>
      <c r="R794">
        <v>561</v>
      </c>
      <c r="S794" t="s">
        <v>56</v>
      </c>
      <c r="T794">
        <v>0.56000000000000005</v>
      </c>
      <c r="U794">
        <v>172</v>
      </c>
      <c r="V794" t="s">
        <v>55</v>
      </c>
      <c r="W794">
        <v>0.17100000000000001</v>
      </c>
      <c r="X794">
        <v>9001</v>
      </c>
      <c r="Y794" t="s">
        <v>47</v>
      </c>
      <c r="Z794">
        <v>9</v>
      </c>
      <c r="AA794">
        <v>358</v>
      </c>
      <c r="AB794" t="s">
        <v>47</v>
      </c>
      <c r="AC794">
        <v>0.35699999999999998</v>
      </c>
      <c r="AD794">
        <v>449</v>
      </c>
      <c r="AE794" t="s">
        <v>56</v>
      </c>
      <c r="AF794">
        <v>0.44800000000000001</v>
      </c>
      <c r="AG794">
        <v>318</v>
      </c>
      <c r="AH794" t="s">
        <v>57</v>
      </c>
      <c r="AI794">
        <v>0.317</v>
      </c>
      <c r="AJ794" t="s">
        <v>1154</v>
      </c>
    </row>
    <row r="795" spans="1:36" x14ac:dyDescent="0.25">
      <c r="A795" t="s">
        <v>910</v>
      </c>
      <c r="B795">
        <v>856444308</v>
      </c>
      <c r="C795" t="s">
        <v>911</v>
      </c>
      <c r="D795" t="s">
        <v>911</v>
      </c>
      <c r="E795" t="s">
        <v>60</v>
      </c>
      <c r="F795" t="s">
        <v>136</v>
      </c>
      <c r="I795" t="s">
        <v>39</v>
      </c>
      <c r="J795" t="s">
        <v>40</v>
      </c>
      <c r="K795" t="s">
        <v>41</v>
      </c>
      <c r="L795" t="s">
        <v>248</v>
      </c>
      <c r="M795" t="s">
        <v>47</v>
      </c>
      <c r="N795" t="s">
        <v>43</v>
      </c>
      <c r="O795" t="s">
        <v>495</v>
      </c>
      <c r="P795">
        <v>97</v>
      </c>
      <c r="Q795">
        <v>97</v>
      </c>
      <c r="R795">
        <v>561</v>
      </c>
      <c r="S795" t="s">
        <v>56</v>
      </c>
      <c r="T795">
        <v>0.56000000000000005</v>
      </c>
      <c r="U795">
        <v>172</v>
      </c>
      <c r="V795" t="s">
        <v>55</v>
      </c>
      <c r="W795">
        <v>0.17100000000000001</v>
      </c>
      <c r="X795">
        <v>9001</v>
      </c>
      <c r="Y795" t="s">
        <v>47</v>
      </c>
      <c r="Z795">
        <v>9</v>
      </c>
      <c r="AA795">
        <v>358</v>
      </c>
      <c r="AB795" t="s">
        <v>47</v>
      </c>
      <c r="AC795">
        <v>0.35699999999999998</v>
      </c>
      <c r="AD795">
        <v>449</v>
      </c>
      <c r="AE795" t="s">
        <v>56</v>
      </c>
      <c r="AF795">
        <v>0.44800000000000001</v>
      </c>
      <c r="AG795">
        <v>318</v>
      </c>
      <c r="AH795" t="s">
        <v>57</v>
      </c>
      <c r="AI795">
        <v>0.317</v>
      </c>
      <c r="AJ795" t="s">
        <v>1154</v>
      </c>
    </row>
    <row r="796" spans="1:36" x14ac:dyDescent="0.25">
      <c r="A796" t="s">
        <v>910</v>
      </c>
      <c r="B796">
        <v>856444308</v>
      </c>
      <c r="C796" t="s">
        <v>911</v>
      </c>
      <c r="D796" t="s">
        <v>911</v>
      </c>
      <c r="E796" t="s">
        <v>99</v>
      </c>
      <c r="F796" t="s">
        <v>136</v>
      </c>
      <c r="I796" t="s">
        <v>39</v>
      </c>
      <c r="J796" t="s">
        <v>40</v>
      </c>
      <c r="K796" t="s">
        <v>41</v>
      </c>
      <c r="L796" t="s">
        <v>248</v>
      </c>
      <c r="M796" t="s">
        <v>47</v>
      </c>
      <c r="N796" t="s">
        <v>43</v>
      </c>
      <c r="O796" t="s">
        <v>495</v>
      </c>
      <c r="P796">
        <v>97</v>
      </c>
      <c r="Q796">
        <v>97</v>
      </c>
      <c r="S796" t="s">
        <v>39</v>
      </c>
      <c r="V796" t="s">
        <v>39</v>
      </c>
      <c r="X796">
        <v>9001</v>
      </c>
      <c r="Y796" t="s">
        <v>47</v>
      </c>
      <c r="Z796">
        <v>9</v>
      </c>
      <c r="AA796">
        <v>358</v>
      </c>
      <c r="AB796" t="s">
        <v>47</v>
      </c>
      <c r="AC796">
        <v>0.35699999999999998</v>
      </c>
      <c r="AD796">
        <v>449</v>
      </c>
      <c r="AE796" t="s">
        <v>56</v>
      </c>
      <c r="AF796">
        <v>0.44800000000000001</v>
      </c>
      <c r="AG796">
        <v>318</v>
      </c>
      <c r="AH796" t="s">
        <v>57</v>
      </c>
      <c r="AI796">
        <v>0.317</v>
      </c>
      <c r="AJ796" t="s">
        <v>1155</v>
      </c>
    </row>
    <row r="797" spans="1:36" x14ac:dyDescent="0.25">
      <c r="A797" t="s">
        <v>910</v>
      </c>
      <c r="B797">
        <v>856444308</v>
      </c>
      <c r="C797" t="s">
        <v>911</v>
      </c>
      <c r="D797" t="s">
        <v>911</v>
      </c>
      <c r="E797" t="s">
        <v>60</v>
      </c>
      <c r="F797" t="s">
        <v>136</v>
      </c>
      <c r="I797" t="s">
        <v>39</v>
      </c>
      <c r="J797" t="s">
        <v>40</v>
      </c>
      <c r="K797" t="s">
        <v>41</v>
      </c>
      <c r="L797" t="s">
        <v>248</v>
      </c>
      <c r="M797" t="s">
        <v>47</v>
      </c>
      <c r="N797" t="s">
        <v>43</v>
      </c>
      <c r="O797" t="s">
        <v>495</v>
      </c>
      <c r="P797">
        <v>97</v>
      </c>
      <c r="Q797">
        <v>97</v>
      </c>
      <c r="S797" t="s">
        <v>39</v>
      </c>
      <c r="V797" t="s">
        <v>39</v>
      </c>
      <c r="X797">
        <v>9001</v>
      </c>
      <c r="Y797" t="s">
        <v>47</v>
      </c>
      <c r="Z797">
        <v>9</v>
      </c>
      <c r="AA797">
        <v>358</v>
      </c>
      <c r="AB797" t="s">
        <v>47</v>
      </c>
      <c r="AC797">
        <v>0.35699999999999998</v>
      </c>
      <c r="AD797">
        <v>449</v>
      </c>
      <c r="AE797" t="s">
        <v>56</v>
      </c>
      <c r="AF797">
        <v>0.44800000000000001</v>
      </c>
      <c r="AG797">
        <v>318</v>
      </c>
      <c r="AH797" t="s">
        <v>57</v>
      </c>
      <c r="AI797">
        <v>0.317</v>
      </c>
      <c r="AJ797" t="s">
        <v>1155</v>
      </c>
    </row>
    <row r="798" spans="1:36" x14ac:dyDescent="0.25">
      <c r="A798" t="s">
        <v>910</v>
      </c>
      <c r="B798">
        <v>856444308</v>
      </c>
      <c r="C798" t="s">
        <v>911</v>
      </c>
      <c r="D798" t="s">
        <v>911</v>
      </c>
      <c r="E798" t="s">
        <v>99</v>
      </c>
      <c r="F798" t="s">
        <v>136</v>
      </c>
      <c r="I798" t="s">
        <v>39</v>
      </c>
      <c r="J798" t="s">
        <v>40</v>
      </c>
      <c r="K798" t="s">
        <v>41</v>
      </c>
      <c r="L798" t="s">
        <v>248</v>
      </c>
      <c r="M798" t="s">
        <v>47</v>
      </c>
      <c r="N798" t="s">
        <v>43</v>
      </c>
      <c r="O798" t="s">
        <v>495</v>
      </c>
      <c r="P798">
        <v>97</v>
      </c>
      <c r="Q798">
        <v>97</v>
      </c>
      <c r="S798" t="s">
        <v>39</v>
      </c>
      <c r="V798" t="s">
        <v>39</v>
      </c>
      <c r="X798">
        <v>9001</v>
      </c>
      <c r="Y798" t="s">
        <v>47</v>
      </c>
      <c r="Z798">
        <v>9</v>
      </c>
      <c r="AA798">
        <v>358</v>
      </c>
      <c r="AB798" t="s">
        <v>47</v>
      </c>
      <c r="AC798">
        <v>0.35699999999999998</v>
      </c>
      <c r="AD798">
        <v>449</v>
      </c>
      <c r="AE798" t="s">
        <v>56</v>
      </c>
      <c r="AF798">
        <v>0.44800000000000001</v>
      </c>
      <c r="AG798">
        <v>318</v>
      </c>
      <c r="AH798" t="s">
        <v>57</v>
      </c>
      <c r="AI798">
        <v>0.317</v>
      </c>
      <c r="AJ798" t="s">
        <v>1156</v>
      </c>
    </row>
    <row r="799" spans="1:36" x14ac:dyDescent="0.25">
      <c r="A799" t="s">
        <v>910</v>
      </c>
      <c r="B799">
        <v>856444308</v>
      </c>
      <c r="C799" t="s">
        <v>911</v>
      </c>
      <c r="D799" t="s">
        <v>911</v>
      </c>
      <c r="E799" t="s">
        <v>60</v>
      </c>
      <c r="F799" t="s">
        <v>136</v>
      </c>
      <c r="I799" t="s">
        <v>39</v>
      </c>
      <c r="J799" t="s">
        <v>40</v>
      </c>
      <c r="K799" t="s">
        <v>41</v>
      </c>
      <c r="L799" t="s">
        <v>248</v>
      </c>
      <c r="M799" t="s">
        <v>47</v>
      </c>
      <c r="N799" t="s">
        <v>43</v>
      </c>
      <c r="O799" t="s">
        <v>495</v>
      </c>
      <c r="P799">
        <v>97</v>
      </c>
      <c r="Q799">
        <v>97</v>
      </c>
      <c r="S799" t="s">
        <v>39</v>
      </c>
      <c r="V799" t="s">
        <v>39</v>
      </c>
      <c r="X799">
        <v>9001</v>
      </c>
      <c r="Y799" t="s">
        <v>47</v>
      </c>
      <c r="Z799">
        <v>9</v>
      </c>
      <c r="AA799">
        <v>358</v>
      </c>
      <c r="AB799" t="s">
        <v>47</v>
      </c>
      <c r="AC799">
        <v>0.35699999999999998</v>
      </c>
      <c r="AD799">
        <v>449</v>
      </c>
      <c r="AE799" t="s">
        <v>56</v>
      </c>
      <c r="AF799">
        <v>0.44800000000000001</v>
      </c>
      <c r="AG799">
        <v>318</v>
      </c>
      <c r="AH799" t="s">
        <v>57</v>
      </c>
      <c r="AI799">
        <v>0.317</v>
      </c>
      <c r="AJ799" t="s">
        <v>1156</v>
      </c>
    </row>
    <row r="800" spans="1:36" x14ac:dyDescent="0.25">
      <c r="A800" t="s">
        <v>908</v>
      </c>
      <c r="B800">
        <v>861519806</v>
      </c>
      <c r="C800" t="s">
        <v>909</v>
      </c>
      <c r="D800" t="s">
        <v>909</v>
      </c>
      <c r="E800" t="s">
        <v>60</v>
      </c>
      <c r="F800" t="s">
        <v>88</v>
      </c>
      <c r="I800" t="s">
        <v>39</v>
      </c>
      <c r="J800" t="s">
        <v>40</v>
      </c>
      <c r="K800" t="s">
        <v>41</v>
      </c>
      <c r="L800" t="s">
        <v>78</v>
      </c>
      <c r="N800" t="s">
        <v>43</v>
      </c>
      <c r="O800" t="s">
        <v>295</v>
      </c>
      <c r="P800">
        <v>98</v>
      </c>
      <c r="Q800">
        <v>98</v>
      </c>
      <c r="R800">
        <v>131</v>
      </c>
      <c r="S800" t="s">
        <v>56</v>
      </c>
      <c r="T800">
        <v>0.13</v>
      </c>
      <c r="U800">
        <v>4</v>
      </c>
      <c r="V800" t="s">
        <v>55</v>
      </c>
      <c r="W800">
        <v>3.0000000000000001E-3</v>
      </c>
      <c r="X800">
        <v>1</v>
      </c>
      <c r="Y800" t="s">
        <v>47</v>
      </c>
      <c r="Z800">
        <v>0</v>
      </c>
      <c r="AA800">
        <v>106</v>
      </c>
      <c r="AB800" t="s">
        <v>47</v>
      </c>
      <c r="AC800">
        <v>0.105</v>
      </c>
      <c r="AD800">
        <v>382</v>
      </c>
      <c r="AE800" t="s">
        <v>56</v>
      </c>
      <c r="AF800">
        <v>0.38100000000000001</v>
      </c>
      <c r="AG800">
        <v>195</v>
      </c>
      <c r="AH800" t="s">
        <v>103</v>
      </c>
      <c r="AI800">
        <v>0.19400000000000001</v>
      </c>
      <c r="AJ800" t="s">
        <v>50</v>
      </c>
    </row>
    <row r="801" spans="1:36" x14ac:dyDescent="0.25">
      <c r="A801" t="s">
        <v>908</v>
      </c>
      <c r="B801">
        <v>861519806</v>
      </c>
      <c r="C801" t="s">
        <v>909</v>
      </c>
      <c r="D801" t="s">
        <v>909</v>
      </c>
      <c r="E801" t="s">
        <v>60</v>
      </c>
      <c r="F801" t="s">
        <v>88</v>
      </c>
      <c r="I801" t="s">
        <v>39</v>
      </c>
      <c r="J801" t="s">
        <v>40</v>
      </c>
      <c r="K801" t="s">
        <v>41</v>
      </c>
      <c r="L801" t="s">
        <v>78</v>
      </c>
      <c r="N801" t="s">
        <v>43</v>
      </c>
      <c r="O801" t="s">
        <v>295</v>
      </c>
      <c r="P801">
        <v>98</v>
      </c>
      <c r="Q801">
        <v>98</v>
      </c>
      <c r="R801">
        <v>41</v>
      </c>
      <c r="S801" t="s">
        <v>45</v>
      </c>
      <c r="T801">
        <v>0.04</v>
      </c>
      <c r="U801">
        <v>4</v>
      </c>
      <c r="V801" t="s">
        <v>55</v>
      </c>
      <c r="W801">
        <v>3.0000000000000001E-3</v>
      </c>
      <c r="X801">
        <v>1</v>
      </c>
      <c r="Y801" t="s">
        <v>47</v>
      </c>
      <c r="Z801">
        <v>0</v>
      </c>
      <c r="AA801">
        <v>106</v>
      </c>
      <c r="AB801" t="s">
        <v>47</v>
      </c>
      <c r="AC801">
        <v>0.105</v>
      </c>
      <c r="AD801">
        <v>382</v>
      </c>
      <c r="AE801" t="s">
        <v>56</v>
      </c>
      <c r="AF801">
        <v>0.38100000000000001</v>
      </c>
      <c r="AG801">
        <v>195</v>
      </c>
      <c r="AH801" t="s">
        <v>103</v>
      </c>
      <c r="AI801">
        <v>0.19400000000000001</v>
      </c>
      <c r="AJ801" t="s">
        <v>1141</v>
      </c>
    </row>
    <row r="802" spans="1:36" x14ac:dyDescent="0.25">
      <c r="A802" t="s">
        <v>908</v>
      </c>
      <c r="B802">
        <v>861519806</v>
      </c>
      <c r="C802" t="s">
        <v>909</v>
      </c>
      <c r="D802" t="s">
        <v>909</v>
      </c>
      <c r="E802" t="s">
        <v>60</v>
      </c>
      <c r="F802" t="s">
        <v>88</v>
      </c>
      <c r="I802" t="s">
        <v>39</v>
      </c>
      <c r="J802" t="s">
        <v>40</v>
      </c>
      <c r="K802" t="s">
        <v>41</v>
      </c>
      <c r="L802" t="s">
        <v>78</v>
      </c>
      <c r="N802" t="s">
        <v>43</v>
      </c>
      <c r="O802" t="s">
        <v>295</v>
      </c>
      <c r="P802">
        <v>98</v>
      </c>
      <c r="Q802">
        <v>98</v>
      </c>
      <c r="R802">
        <v>131</v>
      </c>
      <c r="S802" t="s">
        <v>56</v>
      </c>
      <c r="T802">
        <v>0.13</v>
      </c>
      <c r="U802">
        <v>4</v>
      </c>
      <c r="V802" t="s">
        <v>55</v>
      </c>
      <c r="W802">
        <v>3.0000000000000001E-3</v>
      </c>
      <c r="X802">
        <v>1</v>
      </c>
      <c r="Y802" t="s">
        <v>47</v>
      </c>
      <c r="Z802">
        <v>0</v>
      </c>
      <c r="AA802">
        <v>106</v>
      </c>
      <c r="AB802" t="s">
        <v>47</v>
      </c>
      <c r="AC802">
        <v>0.105</v>
      </c>
      <c r="AD802">
        <v>382</v>
      </c>
      <c r="AE802" t="s">
        <v>56</v>
      </c>
      <c r="AF802">
        <v>0.38100000000000001</v>
      </c>
      <c r="AG802">
        <v>195</v>
      </c>
      <c r="AH802" t="s">
        <v>103</v>
      </c>
      <c r="AI802">
        <v>0.19400000000000001</v>
      </c>
      <c r="AJ802" t="s">
        <v>1153</v>
      </c>
    </row>
    <row r="803" spans="1:36" x14ac:dyDescent="0.25">
      <c r="A803" t="s">
        <v>908</v>
      </c>
      <c r="B803">
        <v>861519806</v>
      </c>
      <c r="C803" t="s">
        <v>909</v>
      </c>
      <c r="D803" t="s">
        <v>909</v>
      </c>
      <c r="E803" t="s">
        <v>60</v>
      </c>
      <c r="F803" t="s">
        <v>88</v>
      </c>
      <c r="I803" t="s">
        <v>39</v>
      </c>
      <c r="J803" t="s">
        <v>40</v>
      </c>
      <c r="K803" t="s">
        <v>41</v>
      </c>
      <c r="L803" t="s">
        <v>78</v>
      </c>
      <c r="N803" t="s">
        <v>43</v>
      </c>
      <c r="O803" t="s">
        <v>295</v>
      </c>
      <c r="P803">
        <v>98</v>
      </c>
      <c r="Q803">
        <v>98</v>
      </c>
      <c r="R803">
        <v>131</v>
      </c>
      <c r="S803" t="s">
        <v>56</v>
      </c>
      <c r="T803">
        <v>0.13</v>
      </c>
      <c r="U803">
        <v>4</v>
      </c>
      <c r="V803" t="s">
        <v>55</v>
      </c>
      <c r="W803">
        <v>3.0000000000000001E-3</v>
      </c>
      <c r="X803">
        <v>1</v>
      </c>
      <c r="Y803" t="s">
        <v>47</v>
      </c>
      <c r="Z803">
        <v>0</v>
      </c>
      <c r="AA803">
        <v>106</v>
      </c>
      <c r="AB803" t="s">
        <v>47</v>
      </c>
      <c r="AC803">
        <v>0.105</v>
      </c>
      <c r="AD803">
        <v>382</v>
      </c>
      <c r="AE803" t="s">
        <v>56</v>
      </c>
      <c r="AF803">
        <v>0.38100000000000001</v>
      </c>
      <c r="AG803">
        <v>195</v>
      </c>
      <c r="AH803" t="s">
        <v>103</v>
      </c>
      <c r="AI803">
        <v>0.19400000000000001</v>
      </c>
      <c r="AJ803" t="s">
        <v>1154</v>
      </c>
    </row>
    <row r="804" spans="1:36" x14ac:dyDescent="0.25">
      <c r="A804" t="s">
        <v>908</v>
      </c>
      <c r="B804">
        <v>861519806</v>
      </c>
      <c r="C804" t="s">
        <v>909</v>
      </c>
      <c r="D804" t="s">
        <v>909</v>
      </c>
      <c r="E804" t="s">
        <v>60</v>
      </c>
      <c r="F804" t="s">
        <v>88</v>
      </c>
      <c r="I804" t="s">
        <v>39</v>
      </c>
      <c r="J804" t="s">
        <v>40</v>
      </c>
      <c r="K804" t="s">
        <v>41</v>
      </c>
      <c r="L804" t="s">
        <v>78</v>
      </c>
      <c r="N804" t="s">
        <v>43</v>
      </c>
      <c r="O804" t="s">
        <v>295</v>
      </c>
      <c r="P804">
        <v>98</v>
      </c>
      <c r="Q804">
        <v>98</v>
      </c>
      <c r="S804" t="s">
        <v>39</v>
      </c>
      <c r="V804" t="s">
        <v>39</v>
      </c>
      <c r="X804">
        <v>1</v>
      </c>
      <c r="Y804" t="s">
        <v>47</v>
      </c>
      <c r="Z804">
        <v>0</v>
      </c>
      <c r="AA804">
        <v>106</v>
      </c>
      <c r="AB804" t="s">
        <v>47</v>
      </c>
      <c r="AC804">
        <v>0.105</v>
      </c>
      <c r="AD804">
        <v>382</v>
      </c>
      <c r="AE804" t="s">
        <v>56</v>
      </c>
      <c r="AF804">
        <v>0.38100000000000001</v>
      </c>
      <c r="AG804">
        <v>195</v>
      </c>
      <c r="AH804" t="s">
        <v>103</v>
      </c>
      <c r="AI804">
        <v>0.19400000000000001</v>
      </c>
      <c r="AJ804" t="s">
        <v>1155</v>
      </c>
    </row>
    <row r="805" spans="1:36" x14ac:dyDescent="0.25">
      <c r="A805" t="s">
        <v>908</v>
      </c>
      <c r="B805">
        <v>861519806</v>
      </c>
      <c r="C805" t="s">
        <v>909</v>
      </c>
      <c r="D805" t="s">
        <v>909</v>
      </c>
      <c r="E805" t="s">
        <v>60</v>
      </c>
      <c r="F805" t="s">
        <v>88</v>
      </c>
      <c r="I805" t="s">
        <v>39</v>
      </c>
      <c r="J805" t="s">
        <v>40</v>
      </c>
      <c r="K805" t="s">
        <v>41</v>
      </c>
      <c r="L805" t="s">
        <v>78</v>
      </c>
      <c r="N805" t="s">
        <v>43</v>
      </c>
      <c r="O805" t="s">
        <v>295</v>
      </c>
      <c r="P805">
        <v>98</v>
      </c>
      <c r="Q805">
        <v>98</v>
      </c>
      <c r="S805" t="s">
        <v>39</v>
      </c>
      <c r="V805" t="s">
        <v>39</v>
      </c>
      <c r="X805">
        <v>1</v>
      </c>
      <c r="Y805" t="s">
        <v>47</v>
      </c>
      <c r="Z805">
        <v>0</v>
      </c>
      <c r="AA805">
        <v>106</v>
      </c>
      <c r="AB805" t="s">
        <v>47</v>
      </c>
      <c r="AC805">
        <v>0.105</v>
      </c>
      <c r="AD805">
        <v>382</v>
      </c>
      <c r="AE805" t="s">
        <v>56</v>
      </c>
      <c r="AF805">
        <v>0.38100000000000001</v>
      </c>
      <c r="AG805">
        <v>195</v>
      </c>
      <c r="AH805" t="s">
        <v>103</v>
      </c>
      <c r="AI805">
        <v>0.19400000000000001</v>
      </c>
      <c r="AJ805" t="s">
        <v>1156</v>
      </c>
    </row>
    <row r="806" spans="1:36" x14ac:dyDescent="0.25">
      <c r="A806" t="s">
        <v>906</v>
      </c>
      <c r="B806">
        <v>873008065</v>
      </c>
      <c r="C806" t="s">
        <v>907</v>
      </c>
      <c r="D806" t="s">
        <v>907</v>
      </c>
      <c r="E806" t="s">
        <v>37</v>
      </c>
      <c r="F806" t="s">
        <v>38</v>
      </c>
      <c r="I806" t="s">
        <v>39</v>
      </c>
      <c r="J806" t="s">
        <v>40</v>
      </c>
      <c r="K806" t="s">
        <v>41</v>
      </c>
      <c r="N806" t="s">
        <v>43</v>
      </c>
      <c r="O806" t="s">
        <v>287</v>
      </c>
      <c r="P806">
        <v>98</v>
      </c>
      <c r="Q806">
        <v>98</v>
      </c>
      <c r="R806">
        <v>21</v>
      </c>
      <c r="S806" t="s">
        <v>45</v>
      </c>
      <c r="T806">
        <v>0.02</v>
      </c>
      <c r="U806">
        <v>55</v>
      </c>
      <c r="V806" t="s">
        <v>55</v>
      </c>
      <c r="W806">
        <v>5.3999999999999999E-2</v>
      </c>
      <c r="X806">
        <v>4001</v>
      </c>
      <c r="Y806" t="s">
        <v>47</v>
      </c>
      <c r="Z806">
        <v>4</v>
      </c>
      <c r="AA806">
        <v>511</v>
      </c>
      <c r="AB806" t="s">
        <v>75</v>
      </c>
      <c r="AC806">
        <v>0.51</v>
      </c>
      <c r="AD806">
        <v>411</v>
      </c>
      <c r="AE806" t="s">
        <v>56</v>
      </c>
      <c r="AF806">
        <v>0.41</v>
      </c>
      <c r="AG806">
        <v>164</v>
      </c>
      <c r="AH806" t="s">
        <v>103</v>
      </c>
      <c r="AI806">
        <v>0.16300000000000001</v>
      </c>
      <c r="AJ806" t="s">
        <v>50</v>
      </c>
    </row>
    <row r="807" spans="1:36" x14ac:dyDescent="0.25">
      <c r="A807" t="s">
        <v>906</v>
      </c>
      <c r="B807">
        <v>873008065</v>
      </c>
      <c r="C807" t="s">
        <v>907</v>
      </c>
      <c r="D807" t="s">
        <v>907</v>
      </c>
      <c r="E807" t="s">
        <v>37</v>
      </c>
      <c r="F807" t="s">
        <v>38</v>
      </c>
      <c r="I807" t="s">
        <v>39</v>
      </c>
      <c r="J807" t="s">
        <v>40</v>
      </c>
      <c r="K807" t="s">
        <v>41</v>
      </c>
      <c r="N807" t="s">
        <v>43</v>
      </c>
      <c r="O807" t="s">
        <v>287</v>
      </c>
      <c r="P807">
        <v>98</v>
      </c>
      <c r="Q807">
        <v>98</v>
      </c>
      <c r="R807">
        <v>1</v>
      </c>
      <c r="S807" t="s">
        <v>45</v>
      </c>
      <c r="T807">
        <v>0</v>
      </c>
      <c r="U807">
        <v>27</v>
      </c>
      <c r="V807" t="s">
        <v>55</v>
      </c>
      <c r="W807">
        <v>2.5999999999999999E-2</v>
      </c>
      <c r="X807">
        <v>4001</v>
      </c>
      <c r="Y807" t="s">
        <v>47</v>
      </c>
      <c r="Z807">
        <v>4</v>
      </c>
      <c r="AA807">
        <v>511</v>
      </c>
      <c r="AB807" t="s">
        <v>75</v>
      </c>
      <c r="AC807">
        <v>0.51</v>
      </c>
      <c r="AD807">
        <v>411</v>
      </c>
      <c r="AE807" t="s">
        <v>56</v>
      </c>
      <c r="AF807">
        <v>0.41</v>
      </c>
      <c r="AG807">
        <v>164</v>
      </c>
      <c r="AH807" t="s">
        <v>103</v>
      </c>
      <c r="AI807">
        <v>0.16300000000000001</v>
      </c>
      <c r="AJ807" t="s">
        <v>1141</v>
      </c>
    </row>
    <row r="808" spans="1:36" x14ac:dyDescent="0.25">
      <c r="A808" t="s">
        <v>906</v>
      </c>
      <c r="B808">
        <v>873008065</v>
      </c>
      <c r="C808" t="s">
        <v>907</v>
      </c>
      <c r="D808" t="s">
        <v>907</v>
      </c>
      <c r="E808" t="s">
        <v>37</v>
      </c>
      <c r="F808" t="s">
        <v>38</v>
      </c>
      <c r="I808" t="s">
        <v>39</v>
      </c>
      <c r="J808" t="s">
        <v>40</v>
      </c>
      <c r="K808" t="s">
        <v>41</v>
      </c>
      <c r="N808" t="s">
        <v>43</v>
      </c>
      <c r="O808" t="s">
        <v>287</v>
      </c>
      <c r="P808">
        <v>98</v>
      </c>
      <c r="Q808">
        <v>98</v>
      </c>
      <c r="R808">
        <v>21</v>
      </c>
      <c r="S808" t="s">
        <v>45</v>
      </c>
      <c r="T808">
        <v>0.02</v>
      </c>
      <c r="U808">
        <v>55</v>
      </c>
      <c r="V808" t="s">
        <v>55</v>
      </c>
      <c r="W808">
        <v>5.3999999999999999E-2</v>
      </c>
      <c r="X808">
        <v>4001</v>
      </c>
      <c r="Y808" t="s">
        <v>47</v>
      </c>
      <c r="Z808">
        <v>4</v>
      </c>
      <c r="AA808">
        <v>511</v>
      </c>
      <c r="AB808" t="s">
        <v>75</v>
      </c>
      <c r="AC808">
        <v>0.51</v>
      </c>
      <c r="AD808">
        <v>411</v>
      </c>
      <c r="AE808" t="s">
        <v>56</v>
      </c>
      <c r="AF808">
        <v>0.41</v>
      </c>
      <c r="AG808">
        <v>164</v>
      </c>
      <c r="AH808" t="s">
        <v>103</v>
      </c>
      <c r="AI808">
        <v>0.16300000000000001</v>
      </c>
      <c r="AJ808" t="s">
        <v>1153</v>
      </c>
    </row>
    <row r="809" spans="1:36" x14ac:dyDescent="0.25">
      <c r="A809" t="s">
        <v>906</v>
      </c>
      <c r="B809">
        <v>873008065</v>
      </c>
      <c r="C809" t="s">
        <v>907</v>
      </c>
      <c r="D809" t="s">
        <v>907</v>
      </c>
      <c r="E809" t="s">
        <v>37</v>
      </c>
      <c r="F809" t="s">
        <v>38</v>
      </c>
      <c r="I809" t="s">
        <v>39</v>
      </c>
      <c r="J809" t="s">
        <v>40</v>
      </c>
      <c r="K809" t="s">
        <v>41</v>
      </c>
      <c r="N809" t="s">
        <v>43</v>
      </c>
      <c r="O809" t="s">
        <v>287</v>
      </c>
      <c r="P809">
        <v>98</v>
      </c>
      <c r="Q809">
        <v>98</v>
      </c>
      <c r="R809">
        <v>21</v>
      </c>
      <c r="S809" t="s">
        <v>45</v>
      </c>
      <c r="T809">
        <v>0.02</v>
      </c>
      <c r="U809">
        <v>55</v>
      </c>
      <c r="V809" t="s">
        <v>55</v>
      </c>
      <c r="W809">
        <v>5.3999999999999999E-2</v>
      </c>
      <c r="X809">
        <v>4001</v>
      </c>
      <c r="Y809" t="s">
        <v>47</v>
      </c>
      <c r="Z809">
        <v>4</v>
      </c>
      <c r="AA809">
        <v>511</v>
      </c>
      <c r="AB809" t="s">
        <v>75</v>
      </c>
      <c r="AC809">
        <v>0.51</v>
      </c>
      <c r="AD809">
        <v>411</v>
      </c>
      <c r="AE809" t="s">
        <v>56</v>
      </c>
      <c r="AF809">
        <v>0.41</v>
      </c>
      <c r="AG809">
        <v>164</v>
      </c>
      <c r="AH809" t="s">
        <v>103</v>
      </c>
      <c r="AI809">
        <v>0.16300000000000001</v>
      </c>
      <c r="AJ809" t="s">
        <v>1154</v>
      </c>
    </row>
    <row r="810" spans="1:36" x14ac:dyDescent="0.25">
      <c r="A810" t="s">
        <v>906</v>
      </c>
      <c r="B810">
        <v>873008065</v>
      </c>
      <c r="C810" t="s">
        <v>907</v>
      </c>
      <c r="D810" t="s">
        <v>907</v>
      </c>
      <c r="E810" t="s">
        <v>37</v>
      </c>
      <c r="F810" t="s">
        <v>38</v>
      </c>
      <c r="I810" t="s">
        <v>39</v>
      </c>
      <c r="J810" t="s">
        <v>40</v>
      </c>
      <c r="K810" t="s">
        <v>41</v>
      </c>
      <c r="N810" t="s">
        <v>43</v>
      </c>
      <c r="O810" t="s">
        <v>287</v>
      </c>
      <c r="P810">
        <v>98</v>
      </c>
      <c r="Q810">
        <v>98</v>
      </c>
      <c r="S810" t="s">
        <v>39</v>
      </c>
      <c r="V810" t="s">
        <v>39</v>
      </c>
      <c r="X810">
        <v>4001</v>
      </c>
      <c r="Y810" t="s">
        <v>47</v>
      </c>
      <c r="Z810">
        <v>4</v>
      </c>
      <c r="AA810">
        <v>511</v>
      </c>
      <c r="AB810" t="s">
        <v>75</v>
      </c>
      <c r="AC810">
        <v>0.51</v>
      </c>
      <c r="AD810">
        <v>411</v>
      </c>
      <c r="AE810" t="s">
        <v>56</v>
      </c>
      <c r="AF810">
        <v>0.41</v>
      </c>
      <c r="AG810">
        <v>164</v>
      </c>
      <c r="AH810" t="s">
        <v>103</v>
      </c>
      <c r="AI810">
        <v>0.16300000000000001</v>
      </c>
      <c r="AJ810" t="s">
        <v>1155</v>
      </c>
    </row>
    <row r="811" spans="1:36" x14ac:dyDescent="0.25">
      <c r="A811" t="s">
        <v>906</v>
      </c>
      <c r="B811">
        <v>873008065</v>
      </c>
      <c r="C811" t="s">
        <v>907</v>
      </c>
      <c r="D811" t="s">
        <v>907</v>
      </c>
      <c r="E811" t="s">
        <v>37</v>
      </c>
      <c r="F811" t="s">
        <v>38</v>
      </c>
      <c r="I811" t="s">
        <v>39</v>
      </c>
      <c r="J811" t="s">
        <v>40</v>
      </c>
      <c r="K811" t="s">
        <v>41</v>
      </c>
      <c r="N811" t="s">
        <v>43</v>
      </c>
      <c r="O811" t="s">
        <v>287</v>
      </c>
      <c r="P811">
        <v>98</v>
      </c>
      <c r="Q811">
        <v>98</v>
      </c>
      <c r="S811" t="s">
        <v>39</v>
      </c>
      <c r="V811" t="s">
        <v>39</v>
      </c>
      <c r="X811">
        <v>4001</v>
      </c>
      <c r="Y811" t="s">
        <v>47</v>
      </c>
      <c r="Z811">
        <v>4</v>
      </c>
      <c r="AA811">
        <v>511</v>
      </c>
      <c r="AB811" t="s">
        <v>75</v>
      </c>
      <c r="AC811">
        <v>0.51</v>
      </c>
      <c r="AD811">
        <v>411</v>
      </c>
      <c r="AE811" t="s">
        <v>56</v>
      </c>
      <c r="AF811">
        <v>0.41</v>
      </c>
      <c r="AG811">
        <v>164</v>
      </c>
      <c r="AH811" t="s">
        <v>103</v>
      </c>
      <c r="AI811">
        <v>0.16300000000000001</v>
      </c>
      <c r="AJ811" t="s">
        <v>1156</v>
      </c>
    </row>
    <row r="812" spans="1:36" x14ac:dyDescent="0.25">
      <c r="A812" t="s">
        <v>900</v>
      </c>
      <c r="B812">
        <v>873008059</v>
      </c>
      <c r="C812" t="s">
        <v>901</v>
      </c>
      <c r="D812" t="s">
        <v>901</v>
      </c>
      <c r="E812" t="s">
        <v>37</v>
      </c>
      <c r="F812" t="s">
        <v>902</v>
      </c>
      <c r="I812" t="s">
        <v>39</v>
      </c>
      <c r="J812" t="s">
        <v>40</v>
      </c>
      <c r="K812" t="s">
        <v>41</v>
      </c>
      <c r="L812" t="s">
        <v>903</v>
      </c>
      <c r="M812" t="s">
        <v>47</v>
      </c>
      <c r="N812" t="s">
        <v>43</v>
      </c>
      <c r="O812" t="s">
        <v>153</v>
      </c>
      <c r="P812">
        <v>99</v>
      </c>
      <c r="Q812">
        <v>99</v>
      </c>
      <c r="R812">
        <v>1</v>
      </c>
      <c r="S812" t="s">
        <v>45</v>
      </c>
      <c r="T812">
        <v>0</v>
      </c>
      <c r="U812">
        <v>530</v>
      </c>
      <c r="V812" t="s">
        <v>113</v>
      </c>
      <c r="W812">
        <v>0.52900000000000003</v>
      </c>
      <c r="X812">
        <v>20001</v>
      </c>
      <c r="Y812" t="s">
        <v>47</v>
      </c>
      <c r="Z812">
        <v>20</v>
      </c>
      <c r="AA812">
        <v>551</v>
      </c>
      <c r="AB812" t="s">
        <v>75</v>
      </c>
      <c r="AC812">
        <v>0.55000000000000004</v>
      </c>
      <c r="AD812">
        <v>741</v>
      </c>
      <c r="AE812" t="s">
        <v>48</v>
      </c>
      <c r="AF812">
        <v>0.74</v>
      </c>
      <c r="AG812">
        <v>797</v>
      </c>
      <c r="AH812" t="s">
        <v>49</v>
      </c>
      <c r="AI812">
        <v>0.79600000000000004</v>
      </c>
      <c r="AJ812" t="s">
        <v>50</v>
      </c>
    </row>
    <row r="813" spans="1:36" x14ac:dyDescent="0.25">
      <c r="A813" t="s">
        <v>900</v>
      </c>
      <c r="B813">
        <v>873008059</v>
      </c>
      <c r="C813" t="s">
        <v>901</v>
      </c>
      <c r="D813" t="s">
        <v>901</v>
      </c>
      <c r="E813" t="s">
        <v>65</v>
      </c>
      <c r="F813" t="s">
        <v>902</v>
      </c>
      <c r="I813" t="s">
        <v>39</v>
      </c>
      <c r="J813" t="s">
        <v>40</v>
      </c>
      <c r="K813" t="s">
        <v>41</v>
      </c>
      <c r="L813" t="s">
        <v>903</v>
      </c>
      <c r="M813" t="s">
        <v>47</v>
      </c>
      <c r="N813" t="s">
        <v>43</v>
      </c>
      <c r="O813" t="s">
        <v>153</v>
      </c>
      <c r="P813">
        <v>99</v>
      </c>
      <c r="Q813">
        <v>99</v>
      </c>
      <c r="R813">
        <v>1</v>
      </c>
      <c r="S813" t="s">
        <v>45</v>
      </c>
      <c r="T813">
        <v>0</v>
      </c>
      <c r="U813">
        <v>530</v>
      </c>
      <c r="V813" t="s">
        <v>113</v>
      </c>
      <c r="W813">
        <v>0.52900000000000003</v>
      </c>
      <c r="X813">
        <v>20001</v>
      </c>
      <c r="Y813" t="s">
        <v>47</v>
      </c>
      <c r="Z813">
        <v>20</v>
      </c>
      <c r="AA813">
        <v>551</v>
      </c>
      <c r="AB813" t="s">
        <v>75</v>
      </c>
      <c r="AC813">
        <v>0.55000000000000004</v>
      </c>
      <c r="AD813">
        <v>741</v>
      </c>
      <c r="AE813" t="s">
        <v>48</v>
      </c>
      <c r="AF813">
        <v>0.74</v>
      </c>
      <c r="AG813">
        <v>797</v>
      </c>
      <c r="AH813" t="s">
        <v>49</v>
      </c>
      <c r="AI813">
        <v>0.79600000000000004</v>
      </c>
      <c r="AJ813" t="s">
        <v>50</v>
      </c>
    </row>
    <row r="814" spans="1:36" x14ac:dyDescent="0.25">
      <c r="A814" t="s">
        <v>900</v>
      </c>
      <c r="B814">
        <v>873008059</v>
      </c>
      <c r="C814" t="s">
        <v>901</v>
      </c>
      <c r="D814" t="s">
        <v>901</v>
      </c>
      <c r="E814" t="s">
        <v>37</v>
      </c>
      <c r="F814" t="s">
        <v>902</v>
      </c>
      <c r="I814" t="s">
        <v>39</v>
      </c>
      <c r="J814" t="s">
        <v>40</v>
      </c>
      <c r="K814" t="s">
        <v>41</v>
      </c>
      <c r="L814" t="s">
        <v>903</v>
      </c>
      <c r="M814" t="s">
        <v>47</v>
      </c>
      <c r="N814" t="s">
        <v>43</v>
      </c>
      <c r="O814" t="s">
        <v>153</v>
      </c>
      <c r="P814">
        <v>99</v>
      </c>
      <c r="Q814">
        <v>99</v>
      </c>
      <c r="R814">
        <v>1</v>
      </c>
      <c r="S814" t="s">
        <v>45</v>
      </c>
      <c r="T814">
        <v>0</v>
      </c>
      <c r="U814">
        <v>222</v>
      </c>
      <c r="V814" t="s">
        <v>55</v>
      </c>
      <c r="W814">
        <v>0.221</v>
      </c>
      <c r="X814">
        <v>20001</v>
      </c>
      <c r="Y814" t="s">
        <v>47</v>
      </c>
      <c r="Z814">
        <v>20</v>
      </c>
      <c r="AA814">
        <v>551</v>
      </c>
      <c r="AB814" t="s">
        <v>75</v>
      </c>
      <c r="AC814">
        <v>0.55000000000000004</v>
      </c>
      <c r="AD814">
        <v>741</v>
      </c>
      <c r="AE814" t="s">
        <v>48</v>
      </c>
      <c r="AF814">
        <v>0.74</v>
      </c>
      <c r="AG814">
        <v>797</v>
      </c>
      <c r="AH814" t="s">
        <v>49</v>
      </c>
      <c r="AI814">
        <v>0.79600000000000004</v>
      </c>
      <c r="AJ814" t="s">
        <v>1141</v>
      </c>
    </row>
    <row r="815" spans="1:36" x14ac:dyDescent="0.25">
      <c r="A815" t="s">
        <v>900</v>
      </c>
      <c r="B815">
        <v>873008059</v>
      </c>
      <c r="C815" t="s">
        <v>901</v>
      </c>
      <c r="D815" t="s">
        <v>901</v>
      </c>
      <c r="E815" t="s">
        <v>65</v>
      </c>
      <c r="F815" t="s">
        <v>902</v>
      </c>
      <c r="I815" t="s">
        <v>39</v>
      </c>
      <c r="J815" t="s">
        <v>40</v>
      </c>
      <c r="K815" t="s">
        <v>41</v>
      </c>
      <c r="L815" t="s">
        <v>903</v>
      </c>
      <c r="M815" t="s">
        <v>47</v>
      </c>
      <c r="N815" t="s">
        <v>43</v>
      </c>
      <c r="O815" t="s">
        <v>153</v>
      </c>
      <c r="P815">
        <v>99</v>
      </c>
      <c r="Q815">
        <v>99</v>
      </c>
      <c r="R815">
        <v>1</v>
      </c>
      <c r="S815" t="s">
        <v>45</v>
      </c>
      <c r="T815">
        <v>0</v>
      </c>
      <c r="U815">
        <v>222</v>
      </c>
      <c r="V815" t="s">
        <v>55</v>
      </c>
      <c r="W815">
        <v>0.221</v>
      </c>
      <c r="X815">
        <v>20001</v>
      </c>
      <c r="Y815" t="s">
        <v>47</v>
      </c>
      <c r="Z815">
        <v>20</v>
      </c>
      <c r="AA815">
        <v>551</v>
      </c>
      <c r="AB815" t="s">
        <v>75</v>
      </c>
      <c r="AC815">
        <v>0.55000000000000004</v>
      </c>
      <c r="AD815">
        <v>741</v>
      </c>
      <c r="AE815" t="s">
        <v>48</v>
      </c>
      <c r="AF815">
        <v>0.74</v>
      </c>
      <c r="AG815">
        <v>797</v>
      </c>
      <c r="AH815" t="s">
        <v>49</v>
      </c>
      <c r="AI815">
        <v>0.79600000000000004</v>
      </c>
      <c r="AJ815" t="s">
        <v>1141</v>
      </c>
    </row>
    <row r="816" spans="1:36" x14ac:dyDescent="0.25">
      <c r="A816" t="s">
        <v>900</v>
      </c>
      <c r="B816">
        <v>873008059</v>
      </c>
      <c r="C816" t="s">
        <v>901</v>
      </c>
      <c r="D816" t="s">
        <v>901</v>
      </c>
      <c r="E816" t="s">
        <v>37</v>
      </c>
      <c r="F816" t="s">
        <v>902</v>
      </c>
      <c r="I816" t="s">
        <v>39</v>
      </c>
      <c r="J816" t="s">
        <v>40</v>
      </c>
      <c r="K816" t="s">
        <v>41</v>
      </c>
      <c r="L816" t="s">
        <v>903</v>
      </c>
      <c r="M816" t="s">
        <v>47</v>
      </c>
      <c r="N816" t="s">
        <v>43</v>
      </c>
      <c r="O816" t="s">
        <v>153</v>
      </c>
      <c r="P816">
        <v>99</v>
      </c>
      <c r="Q816">
        <v>99</v>
      </c>
      <c r="R816">
        <v>1</v>
      </c>
      <c r="S816" t="s">
        <v>45</v>
      </c>
      <c r="T816">
        <v>0</v>
      </c>
      <c r="U816">
        <v>530</v>
      </c>
      <c r="V816" t="s">
        <v>113</v>
      </c>
      <c r="W816">
        <v>0.52900000000000003</v>
      </c>
      <c r="X816">
        <v>20001</v>
      </c>
      <c r="Y816" t="s">
        <v>47</v>
      </c>
      <c r="Z816">
        <v>20</v>
      </c>
      <c r="AA816">
        <v>551</v>
      </c>
      <c r="AB816" t="s">
        <v>75</v>
      </c>
      <c r="AC816">
        <v>0.55000000000000004</v>
      </c>
      <c r="AD816">
        <v>741</v>
      </c>
      <c r="AE816" t="s">
        <v>48</v>
      </c>
      <c r="AF816">
        <v>0.74</v>
      </c>
      <c r="AG816">
        <v>797</v>
      </c>
      <c r="AH816" t="s">
        <v>49</v>
      </c>
      <c r="AI816">
        <v>0.79600000000000004</v>
      </c>
      <c r="AJ816" t="s">
        <v>1153</v>
      </c>
    </row>
    <row r="817" spans="1:36" x14ac:dyDescent="0.25">
      <c r="A817" t="s">
        <v>900</v>
      </c>
      <c r="B817">
        <v>873008059</v>
      </c>
      <c r="C817" t="s">
        <v>901</v>
      </c>
      <c r="D817" t="s">
        <v>901</v>
      </c>
      <c r="E817" t="s">
        <v>65</v>
      </c>
      <c r="F817" t="s">
        <v>902</v>
      </c>
      <c r="I817" t="s">
        <v>39</v>
      </c>
      <c r="J817" t="s">
        <v>40</v>
      </c>
      <c r="K817" t="s">
        <v>41</v>
      </c>
      <c r="L817" t="s">
        <v>903</v>
      </c>
      <c r="M817" t="s">
        <v>47</v>
      </c>
      <c r="N817" t="s">
        <v>43</v>
      </c>
      <c r="O817" t="s">
        <v>153</v>
      </c>
      <c r="P817">
        <v>99</v>
      </c>
      <c r="Q817">
        <v>99</v>
      </c>
      <c r="R817">
        <v>1</v>
      </c>
      <c r="S817" t="s">
        <v>45</v>
      </c>
      <c r="T817">
        <v>0</v>
      </c>
      <c r="U817">
        <v>530</v>
      </c>
      <c r="V817" t="s">
        <v>113</v>
      </c>
      <c r="W817">
        <v>0.52900000000000003</v>
      </c>
      <c r="X817">
        <v>20001</v>
      </c>
      <c r="Y817" t="s">
        <v>47</v>
      </c>
      <c r="Z817">
        <v>20</v>
      </c>
      <c r="AA817">
        <v>551</v>
      </c>
      <c r="AB817" t="s">
        <v>75</v>
      </c>
      <c r="AC817">
        <v>0.55000000000000004</v>
      </c>
      <c r="AD817">
        <v>741</v>
      </c>
      <c r="AE817" t="s">
        <v>48</v>
      </c>
      <c r="AF817">
        <v>0.74</v>
      </c>
      <c r="AG817">
        <v>797</v>
      </c>
      <c r="AH817" t="s">
        <v>49</v>
      </c>
      <c r="AI817">
        <v>0.79600000000000004</v>
      </c>
      <c r="AJ817" t="s">
        <v>1153</v>
      </c>
    </row>
    <row r="818" spans="1:36" x14ac:dyDescent="0.25">
      <c r="A818" t="s">
        <v>900</v>
      </c>
      <c r="B818">
        <v>873008059</v>
      </c>
      <c r="C818" t="s">
        <v>901</v>
      </c>
      <c r="D818" t="s">
        <v>901</v>
      </c>
      <c r="E818" t="s">
        <v>37</v>
      </c>
      <c r="F818" t="s">
        <v>902</v>
      </c>
      <c r="I818" t="s">
        <v>39</v>
      </c>
      <c r="J818" t="s">
        <v>40</v>
      </c>
      <c r="K818" t="s">
        <v>41</v>
      </c>
      <c r="L818" t="s">
        <v>903</v>
      </c>
      <c r="M818" t="s">
        <v>47</v>
      </c>
      <c r="N818" t="s">
        <v>43</v>
      </c>
      <c r="O818" t="s">
        <v>153</v>
      </c>
      <c r="P818">
        <v>99</v>
      </c>
      <c r="Q818">
        <v>99</v>
      </c>
      <c r="R818">
        <v>1</v>
      </c>
      <c r="S818" t="s">
        <v>45</v>
      </c>
      <c r="T818">
        <v>0</v>
      </c>
      <c r="U818">
        <v>530</v>
      </c>
      <c r="V818" t="s">
        <v>113</v>
      </c>
      <c r="W818">
        <v>0.52900000000000003</v>
      </c>
      <c r="X818">
        <v>20001</v>
      </c>
      <c r="Y818" t="s">
        <v>47</v>
      </c>
      <c r="Z818">
        <v>20</v>
      </c>
      <c r="AA818">
        <v>551</v>
      </c>
      <c r="AB818" t="s">
        <v>75</v>
      </c>
      <c r="AC818">
        <v>0.55000000000000004</v>
      </c>
      <c r="AD818">
        <v>741</v>
      </c>
      <c r="AE818" t="s">
        <v>48</v>
      </c>
      <c r="AF818">
        <v>0.74</v>
      </c>
      <c r="AG818">
        <v>797</v>
      </c>
      <c r="AH818" t="s">
        <v>49</v>
      </c>
      <c r="AI818">
        <v>0.79600000000000004</v>
      </c>
      <c r="AJ818" t="s">
        <v>1154</v>
      </c>
    </row>
    <row r="819" spans="1:36" x14ac:dyDescent="0.25">
      <c r="A819" t="s">
        <v>900</v>
      </c>
      <c r="B819">
        <v>873008059</v>
      </c>
      <c r="C819" t="s">
        <v>901</v>
      </c>
      <c r="D819" t="s">
        <v>901</v>
      </c>
      <c r="E819" t="s">
        <v>65</v>
      </c>
      <c r="F819" t="s">
        <v>902</v>
      </c>
      <c r="I819" t="s">
        <v>39</v>
      </c>
      <c r="J819" t="s">
        <v>40</v>
      </c>
      <c r="K819" t="s">
        <v>41</v>
      </c>
      <c r="L819" t="s">
        <v>903</v>
      </c>
      <c r="M819" t="s">
        <v>47</v>
      </c>
      <c r="N819" t="s">
        <v>43</v>
      </c>
      <c r="O819" t="s">
        <v>153</v>
      </c>
      <c r="P819">
        <v>99</v>
      </c>
      <c r="Q819">
        <v>99</v>
      </c>
      <c r="R819">
        <v>1</v>
      </c>
      <c r="S819" t="s">
        <v>45</v>
      </c>
      <c r="T819">
        <v>0</v>
      </c>
      <c r="U819">
        <v>530</v>
      </c>
      <c r="V819" t="s">
        <v>113</v>
      </c>
      <c r="W819">
        <v>0.52900000000000003</v>
      </c>
      <c r="X819">
        <v>20001</v>
      </c>
      <c r="Y819" t="s">
        <v>47</v>
      </c>
      <c r="Z819">
        <v>20</v>
      </c>
      <c r="AA819">
        <v>551</v>
      </c>
      <c r="AB819" t="s">
        <v>75</v>
      </c>
      <c r="AC819">
        <v>0.55000000000000004</v>
      </c>
      <c r="AD819">
        <v>741</v>
      </c>
      <c r="AE819" t="s">
        <v>48</v>
      </c>
      <c r="AF819">
        <v>0.74</v>
      </c>
      <c r="AG819">
        <v>797</v>
      </c>
      <c r="AH819" t="s">
        <v>49</v>
      </c>
      <c r="AI819">
        <v>0.79600000000000004</v>
      </c>
      <c r="AJ819" t="s">
        <v>1154</v>
      </c>
    </row>
    <row r="820" spans="1:36" x14ac:dyDescent="0.25">
      <c r="A820" t="s">
        <v>900</v>
      </c>
      <c r="B820">
        <v>873008059</v>
      </c>
      <c r="C820" t="s">
        <v>901</v>
      </c>
      <c r="D820" t="s">
        <v>901</v>
      </c>
      <c r="E820" t="s">
        <v>37</v>
      </c>
      <c r="F820" t="s">
        <v>902</v>
      </c>
      <c r="I820" t="s">
        <v>39</v>
      </c>
      <c r="J820" t="s">
        <v>40</v>
      </c>
      <c r="K820" t="s">
        <v>41</v>
      </c>
      <c r="L820" t="s">
        <v>903</v>
      </c>
      <c r="M820" t="s">
        <v>47</v>
      </c>
      <c r="N820" t="s">
        <v>43</v>
      </c>
      <c r="O820" t="s">
        <v>153</v>
      </c>
      <c r="P820">
        <v>99</v>
      </c>
      <c r="Q820">
        <v>99</v>
      </c>
      <c r="S820" t="s">
        <v>39</v>
      </c>
      <c r="V820" t="s">
        <v>39</v>
      </c>
      <c r="X820">
        <v>20001</v>
      </c>
      <c r="Y820" t="s">
        <v>47</v>
      </c>
      <c r="Z820">
        <v>20</v>
      </c>
      <c r="AA820">
        <v>551</v>
      </c>
      <c r="AB820" t="s">
        <v>75</v>
      </c>
      <c r="AC820">
        <v>0.55000000000000004</v>
      </c>
      <c r="AD820">
        <v>741</v>
      </c>
      <c r="AE820" t="s">
        <v>48</v>
      </c>
      <c r="AF820">
        <v>0.74</v>
      </c>
      <c r="AG820">
        <v>797</v>
      </c>
      <c r="AH820" t="s">
        <v>49</v>
      </c>
      <c r="AI820">
        <v>0.79600000000000004</v>
      </c>
      <c r="AJ820" t="s">
        <v>1155</v>
      </c>
    </row>
    <row r="821" spans="1:36" x14ac:dyDescent="0.25">
      <c r="A821" t="s">
        <v>900</v>
      </c>
      <c r="B821">
        <v>873008059</v>
      </c>
      <c r="C821" t="s">
        <v>901</v>
      </c>
      <c r="D821" t="s">
        <v>901</v>
      </c>
      <c r="E821" t="s">
        <v>65</v>
      </c>
      <c r="F821" t="s">
        <v>902</v>
      </c>
      <c r="I821" t="s">
        <v>39</v>
      </c>
      <c r="J821" t="s">
        <v>40</v>
      </c>
      <c r="K821" t="s">
        <v>41</v>
      </c>
      <c r="L821" t="s">
        <v>903</v>
      </c>
      <c r="M821" t="s">
        <v>47</v>
      </c>
      <c r="N821" t="s">
        <v>43</v>
      </c>
      <c r="O821" t="s">
        <v>153</v>
      </c>
      <c r="P821">
        <v>99</v>
      </c>
      <c r="Q821">
        <v>99</v>
      </c>
      <c r="S821" t="s">
        <v>39</v>
      </c>
      <c r="V821" t="s">
        <v>39</v>
      </c>
      <c r="X821">
        <v>20001</v>
      </c>
      <c r="Y821" t="s">
        <v>47</v>
      </c>
      <c r="Z821">
        <v>20</v>
      </c>
      <c r="AA821">
        <v>551</v>
      </c>
      <c r="AB821" t="s">
        <v>75</v>
      </c>
      <c r="AC821">
        <v>0.55000000000000004</v>
      </c>
      <c r="AD821">
        <v>741</v>
      </c>
      <c r="AE821" t="s">
        <v>48</v>
      </c>
      <c r="AF821">
        <v>0.74</v>
      </c>
      <c r="AG821">
        <v>797</v>
      </c>
      <c r="AH821" t="s">
        <v>49</v>
      </c>
      <c r="AI821">
        <v>0.79600000000000004</v>
      </c>
      <c r="AJ821" t="s">
        <v>1155</v>
      </c>
    </row>
    <row r="822" spans="1:36" x14ac:dyDescent="0.25">
      <c r="A822" t="s">
        <v>900</v>
      </c>
      <c r="B822">
        <v>873008059</v>
      </c>
      <c r="C822" t="s">
        <v>901</v>
      </c>
      <c r="D822" t="s">
        <v>901</v>
      </c>
      <c r="E822" t="s">
        <v>37</v>
      </c>
      <c r="F822" t="s">
        <v>902</v>
      </c>
      <c r="I822" t="s">
        <v>39</v>
      </c>
      <c r="J822" t="s">
        <v>40</v>
      </c>
      <c r="K822" t="s">
        <v>41</v>
      </c>
      <c r="L822" t="s">
        <v>903</v>
      </c>
      <c r="M822" t="s">
        <v>47</v>
      </c>
      <c r="N822" t="s">
        <v>43</v>
      </c>
      <c r="O822" t="s">
        <v>153</v>
      </c>
      <c r="P822">
        <v>99</v>
      </c>
      <c r="Q822">
        <v>99</v>
      </c>
      <c r="S822" t="s">
        <v>39</v>
      </c>
      <c r="V822" t="s">
        <v>39</v>
      </c>
      <c r="X822">
        <v>20001</v>
      </c>
      <c r="Y822" t="s">
        <v>47</v>
      </c>
      <c r="Z822">
        <v>20</v>
      </c>
      <c r="AA822">
        <v>551</v>
      </c>
      <c r="AB822" t="s">
        <v>75</v>
      </c>
      <c r="AC822">
        <v>0.55000000000000004</v>
      </c>
      <c r="AD822">
        <v>741</v>
      </c>
      <c r="AE822" t="s">
        <v>48</v>
      </c>
      <c r="AF822">
        <v>0.74</v>
      </c>
      <c r="AG822">
        <v>797</v>
      </c>
      <c r="AH822" t="s">
        <v>49</v>
      </c>
      <c r="AI822">
        <v>0.79600000000000004</v>
      </c>
      <c r="AJ822" t="s">
        <v>1156</v>
      </c>
    </row>
    <row r="823" spans="1:36" x14ac:dyDescent="0.25">
      <c r="A823" t="s">
        <v>900</v>
      </c>
      <c r="B823">
        <v>873008059</v>
      </c>
      <c r="C823" t="s">
        <v>901</v>
      </c>
      <c r="D823" t="s">
        <v>901</v>
      </c>
      <c r="E823" t="s">
        <v>65</v>
      </c>
      <c r="F823" t="s">
        <v>902</v>
      </c>
      <c r="I823" t="s">
        <v>39</v>
      </c>
      <c r="J823" t="s">
        <v>40</v>
      </c>
      <c r="K823" t="s">
        <v>41</v>
      </c>
      <c r="L823" t="s">
        <v>903</v>
      </c>
      <c r="M823" t="s">
        <v>47</v>
      </c>
      <c r="N823" t="s">
        <v>43</v>
      </c>
      <c r="O823" t="s">
        <v>153</v>
      </c>
      <c r="P823">
        <v>99</v>
      </c>
      <c r="Q823">
        <v>99</v>
      </c>
      <c r="S823" t="s">
        <v>39</v>
      </c>
      <c r="V823" t="s">
        <v>39</v>
      </c>
      <c r="X823">
        <v>20001</v>
      </c>
      <c r="Y823" t="s">
        <v>47</v>
      </c>
      <c r="Z823">
        <v>20</v>
      </c>
      <c r="AA823">
        <v>551</v>
      </c>
      <c r="AB823" t="s">
        <v>75</v>
      </c>
      <c r="AC823">
        <v>0.55000000000000004</v>
      </c>
      <c r="AD823">
        <v>741</v>
      </c>
      <c r="AE823" t="s">
        <v>48</v>
      </c>
      <c r="AF823">
        <v>0.74</v>
      </c>
      <c r="AG823">
        <v>797</v>
      </c>
      <c r="AH823" t="s">
        <v>49</v>
      </c>
      <c r="AI823">
        <v>0.79600000000000004</v>
      </c>
      <c r="AJ823" t="s">
        <v>1156</v>
      </c>
    </row>
    <row r="824" spans="1:36" x14ac:dyDescent="0.25">
      <c r="A824" t="s">
        <v>904</v>
      </c>
      <c r="B824">
        <v>886393703</v>
      </c>
      <c r="C824" t="s">
        <v>905</v>
      </c>
      <c r="D824" t="s">
        <v>905</v>
      </c>
      <c r="E824" t="s">
        <v>60</v>
      </c>
      <c r="F824" t="s">
        <v>88</v>
      </c>
      <c r="I824" t="s">
        <v>39</v>
      </c>
      <c r="J824" t="s">
        <v>40</v>
      </c>
      <c r="K824" t="s">
        <v>41</v>
      </c>
      <c r="N824" t="s">
        <v>43</v>
      </c>
      <c r="O824" t="s">
        <v>194</v>
      </c>
      <c r="P824">
        <v>99</v>
      </c>
      <c r="Q824">
        <v>99</v>
      </c>
      <c r="R824">
        <v>1</v>
      </c>
      <c r="S824" t="s">
        <v>45</v>
      </c>
      <c r="T824">
        <v>0</v>
      </c>
      <c r="U824">
        <v>466</v>
      </c>
      <c r="V824" t="s">
        <v>113</v>
      </c>
      <c r="W824">
        <v>0.46500000000000002</v>
      </c>
      <c r="X824">
        <v>18001</v>
      </c>
      <c r="Y824" t="s">
        <v>47</v>
      </c>
      <c r="Z824">
        <v>18</v>
      </c>
      <c r="AA824">
        <v>535</v>
      </c>
      <c r="AB824" t="s">
        <v>75</v>
      </c>
      <c r="AC824">
        <v>0.53400000000000003</v>
      </c>
      <c r="AD824">
        <v>786</v>
      </c>
      <c r="AE824" t="s">
        <v>48</v>
      </c>
      <c r="AF824">
        <v>0.78500000000000003</v>
      </c>
      <c r="AG824">
        <v>737</v>
      </c>
      <c r="AH824" t="s">
        <v>49</v>
      </c>
      <c r="AI824">
        <v>0.73599999999999999</v>
      </c>
      <c r="AJ824" t="s">
        <v>50</v>
      </c>
    </row>
    <row r="825" spans="1:36" x14ac:dyDescent="0.25">
      <c r="A825" t="s">
        <v>904</v>
      </c>
      <c r="B825">
        <v>886393703</v>
      </c>
      <c r="C825" t="s">
        <v>905</v>
      </c>
      <c r="D825" t="s">
        <v>905</v>
      </c>
      <c r="E825" t="s">
        <v>60</v>
      </c>
      <c r="F825" t="s">
        <v>88</v>
      </c>
      <c r="I825" t="s">
        <v>39</v>
      </c>
      <c r="J825" t="s">
        <v>40</v>
      </c>
      <c r="K825" t="s">
        <v>41</v>
      </c>
      <c r="N825" t="s">
        <v>43</v>
      </c>
      <c r="O825" t="s">
        <v>194</v>
      </c>
      <c r="P825">
        <v>99</v>
      </c>
      <c r="Q825">
        <v>99</v>
      </c>
      <c r="R825">
        <v>1</v>
      </c>
      <c r="S825" t="s">
        <v>45</v>
      </c>
      <c r="T825">
        <v>0</v>
      </c>
      <c r="U825">
        <v>180</v>
      </c>
      <c r="V825" t="s">
        <v>55</v>
      </c>
      <c r="W825">
        <v>0.17899999999999999</v>
      </c>
      <c r="X825">
        <v>18001</v>
      </c>
      <c r="Y825" t="s">
        <v>47</v>
      </c>
      <c r="Z825">
        <v>18</v>
      </c>
      <c r="AA825">
        <v>535</v>
      </c>
      <c r="AB825" t="s">
        <v>75</v>
      </c>
      <c r="AC825">
        <v>0.53400000000000003</v>
      </c>
      <c r="AD825">
        <v>786</v>
      </c>
      <c r="AE825" t="s">
        <v>48</v>
      </c>
      <c r="AF825">
        <v>0.78500000000000003</v>
      </c>
      <c r="AG825">
        <v>737</v>
      </c>
      <c r="AH825" t="s">
        <v>49</v>
      </c>
      <c r="AI825">
        <v>0.73599999999999999</v>
      </c>
      <c r="AJ825" t="s">
        <v>1141</v>
      </c>
    </row>
    <row r="826" spans="1:36" x14ac:dyDescent="0.25">
      <c r="A826" t="s">
        <v>904</v>
      </c>
      <c r="B826">
        <v>886393703</v>
      </c>
      <c r="C826" t="s">
        <v>905</v>
      </c>
      <c r="D826" t="s">
        <v>905</v>
      </c>
      <c r="E826" t="s">
        <v>60</v>
      </c>
      <c r="F826" t="s">
        <v>88</v>
      </c>
      <c r="I826" t="s">
        <v>39</v>
      </c>
      <c r="J826" t="s">
        <v>40</v>
      </c>
      <c r="K826" t="s">
        <v>41</v>
      </c>
      <c r="N826" t="s">
        <v>43</v>
      </c>
      <c r="O826" t="s">
        <v>194</v>
      </c>
      <c r="P826">
        <v>99</v>
      </c>
      <c r="Q826">
        <v>99</v>
      </c>
      <c r="R826">
        <v>1</v>
      </c>
      <c r="S826" t="s">
        <v>45</v>
      </c>
      <c r="T826">
        <v>0</v>
      </c>
      <c r="U826">
        <v>466</v>
      </c>
      <c r="V826" t="s">
        <v>113</v>
      </c>
      <c r="W826">
        <v>0.46500000000000002</v>
      </c>
      <c r="X826">
        <v>18001</v>
      </c>
      <c r="Y826" t="s">
        <v>47</v>
      </c>
      <c r="Z826">
        <v>18</v>
      </c>
      <c r="AA826">
        <v>535</v>
      </c>
      <c r="AB826" t="s">
        <v>75</v>
      </c>
      <c r="AC826">
        <v>0.53400000000000003</v>
      </c>
      <c r="AD826">
        <v>786</v>
      </c>
      <c r="AE826" t="s">
        <v>48</v>
      </c>
      <c r="AF826">
        <v>0.78500000000000003</v>
      </c>
      <c r="AG826">
        <v>737</v>
      </c>
      <c r="AH826" t="s">
        <v>49</v>
      </c>
      <c r="AI826">
        <v>0.73599999999999999</v>
      </c>
      <c r="AJ826" t="s">
        <v>1153</v>
      </c>
    </row>
    <row r="827" spans="1:36" x14ac:dyDescent="0.25">
      <c r="A827" t="s">
        <v>904</v>
      </c>
      <c r="B827">
        <v>886393703</v>
      </c>
      <c r="C827" t="s">
        <v>905</v>
      </c>
      <c r="D827" t="s">
        <v>905</v>
      </c>
      <c r="E827" t="s">
        <v>60</v>
      </c>
      <c r="F827" t="s">
        <v>88</v>
      </c>
      <c r="I827" t="s">
        <v>39</v>
      </c>
      <c r="J827" t="s">
        <v>40</v>
      </c>
      <c r="K827" t="s">
        <v>41</v>
      </c>
      <c r="N827" t="s">
        <v>43</v>
      </c>
      <c r="O827" t="s">
        <v>194</v>
      </c>
      <c r="P827">
        <v>99</v>
      </c>
      <c r="Q827">
        <v>99</v>
      </c>
      <c r="R827">
        <v>1</v>
      </c>
      <c r="S827" t="s">
        <v>45</v>
      </c>
      <c r="T827">
        <v>0</v>
      </c>
      <c r="U827">
        <v>466</v>
      </c>
      <c r="V827" t="s">
        <v>113</v>
      </c>
      <c r="W827">
        <v>0.46500000000000002</v>
      </c>
      <c r="X827">
        <v>18001</v>
      </c>
      <c r="Y827" t="s">
        <v>47</v>
      </c>
      <c r="Z827">
        <v>18</v>
      </c>
      <c r="AA827">
        <v>535</v>
      </c>
      <c r="AB827" t="s">
        <v>75</v>
      </c>
      <c r="AC827">
        <v>0.53400000000000003</v>
      </c>
      <c r="AD827">
        <v>786</v>
      </c>
      <c r="AE827" t="s">
        <v>48</v>
      </c>
      <c r="AF827">
        <v>0.78500000000000003</v>
      </c>
      <c r="AG827">
        <v>737</v>
      </c>
      <c r="AH827" t="s">
        <v>49</v>
      </c>
      <c r="AI827">
        <v>0.73599999999999999</v>
      </c>
      <c r="AJ827" t="s">
        <v>1154</v>
      </c>
    </row>
    <row r="828" spans="1:36" x14ac:dyDescent="0.25">
      <c r="A828" t="s">
        <v>904</v>
      </c>
      <c r="B828">
        <v>886393703</v>
      </c>
      <c r="C828" t="s">
        <v>905</v>
      </c>
      <c r="D828" t="s">
        <v>905</v>
      </c>
      <c r="E828" t="s">
        <v>60</v>
      </c>
      <c r="F828" t="s">
        <v>88</v>
      </c>
      <c r="I828" t="s">
        <v>39</v>
      </c>
      <c r="J828" t="s">
        <v>40</v>
      </c>
      <c r="K828" t="s">
        <v>41</v>
      </c>
      <c r="N828" t="s">
        <v>43</v>
      </c>
      <c r="O828" t="s">
        <v>194</v>
      </c>
      <c r="P828">
        <v>99</v>
      </c>
      <c r="Q828">
        <v>99</v>
      </c>
      <c r="S828" t="s">
        <v>39</v>
      </c>
      <c r="V828" t="s">
        <v>39</v>
      </c>
      <c r="X828">
        <v>18001</v>
      </c>
      <c r="Y828" t="s">
        <v>47</v>
      </c>
      <c r="Z828">
        <v>18</v>
      </c>
      <c r="AA828">
        <v>535</v>
      </c>
      <c r="AB828" t="s">
        <v>75</v>
      </c>
      <c r="AC828">
        <v>0.53400000000000003</v>
      </c>
      <c r="AD828">
        <v>786</v>
      </c>
      <c r="AE828" t="s">
        <v>48</v>
      </c>
      <c r="AF828">
        <v>0.78500000000000003</v>
      </c>
      <c r="AG828">
        <v>737</v>
      </c>
      <c r="AH828" t="s">
        <v>49</v>
      </c>
      <c r="AI828">
        <v>0.73599999999999999</v>
      </c>
      <c r="AJ828" t="s">
        <v>1155</v>
      </c>
    </row>
    <row r="829" spans="1:36" x14ac:dyDescent="0.25">
      <c r="A829" t="s">
        <v>904</v>
      </c>
      <c r="B829">
        <v>886393703</v>
      </c>
      <c r="C829" t="s">
        <v>905</v>
      </c>
      <c r="D829" t="s">
        <v>905</v>
      </c>
      <c r="E829" t="s">
        <v>60</v>
      </c>
      <c r="F829" t="s">
        <v>88</v>
      </c>
      <c r="I829" t="s">
        <v>39</v>
      </c>
      <c r="J829" t="s">
        <v>40</v>
      </c>
      <c r="K829" t="s">
        <v>41</v>
      </c>
      <c r="N829" t="s">
        <v>43</v>
      </c>
      <c r="O829" t="s">
        <v>194</v>
      </c>
      <c r="P829">
        <v>99</v>
      </c>
      <c r="Q829">
        <v>99</v>
      </c>
      <c r="S829" t="s">
        <v>39</v>
      </c>
      <c r="V829" t="s">
        <v>39</v>
      </c>
      <c r="X829">
        <v>18001</v>
      </c>
      <c r="Y829" t="s">
        <v>47</v>
      </c>
      <c r="Z829">
        <v>18</v>
      </c>
      <c r="AA829">
        <v>535</v>
      </c>
      <c r="AB829" t="s">
        <v>75</v>
      </c>
      <c r="AC829">
        <v>0.53400000000000003</v>
      </c>
      <c r="AD829">
        <v>786</v>
      </c>
      <c r="AE829" t="s">
        <v>48</v>
      </c>
      <c r="AF829">
        <v>0.78500000000000003</v>
      </c>
      <c r="AG829">
        <v>737</v>
      </c>
      <c r="AH829" t="s">
        <v>49</v>
      </c>
      <c r="AI829">
        <v>0.73599999999999999</v>
      </c>
      <c r="AJ829" t="s">
        <v>1156</v>
      </c>
    </row>
    <row r="830" spans="1:36" x14ac:dyDescent="0.25">
      <c r="A830" t="s">
        <v>898</v>
      </c>
      <c r="B830">
        <v>872683947</v>
      </c>
      <c r="C830" t="s">
        <v>899</v>
      </c>
      <c r="D830" t="s">
        <v>899</v>
      </c>
      <c r="E830" t="s">
        <v>60</v>
      </c>
      <c r="F830" t="s">
        <v>229</v>
      </c>
      <c r="I830" t="s">
        <v>39</v>
      </c>
      <c r="J830" t="s">
        <v>40</v>
      </c>
      <c r="K830" t="s">
        <v>41</v>
      </c>
      <c r="L830" t="s">
        <v>72</v>
      </c>
      <c r="M830" t="s">
        <v>73</v>
      </c>
      <c r="N830" t="s">
        <v>43</v>
      </c>
      <c r="O830" t="s">
        <v>859</v>
      </c>
      <c r="P830">
        <v>100</v>
      </c>
      <c r="Q830">
        <v>100</v>
      </c>
      <c r="R830">
        <v>1</v>
      </c>
      <c r="S830" t="s">
        <v>45</v>
      </c>
      <c r="T830">
        <v>0</v>
      </c>
      <c r="U830">
        <v>1001</v>
      </c>
      <c r="V830" t="s">
        <v>46</v>
      </c>
      <c r="W830">
        <v>1</v>
      </c>
      <c r="X830">
        <v>25001</v>
      </c>
      <c r="Y830" t="s">
        <v>47</v>
      </c>
      <c r="Z830">
        <v>25</v>
      </c>
      <c r="AA830">
        <v>801</v>
      </c>
      <c r="AB830" t="s">
        <v>75</v>
      </c>
      <c r="AC830">
        <v>0.8</v>
      </c>
      <c r="AD830">
        <v>855</v>
      </c>
      <c r="AE830" t="s">
        <v>48</v>
      </c>
      <c r="AF830">
        <v>0.85399999999999998</v>
      </c>
      <c r="AG830">
        <v>983</v>
      </c>
      <c r="AH830" t="s">
        <v>80</v>
      </c>
      <c r="AI830">
        <v>0.98199999999999998</v>
      </c>
      <c r="AJ830" t="s">
        <v>50</v>
      </c>
    </row>
    <row r="831" spans="1:36" x14ac:dyDescent="0.25">
      <c r="A831" t="s">
        <v>898</v>
      </c>
      <c r="B831">
        <v>872683947</v>
      </c>
      <c r="C831" t="s">
        <v>899</v>
      </c>
      <c r="D831" t="s">
        <v>899</v>
      </c>
      <c r="E831" t="s">
        <v>60</v>
      </c>
      <c r="F831" t="s">
        <v>229</v>
      </c>
      <c r="I831" t="s">
        <v>39</v>
      </c>
      <c r="J831" t="s">
        <v>40</v>
      </c>
      <c r="K831" t="s">
        <v>41</v>
      </c>
      <c r="L831" t="s">
        <v>72</v>
      </c>
      <c r="M831" t="s">
        <v>73</v>
      </c>
      <c r="N831" t="s">
        <v>43</v>
      </c>
      <c r="O831" t="s">
        <v>859</v>
      </c>
      <c r="P831">
        <v>100</v>
      </c>
      <c r="Q831">
        <v>100</v>
      </c>
      <c r="R831">
        <v>1</v>
      </c>
      <c r="S831" t="s">
        <v>45</v>
      </c>
      <c r="T831">
        <v>0</v>
      </c>
      <c r="U831">
        <v>1000</v>
      </c>
      <c r="V831" t="s">
        <v>46</v>
      </c>
      <c r="W831">
        <v>0.999</v>
      </c>
      <c r="X831">
        <v>25001</v>
      </c>
      <c r="Y831" t="s">
        <v>47</v>
      </c>
      <c r="Z831">
        <v>25</v>
      </c>
      <c r="AA831">
        <v>801</v>
      </c>
      <c r="AB831" t="s">
        <v>75</v>
      </c>
      <c r="AC831">
        <v>0.8</v>
      </c>
      <c r="AD831">
        <v>855</v>
      </c>
      <c r="AE831" t="s">
        <v>48</v>
      </c>
      <c r="AF831">
        <v>0.85399999999999998</v>
      </c>
      <c r="AG831">
        <v>983</v>
      </c>
      <c r="AH831" t="s">
        <v>80</v>
      </c>
      <c r="AI831">
        <v>0.98199999999999998</v>
      </c>
      <c r="AJ831" t="s">
        <v>1141</v>
      </c>
    </row>
    <row r="832" spans="1:36" x14ac:dyDescent="0.25">
      <c r="A832" t="s">
        <v>898</v>
      </c>
      <c r="B832">
        <v>872683947</v>
      </c>
      <c r="C832" t="s">
        <v>899</v>
      </c>
      <c r="D832" t="s">
        <v>899</v>
      </c>
      <c r="E832" t="s">
        <v>60</v>
      </c>
      <c r="F832" t="s">
        <v>229</v>
      </c>
      <c r="I832" t="s">
        <v>39</v>
      </c>
      <c r="J832" t="s">
        <v>40</v>
      </c>
      <c r="K832" t="s">
        <v>41</v>
      </c>
      <c r="L832" t="s">
        <v>72</v>
      </c>
      <c r="M832" t="s">
        <v>73</v>
      </c>
      <c r="N832" t="s">
        <v>43</v>
      </c>
      <c r="O832" t="s">
        <v>859</v>
      </c>
      <c r="P832">
        <v>100</v>
      </c>
      <c r="Q832">
        <v>100</v>
      </c>
      <c r="R832">
        <v>1</v>
      </c>
      <c r="S832" t="s">
        <v>45</v>
      </c>
      <c r="T832">
        <v>0</v>
      </c>
      <c r="U832">
        <v>1001</v>
      </c>
      <c r="V832" t="s">
        <v>46</v>
      </c>
      <c r="W832">
        <v>1</v>
      </c>
      <c r="X832">
        <v>25001</v>
      </c>
      <c r="Y832" t="s">
        <v>47</v>
      </c>
      <c r="Z832">
        <v>25</v>
      </c>
      <c r="AA832">
        <v>801</v>
      </c>
      <c r="AB832" t="s">
        <v>75</v>
      </c>
      <c r="AC832">
        <v>0.8</v>
      </c>
      <c r="AD832">
        <v>855</v>
      </c>
      <c r="AE832" t="s">
        <v>48</v>
      </c>
      <c r="AF832">
        <v>0.85399999999999998</v>
      </c>
      <c r="AG832">
        <v>983</v>
      </c>
      <c r="AH832" t="s">
        <v>80</v>
      </c>
      <c r="AI832">
        <v>0.98199999999999998</v>
      </c>
      <c r="AJ832" t="s">
        <v>1153</v>
      </c>
    </row>
    <row r="833" spans="1:36" x14ac:dyDescent="0.25">
      <c r="A833" t="s">
        <v>898</v>
      </c>
      <c r="B833">
        <v>872683947</v>
      </c>
      <c r="C833" t="s">
        <v>899</v>
      </c>
      <c r="D833" t="s">
        <v>899</v>
      </c>
      <c r="E833" t="s">
        <v>60</v>
      </c>
      <c r="F833" t="s">
        <v>229</v>
      </c>
      <c r="I833" t="s">
        <v>39</v>
      </c>
      <c r="J833" t="s">
        <v>40</v>
      </c>
      <c r="K833" t="s">
        <v>41</v>
      </c>
      <c r="L833" t="s">
        <v>72</v>
      </c>
      <c r="M833" t="s">
        <v>73</v>
      </c>
      <c r="N833" t="s">
        <v>43</v>
      </c>
      <c r="O833" t="s">
        <v>859</v>
      </c>
      <c r="P833">
        <v>100</v>
      </c>
      <c r="Q833">
        <v>100</v>
      </c>
      <c r="R833">
        <v>1</v>
      </c>
      <c r="S833" t="s">
        <v>45</v>
      </c>
      <c r="T833">
        <v>0</v>
      </c>
      <c r="U833">
        <v>1001</v>
      </c>
      <c r="V833" t="s">
        <v>46</v>
      </c>
      <c r="W833">
        <v>1</v>
      </c>
      <c r="X833">
        <v>25001</v>
      </c>
      <c r="Y833" t="s">
        <v>47</v>
      </c>
      <c r="Z833">
        <v>25</v>
      </c>
      <c r="AA833">
        <v>801</v>
      </c>
      <c r="AB833" t="s">
        <v>75</v>
      </c>
      <c r="AC833">
        <v>0.8</v>
      </c>
      <c r="AD833">
        <v>855</v>
      </c>
      <c r="AE833" t="s">
        <v>48</v>
      </c>
      <c r="AF833">
        <v>0.85399999999999998</v>
      </c>
      <c r="AG833">
        <v>983</v>
      </c>
      <c r="AH833" t="s">
        <v>80</v>
      </c>
      <c r="AI833">
        <v>0.98199999999999998</v>
      </c>
      <c r="AJ833" t="s">
        <v>1154</v>
      </c>
    </row>
    <row r="834" spans="1:36" x14ac:dyDescent="0.25">
      <c r="A834" t="s">
        <v>898</v>
      </c>
      <c r="B834">
        <v>872683947</v>
      </c>
      <c r="C834" t="s">
        <v>899</v>
      </c>
      <c r="D834" t="s">
        <v>899</v>
      </c>
      <c r="E834" t="s">
        <v>60</v>
      </c>
      <c r="F834" t="s">
        <v>229</v>
      </c>
      <c r="I834" t="s">
        <v>39</v>
      </c>
      <c r="J834" t="s">
        <v>40</v>
      </c>
      <c r="K834" t="s">
        <v>41</v>
      </c>
      <c r="L834" t="s">
        <v>72</v>
      </c>
      <c r="M834" t="s">
        <v>73</v>
      </c>
      <c r="N834" t="s">
        <v>43</v>
      </c>
      <c r="O834" t="s">
        <v>859</v>
      </c>
      <c r="P834">
        <v>100</v>
      </c>
      <c r="Q834">
        <v>100</v>
      </c>
      <c r="S834" t="s">
        <v>39</v>
      </c>
      <c r="V834" t="s">
        <v>39</v>
      </c>
      <c r="X834">
        <v>25001</v>
      </c>
      <c r="Y834" t="s">
        <v>47</v>
      </c>
      <c r="Z834">
        <v>25</v>
      </c>
      <c r="AA834">
        <v>801</v>
      </c>
      <c r="AB834" t="s">
        <v>75</v>
      </c>
      <c r="AC834">
        <v>0.8</v>
      </c>
      <c r="AD834">
        <v>855</v>
      </c>
      <c r="AE834" t="s">
        <v>48</v>
      </c>
      <c r="AF834">
        <v>0.85399999999999998</v>
      </c>
      <c r="AG834">
        <v>983</v>
      </c>
      <c r="AH834" t="s">
        <v>80</v>
      </c>
      <c r="AI834">
        <v>0.98199999999999998</v>
      </c>
      <c r="AJ834" t="s">
        <v>1155</v>
      </c>
    </row>
    <row r="835" spans="1:36" x14ac:dyDescent="0.25">
      <c r="A835" t="s">
        <v>898</v>
      </c>
      <c r="B835">
        <v>872683947</v>
      </c>
      <c r="C835" t="s">
        <v>899</v>
      </c>
      <c r="D835" t="s">
        <v>899</v>
      </c>
      <c r="E835" t="s">
        <v>60</v>
      </c>
      <c r="F835" t="s">
        <v>229</v>
      </c>
      <c r="I835" t="s">
        <v>39</v>
      </c>
      <c r="J835" t="s">
        <v>40</v>
      </c>
      <c r="K835" t="s">
        <v>41</v>
      </c>
      <c r="L835" t="s">
        <v>72</v>
      </c>
      <c r="M835" t="s">
        <v>73</v>
      </c>
      <c r="N835" t="s">
        <v>43</v>
      </c>
      <c r="O835" t="s">
        <v>859</v>
      </c>
      <c r="P835">
        <v>100</v>
      </c>
      <c r="Q835">
        <v>100</v>
      </c>
      <c r="S835" t="s">
        <v>39</v>
      </c>
      <c r="V835" t="s">
        <v>39</v>
      </c>
      <c r="X835">
        <v>25001</v>
      </c>
      <c r="Y835" t="s">
        <v>47</v>
      </c>
      <c r="Z835">
        <v>25</v>
      </c>
      <c r="AA835">
        <v>801</v>
      </c>
      <c r="AB835" t="s">
        <v>75</v>
      </c>
      <c r="AC835">
        <v>0.8</v>
      </c>
      <c r="AD835">
        <v>855</v>
      </c>
      <c r="AE835" t="s">
        <v>48</v>
      </c>
      <c r="AF835">
        <v>0.85399999999999998</v>
      </c>
      <c r="AG835">
        <v>983</v>
      </c>
      <c r="AH835" t="s">
        <v>80</v>
      </c>
      <c r="AI835">
        <v>0.98199999999999998</v>
      </c>
      <c r="AJ835" t="s">
        <v>1156</v>
      </c>
    </row>
    <row r="836" spans="1:36" x14ac:dyDescent="0.25">
      <c r="A836" t="s">
        <v>896</v>
      </c>
      <c r="B836">
        <v>864670798</v>
      </c>
      <c r="C836" t="s">
        <v>897</v>
      </c>
      <c r="D836" t="s">
        <v>897</v>
      </c>
      <c r="E836" t="s">
        <v>60</v>
      </c>
      <c r="F836" t="s">
        <v>88</v>
      </c>
      <c r="I836" t="s">
        <v>39</v>
      </c>
      <c r="J836" t="s">
        <v>40</v>
      </c>
      <c r="K836" t="s">
        <v>41</v>
      </c>
      <c r="L836" t="s">
        <v>173</v>
      </c>
      <c r="N836" t="s">
        <v>43</v>
      </c>
      <c r="O836" t="s">
        <v>194</v>
      </c>
      <c r="P836">
        <v>102</v>
      </c>
      <c r="Q836">
        <v>102</v>
      </c>
      <c r="R836">
        <v>391</v>
      </c>
      <c r="S836" t="s">
        <v>56</v>
      </c>
      <c r="T836">
        <v>0.39</v>
      </c>
      <c r="U836">
        <v>85</v>
      </c>
      <c r="V836" t="s">
        <v>55</v>
      </c>
      <c r="W836">
        <v>8.4000000000000005E-2</v>
      </c>
      <c r="X836">
        <v>3001</v>
      </c>
      <c r="Y836" t="s">
        <v>47</v>
      </c>
      <c r="Z836">
        <v>3</v>
      </c>
      <c r="AA836">
        <v>290</v>
      </c>
      <c r="AB836" t="s">
        <v>47</v>
      </c>
      <c r="AC836">
        <v>0.28899999999999998</v>
      </c>
      <c r="AD836">
        <v>465</v>
      </c>
      <c r="AE836" t="s">
        <v>56</v>
      </c>
      <c r="AF836">
        <v>0.46400000000000002</v>
      </c>
      <c r="AG836">
        <v>249</v>
      </c>
      <c r="AH836" t="s">
        <v>57</v>
      </c>
      <c r="AI836">
        <v>0.248</v>
      </c>
      <c r="AJ836" t="s">
        <v>50</v>
      </c>
    </row>
    <row r="837" spans="1:36" x14ac:dyDescent="0.25">
      <c r="A837" t="s">
        <v>896</v>
      </c>
      <c r="B837">
        <v>864670798</v>
      </c>
      <c r="C837" t="s">
        <v>897</v>
      </c>
      <c r="D837" t="s">
        <v>897</v>
      </c>
      <c r="E837" t="s">
        <v>60</v>
      </c>
      <c r="F837" t="s">
        <v>88</v>
      </c>
      <c r="I837" t="s">
        <v>39</v>
      </c>
      <c r="J837" t="s">
        <v>40</v>
      </c>
      <c r="K837" t="s">
        <v>41</v>
      </c>
      <c r="L837" t="s">
        <v>173</v>
      </c>
      <c r="N837" t="s">
        <v>43</v>
      </c>
      <c r="O837" t="s">
        <v>194</v>
      </c>
      <c r="P837">
        <v>102</v>
      </c>
      <c r="Q837">
        <v>102</v>
      </c>
      <c r="R837">
        <v>121</v>
      </c>
      <c r="S837" t="s">
        <v>56</v>
      </c>
      <c r="T837">
        <v>0.12</v>
      </c>
      <c r="U837">
        <v>13</v>
      </c>
      <c r="V837" t="s">
        <v>55</v>
      </c>
      <c r="W837">
        <v>1.2E-2</v>
      </c>
      <c r="X837">
        <v>3001</v>
      </c>
      <c r="Y837" t="s">
        <v>47</v>
      </c>
      <c r="Z837">
        <v>3</v>
      </c>
      <c r="AA837">
        <v>290</v>
      </c>
      <c r="AB837" t="s">
        <v>47</v>
      </c>
      <c r="AC837">
        <v>0.28899999999999998</v>
      </c>
      <c r="AD837">
        <v>465</v>
      </c>
      <c r="AE837" t="s">
        <v>56</v>
      </c>
      <c r="AF837">
        <v>0.46400000000000002</v>
      </c>
      <c r="AG837">
        <v>249</v>
      </c>
      <c r="AH837" t="s">
        <v>57</v>
      </c>
      <c r="AI837">
        <v>0.248</v>
      </c>
      <c r="AJ837" t="s">
        <v>1141</v>
      </c>
    </row>
    <row r="838" spans="1:36" x14ac:dyDescent="0.25">
      <c r="A838" t="s">
        <v>896</v>
      </c>
      <c r="B838">
        <v>864670798</v>
      </c>
      <c r="C838" t="s">
        <v>897</v>
      </c>
      <c r="D838" t="s">
        <v>897</v>
      </c>
      <c r="E838" t="s">
        <v>60</v>
      </c>
      <c r="F838" t="s">
        <v>88</v>
      </c>
      <c r="I838" t="s">
        <v>39</v>
      </c>
      <c r="J838" t="s">
        <v>40</v>
      </c>
      <c r="K838" t="s">
        <v>41</v>
      </c>
      <c r="L838" t="s">
        <v>173</v>
      </c>
      <c r="N838" t="s">
        <v>43</v>
      </c>
      <c r="O838" t="s">
        <v>194</v>
      </c>
      <c r="P838">
        <v>102</v>
      </c>
      <c r="Q838">
        <v>102</v>
      </c>
      <c r="R838">
        <v>391</v>
      </c>
      <c r="S838" t="s">
        <v>56</v>
      </c>
      <c r="T838">
        <v>0.39</v>
      </c>
      <c r="U838">
        <v>85</v>
      </c>
      <c r="V838" t="s">
        <v>55</v>
      </c>
      <c r="W838">
        <v>8.4000000000000005E-2</v>
      </c>
      <c r="X838">
        <v>3001</v>
      </c>
      <c r="Y838" t="s">
        <v>47</v>
      </c>
      <c r="Z838">
        <v>3</v>
      </c>
      <c r="AA838">
        <v>290</v>
      </c>
      <c r="AB838" t="s">
        <v>47</v>
      </c>
      <c r="AC838">
        <v>0.28899999999999998</v>
      </c>
      <c r="AD838">
        <v>465</v>
      </c>
      <c r="AE838" t="s">
        <v>56</v>
      </c>
      <c r="AF838">
        <v>0.46400000000000002</v>
      </c>
      <c r="AG838">
        <v>249</v>
      </c>
      <c r="AH838" t="s">
        <v>57</v>
      </c>
      <c r="AI838">
        <v>0.248</v>
      </c>
      <c r="AJ838" t="s">
        <v>1153</v>
      </c>
    </row>
    <row r="839" spans="1:36" x14ac:dyDescent="0.25">
      <c r="A839" t="s">
        <v>896</v>
      </c>
      <c r="B839">
        <v>864670798</v>
      </c>
      <c r="C839" t="s">
        <v>897</v>
      </c>
      <c r="D839" t="s">
        <v>897</v>
      </c>
      <c r="E839" t="s">
        <v>60</v>
      </c>
      <c r="F839" t="s">
        <v>88</v>
      </c>
      <c r="I839" t="s">
        <v>39</v>
      </c>
      <c r="J839" t="s">
        <v>40</v>
      </c>
      <c r="K839" t="s">
        <v>41</v>
      </c>
      <c r="L839" t="s">
        <v>173</v>
      </c>
      <c r="N839" t="s">
        <v>43</v>
      </c>
      <c r="O839" t="s">
        <v>194</v>
      </c>
      <c r="P839">
        <v>102</v>
      </c>
      <c r="Q839">
        <v>102</v>
      </c>
      <c r="R839">
        <v>391</v>
      </c>
      <c r="S839" t="s">
        <v>56</v>
      </c>
      <c r="T839">
        <v>0.39</v>
      </c>
      <c r="U839">
        <v>85</v>
      </c>
      <c r="V839" t="s">
        <v>55</v>
      </c>
      <c r="W839">
        <v>8.4000000000000005E-2</v>
      </c>
      <c r="X839">
        <v>3001</v>
      </c>
      <c r="Y839" t="s">
        <v>47</v>
      </c>
      <c r="Z839">
        <v>3</v>
      </c>
      <c r="AA839">
        <v>290</v>
      </c>
      <c r="AB839" t="s">
        <v>47</v>
      </c>
      <c r="AC839">
        <v>0.28899999999999998</v>
      </c>
      <c r="AD839">
        <v>465</v>
      </c>
      <c r="AE839" t="s">
        <v>56</v>
      </c>
      <c r="AF839">
        <v>0.46400000000000002</v>
      </c>
      <c r="AG839">
        <v>249</v>
      </c>
      <c r="AH839" t="s">
        <v>57</v>
      </c>
      <c r="AI839">
        <v>0.248</v>
      </c>
      <c r="AJ839" t="s">
        <v>1154</v>
      </c>
    </row>
    <row r="840" spans="1:36" x14ac:dyDescent="0.25">
      <c r="A840" t="s">
        <v>896</v>
      </c>
      <c r="B840">
        <v>864670798</v>
      </c>
      <c r="C840" t="s">
        <v>897</v>
      </c>
      <c r="D840" t="s">
        <v>897</v>
      </c>
      <c r="E840" t="s">
        <v>60</v>
      </c>
      <c r="F840" t="s">
        <v>88</v>
      </c>
      <c r="I840" t="s">
        <v>39</v>
      </c>
      <c r="J840" t="s">
        <v>40</v>
      </c>
      <c r="K840" t="s">
        <v>41</v>
      </c>
      <c r="L840" t="s">
        <v>173</v>
      </c>
      <c r="N840" t="s">
        <v>43</v>
      </c>
      <c r="O840" t="s">
        <v>194</v>
      </c>
      <c r="P840">
        <v>102</v>
      </c>
      <c r="Q840">
        <v>102</v>
      </c>
      <c r="S840" t="s">
        <v>39</v>
      </c>
      <c r="V840" t="s">
        <v>39</v>
      </c>
      <c r="X840">
        <v>3001</v>
      </c>
      <c r="Y840" t="s">
        <v>47</v>
      </c>
      <c r="Z840">
        <v>3</v>
      </c>
      <c r="AA840">
        <v>290</v>
      </c>
      <c r="AB840" t="s">
        <v>47</v>
      </c>
      <c r="AC840">
        <v>0.28899999999999998</v>
      </c>
      <c r="AD840">
        <v>465</v>
      </c>
      <c r="AE840" t="s">
        <v>56</v>
      </c>
      <c r="AF840">
        <v>0.46400000000000002</v>
      </c>
      <c r="AG840">
        <v>249</v>
      </c>
      <c r="AH840" t="s">
        <v>57</v>
      </c>
      <c r="AI840">
        <v>0.248</v>
      </c>
      <c r="AJ840" t="s">
        <v>1155</v>
      </c>
    </row>
    <row r="841" spans="1:36" x14ac:dyDescent="0.25">
      <c r="A841" t="s">
        <v>896</v>
      </c>
      <c r="B841">
        <v>864670798</v>
      </c>
      <c r="C841" t="s">
        <v>897</v>
      </c>
      <c r="D841" t="s">
        <v>897</v>
      </c>
      <c r="E841" t="s">
        <v>60</v>
      </c>
      <c r="F841" t="s">
        <v>88</v>
      </c>
      <c r="I841" t="s">
        <v>39</v>
      </c>
      <c r="J841" t="s">
        <v>40</v>
      </c>
      <c r="K841" t="s">
        <v>41</v>
      </c>
      <c r="L841" t="s">
        <v>173</v>
      </c>
      <c r="N841" t="s">
        <v>43</v>
      </c>
      <c r="O841" t="s">
        <v>194</v>
      </c>
      <c r="P841">
        <v>102</v>
      </c>
      <c r="Q841">
        <v>102</v>
      </c>
      <c r="S841" t="s">
        <v>39</v>
      </c>
      <c r="V841" t="s">
        <v>39</v>
      </c>
      <c r="X841">
        <v>3001</v>
      </c>
      <c r="Y841" t="s">
        <v>47</v>
      </c>
      <c r="Z841">
        <v>3</v>
      </c>
      <c r="AA841">
        <v>290</v>
      </c>
      <c r="AB841" t="s">
        <v>47</v>
      </c>
      <c r="AC841">
        <v>0.28899999999999998</v>
      </c>
      <c r="AD841">
        <v>465</v>
      </c>
      <c r="AE841" t="s">
        <v>56</v>
      </c>
      <c r="AF841">
        <v>0.46400000000000002</v>
      </c>
      <c r="AG841">
        <v>249</v>
      </c>
      <c r="AH841" t="s">
        <v>57</v>
      </c>
      <c r="AI841">
        <v>0.248</v>
      </c>
      <c r="AJ841" t="s">
        <v>1156</v>
      </c>
    </row>
    <row r="842" spans="1:36" x14ac:dyDescent="0.25">
      <c r="A842" t="s">
        <v>894</v>
      </c>
      <c r="B842">
        <v>881529463</v>
      </c>
      <c r="C842" t="s">
        <v>895</v>
      </c>
      <c r="D842" t="s">
        <v>895</v>
      </c>
      <c r="E842" t="s">
        <v>37</v>
      </c>
      <c r="F842" t="s">
        <v>38</v>
      </c>
      <c r="I842" t="s">
        <v>39</v>
      </c>
      <c r="J842" t="s">
        <v>40</v>
      </c>
      <c r="K842" t="s">
        <v>41</v>
      </c>
      <c r="L842" t="s">
        <v>42</v>
      </c>
      <c r="N842" t="s">
        <v>43</v>
      </c>
      <c r="O842" t="s">
        <v>510</v>
      </c>
      <c r="P842">
        <v>102</v>
      </c>
      <c r="Q842">
        <v>102</v>
      </c>
      <c r="R842">
        <v>1</v>
      </c>
      <c r="S842" t="s">
        <v>45</v>
      </c>
      <c r="T842">
        <v>0</v>
      </c>
      <c r="U842">
        <v>806</v>
      </c>
      <c r="V842" t="s">
        <v>113</v>
      </c>
      <c r="W842">
        <v>0.80500000000000005</v>
      </c>
      <c r="X842">
        <v>22001</v>
      </c>
      <c r="Y842" t="s">
        <v>47</v>
      </c>
      <c r="Z842">
        <v>22</v>
      </c>
      <c r="AA842">
        <v>423</v>
      </c>
      <c r="AB842" t="s">
        <v>47</v>
      </c>
      <c r="AC842">
        <v>0.42199999999999999</v>
      </c>
      <c r="AD842">
        <v>837</v>
      </c>
      <c r="AE842" t="s">
        <v>48</v>
      </c>
      <c r="AF842">
        <v>0.83599999999999997</v>
      </c>
      <c r="AG842">
        <v>928</v>
      </c>
      <c r="AH842" t="s">
        <v>49</v>
      </c>
      <c r="AI842">
        <v>0.92700000000000005</v>
      </c>
      <c r="AJ842" t="s">
        <v>50</v>
      </c>
    </row>
    <row r="843" spans="1:36" x14ac:dyDescent="0.25">
      <c r="A843" t="s">
        <v>894</v>
      </c>
      <c r="B843">
        <v>881529463</v>
      </c>
      <c r="C843" t="s">
        <v>895</v>
      </c>
      <c r="D843" t="s">
        <v>895</v>
      </c>
      <c r="E843" t="s">
        <v>37</v>
      </c>
      <c r="F843" t="s">
        <v>38</v>
      </c>
      <c r="I843" t="s">
        <v>39</v>
      </c>
      <c r="J843" t="s">
        <v>40</v>
      </c>
      <c r="K843" t="s">
        <v>41</v>
      </c>
      <c r="L843" t="s">
        <v>42</v>
      </c>
      <c r="N843" t="s">
        <v>43</v>
      </c>
      <c r="O843" t="s">
        <v>510</v>
      </c>
      <c r="P843">
        <v>102</v>
      </c>
      <c r="Q843">
        <v>102</v>
      </c>
      <c r="R843">
        <v>1</v>
      </c>
      <c r="S843" t="s">
        <v>45</v>
      </c>
      <c r="T843">
        <v>0</v>
      </c>
      <c r="U843">
        <v>269</v>
      </c>
      <c r="V843" t="s">
        <v>55</v>
      </c>
      <c r="W843">
        <v>0.26800000000000002</v>
      </c>
      <c r="X843">
        <v>22001</v>
      </c>
      <c r="Y843" t="s">
        <v>47</v>
      </c>
      <c r="Z843">
        <v>22</v>
      </c>
      <c r="AA843">
        <v>423</v>
      </c>
      <c r="AB843" t="s">
        <v>47</v>
      </c>
      <c r="AC843">
        <v>0.42199999999999999</v>
      </c>
      <c r="AD843">
        <v>837</v>
      </c>
      <c r="AE843" t="s">
        <v>48</v>
      </c>
      <c r="AF843">
        <v>0.83599999999999997</v>
      </c>
      <c r="AG843">
        <v>928</v>
      </c>
      <c r="AH843" t="s">
        <v>49</v>
      </c>
      <c r="AI843">
        <v>0.92700000000000005</v>
      </c>
      <c r="AJ843" t="s">
        <v>1141</v>
      </c>
    </row>
    <row r="844" spans="1:36" x14ac:dyDescent="0.25">
      <c r="A844" t="s">
        <v>894</v>
      </c>
      <c r="B844">
        <v>881529463</v>
      </c>
      <c r="C844" t="s">
        <v>895</v>
      </c>
      <c r="D844" t="s">
        <v>895</v>
      </c>
      <c r="E844" t="s">
        <v>37</v>
      </c>
      <c r="F844" t="s">
        <v>38</v>
      </c>
      <c r="I844" t="s">
        <v>39</v>
      </c>
      <c r="J844" t="s">
        <v>40</v>
      </c>
      <c r="K844" t="s">
        <v>41</v>
      </c>
      <c r="L844" t="s">
        <v>42</v>
      </c>
      <c r="N844" t="s">
        <v>43</v>
      </c>
      <c r="O844" t="s">
        <v>510</v>
      </c>
      <c r="P844">
        <v>102</v>
      </c>
      <c r="Q844">
        <v>102</v>
      </c>
      <c r="R844">
        <v>1</v>
      </c>
      <c r="S844" t="s">
        <v>45</v>
      </c>
      <c r="T844">
        <v>0</v>
      </c>
      <c r="U844">
        <v>806</v>
      </c>
      <c r="V844" t="s">
        <v>113</v>
      </c>
      <c r="W844">
        <v>0.80500000000000005</v>
      </c>
      <c r="X844">
        <v>22001</v>
      </c>
      <c r="Y844" t="s">
        <v>47</v>
      </c>
      <c r="Z844">
        <v>22</v>
      </c>
      <c r="AA844">
        <v>423</v>
      </c>
      <c r="AB844" t="s">
        <v>47</v>
      </c>
      <c r="AC844">
        <v>0.42199999999999999</v>
      </c>
      <c r="AD844">
        <v>837</v>
      </c>
      <c r="AE844" t="s">
        <v>48</v>
      </c>
      <c r="AF844">
        <v>0.83599999999999997</v>
      </c>
      <c r="AG844">
        <v>928</v>
      </c>
      <c r="AH844" t="s">
        <v>49</v>
      </c>
      <c r="AI844">
        <v>0.92700000000000005</v>
      </c>
      <c r="AJ844" t="s">
        <v>1153</v>
      </c>
    </row>
    <row r="845" spans="1:36" x14ac:dyDescent="0.25">
      <c r="A845" t="s">
        <v>894</v>
      </c>
      <c r="B845">
        <v>881529463</v>
      </c>
      <c r="C845" t="s">
        <v>895</v>
      </c>
      <c r="D845" t="s">
        <v>895</v>
      </c>
      <c r="E845" t="s">
        <v>37</v>
      </c>
      <c r="F845" t="s">
        <v>38</v>
      </c>
      <c r="I845" t="s">
        <v>39</v>
      </c>
      <c r="J845" t="s">
        <v>40</v>
      </c>
      <c r="K845" t="s">
        <v>41</v>
      </c>
      <c r="L845" t="s">
        <v>42</v>
      </c>
      <c r="N845" t="s">
        <v>43</v>
      </c>
      <c r="O845" t="s">
        <v>510</v>
      </c>
      <c r="P845">
        <v>102</v>
      </c>
      <c r="Q845">
        <v>102</v>
      </c>
      <c r="R845">
        <v>1</v>
      </c>
      <c r="S845" t="s">
        <v>45</v>
      </c>
      <c r="T845">
        <v>0</v>
      </c>
      <c r="U845">
        <v>806</v>
      </c>
      <c r="V845" t="s">
        <v>113</v>
      </c>
      <c r="W845">
        <v>0.80500000000000005</v>
      </c>
      <c r="X845">
        <v>22001</v>
      </c>
      <c r="Y845" t="s">
        <v>47</v>
      </c>
      <c r="Z845">
        <v>22</v>
      </c>
      <c r="AA845">
        <v>423</v>
      </c>
      <c r="AB845" t="s">
        <v>47</v>
      </c>
      <c r="AC845">
        <v>0.42199999999999999</v>
      </c>
      <c r="AD845">
        <v>837</v>
      </c>
      <c r="AE845" t="s">
        <v>48</v>
      </c>
      <c r="AF845">
        <v>0.83599999999999997</v>
      </c>
      <c r="AG845">
        <v>928</v>
      </c>
      <c r="AH845" t="s">
        <v>49</v>
      </c>
      <c r="AI845">
        <v>0.92700000000000005</v>
      </c>
      <c r="AJ845" t="s">
        <v>1154</v>
      </c>
    </row>
    <row r="846" spans="1:36" x14ac:dyDescent="0.25">
      <c r="A846" t="s">
        <v>894</v>
      </c>
      <c r="B846">
        <v>881529463</v>
      </c>
      <c r="C846" t="s">
        <v>895</v>
      </c>
      <c r="D846" t="s">
        <v>895</v>
      </c>
      <c r="E846" t="s">
        <v>37</v>
      </c>
      <c r="F846" t="s">
        <v>38</v>
      </c>
      <c r="I846" t="s">
        <v>39</v>
      </c>
      <c r="J846" t="s">
        <v>40</v>
      </c>
      <c r="K846" t="s">
        <v>41</v>
      </c>
      <c r="L846" t="s">
        <v>42</v>
      </c>
      <c r="N846" t="s">
        <v>43</v>
      </c>
      <c r="O846" t="s">
        <v>510</v>
      </c>
      <c r="P846">
        <v>102</v>
      </c>
      <c r="Q846">
        <v>102</v>
      </c>
      <c r="S846" t="s">
        <v>39</v>
      </c>
      <c r="V846" t="s">
        <v>39</v>
      </c>
      <c r="X846">
        <v>22001</v>
      </c>
      <c r="Y846" t="s">
        <v>47</v>
      </c>
      <c r="Z846">
        <v>22</v>
      </c>
      <c r="AA846">
        <v>423</v>
      </c>
      <c r="AB846" t="s">
        <v>47</v>
      </c>
      <c r="AC846">
        <v>0.42199999999999999</v>
      </c>
      <c r="AD846">
        <v>837</v>
      </c>
      <c r="AE846" t="s">
        <v>48</v>
      </c>
      <c r="AF846">
        <v>0.83599999999999997</v>
      </c>
      <c r="AG846">
        <v>928</v>
      </c>
      <c r="AH846" t="s">
        <v>49</v>
      </c>
      <c r="AI846">
        <v>0.92700000000000005</v>
      </c>
      <c r="AJ846" t="s">
        <v>1155</v>
      </c>
    </row>
    <row r="847" spans="1:36" x14ac:dyDescent="0.25">
      <c r="A847" t="s">
        <v>894</v>
      </c>
      <c r="B847">
        <v>881529463</v>
      </c>
      <c r="C847" t="s">
        <v>895</v>
      </c>
      <c r="D847" t="s">
        <v>895</v>
      </c>
      <c r="E847" t="s">
        <v>37</v>
      </c>
      <c r="F847" t="s">
        <v>38</v>
      </c>
      <c r="I847" t="s">
        <v>39</v>
      </c>
      <c r="J847" t="s">
        <v>40</v>
      </c>
      <c r="K847" t="s">
        <v>41</v>
      </c>
      <c r="L847" t="s">
        <v>42</v>
      </c>
      <c r="N847" t="s">
        <v>43</v>
      </c>
      <c r="O847" t="s">
        <v>510</v>
      </c>
      <c r="P847">
        <v>102</v>
      </c>
      <c r="Q847">
        <v>102</v>
      </c>
      <c r="S847" t="s">
        <v>39</v>
      </c>
      <c r="V847" t="s">
        <v>39</v>
      </c>
      <c r="X847">
        <v>22001</v>
      </c>
      <c r="Y847" t="s">
        <v>47</v>
      </c>
      <c r="Z847">
        <v>22</v>
      </c>
      <c r="AA847">
        <v>423</v>
      </c>
      <c r="AB847" t="s">
        <v>47</v>
      </c>
      <c r="AC847">
        <v>0.42199999999999999</v>
      </c>
      <c r="AD847">
        <v>837</v>
      </c>
      <c r="AE847" t="s">
        <v>48</v>
      </c>
      <c r="AF847">
        <v>0.83599999999999997</v>
      </c>
      <c r="AG847">
        <v>928</v>
      </c>
      <c r="AH847" t="s">
        <v>49</v>
      </c>
      <c r="AI847">
        <v>0.92700000000000005</v>
      </c>
      <c r="AJ847" t="s">
        <v>1156</v>
      </c>
    </row>
    <row r="848" spans="1:36" x14ac:dyDescent="0.25">
      <c r="A848" t="s">
        <v>892</v>
      </c>
      <c r="B848">
        <v>855687562</v>
      </c>
      <c r="C848" t="s">
        <v>893</v>
      </c>
      <c r="D848" t="s">
        <v>893</v>
      </c>
      <c r="E848" t="s">
        <v>99</v>
      </c>
      <c r="F848" t="s">
        <v>143</v>
      </c>
      <c r="I848" t="s">
        <v>39</v>
      </c>
      <c r="J848" t="s">
        <v>40</v>
      </c>
      <c r="K848" t="s">
        <v>41</v>
      </c>
      <c r="L848" t="s">
        <v>53</v>
      </c>
      <c r="N848" t="s">
        <v>43</v>
      </c>
      <c r="O848" t="s">
        <v>544</v>
      </c>
      <c r="P848">
        <v>105</v>
      </c>
      <c r="Q848">
        <v>105</v>
      </c>
      <c r="R848">
        <v>361</v>
      </c>
      <c r="S848" t="s">
        <v>56</v>
      </c>
      <c r="T848">
        <v>0.36</v>
      </c>
      <c r="U848">
        <v>13</v>
      </c>
      <c r="V848" t="s">
        <v>55</v>
      </c>
      <c r="W848">
        <v>1.2E-2</v>
      </c>
      <c r="X848">
        <v>1</v>
      </c>
      <c r="Y848" t="s">
        <v>47</v>
      </c>
      <c r="Z848">
        <v>0</v>
      </c>
      <c r="AA848">
        <v>245</v>
      </c>
      <c r="AB848" t="s">
        <v>47</v>
      </c>
      <c r="AC848">
        <v>0.24399999999999999</v>
      </c>
      <c r="AD848">
        <v>242</v>
      </c>
      <c r="AE848" t="s">
        <v>56</v>
      </c>
      <c r="AF848">
        <v>0.24099999999999999</v>
      </c>
      <c r="AG848">
        <v>51</v>
      </c>
      <c r="AH848" t="s">
        <v>103</v>
      </c>
      <c r="AI848">
        <v>0.05</v>
      </c>
      <c r="AJ848" t="s">
        <v>50</v>
      </c>
    </row>
    <row r="849" spans="1:36" x14ac:dyDescent="0.25">
      <c r="A849" t="s">
        <v>892</v>
      </c>
      <c r="B849">
        <v>855687562</v>
      </c>
      <c r="C849" t="s">
        <v>893</v>
      </c>
      <c r="D849" t="s">
        <v>893</v>
      </c>
      <c r="E849" t="s">
        <v>99</v>
      </c>
      <c r="F849" t="s">
        <v>143</v>
      </c>
      <c r="I849" t="s">
        <v>39</v>
      </c>
      <c r="J849" t="s">
        <v>40</v>
      </c>
      <c r="K849" t="s">
        <v>41</v>
      </c>
      <c r="L849" t="s">
        <v>53</v>
      </c>
      <c r="N849" t="s">
        <v>43</v>
      </c>
      <c r="O849" t="s">
        <v>544</v>
      </c>
      <c r="P849">
        <v>105</v>
      </c>
      <c r="Q849">
        <v>105</v>
      </c>
      <c r="R849">
        <v>621</v>
      </c>
      <c r="S849" t="s">
        <v>56</v>
      </c>
      <c r="T849">
        <v>0.62</v>
      </c>
      <c r="U849">
        <v>8</v>
      </c>
      <c r="V849" t="s">
        <v>55</v>
      </c>
      <c r="W849">
        <v>7.0000000000000001E-3</v>
      </c>
      <c r="X849">
        <v>1</v>
      </c>
      <c r="Y849" t="s">
        <v>47</v>
      </c>
      <c r="Z849">
        <v>0</v>
      </c>
      <c r="AA849">
        <v>245</v>
      </c>
      <c r="AB849" t="s">
        <v>47</v>
      </c>
      <c r="AC849">
        <v>0.24399999999999999</v>
      </c>
      <c r="AD849">
        <v>242</v>
      </c>
      <c r="AE849" t="s">
        <v>56</v>
      </c>
      <c r="AF849">
        <v>0.24099999999999999</v>
      </c>
      <c r="AG849">
        <v>51</v>
      </c>
      <c r="AH849" t="s">
        <v>103</v>
      </c>
      <c r="AI849">
        <v>0.05</v>
      </c>
      <c r="AJ849" t="s">
        <v>1141</v>
      </c>
    </row>
    <row r="850" spans="1:36" x14ac:dyDescent="0.25">
      <c r="A850" t="s">
        <v>892</v>
      </c>
      <c r="B850">
        <v>855687562</v>
      </c>
      <c r="C850" t="s">
        <v>893</v>
      </c>
      <c r="D850" t="s">
        <v>893</v>
      </c>
      <c r="E850" t="s">
        <v>99</v>
      </c>
      <c r="F850" t="s">
        <v>143</v>
      </c>
      <c r="I850" t="s">
        <v>39</v>
      </c>
      <c r="J850" t="s">
        <v>40</v>
      </c>
      <c r="K850" t="s">
        <v>41</v>
      </c>
      <c r="L850" t="s">
        <v>53</v>
      </c>
      <c r="N850" t="s">
        <v>43</v>
      </c>
      <c r="O850" t="s">
        <v>544</v>
      </c>
      <c r="P850">
        <v>105</v>
      </c>
      <c r="Q850">
        <v>105</v>
      </c>
      <c r="R850">
        <v>361</v>
      </c>
      <c r="S850" t="s">
        <v>56</v>
      </c>
      <c r="T850">
        <v>0.36</v>
      </c>
      <c r="U850">
        <v>13</v>
      </c>
      <c r="V850" t="s">
        <v>55</v>
      </c>
      <c r="W850">
        <v>1.2E-2</v>
      </c>
      <c r="X850">
        <v>1</v>
      </c>
      <c r="Y850" t="s">
        <v>47</v>
      </c>
      <c r="Z850">
        <v>0</v>
      </c>
      <c r="AA850">
        <v>245</v>
      </c>
      <c r="AB850" t="s">
        <v>47</v>
      </c>
      <c r="AC850">
        <v>0.24399999999999999</v>
      </c>
      <c r="AD850">
        <v>242</v>
      </c>
      <c r="AE850" t="s">
        <v>56</v>
      </c>
      <c r="AF850">
        <v>0.24099999999999999</v>
      </c>
      <c r="AG850">
        <v>51</v>
      </c>
      <c r="AH850" t="s">
        <v>103</v>
      </c>
      <c r="AI850">
        <v>0.05</v>
      </c>
      <c r="AJ850" t="s">
        <v>1153</v>
      </c>
    </row>
    <row r="851" spans="1:36" x14ac:dyDescent="0.25">
      <c r="A851" t="s">
        <v>892</v>
      </c>
      <c r="B851">
        <v>855687562</v>
      </c>
      <c r="C851" t="s">
        <v>893</v>
      </c>
      <c r="D851" t="s">
        <v>893</v>
      </c>
      <c r="E851" t="s">
        <v>99</v>
      </c>
      <c r="F851" t="s">
        <v>143</v>
      </c>
      <c r="I851" t="s">
        <v>39</v>
      </c>
      <c r="J851" t="s">
        <v>40</v>
      </c>
      <c r="K851" t="s">
        <v>41</v>
      </c>
      <c r="L851" t="s">
        <v>53</v>
      </c>
      <c r="N851" t="s">
        <v>43</v>
      </c>
      <c r="O851" t="s">
        <v>544</v>
      </c>
      <c r="P851">
        <v>105</v>
      </c>
      <c r="Q851">
        <v>105</v>
      </c>
      <c r="R851">
        <v>361</v>
      </c>
      <c r="S851" t="s">
        <v>56</v>
      </c>
      <c r="T851">
        <v>0.36</v>
      </c>
      <c r="U851">
        <v>13</v>
      </c>
      <c r="V851" t="s">
        <v>55</v>
      </c>
      <c r="W851">
        <v>1.2E-2</v>
      </c>
      <c r="X851">
        <v>1</v>
      </c>
      <c r="Y851" t="s">
        <v>47</v>
      </c>
      <c r="Z851">
        <v>0</v>
      </c>
      <c r="AA851">
        <v>245</v>
      </c>
      <c r="AB851" t="s">
        <v>47</v>
      </c>
      <c r="AC851">
        <v>0.24399999999999999</v>
      </c>
      <c r="AD851">
        <v>242</v>
      </c>
      <c r="AE851" t="s">
        <v>56</v>
      </c>
      <c r="AF851">
        <v>0.24099999999999999</v>
      </c>
      <c r="AG851">
        <v>51</v>
      </c>
      <c r="AH851" t="s">
        <v>103</v>
      </c>
      <c r="AI851">
        <v>0.05</v>
      </c>
      <c r="AJ851" t="s">
        <v>1154</v>
      </c>
    </row>
    <row r="852" spans="1:36" x14ac:dyDescent="0.25">
      <c r="A852" t="s">
        <v>892</v>
      </c>
      <c r="B852">
        <v>855687562</v>
      </c>
      <c r="C852" t="s">
        <v>893</v>
      </c>
      <c r="D852" t="s">
        <v>893</v>
      </c>
      <c r="E852" t="s">
        <v>99</v>
      </c>
      <c r="F852" t="s">
        <v>143</v>
      </c>
      <c r="I852" t="s">
        <v>39</v>
      </c>
      <c r="J852" t="s">
        <v>40</v>
      </c>
      <c r="K852" t="s">
        <v>41</v>
      </c>
      <c r="L852" t="s">
        <v>53</v>
      </c>
      <c r="N852" t="s">
        <v>43</v>
      </c>
      <c r="O852" t="s">
        <v>544</v>
      </c>
      <c r="P852">
        <v>105</v>
      </c>
      <c r="Q852">
        <v>105</v>
      </c>
      <c r="S852" t="s">
        <v>39</v>
      </c>
      <c r="V852" t="s">
        <v>39</v>
      </c>
      <c r="X852">
        <v>1</v>
      </c>
      <c r="Y852" t="s">
        <v>47</v>
      </c>
      <c r="Z852">
        <v>0</v>
      </c>
      <c r="AA852">
        <v>245</v>
      </c>
      <c r="AB852" t="s">
        <v>47</v>
      </c>
      <c r="AC852">
        <v>0.24399999999999999</v>
      </c>
      <c r="AD852">
        <v>242</v>
      </c>
      <c r="AE852" t="s">
        <v>56</v>
      </c>
      <c r="AF852">
        <v>0.24099999999999999</v>
      </c>
      <c r="AG852">
        <v>51</v>
      </c>
      <c r="AH852" t="s">
        <v>103</v>
      </c>
      <c r="AI852">
        <v>0.05</v>
      </c>
      <c r="AJ852" t="s">
        <v>1155</v>
      </c>
    </row>
    <row r="853" spans="1:36" x14ac:dyDescent="0.25">
      <c r="A853" t="s">
        <v>892</v>
      </c>
      <c r="B853">
        <v>855687562</v>
      </c>
      <c r="C853" t="s">
        <v>893</v>
      </c>
      <c r="D853" t="s">
        <v>893</v>
      </c>
      <c r="E853" t="s">
        <v>99</v>
      </c>
      <c r="F853" t="s">
        <v>143</v>
      </c>
      <c r="I853" t="s">
        <v>39</v>
      </c>
      <c r="J853" t="s">
        <v>40</v>
      </c>
      <c r="K853" t="s">
        <v>41</v>
      </c>
      <c r="L853" t="s">
        <v>53</v>
      </c>
      <c r="N853" t="s">
        <v>43</v>
      </c>
      <c r="O853" t="s">
        <v>544</v>
      </c>
      <c r="P853">
        <v>105</v>
      </c>
      <c r="Q853">
        <v>105</v>
      </c>
      <c r="S853" t="s">
        <v>39</v>
      </c>
      <c r="V853" t="s">
        <v>39</v>
      </c>
      <c r="X853">
        <v>1</v>
      </c>
      <c r="Y853" t="s">
        <v>47</v>
      </c>
      <c r="Z853">
        <v>0</v>
      </c>
      <c r="AA853">
        <v>245</v>
      </c>
      <c r="AB853" t="s">
        <v>47</v>
      </c>
      <c r="AC853">
        <v>0.24399999999999999</v>
      </c>
      <c r="AD853">
        <v>242</v>
      </c>
      <c r="AE853" t="s">
        <v>56</v>
      </c>
      <c r="AF853">
        <v>0.24099999999999999</v>
      </c>
      <c r="AG853">
        <v>51</v>
      </c>
      <c r="AH853" t="s">
        <v>103</v>
      </c>
      <c r="AI853">
        <v>0.05</v>
      </c>
      <c r="AJ853" t="s">
        <v>1156</v>
      </c>
    </row>
    <row r="854" spans="1:36" x14ac:dyDescent="0.25">
      <c r="A854" t="s">
        <v>890</v>
      </c>
      <c r="B854">
        <v>866145692</v>
      </c>
      <c r="C854" t="s">
        <v>891</v>
      </c>
      <c r="D854" t="s">
        <v>891</v>
      </c>
      <c r="E854" t="s">
        <v>60</v>
      </c>
      <c r="F854" t="s">
        <v>122</v>
      </c>
      <c r="I854" t="s">
        <v>39</v>
      </c>
      <c r="J854" t="s">
        <v>40</v>
      </c>
      <c r="K854" t="s">
        <v>41</v>
      </c>
      <c r="L854" t="s">
        <v>197</v>
      </c>
      <c r="M854" t="s">
        <v>47</v>
      </c>
      <c r="N854" t="s">
        <v>43</v>
      </c>
      <c r="O854" t="s">
        <v>483</v>
      </c>
      <c r="P854">
        <v>106</v>
      </c>
      <c r="Q854">
        <v>106</v>
      </c>
      <c r="R854">
        <v>1</v>
      </c>
      <c r="S854" t="s">
        <v>45</v>
      </c>
      <c r="T854">
        <v>0</v>
      </c>
      <c r="U854">
        <v>881</v>
      </c>
      <c r="V854" t="s">
        <v>113</v>
      </c>
      <c r="W854">
        <v>0.88</v>
      </c>
      <c r="X854">
        <v>22001</v>
      </c>
      <c r="Y854" t="s">
        <v>47</v>
      </c>
      <c r="Z854">
        <v>22</v>
      </c>
      <c r="AA854">
        <v>646</v>
      </c>
      <c r="AB854" t="s">
        <v>75</v>
      </c>
      <c r="AC854">
        <v>0.64500000000000002</v>
      </c>
      <c r="AD854">
        <v>615</v>
      </c>
      <c r="AE854" t="s">
        <v>48</v>
      </c>
      <c r="AF854">
        <v>0.61399999999999999</v>
      </c>
      <c r="AG854">
        <v>549</v>
      </c>
      <c r="AH854" t="s">
        <v>49</v>
      </c>
      <c r="AI854">
        <v>0.54800000000000004</v>
      </c>
      <c r="AJ854" t="s">
        <v>50</v>
      </c>
    </row>
    <row r="855" spans="1:36" x14ac:dyDescent="0.25">
      <c r="A855" t="s">
        <v>890</v>
      </c>
      <c r="B855">
        <v>866145692</v>
      </c>
      <c r="C855" t="s">
        <v>891</v>
      </c>
      <c r="D855" t="s">
        <v>891</v>
      </c>
      <c r="E855" t="s">
        <v>60</v>
      </c>
      <c r="F855" t="s">
        <v>122</v>
      </c>
      <c r="I855" t="s">
        <v>39</v>
      </c>
      <c r="J855" t="s">
        <v>40</v>
      </c>
      <c r="K855" t="s">
        <v>41</v>
      </c>
      <c r="L855" t="s">
        <v>197</v>
      </c>
      <c r="M855" t="s">
        <v>47</v>
      </c>
      <c r="N855" t="s">
        <v>43</v>
      </c>
      <c r="O855" t="s">
        <v>483</v>
      </c>
      <c r="P855">
        <v>106</v>
      </c>
      <c r="Q855">
        <v>106</v>
      </c>
      <c r="R855">
        <v>31</v>
      </c>
      <c r="S855" t="s">
        <v>45</v>
      </c>
      <c r="T855">
        <v>0.03</v>
      </c>
      <c r="U855">
        <v>550</v>
      </c>
      <c r="V855" t="s">
        <v>113</v>
      </c>
      <c r="W855">
        <v>0.54900000000000004</v>
      </c>
      <c r="X855">
        <v>22001</v>
      </c>
      <c r="Y855" t="s">
        <v>47</v>
      </c>
      <c r="Z855">
        <v>22</v>
      </c>
      <c r="AA855">
        <v>646</v>
      </c>
      <c r="AB855" t="s">
        <v>75</v>
      </c>
      <c r="AC855">
        <v>0.64500000000000002</v>
      </c>
      <c r="AD855">
        <v>615</v>
      </c>
      <c r="AE855" t="s">
        <v>48</v>
      </c>
      <c r="AF855">
        <v>0.61399999999999999</v>
      </c>
      <c r="AG855">
        <v>549</v>
      </c>
      <c r="AH855" t="s">
        <v>49</v>
      </c>
      <c r="AI855">
        <v>0.54800000000000004</v>
      </c>
      <c r="AJ855" t="s">
        <v>1141</v>
      </c>
    </row>
    <row r="856" spans="1:36" x14ac:dyDescent="0.25">
      <c r="A856" t="s">
        <v>890</v>
      </c>
      <c r="B856">
        <v>866145692</v>
      </c>
      <c r="C856" t="s">
        <v>891</v>
      </c>
      <c r="D856" t="s">
        <v>891</v>
      </c>
      <c r="E856" t="s">
        <v>60</v>
      </c>
      <c r="F856" t="s">
        <v>122</v>
      </c>
      <c r="I856" t="s">
        <v>39</v>
      </c>
      <c r="J856" t="s">
        <v>40</v>
      </c>
      <c r="K856" t="s">
        <v>41</v>
      </c>
      <c r="L856" t="s">
        <v>197</v>
      </c>
      <c r="M856" t="s">
        <v>47</v>
      </c>
      <c r="N856" t="s">
        <v>43</v>
      </c>
      <c r="O856" t="s">
        <v>483</v>
      </c>
      <c r="P856">
        <v>106</v>
      </c>
      <c r="Q856">
        <v>106</v>
      </c>
      <c r="R856">
        <v>1</v>
      </c>
      <c r="S856" t="s">
        <v>45</v>
      </c>
      <c r="T856">
        <v>0</v>
      </c>
      <c r="U856">
        <v>881</v>
      </c>
      <c r="V856" t="s">
        <v>113</v>
      </c>
      <c r="W856">
        <v>0.88</v>
      </c>
      <c r="X856">
        <v>22001</v>
      </c>
      <c r="Y856" t="s">
        <v>47</v>
      </c>
      <c r="Z856">
        <v>22</v>
      </c>
      <c r="AA856">
        <v>646</v>
      </c>
      <c r="AB856" t="s">
        <v>75</v>
      </c>
      <c r="AC856">
        <v>0.64500000000000002</v>
      </c>
      <c r="AD856">
        <v>615</v>
      </c>
      <c r="AE856" t="s">
        <v>48</v>
      </c>
      <c r="AF856">
        <v>0.61399999999999999</v>
      </c>
      <c r="AG856">
        <v>549</v>
      </c>
      <c r="AH856" t="s">
        <v>49</v>
      </c>
      <c r="AI856">
        <v>0.54800000000000004</v>
      </c>
      <c r="AJ856" t="s">
        <v>1153</v>
      </c>
    </row>
    <row r="857" spans="1:36" x14ac:dyDescent="0.25">
      <c r="A857" t="s">
        <v>890</v>
      </c>
      <c r="B857">
        <v>866145692</v>
      </c>
      <c r="C857" t="s">
        <v>891</v>
      </c>
      <c r="D857" t="s">
        <v>891</v>
      </c>
      <c r="E857" t="s">
        <v>60</v>
      </c>
      <c r="F857" t="s">
        <v>122</v>
      </c>
      <c r="I857" t="s">
        <v>39</v>
      </c>
      <c r="J857" t="s">
        <v>40</v>
      </c>
      <c r="K857" t="s">
        <v>41</v>
      </c>
      <c r="L857" t="s">
        <v>197</v>
      </c>
      <c r="M857" t="s">
        <v>47</v>
      </c>
      <c r="N857" t="s">
        <v>43</v>
      </c>
      <c r="O857" t="s">
        <v>483</v>
      </c>
      <c r="P857">
        <v>106</v>
      </c>
      <c r="Q857">
        <v>106</v>
      </c>
      <c r="R857">
        <v>1</v>
      </c>
      <c r="S857" t="s">
        <v>45</v>
      </c>
      <c r="T857">
        <v>0</v>
      </c>
      <c r="U857">
        <v>881</v>
      </c>
      <c r="V857" t="s">
        <v>113</v>
      </c>
      <c r="W857">
        <v>0.88</v>
      </c>
      <c r="X857">
        <v>22001</v>
      </c>
      <c r="Y857" t="s">
        <v>47</v>
      </c>
      <c r="Z857">
        <v>22</v>
      </c>
      <c r="AA857">
        <v>646</v>
      </c>
      <c r="AB857" t="s">
        <v>75</v>
      </c>
      <c r="AC857">
        <v>0.64500000000000002</v>
      </c>
      <c r="AD857">
        <v>615</v>
      </c>
      <c r="AE857" t="s">
        <v>48</v>
      </c>
      <c r="AF857">
        <v>0.61399999999999999</v>
      </c>
      <c r="AG857">
        <v>549</v>
      </c>
      <c r="AH857" t="s">
        <v>49</v>
      </c>
      <c r="AI857">
        <v>0.54800000000000004</v>
      </c>
      <c r="AJ857" t="s">
        <v>1154</v>
      </c>
    </row>
    <row r="858" spans="1:36" x14ac:dyDescent="0.25">
      <c r="A858" t="s">
        <v>890</v>
      </c>
      <c r="B858">
        <v>866145692</v>
      </c>
      <c r="C858" t="s">
        <v>891</v>
      </c>
      <c r="D858" t="s">
        <v>891</v>
      </c>
      <c r="E858" t="s">
        <v>60</v>
      </c>
      <c r="F858" t="s">
        <v>122</v>
      </c>
      <c r="I858" t="s">
        <v>39</v>
      </c>
      <c r="J858" t="s">
        <v>40</v>
      </c>
      <c r="K858" t="s">
        <v>41</v>
      </c>
      <c r="L858" t="s">
        <v>197</v>
      </c>
      <c r="M858" t="s">
        <v>47</v>
      </c>
      <c r="N858" t="s">
        <v>43</v>
      </c>
      <c r="O858" t="s">
        <v>483</v>
      </c>
      <c r="P858">
        <v>106</v>
      </c>
      <c r="Q858">
        <v>106</v>
      </c>
      <c r="S858" t="s">
        <v>39</v>
      </c>
      <c r="V858" t="s">
        <v>39</v>
      </c>
      <c r="X858">
        <v>22001</v>
      </c>
      <c r="Y858" t="s">
        <v>47</v>
      </c>
      <c r="Z858">
        <v>22</v>
      </c>
      <c r="AA858">
        <v>646</v>
      </c>
      <c r="AB858" t="s">
        <v>75</v>
      </c>
      <c r="AC858">
        <v>0.64500000000000002</v>
      </c>
      <c r="AD858">
        <v>615</v>
      </c>
      <c r="AE858" t="s">
        <v>48</v>
      </c>
      <c r="AF858">
        <v>0.61399999999999999</v>
      </c>
      <c r="AG858">
        <v>549</v>
      </c>
      <c r="AH858" t="s">
        <v>49</v>
      </c>
      <c r="AI858">
        <v>0.54800000000000004</v>
      </c>
      <c r="AJ858" t="s">
        <v>1155</v>
      </c>
    </row>
    <row r="859" spans="1:36" x14ac:dyDescent="0.25">
      <c r="A859" t="s">
        <v>890</v>
      </c>
      <c r="B859">
        <v>866145692</v>
      </c>
      <c r="C859" t="s">
        <v>891</v>
      </c>
      <c r="D859" t="s">
        <v>891</v>
      </c>
      <c r="E859" t="s">
        <v>60</v>
      </c>
      <c r="F859" t="s">
        <v>122</v>
      </c>
      <c r="I859" t="s">
        <v>39</v>
      </c>
      <c r="J859" t="s">
        <v>40</v>
      </c>
      <c r="K859" t="s">
        <v>41</v>
      </c>
      <c r="L859" t="s">
        <v>197</v>
      </c>
      <c r="M859" t="s">
        <v>47</v>
      </c>
      <c r="N859" t="s">
        <v>43</v>
      </c>
      <c r="O859" t="s">
        <v>483</v>
      </c>
      <c r="P859">
        <v>106</v>
      </c>
      <c r="Q859">
        <v>106</v>
      </c>
      <c r="S859" t="s">
        <v>39</v>
      </c>
      <c r="V859" t="s">
        <v>39</v>
      </c>
      <c r="X859">
        <v>22001</v>
      </c>
      <c r="Y859" t="s">
        <v>47</v>
      </c>
      <c r="Z859">
        <v>22</v>
      </c>
      <c r="AA859">
        <v>646</v>
      </c>
      <c r="AB859" t="s">
        <v>75</v>
      </c>
      <c r="AC859">
        <v>0.64500000000000002</v>
      </c>
      <c r="AD859">
        <v>615</v>
      </c>
      <c r="AE859" t="s">
        <v>48</v>
      </c>
      <c r="AF859">
        <v>0.61399999999999999</v>
      </c>
      <c r="AG859">
        <v>549</v>
      </c>
      <c r="AH859" t="s">
        <v>49</v>
      </c>
      <c r="AI859">
        <v>0.54800000000000004</v>
      </c>
      <c r="AJ859" t="s">
        <v>1156</v>
      </c>
    </row>
    <row r="860" spans="1:36" x14ac:dyDescent="0.25">
      <c r="A860" t="s">
        <v>883</v>
      </c>
      <c r="B860">
        <v>852415807</v>
      </c>
      <c r="C860" t="s">
        <v>884</v>
      </c>
      <c r="D860" t="s">
        <v>884</v>
      </c>
      <c r="E860" t="s">
        <v>99</v>
      </c>
      <c r="F860" t="s">
        <v>885</v>
      </c>
      <c r="I860" t="s">
        <v>39</v>
      </c>
      <c r="J860" t="s">
        <v>40</v>
      </c>
      <c r="K860" t="s">
        <v>41</v>
      </c>
      <c r="L860" t="s">
        <v>886</v>
      </c>
      <c r="N860" t="s">
        <v>43</v>
      </c>
      <c r="O860" t="s">
        <v>108</v>
      </c>
      <c r="P860">
        <v>108</v>
      </c>
      <c r="Q860">
        <v>108</v>
      </c>
      <c r="R860">
        <v>11</v>
      </c>
      <c r="S860" t="s">
        <v>45</v>
      </c>
      <c r="T860">
        <v>0.01</v>
      </c>
      <c r="U860">
        <v>45</v>
      </c>
      <c r="V860" t="s">
        <v>55</v>
      </c>
      <c r="W860">
        <v>4.3999999999999997E-2</v>
      </c>
      <c r="X860">
        <v>20001</v>
      </c>
      <c r="Y860" t="s">
        <v>47</v>
      </c>
      <c r="Z860">
        <v>20</v>
      </c>
      <c r="AA860">
        <v>461</v>
      </c>
      <c r="AB860" t="s">
        <v>47</v>
      </c>
      <c r="AC860">
        <v>0.46</v>
      </c>
      <c r="AD860">
        <v>521</v>
      </c>
      <c r="AE860" t="s">
        <v>48</v>
      </c>
      <c r="AF860">
        <v>0.52</v>
      </c>
      <c r="AG860">
        <v>805</v>
      </c>
      <c r="AH860" t="s">
        <v>49</v>
      </c>
      <c r="AI860">
        <v>0.80400000000000005</v>
      </c>
      <c r="AJ860" t="s">
        <v>50</v>
      </c>
    </row>
    <row r="861" spans="1:36" x14ac:dyDescent="0.25">
      <c r="A861" t="s">
        <v>883</v>
      </c>
      <c r="B861">
        <v>852415807</v>
      </c>
      <c r="C861" t="s">
        <v>884</v>
      </c>
      <c r="D861" t="s">
        <v>884</v>
      </c>
      <c r="E861" t="s">
        <v>60</v>
      </c>
      <c r="F861" t="s">
        <v>885</v>
      </c>
      <c r="I861" t="s">
        <v>39</v>
      </c>
      <c r="J861" t="s">
        <v>40</v>
      </c>
      <c r="K861" t="s">
        <v>41</v>
      </c>
      <c r="L861" t="s">
        <v>886</v>
      </c>
      <c r="N861" t="s">
        <v>43</v>
      </c>
      <c r="O861" t="s">
        <v>887</v>
      </c>
      <c r="P861">
        <v>108</v>
      </c>
      <c r="Q861">
        <v>108</v>
      </c>
      <c r="R861">
        <v>1</v>
      </c>
      <c r="S861" t="s">
        <v>45</v>
      </c>
      <c r="T861">
        <v>0</v>
      </c>
      <c r="U861">
        <v>987</v>
      </c>
      <c r="V861" t="s">
        <v>46</v>
      </c>
      <c r="W861">
        <v>0.98599999999999999</v>
      </c>
      <c r="X861">
        <v>22001</v>
      </c>
      <c r="Y861" t="s">
        <v>47</v>
      </c>
      <c r="Z861">
        <v>22</v>
      </c>
      <c r="AA861">
        <v>473</v>
      </c>
      <c r="AB861" t="s">
        <v>47</v>
      </c>
      <c r="AC861">
        <v>0.47199999999999998</v>
      </c>
      <c r="AD861">
        <v>663</v>
      </c>
      <c r="AE861" t="s">
        <v>48</v>
      </c>
      <c r="AF861">
        <v>0.66200000000000003</v>
      </c>
      <c r="AG861">
        <v>814</v>
      </c>
      <c r="AH861" t="s">
        <v>49</v>
      </c>
      <c r="AI861">
        <v>0.81299999999999994</v>
      </c>
      <c r="AJ861" t="s">
        <v>50</v>
      </c>
    </row>
    <row r="862" spans="1:36" x14ac:dyDescent="0.25">
      <c r="A862" t="s">
        <v>883</v>
      </c>
      <c r="B862">
        <v>852415807</v>
      </c>
      <c r="C862" t="s">
        <v>884</v>
      </c>
      <c r="D862" t="s">
        <v>884</v>
      </c>
      <c r="E862" t="s">
        <v>99</v>
      </c>
      <c r="F862" t="s">
        <v>885</v>
      </c>
      <c r="I862" t="s">
        <v>39</v>
      </c>
      <c r="J862" t="s">
        <v>40</v>
      </c>
      <c r="K862" t="s">
        <v>41</v>
      </c>
      <c r="L862" t="s">
        <v>886</v>
      </c>
      <c r="N862" t="s">
        <v>43</v>
      </c>
      <c r="O862" t="s">
        <v>108</v>
      </c>
      <c r="P862">
        <v>108</v>
      </c>
      <c r="Q862">
        <v>108</v>
      </c>
      <c r="R862">
        <v>11</v>
      </c>
      <c r="S862" t="s">
        <v>45</v>
      </c>
      <c r="T862">
        <v>0.01</v>
      </c>
      <c r="U862">
        <v>34</v>
      </c>
      <c r="V862" t="s">
        <v>55</v>
      </c>
      <c r="W862">
        <v>3.3000000000000002E-2</v>
      </c>
      <c r="X862">
        <v>20001</v>
      </c>
      <c r="Y862" t="s">
        <v>47</v>
      </c>
      <c r="Z862">
        <v>20</v>
      </c>
      <c r="AA862">
        <v>461</v>
      </c>
      <c r="AB862" t="s">
        <v>47</v>
      </c>
      <c r="AC862">
        <v>0.46</v>
      </c>
      <c r="AD862">
        <v>521</v>
      </c>
      <c r="AE862" t="s">
        <v>48</v>
      </c>
      <c r="AF862">
        <v>0.52</v>
      </c>
      <c r="AG862">
        <v>805</v>
      </c>
      <c r="AH862" t="s">
        <v>49</v>
      </c>
      <c r="AI862">
        <v>0.80400000000000005</v>
      </c>
      <c r="AJ862" t="s">
        <v>1141</v>
      </c>
    </row>
    <row r="863" spans="1:36" x14ac:dyDescent="0.25">
      <c r="A863" t="s">
        <v>883</v>
      </c>
      <c r="B863">
        <v>852415807</v>
      </c>
      <c r="C863" t="s">
        <v>884</v>
      </c>
      <c r="D863" t="s">
        <v>884</v>
      </c>
      <c r="E863" t="s">
        <v>60</v>
      </c>
      <c r="F863" t="s">
        <v>885</v>
      </c>
      <c r="I863" t="s">
        <v>39</v>
      </c>
      <c r="J863" t="s">
        <v>40</v>
      </c>
      <c r="K863" t="s">
        <v>41</v>
      </c>
      <c r="L863" t="s">
        <v>886</v>
      </c>
      <c r="N863" t="s">
        <v>43</v>
      </c>
      <c r="O863" t="s">
        <v>887</v>
      </c>
      <c r="P863">
        <v>108</v>
      </c>
      <c r="Q863">
        <v>108</v>
      </c>
      <c r="R863">
        <v>1</v>
      </c>
      <c r="S863" t="s">
        <v>45</v>
      </c>
      <c r="T863">
        <v>0</v>
      </c>
      <c r="U863">
        <v>975</v>
      </c>
      <c r="V863" t="s">
        <v>46</v>
      </c>
      <c r="W863">
        <v>0.97399999999999998</v>
      </c>
      <c r="X863">
        <v>22001</v>
      </c>
      <c r="Y863" t="s">
        <v>47</v>
      </c>
      <c r="Z863">
        <v>22</v>
      </c>
      <c r="AA863">
        <v>473</v>
      </c>
      <c r="AB863" t="s">
        <v>47</v>
      </c>
      <c r="AC863">
        <v>0.47199999999999998</v>
      </c>
      <c r="AD863">
        <v>663</v>
      </c>
      <c r="AE863" t="s">
        <v>48</v>
      </c>
      <c r="AF863">
        <v>0.66200000000000003</v>
      </c>
      <c r="AG863">
        <v>814</v>
      </c>
      <c r="AH863" t="s">
        <v>49</v>
      </c>
      <c r="AI863">
        <v>0.81299999999999994</v>
      </c>
      <c r="AJ863" t="s">
        <v>1141</v>
      </c>
    </row>
    <row r="864" spans="1:36" x14ac:dyDescent="0.25">
      <c r="A864" t="s">
        <v>883</v>
      </c>
      <c r="B864">
        <v>852415807</v>
      </c>
      <c r="C864" t="s">
        <v>884</v>
      </c>
      <c r="D864" t="s">
        <v>884</v>
      </c>
      <c r="E864" t="s">
        <v>99</v>
      </c>
      <c r="F864" t="s">
        <v>885</v>
      </c>
      <c r="I864" t="s">
        <v>39</v>
      </c>
      <c r="J864" t="s">
        <v>40</v>
      </c>
      <c r="K864" t="s">
        <v>41</v>
      </c>
      <c r="L864" t="s">
        <v>886</v>
      </c>
      <c r="N864" t="s">
        <v>43</v>
      </c>
      <c r="O864" t="s">
        <v>108</v>
      </c>
      <c r="P864">
        <v>108</v>
      </c>
      <c r="Q864">
        <v>108</v>
      </c>
      <c r="R864">
        <v>11</v>
      </c>
      <c r="S864" t="s">
        <v>45</v>
      </c>
      <c r="T864">
        <v>0.01</v>
      </c>
      <c r="U864">
        <v>45</v>
      </c>
      <c r="V864" t="s">
        <v>55</v>
      </c>
      <c r="W864">
        <v>4.3999999999999997E-2</v>
      </c>
      <c r="X864">
        <v>20001</v>
      </c>
      <c r="Y864" t="s">
        <v>47</v>
      </c>
      <c r="Z864">
        <v>20</v>
      </c>
      <c r="AA864">
        <v>461</v>
      </c>
      <c r="AB864" t="s">
        <v>47</v>
      </c>
      <c r="AC864">
        <v>0.46</v>
      </c>
      <c r="AD864">
        <v>521</v>
      </c>
      <c r="AE864" t="s">
        <v>48</v>
      </c>
      <c r="AF864">
        <v>0.52</v>
      </c>
      <c r="AG864">
        <v>805</v>
      </c>
      <c r="AH864" t="s">
        <v>49</v>
      </c>
      <c r="AI864">
        <v>0.80400000000000005</v>
      </c>
      <c r="AJ864" t="s">
        <v>1153</v>
      </c>
    </row>
    <row r="865" spans="1:36" x14ac:dyDescent="0.25">
      <c r="A865" t="s">
        <v>883</v>
      </c>
      <c r="B865">
        <v>852415807</v>
      </c>
      <c r="C865" t="s">
        <v>884</v>
      </c>
      <c r="D865" t="s">
        <v>884</v>
      </c>
      <c r="E865" t="s">
        <v>60</v>
      </c>
      <c r="F865" t="s">
        <v>885</v>
      </c>
      <c r="I865" t="s">
        <v>39</v>
      </c>
      <c r="J865" t="s">
        <v>40</v>
      </c>
      <c r="K865" t="s">
        <v>41</v>
      </c>
      <c r="L865" t="s">
        <v>886</v>
      </c>
      <c r="N865" t="s">
        <v>43</v>
      </c>
      <c r="O865" t="s">
        <v>887</v>
      </c>
      <c r="P865">
        <v>108</v>
      </c>
      <c r="Q865">
        <v>108</v>
      </c>
      <c r="R865">
        <v>1</v>
      </c>
      <c r="S865" t="s">
        <v>45</v>
      </c>
      <c r="T865">
        <v>0</v>
      </c>
      <c r="U865">
        <v>987</v>
      </c>
      <c r="V865" t="s">
        <v>46</v>
      </c>
      <c r="W865">
        <v>0.98599999999999999</v>
      </c>
      <c r="X865">
        <v>22001</v>
      </c>
      <c r="Y865" t="s">
        <v>47</v>
      </c>
      <c r="Z865">
        <v>22</v>
      </c>
      <c r="AA865">
        <v>473</v>
      </c>
      <c r="AB865" t="s">
        <v>47</v>
      </c>
      <c r="AC865">
        <v>0.47199999999999998</v>
      </c>
      <c r="AD865">
        <v>663</v>
      </c>
      <c r="AE865" t="s">
        <v>48</v>
      </c>
      <c r="AF865">
        <v>0.66200000000000003</v>
      </c>
      <c r="AG865">
        <v>814</v>
      </c>
      <c r="AH865" t="s">
        <v>49</v>
      </c>
      <c r="AI865">
        <v>0.81299999999999994</v>
      </c>
      <c r="AJ865" t="s">
        <v>1153</v>
      </c>
    </row>
    <row r="866" spans="1:36" x14ac:dyDescent="0.25">
      <c r="A866" t="s">
        <v>883</v>
      </c>
      <c r="B866">
        <v>852415807</v>
      </c>
      <c r="C866" t="s">
        <v>884</v>
      </c>
      <c r="D866" t="s">
        <v>884</v>
      </c>
      <c r="E866" t="s">
        <v>99</v>
      </c>
      <c r="F866" t="s">
        <v>885</v>
      </c>
      <c r="I866" t="s">
        <v>39</v>
      </c>
      <c r="J866" t="s">
        <v>40</v>
      </c>
      <c r="K866" t="s">
        <v>41</v>
      </c>
      <c r="L866" t="s">
        <v>886</v>
      </c>
      <c r="N866" t="s">
        <v>43</v>
      </c>
      <c r="O866" t="s">
        <v>108</v>
      </c>
      <c r="P866">
        <v>108</v>
      </c>
      <c r="Q866">
        <v>108</v>
      </c>
      <c r="R866">
        <v>11</v>
      </c>
      <c r="S866" t="s">
        <v>45</v>
      </c>
      <c r="T866">
        <v>0.01</v>
      </c>
      <c r="U866">
        <v>45</v>
      </c>
      <c r="V866" t="s">
        <v>55</v>
      </c>
      <c r="W866">
        <v>4.3999999999999997E-2</v>
      </c>
      <c r="X866">
        <v>20001</v>
      </c>
      <c r="Y866" t="s">
        <v>47</v>
      </c>
      <c r="Z866">
        <v>20</v>
      </c>
      <c r="AA866">
        <v>461</v>
      </c>
      <c r="AB866" t="s">
        <v>47</v>
      </c>
      <c r="AC866">
        <v>0.46</v>
      </c>
      <c r="AD866">
        <v>521</v>
      </c>
      <c r="AE866" t="s">
        <v>48</v>
      </c>
      <c r="AF866">
        <v>0.52</v>
      </c>
      <c r="AG866">
        <v>805</v>
      </c>
      <c r="AH866" t="s">
        <v>49</v>
      </c>
      <c r="AI866">
        <v>0.80400000000000005</v>
      </c>
      <c r="AJ866" t="s">
        <v>1154</v>
      </c>
    </row>
    <row r="867" spans="1:36" x14ac:dyDescent="0.25">
      <c r="A867" t="s">
        <v>883</v>
      </c>
      <c r="B867">
        <v>852415807</v>
      </c>
      <c r="C867" t="s">
        <v>884</v>
      </c>
      <c r="D867" t="s">
        <v>884</v>
      </c>
      <c r="E867" t="s">
        <v>60</v>
      </c>
      <c r="F867" t="s">
        <v>885</v>
      </c>
      <c r="I867" t="s">
        <v>39</v>
      </c>
      <c r="J867" t="s">
        <v>40</v>
      </c>
      <c r="K867" t="s">
        <v>41</v>
      </c>
      <c r="L867" t="s">
        <v>886</v>
      </c>
      <c r="N867" t="s">
        <v>43</v>
      </c>
      <c r="O867" t="s">
        <v>887</v>
      </c>
      <c r="P867">
        <v>108</v>
      </c>
      <c r="Q867">
        <v>108</v>
      </c>
      <c r="R867">
        <v>1</v>
      </c>
      <c r="S867" t="s">
        <v>45</v>
      </c>
      <c r="T867">
        <v>0</v>
      </c>
      <c r="U867">
        <v>987</v>
      </c>
      <c r="V867" t="s">
        <v>46</v>
      </c>
      <c r="W867">
        <v>0.98599999999999999</v>
      </c>
      <c r="X867">
        <v>22001</v>
      </c>
      <c r="Y867" t="s">
        <v>47</v>
      </c>
      <c r="Z867">
        <v>22</v>
      </c>
      <c r="AA867">
        <v>473</v>
      </c>
      <c r="AB867" t="s">
        <v>47</v>
      </c>
      <c r="AC867">
        <v>0.47199999999999998</v>
      </c>
      <c r="AD867">
        <v>663</v>
      </c>
      <c r="AE867" t="s">
        <v>48</v>
      </c>
      <c r="AF867">
        <v>0.66200000000000003</v>
      </c>
      <c r="AG867">
        <v>814</v>
      </c>
      <c r="AH867" t="s">
        <v>49</v>
      </c>
      <c r="AI867">
        <v>0.81299999999999994</v>
      </c>
      <c r="AJ867" t="s">
        <v>1154</v>
      </c>
    </row>
    <row r="868" spans="1:36" x14ac:dyDescent="0.25">
      <c r="A868" t="s">
        <v>883</v>
      </c>
      <c r="B868">
        <v>852415807</v>
      </c>
      <c r="C868" t="s">
        <v>884</v>
      </c>
      <c r="D868" t="s">
        <v>884</v>
      </c>
      <c r="E868" t="s">
        <v>99</v>
      </c>
      <c r="F868" t="s">
        <v>885</v>
      </c>
      <c r="I868" t="s">
        <v>39</v>
      </c>
      <c r="J868" t="s">
        <v>40</v>
      </c>
      <c r="K868" t="s">
        <v>41</v>
      </c>
      <c r="L868" t="s">
        <v>886</v>
      </c>
      <c r="N868" t="s">
        <v>43</v>
      </c>
      <c r="O868" t="s">
        <v>108</v>
      </c>
      <c r="P868">
        <v>108</v>
      </c>
      <c r="Q868">
        <v>108</v>
      </c>
      <c r="S868" t="s">
        <v>39</v>
      </c>
      <c r="V868" t="s">
        <v>39</v>
      </c>
      <c r="X868">
        <v>20001</v>
      </c>
      <c r="Y868" t="s">
        <v>47</v>
      </c>
      <c r="Z868">
        <v>20</v>
      </c>
      <c r="AA868">
        <v>461</v>
      </c>
      <c r="AB868" t="s">
        <v>47</v>
      </c>
      <c r="AC868">
        <v>0.46</v>
      </c>
      <c r="AD868">
        <v>521</v>
      </c>
      <c r="AE868" t="s">
        <v>48</v>
      </c>
      <c r="AF868">
        <v>0.52</v>
      </c>
      <c r="AG868">
        <v>805</v>
      </c>
      <c r="AH868" t="s">
        <v>49</v>
      </c>
      <c r="AI868">
        <v>0.80400000000000005</v>
      </c>
      <c r="AJ868" t="s">
        <v>1155</v>
      </c>
    </row>
    <row r="869" spans="1:36" x14ac:dyDescent="0.25">
      <c r="A869" t="s">
        <v>883</v>
      </c>
      <c r="B869">
        <v>852415807</v>
      </c>
      <c r="C869" t="s">
        <v>884</v>
      </c>
      <c r="D869" t="s">
        <v>884</v>
      </c>
      <c r="E869" t="s">
        <v>60</v>
      </c>
      <c r="F869" t="s">
        <v>885</v>
      </c>
      <c r="I869" t="s">
        <v>39</v>
      </c>
      <c r="J869" t="s">
        <v>40</v>
      </c>
      <c r="K869" t="s">
        <v>41</v>
      </c>
      <c r="L869" t="s">
        <v>886</v>
      </c>
      <c r="N869" t="s">
        <v>43</v>
      </c>
      <c r="O869" t="s">
        <v>887</v>
      </c>
      <c r="P869">
        <v>108</v>
      </c>
      <c r="Q869">
        <v>108</v>
      </c>
      <c r="S869" t="s">
        <v>39</v>
      </c>
      <c r="V869" t="s">
        <v>39</v>
      </c>
      <c r="X869">
        <v>22001</v>
      </c>
      <c r="Y869" t="s">
        <v>47</v>
      </c>
      <c r="Z869">
        <v>22</v>
      </c>
      <c r="AA869">
        <v>473</v>
      </c>
      <c r="AB869" t="s">
        <v>47</v>
      </c>
      <c r="AC869">
        <v>0.47199999999999998</v>
      </c>
      <c r="AD869">
        <v>663</v>
      </c>
      <c r="AE869" t="s">
        <v>48</v>
      </c>
      <c r="AF869">
        <v>0.66200000000000003</v>
      </c>
      <c r="AG869">
        <v>814</v>
      </c>
      <c r="AH869" t="s">
        <v>49</v>
      </c>
      <c r="AI869">
        <v>0.81299999999999994</v>
      </c>
      <c r="AJ869" t="s">
        <v>1155</v>
      </c>
    </row>
    <row r="870" spans="1:36" x14ac:dyDescent="0.25">
      <c r="A870" t="s">
        <v>883</v>
      </c>
      <c r="B870">
        <v>852415807</v>
      </c>
      <c r="C870" t="s">
        <v>884</v>
      </c>
      <c r="D870" t="s">
        <v>884</v>
      </c>
      <c r="E870" t="s">
        <v>99</v>
      </c>
      <c r="F870" t="s">
        <v>885</v>
      </c>
      <c r="I870" t="s">
        <v>39</v>
      </c>
      <c r="J870" t="s">
        <v>40</v>
      </c>
      <c r="K870" t="s">
        <v>41</v>
      </c>
      <c r="L870" t="s">
        <v>886</v>
      </c>
      <c r="N870" t="s">
        <v>43</v>
      </c>
      <c r="O870" t="s">
        <v>108</v>
      </c>
      <c r="P870">
        <v>108</v>
      </c>
      <c r="Q870">
        <v>108</v>
      </c>
      <c r="S870" t="s">
        <v>39</v>
      </c>
      <c r="V870" t="s">
        <v>39</v>
      </c>
      <c r="X870">
        <v>20001</v>
      </c>
      <c r="Y870" t="s">
        <v>47</v>
      </c>
      <c r="Z870">
        <v>20</v>
      </c>
      <c r="AA870">
        <v>461</v>
      </c>
      <c r="AB870" t="s">
        <v>47</v>
      </c>
      <c r="AC870">
        <v>0.46</v>
      </c>
      <c r="AD870">
        <v>521</v>
      </c>
      <c r="AE870" t="s">
        <v>48</v>
      </c>
      <c r="AF870">
        <v>0.52</v>
      </c>
      <c r="AG870">
        <v>805</v>
      </c>
      <c r="AH870" t="s">
        <v>49</v>
      </c>
      <c r="AI870">
        <v>0.80400000000000005</v>
      </c>
      <c r="AJ870" t="s">
        <v>1156</v>
      </c>
    </row>
    <row r="871" spans="1:36" x14ac:dyDescent="0.25">
      <c r="A871" t="s">
        <v>883</v>
      </c>
      <c r="B871">
        <v>852415807</v>
      </c>
      <c r="C871" t="s">
        <v>884</v>
      </c>
      <c r="D871" t="s">
        <v>884</v>
      </c>
      <c r="E871" t="s">
        <v>60</v>
      </c>
      <c r="F871" t="s">
        <v>885</v>
      </c>
      <c r="I871" t="s">
        <v>39</v>
      </c>
      <c r="J871" t="s">
        <v>40</v>
      </c>
      <c r="K871" t="s">
        <v>41</v>
      </c>
      <c r="L871" t="s">
        <v>886</v>
      </c>
      <c r="N871" t="s">
        <v>43</v>
      </c>
      <c r="O871" t="s">
        <v>887</v>
      </c>
      <c r="P871">
        <v>108</v>
      </c>
      <c r="Q871">
        <v>108</v>
      </c>
      <c r="S871" t="s">
        <v>39</v>
      </c>
      <c r="V871" t="s">
        <v>39</v>
      </c>
      <c r="X871">
        <v>22001</v>
      </c>
      <c r="Y871" t="s">
        <v>47</v>
      </c>
      <c r="Z871">
        <v>22</v>
      </c>
      <c r="AA871">
        <v>473</v>
      </c>
      <c r="AB871" t="s">
        <v>47</v>
      </c>
      <c r="AC871">
        <v>0.47199999999999998</v>
      </c>
      <c r="AD871">
        <v>663</v>
      </c>
      <c r="AE871" t="s">
        <v>48</v>
      </c>
      <c r="AF871">
        <v>0.66200000000000003</v>
      </c>
      <c r="AG871">
        <v>814</v>
      </c>
      <c r="AH871" t="s">
        <v>49</v>
      </c>
      <c r="AI871">
        <v>0.81299999999999994</v>
      </c>
      <c r="AJ871" t="s">
        <v>1156</v>
      </c>
    </row>
    <row r="872" spans="1:36" x14ac:dyDescent="0.25">
      <c r="A872" t="s">
        <v>888</v>
      </c>
      <c r="B872">
        <v>856376530</v>
      </c>
      <c r="C872" t="s">
        <v>889</v>
      </c>
      <c r="D872" t="s">
        <v>889</v>
      </c>
      <c r="E872" t="s">
        <v>99</v>
      </c>
      <c r="F872" t="s">
        <v>111</v>
      </c>
      <c r="I872" t="s">
        <v>39</v>
      </c>
      <c r="J872" t="s">
        <v>40</v>
      </c>
      <c r="K872" t="s">
        <v>41</v>
      </c>
      <c r="L872" t="s">
        <v>89</v>
      </c>
      <c r="N872" t="s">
        <v>43</v>
      </c>
      <c r="O872" t="s">
        <v>112</v>
      </c>
      <c r="P872">
        <v>108</v>
      </c>
      <c r="Q872">
        <v>108</v>
      </c>
      <c r="R872">
        <v>11</v>
      </c>
      <c r="S872" t="s">
        <v>45</v>
      </c>
      <c r="T872">
        <v>0.01</v>
      </c>
      <c r="U872">
        <v>25</v>
      </c>
      <c r="V872" t="s">
        <v>55</v>
      </c>
      <c r="W872">
        <v>2.4E-2</v>
      </c>
      <c r="X872">
        <v>14001</v>
      </c>
      <c r="Y872" t="s">
        <v>47</v>
      </c>
      <c r="Z872">
        <v>14</v>
      </c>
      <c r="AA872">
        <v>414</v>
      </c>
      <c r="AB872" t="s">
        <v>47</v>
      </c>
      <c r="AC872">
        <v>0.41299999999999998</v>
      </c>
      <c r="AD872">
        <v>639</v>
      </c>
      <c r="AE872" t="s">
        <v>48</v>
      </c>
      <c r="AF872">
        <v>0.63800000000000001</v>
      </c>
      <c r="AG872">
        <v>867</v>
      </c>
      <c r="AH872" t="s">
        <v>49</v>
      </c>
      <c r="AI872">
        <v>0.86599999999999999</v>
      </c>
      <c r="AJ872" t="s">
        <v>50</v>
      </c>
    </row>
    <row r="873" spans="1:36" x14ac:dyDescent="0.25">
      <c r="A873" t="s">
        <v>888</v>
      </c>
      <c r="B873">
        <v>856376530</v>
      </c>
      <c r="C873" t="s">
        <v>889</v>
      </c>
      <c r="D873" t="s">
        <v>889</v>
      </c>
      <c r="E873" t="s">
        <v>99</v>
      </c>
      <c r="F873" t="s">
        <v>111</v>
      </c>
      <c r="I873" t="s">
        <v>39</v>
      </c>
      <c r="J873" t="s">
        <v>40</v>
      </c>
      <c r="K873" t="s">
        <v>41</v>
      </c>
      <c r="L873" t="s">
        <v>89</v>
      </c>
      <c r="N873" t="s">
        <v>43</v>
      </c>
      <c r="O873" t="s">
        <v>112</v>
      </c>
      <c r="P873">
        <v>108</v>
      </c>
      <c r="Q873">
        <v>108</v>
      </c>
      <c r="R873">
        <v>1</v>
      </c>
      <c r="S873" t="s">
        <v>45</v>
      </c>
      <c r="T873">
        <v>0</v>
      </c>
      <c r="U873">
        <v>14</v>
      </c>
      <c r="V873" t="s">
        <v>55</v>
      </c>
      <c r="W873">
        <v>1.2999999999999999E-2</v>
      </c>
      <c r="X873">
        <v>14001</v>
      </c>
      <c r="Y873" t="s">
        <v>47</v>
      </c>
      <c r="Z873">
        <v>14</v>
      </c>
      <c r="AA873">
        <v>414</v>
      </c>
      <c r="AB873" t="s">
        <v>47</v>
      </c>
      <c r="AC873">
        <v>0.41299999999999998</v>
      </c>
      <c r="AD873">
        <v>639</v>
      </c>
      <c r="AE873" t="s">
        <v>48</v>
      </c>
      <c r="AF873">
        <v>0.63800000000000001</v>
      </c>
      <c r="AG873">
        <v>867</v>
      </c>
      <c r="AH873" t="s">
        <v>49</v>
      </c>
      <c r="AI873">
        <v>0.86599999999999999</v>
      </c>
      <c r="AJ873" t="s">
        <v>1141</v>
      </c>
    </row>
    <row r="874" spans="1:36" x14ac:dyDescent="0.25">
      <c r="A874" t="s">
        <v>888</v>
      </c>
      <c r="B874">
        <v>856376530</v>
      </c>
      <c r="C874" t="s">
        <v>889</v>
      </c>
      <c r="D874" t="s">
        <v>889</v>
      </c>
      <c r="E874" t="s">
        <v>99</v>
      </c>
      <c r="F874" t="s">
        <v>111</v>
      </c>
      <c r="I874" t="s">
        <v>39</v>
      </c>
      <c r="J874" t="s">
        <v>40</v>
      </c>
      <c r="K874" t="s">
        <v>41</v>
      </c>
      <c r="L874" t="s">
        <v>89</v>
      </c>
      <c r="N874" t="s">
        <v>43</v>
      </c>
      <c r="O874" t="s">
        <v>112</v>
      </c>
      <c r="P874">
        <v>108</v>
      </c>
      <c r="Q874">
        <v>108</v>
      </c>
      <c r="R874">
        <v>11</v>
      </c>
      <c r="S874" t="s">
        <v>45</v>
      </c>
      <c r="T874">
        <v>0.01</v>
      </c>
      <c r="U874">
        <v>25</v>
      </c>
      <c r="V874" t="s">
        <v>55</v>
      </c>
      <c r="W874">
        <v>2.4E-2</v>
      </c>
      <c r="X874">
        <v>14001</v>
      </c>
      <c r="Y874" t="s">
        <v>47</v>
      </c>
      <c r="Z874">
        <v>14</v>
      </c>
      <c r="AA874">
        <v>414</v>
      </c>
      <c r="AB874" t="s">
        <v>47</v>
      </c>
      <c r="AC874">
        <v>0.41299999999999998</v>
      </c>
      <c r="AD874">
        <v>639</v>
      </c>
      <c r="AE874" t="s">
        <v>48</v>
      </c>
      <c r="AF874">
        <v>0.63800000000000001</v>
      </c>
      <c r="AG874">
        <v>867</v>
      </c>
      <c r="AH874" t="s">
        <v>49</v>
      </c>
      <c r="AI874">
        <v>0.86599999999999999</v>
      </c>
      <c r="AJ874" t="s">
        <v>1153</v>
      </c>
    </row>
    <row r="875" spans="1:36" x14ac:dyDescent="0.25">
      <c r="A875" t="s">
        <v>888</v>
      </c>
      <c r="B875">
        <v>856376530</v>
      </c>
      <c r="C875" t="s">
        <v>889</v>
      </c>
      <c r="D875" t="s">
        <v>889</v>
      </c>
      <c r="E875" t="s">
        <v>99</v>
      </c>
      <c r="F875" t="s">
        <v>111</v>
      </c>
      <c r="I875" t="s">
        <v>39</v>
      </c>
      <c r="J875" t="s">
        <v>40</v>
      </c>
      <c r="K875" t="s">
        <v>41</v>
      </c>
      <c r="L875" t="s">
        <v>89</v>
      </c>
      <c r="N875" t="s">
        <v>43</v>
      </c>
      <c r="O875" t="s">
        <v>112</v>
      </c>
      <c r="P875">
        <v>108</v>
      </c>
      <c r="Q875">
        <v>108</v>
      </c>
      <c r="R875">
        <v>11</v>
      </c>
      <c r="S875" t="s">
        <v>45</v>
      </c>
      <c r="T875">
        <v>0.01</v>
      </c>
      <c r="U875">
        <v>25</v>
      </c>
      <c r="V875" t="s">
        <v>55</v>
      </c>
      <c r="W875">
        <v>2.4E-2</v>
      </c>
      <c r="X875">
        <v>14001</v>
      </c>
      <c r="Y875" t="s">
        <v>47</v>
      </c>
      <c r="Z875">
        <v>14</v>
      </c>
      <c r="AA875">
        <v>414</v>
      </c>
      <c r="AB875" t="s">
        <v>47</v>
      </c>
      <c r="AC875">
        <v>0.41299999999999998</v>
      </c>
      <c r="AD875">
        <v>639</v>
      </c>
      <c r="AE875" t="s">
        <v>48</v>
      </c>
      <c r="AF875">
        <v>0.63800000000000001</v>
      </c>
      <c r="AG875">
        <v>867</v>
      </c>
      <c r="AH875" t="s">
        <v>49</v>
      </c>
      <c r="AI875">
        <v>0.86599999999999999</v>
      </c>
      <c r="AJ875" t="s">
        <v>1154</v>
      </c>
    </row>
    <row r="876" spans="1:36" x14ac:dyDescent="0.25">
      <c r="A876" t="s">
        <v>888</v>
      </c>
      <c r="B876">
        <v>856376530</v>
      </c>
      <c r="C876" t="s">
        <v>889</v>
      </c>
      <c r="D876" t="s">
        <v>889</v>
      </c>
      <c r="E876" t="s">
        <v>99</v>
      </c>
      <c r="F876" t="s">
        <v>111</v>
      </c>
      <c r="I876" t="s">
        <v>39</v>
      </c>
      <c r="J876" t="s">
        <v>40</v>
      </c>
      <c r="K876" t="s">
        <v>41</v>
      </c>
      <c r="L876" t="s">
        <v>89</v>
      </c>
      <c r="N876" t="s">
        <v>43</v>
      </c>
      <c r="O876" t="s">
        <v>112</v>
      </c>
      <c r="P876">
        <v>108</v>
      </c>
      <c r="Q876">
        <v>108</v>
      </c>
      <c r="S876" t="s">
        <v>39</v>
      </c>
      <c r="V876" t="s">
        <v>39</v>
      </c>
      <c r="X876">
        <v>14001</v>
      </c>
      <c r="Y876" t="s">
        <v>47</v>
      </c>
      <c r="Z876">
        <v>14</v>
      </c>
      <c r="AA876">
        <v>414</v>
      </c>
      <c r="AB876" t="s">
        <v>47</v>
      </c>
      <c r="AC876">
        <v>0.41299999999999998</v>
      </c>
      <c r="AD876">
        <v>639</v>
      </c>
      <c r="AE876" t="s">
        <v>48</v>
      </c>
      <c r="AF876">
        <v>0.63800000000000001</v>
      </c>
      <c r="AG876">
        <v>867</v>
      </c>
      <c r="AH876" t="s">
        <v>49</v>
      </c>
      <c r="AI876">
        <v>0.86599999999999999</v>
      </c>
      <c r="AJ876" t="s">
        <v>1155</v>
      </c>
    </row>
    <row r="877" spans="1:36" x14ac:dyDescent="0.25">
      <c r="A877" t="s">
        <v>888</v>
      </c>
      <c r="B877">
        <v>856376530</v>
      </c>
      <c r="C877" t="s">
        <v>889</v>
      </c>
      <c r="D877" t="s">
        <v>889</v>
      </c>
      <c r="E877" t="s">
        <v>99</v>
      </c>
      <c r="F877" t="s">
        <v>111</v>
      </c>
      <c r="I877" t="s">
        <v>39</v>
      </c>
      <c r="J877" t="s">
        <v>40</v>
      </c>
      <c r="K877" t="s">
        <v>41</v>
      </c>
      <c r="L877" t="s">
        <v>89</v>
      </c>
      <c r="N877" t="s">
        <v>43</v>
      </c>
      <c r="O877" t="s">
        <v>112</v>
      </c>
      <c r="P877">
        <v>108</v>
      </c>
      <c r="Q877">
        <v>108</v>
      </c>
      <c r="S877" t="s">
        <v>39</v>
      </c>
      <c r="V877" t="s">
        <v>39</v>
      </c>
      <c r="X877">
        <v>14001</v>
      </c>
      <c r="Y877" t="s">
        <v>47</v>
      </c>
      <c r="Z877">
        <v>14</v>
      </c>
      <c r="AA877">
        <v>414</v>
      </c>
      <c r="AB877" t="s">
        <v>47</v>
      </c>
      <c r="AC877">
        <v>0.41299999999999998</v>
      </c>
      <c r="AD877">
        <v>639</v>
      </c>
      <c r="AE877" t="s">
        <v>48</v>
      </c>
      <c r="AF877">
        <v>0.63800000000000001</v>
      </c>
      <c r="AG877">
        <v>867</v>
      </c>
      <c r="AH877" t="s">
        <v>49</v>
      </c>
      <c r="AI877">
        <v>0.86599999999999999</v>
      </c>
      <c r="AJ877" t="s">
        <v>1156</v>
      </c>
    </row>
    <row r="878" spans="1:36" x14ac:dyDescent="0.25">
      <c r="A878" t="s">
        <v>880</v>
      </c>
      <c r="B878">
        <v>853192255</v>
      </c>
      <c r="C878" t="s">
        <v>881</v>
      </c>
      <c r="D878" t="s">
        <v>881</v>
      </c>
      <c r="E878" t="s">
        <v>37</v>
      </c>
      <c r="F878" t="s">
        <v>71</v>
      </c>
      <c r="I878" t="s">
        <v>39</v>
      </c>
      <c r="J878" t="s">
        <v>40</v>
      </c>
      <c r="K878" t="s">
        <v>41</v>
      </c>
      <c r="L878" t="s">
        <v>281</v>
      </c>
      <c r="M878" t="s">
        <v>659</v>
      </c>
      <c r="N878" t="s">
        <v>43</v>
      </c>
      <c r="O878" t="s">
        <v>882</v>
      </c>
      <c r="P878">
        <v>109</v>
      </c>
      <c r="Q878">
        <v>109</v>
      </c>
      <c r="R878">
        <v>1</v>
      </c>
      <c r="S878" t="s">
        <v>45</v>
      </c>
      <c r="T878">
        <v>0</v>
      </c>
      <c r="U878">
        <v>784</v>
      </c>
      <c r="V878" t="s">
        <v>113</v>
      </c>
      <c r="W878">
        <v>0.78300000000000003</v>
      </c>
      <c r="X878">
        <v>22001</v>
      </c>
      <c r="Y878" t="s">
        <v>47</v>
      </c>
      <c r="Z878">
        <v>22</v>
      </c>
      <c r="AA878">
        <v>594</v>
      </c>
      <c r="AB878" t="s">
        <v>75</v>
      </c>
      <c r="AC878">
        <v>0.59299999999999997</v>
      </c>
      <c r="AD878">
        <v>791</v>
      </c>
      <c r="AE878" t="s">
        <v>48</v>
      </c>
      <c r="AF878">
        <v>0.79</v>
      </c>
      <c r="AG878">
        <v>933</v>
      </c>
      <c r="AH878" t="s">
        <v>80</v>
      </c>
      <c r="AI878">
        <v>0.93200000000000005</v>
      </c>
      <c r="AJ878" t="s">
        <v>50</v>
      </c>
    </row>
    <row r="879" spans="1:36" x14ac:dyDescent="0.25">
      <c r="A879" t="s">
        <v>880</v>
      </c>
      <c r="B879">
        <v>853192255</v>
      </c>
      <c r="C879" t="s">
        <v>881</v>
      </c>
      <c r="D879" t="s">
        <v>881</v>
      </c>
      <c r="E879" t="s">
        <v>37</v>
      </c>
      <c r="F879" t="s">
        <v>71</v>
      </c>
      <c r="I879" t="s">
        <v>39</v>
      </c>
      <c r="J879" t="s">
        <v>40</v>
      </c>
      <c r="K879" t="s">
        <v>41</v>
      </c>
      <c r="L879" t="s">
        <v>281</v>
      </c>
      <c r="M879" t="s">
        <v>659</v>
      </c>
      <c r="N879" t="s">
        <v>43</v>
      </c>
      <c r="O879" t="s">
        <v>882</v>
      </c>
      <c r="P879">
        <v>109</v>
      </c>
      <c r="Q879">
        <v>109</v>
      </c>
      <c r="R879">
        <v>1</v>
      </c>
      <c r="S879" t="s">
        <v>45</v>
      </c>
      <c r="T879">
        <v>0</v>
      </c>
      <c r="U879">
        <v>678</v>
      </c>
      <c r="V879" t="s">
        <v>113</v>
      </c>
      <c r="W879">
        <v>0.67700000000000005</v>
      </c>
      <c r="X879">
        <v>22001</v>
      </c>
      <c r="Y879" t="s">
        <v>47</v>
      </c>
      <c r="Z879">
        <v>22</v>
      </c>
      <c r="AA879">
        <v>594</v>
      </c>
      <c r="AB879" t="s">
        <v>75</v>
      </c>
      <c r="AC879">
        <v>0.59299999999999997</v>
      </c>
      <c r="AD879">
        <v>791</v>
      </c>
      <c r="AE879" t="s">
        <v>48</v>
      </c>
      <c r="AF879">
        <v>0.79</v>
      </c>
      <c r="AG879">
        <v>933</v>
      </c>
      <c r="AH879" t="s">
        <v>80</v>
      </c>
      <c r="AI879">
        <v>0.93200000000000005</v>
      </c>
      <c r="AJ879" t="s">
        <v>1141</v>
      </c>
    </row>
    <row r="880" spans="1:36" x14ac:dyDescent="0.25">
      <c r="A880" t="s">
        <v>880</v>
      </c>
      <c r="B880">
        <v>853192255</v>
      </c>
      <c r="C880" t="s">
        <v>881</v>
      </c>
      <c r="D880" t="s">
        <v>881</v>
      </c>
      <c r="E880" t="s">
        <v>37</v>
      </c>
      <c r="F880" t="s">
        <v>71</v>
      </c>
      <c r="I880" t="s">
        <v>39</v>
      </c>
      <c r="J880" t="s">
        <v>40</v>
      </c>
      <c r="K880" t="s">
        <v>41</v>
      </c>
      <c r="L880" t="s">
        <v>281</v>
      </c>
      <c r="M880" t="s">
        <v>659</v>
      </c>
      <c r="N880" t="s">
        <v>43</v>
      </c>
      <c r="O880" t="s">
        <v>882</v>
      </c>
      <c r="P880">
        <v>109</v>
      </c>
      <c r="Q880">
        <v>109</v>
      </c>
      <c r="R880">
        <v>1</v>
      </c>
      <c r="S880" t="s">
        <v>45</v>
      </c>
      <c r="T880">
        <v>0</v>
      </c>
      <c r="U880">
        <v>784</v>
      </c>
      <c r="V880" t="s">
        <v>113</v>
      </c>
      <c r="W880">
        <v>0.78300000000000003</v>
      </c>
      <c r="X880">
        <v>22001</v>
      </c>
      <c r="Y880" t="s">
        <v>47</v>
      </c>
      <c r="Z880">
        <v>22</v>
      </c>
      <c r="AA880">
        <v>594</v>
      </c>
      <c r="AB880" t="s">
        <v>75</v>
      </c>
      <c r="AC880">
        <v>0.59299999999999997</v>
      </c>
      <c r="AD880">
        <v>791</v>
      </c>
      <c r="AE880" t="s">
        <v>48</v>
      </c>
      <c r="AF880">
        <v>0.79</v>
      </c>
      <c r="AG880">
        <v>933</v>
      </c>
      <c r="AH880" t="s">
        <v>80</v>
      </c>
      <c r="AI880">
        <v>0.93200000000000005</v>
      </c>
      <c r="AJ880" t="s">
        <v>1153</v>
      </c>
    </row>
    <row r="881" spans="1:36" x14ac:dyDescent="0.25">
      <c r="A881" t="s">
        <v>880</v>
      </c>
      <c r="B881">
        <v>853192255</v>
      </c>
      <c r="C881" t="s">
        <v>881</v>
      </c>
      <c r="D881" t="s">
        <v>881</v>
      </c>
      <c r="E881" t="s">
        <v>37</v>
      </c>
      <c r="F881" t="s">
        <v>71</v>
      </c>
      <c r="I881" t="s">
        <v>39</v>
      </c>
      <c r="J881" t="s">
        <v>40</v>
      </c>
      <c r="K881" t="s">
        <v>41</v>
      </c>
      <c r="L881" t="s">
        <v>281</v>
      </c>
      <c r="M881" t="s">
        <v>659</v>
      </c>
      <c r="N881" t="s">
        <v>43</v>
      </c>
      <c r="O881" t="s">
        <v>882</v>
      </c>
      <c r="P881">
        <v>109</v>
      </c>
      <c r="Q881">
        <v>109</v>
      </c>
      <c r="R881">
        <v>1</v>
      </c>
      <c r="S881" t="s">
        <v>45</v>
      </c>
      <c r="T881">
        <v>0</v>
      </c>
      <c r="U881">
        <v>784</v>
      </c>
      <c r="V881" t="s">
        <v>113</v>
      </c>
      <c r="W881">
        <v>0.78300000000000003</v>
      </c>
      <c r="X881">
        <v>22001</v>
      </c>
      <c r="Y881" t="s">
        <v>47</v>
      </c>
      <c r="Z881">
        <v>22</v>
      </c>
      <c r="AA881">
        <v>594</v>
      </c>
      <c r="AB881" t="s">
        <v>75</v>
      </c>
      <c r="AC881">
        <v>0.59299999999999997</v>
      </c>
      <c r="AD881">
        <v>791</v>
      </c>
      <c r="AE881" t="s">
        <v>48</v>
      </c>
      <c r="AF881">
        <v>0.79</v>
      </c>
      <c r="AG881">
        <v>933</v>
      </c>
      <c r="AH881" t="s">
        <v>80</v>
      </c>
      <c r="AI881">
        <v>0.93200000000000005</v>
      </c>
      <c r="AJ881" t="s">
        <v>1154</v>
      </c>
    </row>
    <row r="882" spans="1:36" x14ac:dyDescent="0.25">
      <c r="A882" t="s">
        <v>880</v>
      </c>
      <c r="B882">
        <v>853192255</v>
      </c>
      <c r="C882" t="s">
        <v>881</v>
      </c>
      <c r="D882" t="s">
        <v>881</v>
      </c>
      <c r="E882" t="s">
        <v>37</v>
      </c>
      <c r="F882" t="s">
        <v>71</v>
      </c>
      <c r="I882" t="s">
        <v>39</v>
      </c>
      <c r="J882" t="s">
        <v>40</v>
      </c>
      <c r="K882" t="s">
        <v>41</v>
      </c>
      <c r="L882" t="s">
        <v>281</v>
      </c>
      <c r="M882" t="s">
        <v>659</v>
      </c>
      <c r="N882" t="s">
        <v>43</v>
      </c>
      <c r="O882" t="s">
        <v>882</v>
      </c>
      <c r="P882">
        <v>109</v>
      </c>
      <c r="Q882">
        <v>109</v>
      </c>
      <c r="S882" t="s">
        <v>39</v>
      </c>
      <c r="V882" t="s">
        <v>39</v>
      </c>
      <c r="X882">
        <v>22001</v>
      </c>
      <c r="Y882" t="s">
        <v>47</v>
      </c>
      <c r="Z882">
        <v>22</v>
      </c>
      <c r="AA882">
        <v>594</v>
      </c>
      <c r="AB882" t="s">
        <v>75</v>
      </c>
      <c r="AC882">
        <v>0.59299999999999997</v>
      </c>
      <c r="AD882">
        <v>791</v>
      </c>
      <c r="AE882" t="s">
        <v>48</v>
      </c>
      <c r="AF882">
        <v>0.79</v>
      </c>
      <c r="AG882">
        <v>933</v>
      </c>
      <c r="AH882" t="s">
        <v>80</v>
      </c>
      <c r="AI882">
        <v>0.93200000000000005</v>
      </c>
      <c r="AJ882" t="s">
        <v>1155</v>
      </c>
    </row>
    <row r="883" spans="1:36" x14ac:dyDescent="0.25">
      <c r="A883" t="s">
        <v>880</v>
      </c>
      <c r="B883">
        <v>853192255</v>
      </c>
      <c r="C883" t="s">
        <v>881</v>
      </c>
      <c r="D883" t="s">
        <v>881</v>
      </c>
      <c r="E883" t="s">
        <v>37</v>
      </c>
      <c r="F883" t="s">
        <v>71</v>
      </c>
      <c r="I883" t="s">
        <v>39</v>
      </c>
      <c r="J883" t="s">
        <v>40</v>
      </c>
      <c r="K883" t="s">
        <v>41</v>
      </c>
      <c r="L883" t="s">
        <v>281</v>
      </c>
      <c r="M883" t="s">
        <v>659</v>
      </c>
      <c r="N883" t="s">
        <v>43</v>
      </c>
      <c r="O883" t="s">
        <v>882</v>
      </c>
      <c r="P883">
        <v>109</v>
      </c>
      <c r="Q883">
        <v>109</v>
      </c>
      <c r="S883" t="s">
        <v>39</v>
      </c>
      <c r="V883" t="s">
        <v>39</v>
      </c>
      <c r="X883">
        <v>22001</v>
      </c>
      <c r="Y883" t="s">
        <v>47</v>
      </c>
      <c r="Z883">
        <v>22</v>
      </c>
      <c r="AA883">
        <v>594</v>
      </c>
      <c r="AB883" t="s">
        <v>75</v>
      </c>
      <c r="AC883">
        <v>0.59299999999999997</v>
      </c>
      <c r="AD883">
        <v>791</v>
      </c>
      <c r="AE883" t="s">
        <v>48</v>
      </c>
      <c r="AF883">
        <v>0.79</v>
      </c>
      <c r="AG883">
        <v>933</v>
      </c>
      <c r="AH883" t="s">
        <v>80</v>
      </c>
      <c r="AI883">
        <v>0.93200000000000005</v>
      </c>
      <c r="AJ883" t="s">
        <v>1156</v>
      </c>
    </row>
    <row r="884" spans="1:36" x14ac:dyDescent="0.25">
      <c r="A884" t="s">
        <v>878</v>
      </c>
      <c r="B884">
        <v>856653641</v>
      </c>
      <c r="C884" t="s">
        <v>879</v>
      </c>
      <c r="D884" t="s">
        <v>879</v>
      </c>
      <c r="E884" t="s">
        <v>99</v>
      </c>
      <c r="F884" t="s">
        <v>107</v>
      </c>
      <c r="I884" t="s">
        <v>39</v>
      </c>
      <c r="J884" t="s">
        <v>40</v>
      </c>
      <c r="K884" t="s">
        <v>41</v>
      </c>
      <c r="L884" t="s">
        <v>197</v>
      </c>
      <c r="M884" t="s">
        <v>73</v>
      </c>
      <c r="N884" t="s">
        <v>43</v>
      </c>
      <c r="O884" t="s">
        <v>205</v>
      </c>
      <c r="P884">
        <v>111</v>
      </c>
      <c r="Q884">
        <v>111</v>
      </c>
      <c r="R884">
        <v>501</v>
      </c>
      <c r="S884" t="s">
        <v>56</v>
      </c>
      <c r="T884">
        <v>0.5</v>
      </c>
      <c r="U884">
        <v>219</v>
      </c>
      <c r="V884" t="s">
        <v>55</v>
      </c>
      <c r="W884">
        <v>0.218</v>
      </c>
      <c r="X884">
        <v>1</v>
      </c>
      <c r="Y884" t="s">
        <v>47</v>
      </c>
      <c r="Z884">
        <v>0</v>
      </c>
      <c r="AA884">
        <v>273</v>
      </c>
      <c r="AB884" t="s">
        <v>47</v>
      </c>
      <c r="AC884">
        <v>0.27200000000000002</v>
      </c>
      <c r="AD884">
        <v>232</v>
      </c>
      <c r="AE884" t="s">
        <v>56</v>
      </c>
      <c r="AF884">
        <v>0.23100000000000001</v>
      </c>
      <c r="AG884">
        <v>124</v>
      </c>
      <c r="AH884" t="s">
        <v>103</v>
      </c>
      <c r="AI884">
        <v>0.123</v>
      </c>
      <c r="AJ884" t="s">
        <v>50</v>
      </c>
    </row>
    <row r="885" spans="1:36" x14ac:dyDescent="0.25">
      <c r="A885" t="s">
        <v>878</v>
      </c>
      <c r="B885">
        <v>856653641</v>
      </c>
      <c r="C885" t="s">
        <v>879</v>
      </c>
      <c r="D885" t="s">
        <v>879</v>
      </c>
      <c r="E885" t="s">
        <v>99</v>
      </c>
      <c r="F885" t="s">
        <v>107</v>
      </c>
      <c r="I885" t="s">
        <v>39</v>
      </c>
      <c r="J885" t="s">
        <v>40</v>
      </c>
      <c r="K885" t="s">
        <v>41</v>
      </c>
      <c r="L885" t="s">
        <v>197</v>
      </c>
      <c r="M885" t="s">
        <v>73</v>
      </c>
      <c r="N885" t="s">
        <v>43</v>
      </c>
      <c r="O885" t="s">
        <v>205</v>
      </c>
      <c r="P885">
        <v>111</v>
      </c>
      <c r="Q885">
        <v>111</v>
      </c>
      <c r="R885">
        <v>271</v>
      </c>
      <c r="S885" t="s">
        <v>56</v>
      </c>
      <c r="T885">
        <v>0.27</v>
      </c>
      <c r="U885">
        <v>98</v>
      </c>
      <c r="V885" t="s">
        <v>55</v>
      </c>
      <c r="W885">
        <v>9.7000000000000003E-2</v>
      </c>
      <c r="X885">
        <v>1</v>
      </c>
      <c r="Y885" t="s">
        <v>47</v>
      </c>
      <c r="Z885">
        <v>0</v>
      </c>
      <c r="AA885">
        <v>273</v>
      </c>
      <c r="AB885" t="s">
        <v>47</v>
      </c>
      <c r="AC885">
        <v>0.27200000000000002</v>
      </c>
      <c r="AD885">
        <v>232</v>
      </c>
      <c r="AE885" t="s">
        <v>56</v>
      </c>
      <c r="AF885">
        <v>0.23100000000000001</v>
      </c>
      <c r="AG885">
        <v>124</v>
      </c>
      <c r="AH885" t="s">
        <v>103</v>
      </c>
      <c r="AI885">
        <v>0.123</v>
      </c>
      <c r="AJ885" t="s">
        <v>1141</v>
      </c>
    </row>
    <row r="886" spans="1:36" x14ac:dyDescent="0.25">
      <c r="A886" t="s">
        <v>878</v>
      </c>
      <c r="B886">
        <v>856653641</v>
      </c>
      <c r="C886" t="s">
        <v>879</v>
      </c>
      <c r="D886" t="s">
        <v>879</v>
      </c>
      <c r="E886" t="s">
        <v>99</v>
      </c>
      <c r="F886" t="s">
        <v>107</v>
      </c>
      <c r="I886" t="s">
        <v>39</v>
      </c>
      <c r="J886" t="s">
        <v>40</v>
      </c>
      <c r="K886" t="s">
        <v>41</v>
      </c>
      <c r="L886" t="s">
        <v>197</v>
      </c>
      <c r="M886" t="s">
        <v>73</v>
      </c>
      <c r="N886" t="s">
        <v>43</v>
      </c>
      <c r="O886" t="s">
        <v>205</v>
      </c>
      <c r="P886">
        <v>111</v>
      </c>
      <c r="Q886">
        <v>111</v>
      </c>
      <c r="R886">
        <v>501</v>
      </c>
      <c r="S886" t="s">
        <v>56</v>
      </c>
      <c r="T886">
        <v>0.5</v>
      </c>
      <c r="U886">
        <v>219</v>
      </c>
      <c r="V886" t="s">
        <v>55</v>
      </c>
      <c r="W886">
        <v>0.218</v>
      </c>
      <c r="X886">
        <v>1</v>
      </c>
      <c r="Y886" t="s">
        <v>47</v>
      </c>
      <c r="Z886">
        <v>0</v>
      </c>
      <c r="AA886">
        <v>273</v>
      </c>
      <c r="AB886" t="s">
        <v>47</v>
      </c>
      <c r="AC886">
        <v>0.27200000000000002</v>
      </c>
      <c r="AD886">
        <v>232</v>
      </c>
      <c r="AE886" t="s">
        <v>56</v>
      </c>
      <c r="AF886">
        <v>0.23100000000000001</v>
      </c>
      <c r="AG886">
        <v>124</v>
      </c>
      <c r="AH886" t="s">
        <v>103</v>
      </c>
      <c r="AI886">
        <v>0.123</v>
      </c>
      <c r="AJ886" t="s">
        <v>1153</v>
      </c>
    </row>
    <row r="887" spans="1:36" x14ac:dyDescent="0.25">
      <c r="A887" t="s">
        <v>878</v>
      </c>
      <c r="B887">
        <v>856653641</v>
      </c>
      <c r="C887" t="s">
        <v>879</v>
      </c>
      <c r="D887" t="s">
        <v>879</v>
      </c>
      <c r="E887" t="s">
        <v>99</v>
      </c>
      <c r="F887" t="s">
        <v>107</v>
      </c>
      <c r="I887" t="s">
        <v>39</v>
      </c>
      <c r="J887" t="s">
        <v>40</v>
      </c>
      <c r="K887" t="s">
        <v>41</v>
      </c>
      <c r="L887" t="s">
        <v>197</v>
      </c>
      <c r="M887" t="s">
        <v>73</v>
      </c>
      <c r="N887" t="s">
        <v>43</v>
      </c>
      <c r="O887" t="s">
        <v>205</v>
      </c>
      <c r="P887">
        <v>111</v>
      </c>
      <c r="Q887">
        <v>111</v>
      </c>
      <c r="R887">
        <v>501</v>
      </c>
      <c r="S887" t="s">
        <v>56</v>
      </c>
      <c r="T887">
        <v>0.5</v>
      </c>
      <c r="U887">
        <v>219</v>
      </c>
      <c r="V887" t="s">
        <v>55</v>
      </c>
      <c r="W887">
        <v>0.218</v>
      </c>
      <c r="X887">
        <v>1</v>
      </c>
      <c r="Y887" t="s">
        <v>47</v>
      </c>
      <c r="Z887">
        <v>0</v>
      </c>
      <c r="AA887">
        <v>273</v>
      </c>
      <c r="AB887" t="s">
        <v>47</v>
      </c>
      <c r="AC887">
        <v>0.27200000000000002</v>
      </c>
      <c r="AD887">
        <v>232</v>
      </c>
      <c r="AE887" t="s">
        <v>56</v>
      </c>
      <c r="AF887">
        <v>0.23100000000000001</v>
      </c>
      <c r="AG887">
        <v>124</v>
      </c>
      <c r="AH887" t="s">
        <v>103</v>
      </c>
      <c r="AI887">
        <v>0.123</v>
      </c>
      <c r="AJ887" t="s">
        <v>1154</v>
      </c>
    </row>
    <row r="888" spans="1:36" x14ac:dyDescent="0.25">
      <c r="A888" t="s">
        <v>878</v>
      </c>
      <c r="B888">
        <v>856653641</v>
      </c>
      <c r="C888" t="s">
        <v>879</v>
      </c>
      <c r="D888" t="s">
        <v>879</v>
      </c>
      <c r="E888" t="s">
        <v>99</v>
      </c>
      <c r="F888" t="s">
        <v>107</v>
      </c>
      <c r="I888" t="s">
        <v>39</v>
      </c>
      <c r="J888" t="s">
        <v>40</v>
      </c>
      <c r="K888" t="s">
        <v>41</v>
      </c>
      <c r="L888" t="s">
        <v>197</v>
      </c>
      <c r="M888" t="s">
        <v>73</v>
      </c>
      <c r="N888" t="s">
        <v>43</v>
      </c>
      <c r="O888" t="s">
        <v>205</v>
      </c>
      <c r="P888">
        <v>111</v>
      </c>
      <c r="Q888">
        <v>111</v>
      </c>
      <c r="S888" t="s">
        <v>39</v>
      </c>
      <c r="V888" t="s">
        <v>39</v>
      </c>
      <c r="X888">
        <v>1</v>
      </c>
      <c r="Y888" t="s">
        <v>47</v>
      </c>
      <c r="Z888">
        <v>0</v>
      </c>
      <c r="AA888">
        <v>273</v>
      </c>
      <c r="AB888" t="s">
        <v>47</v>
      </c>
      <c r="AC888">
        <v>0.27200000000000002</v>
      </c>
      <c r="AD888">
        <v>232</v>
      </c>
      <c r="AE888" t="s">
        <v>56</v>
      </c>
      <c r="AF888">
        <v>0.23100000000000001</v>
      </c>
      <c r="AG888">
        <v>124</v>
      </c>
      <c r="AH888" t="s">
        <v>103</v>
      </c>
      <c r="AI888">
        <v>0.123</v>
      </c>
      <c r="AJ888" t="s">
        <v>1155</v>
      </c>
    </row>
    <row r="889" spans="1:36" x14ac:dyDescent="0.25">
      <c r="A889" t="s">
        <v>878</v>
      </c>
      <c r="B889">
        <v>856653641</v>
      </c>
      <c r="C889" t="s">
        <v>879</v>
      </c>
      <c r="D889" t="s">
        <v>879</v>
      </c>
      <c r="E889" t="s">
        <v>99</v>
      </c>
      <c r="F889" t="s">
        <v>107</v>
      </c>
      <c r="I889" t="s">
        <v>39</v>
      </c>
      <c r="J889" t="s">
        <v>40</v>
      </c>
      <c r="K889" t="s">
        <v>41</v>
      </c>
      <c r="L889" t="s">
        <v>197</v>
      </c>
      <c r="M889" t="s">
        <v>73</v>
      </c>
      <c r="N889" t="s">
        <v>43</v>
      </c>
      <c r="O889" t="s">
        <v>205</v>
      </c>
      <c r="P889">
        <v>111</v>
      </c>
      <c r="Q889">
        <v>111</v>
      </c>
      <c r="S889" t="s">
        <v>39</v>
      </c>
      <c r="V889" t="s">
        <v>39</v>
      </c>
      <c r="X889">
        <v>1</v>
      </c>
      <c r="Y889" t="s">
        <v>47</v>
      </c>
      <c r="Z889">
        <v>0</v>
      </c>
      <c r="AA889">
        <v>273</v>
      </c>
      <c r="AB889" t="s">
        <v>47</v>
      </c>
      <c r="AC889">
        <v>0.27200000000000002</v>
      </c>
      <c r="AD889">
        <v>232</v>
      </c>
      <c r="AE889" t="s">
        <v>56</v>
      </c>
      <c r="AF889">
        <v>0.23100000000000001</v>
      </c>
      <c r="AG889">
        <v>124</v>
      </c>
      <c r="AH889" t="s">
        <v>103</v>
      </c>
      <c r="AI889">
        <v>0.123</v>
      </c>
      <c r="AJ889" t="s">
        <v>1156</v>
      </c>
    </row>
    <row r="890" spans="1:36" x14ac:dyDescent="0.25">
      <c r="A890" t="s">
        <v>874</v>
      </c>
      <c r="B890">
        <v>855729009</v>
      </c>
      <c r="C890" t="s">
        <v>875</v>
      </c>
      <c r="D890" t="s">
        <v>875</v>
      </c>
      <c r="E890" t="s">
        <v>37</v>
      </c>
      <c r="F890" t="s">
        <v>71</v>
      </c>
      <c r="I890" t="s">
        <v>39</v>
      </c>
      <c r="J890" t="s">
        <v>40</v>
      </c>
      <c r="K890" t="s">
        <v>41</v>
      </c>
      <c r="L890" t="s">
        <v>53</v>
      </c>
      <c r="N890" t="s">
        <v>43</v>
      </c>
      <c r="O890" t="s">
        <v>74</v>
      </c>
      <c r="P890">
        <v>112</v>
      </c>
      <c r="Q890">
        <v>112</v>
      </c>
      <c r="R890">
        <v>111</v>
      </c>
      <c r="S890" t="s">
        <v>56</v>
      </c>
      <c r="T890">
        <v>0.11</v>
      </c>
      <c r="U890">
        <v>212</v>
      </c>
      <c r="V890" t="s">
        <v>55</v>
      </c>
      <c r="W890">
        <v>0.21099999999999999</v>
      </c>
      <c r="X890">
        <v>9001</v>
      </c>
      <c r="Y890" t="s">
        <v>47</v>
      </c>
      <c r="Z890">
        <v>9</v>
      </c>
      <c r="AA890">
        <v>277</v>
      </c>
      <c r="AB890" t="s">
        <v>47</v>
      </c>
      <c r="AC890">
        <v>0.27600000000000002</v>
      </c>
      <c r="AD890">
        <v>484</v>
      </c>
      <c r="AE890" t="s">
        <v>56</v>
      </c>
      <c r="AF890">
        <v>0.48299999999999998</v>
      </c>
      <c r="AG890">
        <v>240</v>
      </c>
      <c r="AH890" t="s">
        <v>57</v>
      </c>
      <c r="AI890">
        <v>0.23899999999999999</v>
      </c>
      <c r="AJ890" t="s">
        <v>50</v>
      </c>
    </row>
    <row r="891" spans="1:36" x14ac:dyDescent="0.25">
      <c r="A891" t="s">
        <v>874</v>
      </c>
      <c r="B891">
        <v>855729009</v>
      </c>
      <c r="C891" t="s">
        <v>875</v>
      </c>
      <c r="D891" t="s">
        <v>875</v>
      </c>
      <c r="E891" t="s">
        <v>37</v>
      </c>
      <c r="F891" t="s">
        <v>71</v>
      </c>
      <c r="I891" t="s">
        <v>39</v>
      </c>
      <c r="J891" t="s">
        <v>40</v>
      </c>
      <c r="K891" t="s">
        <v>41</v>
      </c>
      <c r="L891" t="s">
        <v>53</v>
      </c>
      <c r="N891" t="s">
        <v>43</v>
      </c>
      <c r="O891" t="s">
        <v>74</v>
      </c>
      <c r="P891">
        <v>112</v>
      </c>
      <c r="Q891">
        <v>112</v>
      </c>
      <c r="R891">
        <v>111</v>
      </c>
      <c r="S891" t="s">
        <v>56</v>
      </c>
      <c r="T891">
        <v>0.11</v>
      </c>
      <c r="U891">
        <v>94</v>
      </c>
      <c r="V891" t="s">
        <v>55</v>
      </c>
      <c r="W891">
        <v>9.2999999999999999E-2</v>
      </c>
      <c r="X891">
        <v>9001</v>
      </c>
      <c r="Y891" t="s">
        <v>47</v>
      </c>
      <c r="Z891">
        <v>9</v>
      </c>
      <c r="AA891">
        <v>277</v>
      </c>
      <c r="AB891" t="s">
        <v>47</v>
      </c>
      <c r="AC891">
        <v>0.27600000000000002</v>
      </c>
      <c r="AD891">
        <v>484</v>
      </c>
      <c r="AE891" t="s">
        <v>56</v>
      </c>
      <c r="AF891">
        <v>0.48299999999999998</v>
      </c>
      <c r="AG891">
        <v>240</v>
      </c>
      <c r="AH891" t="s">
        <v>57</v>
      </c>
      <c r="AI891">
        <v>0.23899999999999999</v>
      </c>
      <c r="AJ891" t="s">
        <v>1141</v>
      </c>
    </row>
    <row r="892" spans="1:36" x14ac:dyDescent="0.25">
      <c r="A892" t="s">
        <v>874</v>
      </c>
      <c r="B892">
        <v>855729009</v>
      </c>
      <c r="C892" t="s">
        <v>875</v>
      </c>
      <c r="D892" t="s">
        <v>875</v>
      </c>
      <c r="E892" t="s">
        <v>37</v>
      </c>
      <c r="F892" t="s">
        <v>71</v>
      </c>
      <c r="I892" t="s">
        <v>39</v>
      </c>
      <c r="J892" t="s">
        <v>40</v>
      </c>
      <c r="K892" t="s">
        <v>41</v>
      </c>
      <c r="L892" t="s">
        <v>53</v>
      </c>
      <c r="N892" t="s">
        <v>43</v>
      </c>
      <c r="O892" t="s">
        <v>74</v>
      </c>
      <c r="P892">
        <v>112</v>
      </c>
      <c r="Q892">
        <v>112</v>
      </c>
      <c r="R892">
        <v>111</v>
      </c>
      <c r="S892" t="s">
        <v>56</v>
      </c>
      <c r="T892">
        <v>0.11</v>
      </c>
      <c r="U892">
        <v>212</v>
      </c>
      <c r="V892" t="s">
        <v>55</v>
      </c>
      <c r="W892">
        <v>0.21099999999999999</v>
      </c>
      <c r="X892">
        <v>9001</v>
      </c>
      <c r="Y892" t="s">
        <v>47</v>
      </c>
      <c r="Z892">
        <v>9</v>
      </c>
      <c r="AA892">
        <v>277</v>
      </c>
      <c r="AB892" t="s">
        <v>47</v>
      </c>
      <c r="AC892">
        <v>0.27600000000000002</v>
      </c>
      <c r="AD892">
        <v>484</v>
      </c>
      <c r="AE892" t="s">
        <v>56</v>
      </c>
      <c r="AF892">
        <v>0.48299999999999998</v>
      </c>
      <c r="AG892">
        <v>240</v>
      </c>
      <c r="AH892" t="s">
        <v>57</v>
      </c>
      <c r="AI892">
        <v>0.23899999999999999</v>
      </c>
      <c r="AJ892" t="s">
        <v>1153</v>
      </c>
    </row>
    <row r="893" spans="1:36" x14ac:dyDescent="0.25">
      <c r="A893" t="s">
        <v>874</v>
      </c>
      <c r="B893">
        <v>855729009</v>
      </c>
      <c r="C893" t="s">
        <v>875</v>
      </c>
      <c r="D893" t="s">
        <v>875</v>
      </c>
      <c r="E893" t="s">
        <v>37</v>
      </c>
      <c r="F893" t="s">
        <v>71</v>
      </c>
      <c r="I893" t="s">
        <v>39</v>
      </c>
      <c r="J893" t="s">
        <v>40</v>
      </c>
      <c r="K893" t="s">
        <v>41</v>
      </c>
      <c r="L893" t="s">
        <v>53</v>
      </c>
      <c r="N893" t="s">
        <v>43</v>
      </c>
      <c r="O893" t="s">
        <v>74</v>
      </c>
      <c r="P893">
        <v>112</v>
      </c>
      <c r="Q893">
        <v>112</v>
      </c>
      <c r="R893">
        <v>111</v>
      </c>
      <c r="S893" t="s">
        <v>56</v>
      </c>
      <c r="T893">
        <v>0.11</v>
      </c>
      <c r="U893">
        <v>212</v>
      </c>
      <c r="V893" t="s">
        <v>55</v>
      </c>
      <c r="W893">
        <v>0.21099999999999999</v>
      </c>
      <c r="X893">
        <v>9001</v>
      </c>
      <c r="Y893" t="s">
        <v>47</v>
      </c>
      <c r="Z893">
        <v>9</v>
      </c>
      <c r="AA893">
        <v>277</v>
      </c>
      <c r="AB893" t="s">
        <v>47</v>
      </c>
      <c r="AC893">
        <v>0.27600000000000002</v>
      </c>
      <c r="AD893">
        <v>484</v>
      </c>
      <c r="AE893" t="s">
        <v>56</v>
      </c>
      <c r="AF893">
        <v>0.48299999999999998</v>
      </c>
      <c r="AG893">
        <v>240</v>
      </c>
      <c r="AH893" t="s">
        <v>57</v>
      </c>
      <c r="AI893">
        <v>0.23899999999999999</v>
      </c>
      <c r="AJ893" t="s">
        <v>1154</v>
      </c>
    </row>
    <row r="894" spans="1:36" x14ac:dyDescent="0.25">
      <c r="A894" t="s">
        <v>874</v>
      </c>
      <c r="B894">
        <v>855729009</v>
      </c>
      <c r="C894" t="s">
        <v>875</v>
      </c>
      <c r="D894" t="s">
        <v>875</v>
      </c>
      <c r="E894" t="s">
        <v>37</v>
      </c>
      <c r="F894" t="s">
        <v>71</v>
      </c>
      <c r="I894" t="s">
        <v>39</v>
      </c>
      <c r="J894" t="s">
        <v>40</v>
      </c>
      <c r="K894" t="s">
        <v>41</v>
      </c>
      <c r="L894" t="s">
        <v>53</v>
      </c>
      <c r="N894" t="s">
        <v>43</v>
      </c>
      <c r="O894" t="s">
        <v>74</v>
      </c>
      <c r="P894">
        <v>112</v>
      </c>
      <c r="Q894">
        <v>112</v>
      </c>
      <c r="S894" t="s">
        <v>39</v>
      </c>
      <c r="V894" t="s">
        <v>39</v>
      </c>
      <c r="X894">
        <v>9001</v>
      </c>
      <c r="Y894" t="s">
        <v>47</v>
      </c>
      <c r="Z894">
        <v>9</v>
      </c>
      <c r="AA894">
        <v>277</v>
      </c>
      <c r="AB894" t="s">
        <v>47</v>
      </c>
      <c r="AC894">
        <v>0.27600000000000002</v>
      </c>
      <c r="AD894">
        <v>484</v>
      </c>
      <c r="AE894" t="s">
        <v>56</v>
      </c>
      <c r="AF894">
        <v>0.48299999999999998</v>
      </c>
      <c r="AG894">
        <v>240</v>
      </c>
      <c r="AH894" t="s">
        <v>57</v>
      </c>
      <c r="AI894">
        <v>0.23899999999999999</v>
      </c>
      <c r="AJ894" t="s">
        <v>1155</v>
      </c>
    </row>
    <row r="895" spans="1:36" x14ac:dyDescent="0.25">
      <c r="A895" t="s">
        <v>874</v>
      </c>
      <c r="B895">
        <v>855729009</v>
      </c>
      <c r="C895" t="s">
        <v>875</v>
      </c>
      <c r="D895" t="s">
        <v>875</v>
      </c>
      <c r="E895" t="s">
        <v>37</v>
      </c>
      <c r="F895" t="s">
        <v>71</v>
      </c>
      <c r="I895" t="s">
        <v>39</v>
      </c>
      <c r="J895" t="s">
        <v>40</v>
      </c>
      <c r="K895" t="s">
        <v>41</v>
      </c>
      <c r="L895" t="s">
        <v>53</v>
      </c>
      <c r="N895" t="s">
        <v>43</v>
      </c>
      <c r="O895" t="s">
        <v>74</v>
      </c>
      <c r="P895">
        <v>112</v>
      </c>
      <c r="Q895">
        <v>112</v>
      </c>
      <c r="S895" t="s">
        <v>39</v>
      </c>
      <c r="V895" t="s">
        <v>39</v>
      </c>
      <c r="X895">
        <v>9001</v>
      </c>
      <c r="Y895" t="s">
        <v>47</v>
      </c>
      <c r="Z895">
        <v>9</v>
      </c>
      <c r="AA895">
        <v>277</v>
      </c>
      <c r="AB895" t="s">
        <v>47</v>
      </c>
      <c r="AC895">
        <v>0.27600000000000002</v>
      </c>
      <c r="AD895">
        <v>484</v>
      </c>
      <c r="AE895" t="s">
        <v>56</v>
      </c>
      <c r="AF895">
        <v>0.48299999999999998</v>
      </c>
      <c r="AG895">
        <v>240</v>
      </c>
      <c r="AH895" t="s">
        <v>57</v>
      </c>
      <c r="AI895">
        <v>0.23899999999999999</v>
      </c>
      <c r="AJ895" t="s">
        <v>1156</v>
      </c>
    </row>
    <row r="896" spans="1:36" x14ac:dyDescent="0.25">
      <c r="A896" t="s">
        <v>876</v>
      </c>
      <c r="B896">
        <v>856653093</v>
      </c>
      <c r="C896" t="s">
        <v>877</v>
      </c>
      <c r="D896" t="s">
        <v>877</v>
      </c>
      <c r="E896" t="s">
        <v>37</v>
      </c>
      <c r="F896" t="s">
        <v>122</v>
      </c>
      <c r="I896" t="s">
        <v>39</v>
      </c>
      <c r="J896" t="s">
        <v>40</v>
      </c>
      <c r="K896" t="s">
        <v>41</v>
      </c>
      <c r="L896" t="s">
        <v>286</v>
      </c>
      <c r="M896" t="s">
        <v>73</v>
      </c>
      <c r="N896" t="s">
        <v>43</v>
      </c>
      <c r="O896" t="s">
        <v>184</v>
      </c>
      <c r="P896">
        <v>112</v>
      </c>
      <c r="Q896">
        <v>112</v>
      </c>
      <c r="R896">
        <v>581</v>
      </c>
      <c r="S896" t="s">
        <v>56</v>
      </c>
      <c r="T896">
        <v>0.57999999999999996</v>
      </c>
      <c r="U896">
        <v>44</v>
      </c>
      <c r="V896" t="s">
        <v>55</v>
      </c>
      <c r="W896">
        <v>4.2999999999999997E-2</v>
      </c>
      <c r="X896">
        <v>1</v>
      </c>
      <c r="Y896" t="s">
        <v>47</v>
      </c>
      <c r="Z896">
        <v>0</v>
      </c>
      <c r="AA896">
        <v>293</v>
      </c>
      <c r="AB896" t="s">
        <v>47</v>
      </c>
      <c r="AC896">
        <v>0.29199999999999998</v>
      </c>
      <c r="AD896">
        <v>230</v>
      </c>
      <c r="AE896" t="s">
        <v>56</v>
      </c>
      <c r="AF896">
        <v>0.22900000000000001</v>
      </c>
      <c r="AG896">
        <v>18</v>
      </c>
      <c r="AH896" t="s">
        <v>103</v>
      </c>
      <c r="AI896">
        <v>1.7000000000000001E-2</v>
      </c>
      <c r="AJ896" t="s">
        <v>50</v>
      </c>
    </row>
    <row r="897" spans="1:36" x14ac:dyDescent="0.25">
      <c r="A897" t="s">
        <v>876</v>
      </c>
      <c r="B897">
        <v>856653093</v>
      </c>
      <c r="C897" t="s">
        <v>877</v>
      </c>
      <c r="D897" t="s">
        <v>877</v>
      </c>
      <c r="E897" t="s">
        <v>60</v>
      </c>
      <c r="F897" t="s">
        <v>122</v>
      </c>
      <c r="I897" t="s">
        <v>39</v>
      </c>
      <c r="J897" t="s">
        <v>40</v>
      </c>
      <c r="K897" t="s">
        <v>41</v>
      </c>
      <c r="L897" t="s">
        <v>286</v>
      </c>
      <c r="M897" t="s">
        <v>73</v>
      </c>
      <c r="N897" t="s">
        <v>43</v>
      </c>
      <c r="O897" t="s">
        <v>119</v>
      </c>
      <c r="P897">
        <v>112</v>
      </c>
      <c r="Q897">
        <v>112</v>
      </c>
      <c r="R897">
        <v>301</v>
      </c>
      <c r="S897" t="s">
        <v>56</v>
      </c>
      <c r="T897">
        <v>0.3</v>
      </c>
      <c r="U897">
        <v>43</v>
      </c>
      <c r="V897" t="s">
        <v>55</v>
      </c>
      <c r="W897">
        <v>4.2000000000000003E-2</v>
      </c>
      <c r="X897">
        <v>1</v>
      </c>
      <c r="Y897" t="s">
        <v>47</v>
      </c>
      <c r="Z897">
        <v>0</v>
      </c>
      <c r="AA897">
        <v>281</v>
      </c>
      <c r="AB897" t="s">
        <v>47</v>
      </c>
      <c r="AC897">
        <v>0.28000000000000003</v>
      </c>
      <c r="AD897">
        <v>339</v>
      </c>
      <c r="AE897" t="s">
        <v>56</v>
      </c>
      <c r="AF897">
        <v>0.33800000000000002</v>
      </c>
      <c r="AG897">
        <v>103</v>
      </c>
      <c r="AH897" t="s">
        <v>103</v>
      </c>
      <c r="AI897">
        <v>0.10199999999999999</v>
      </c>
      <c r="AJ897" t="s">
        <v>50</v>
      </c>
    </row>
    <row r="898" spans="1:36" x14ac:dyDescent="0.25">
      <c r="A898" t="s">
        <v>876</v>
      </c>
      <c r="B898">
        <v>856653093</v>
      </c>
      <c r="C898" t="s">
        <v>877</v>
      </c>
      <c r="D898" t="s">
        <v>877</v>
      </c>
      <c r="E898" t="s">
        <v>37</v>
      </c>
      <c r="F898" t="s">
        <v>122</v>
      </c>
      <c r="I898" t="s">
        <v>39</v>
      </c>
      <c r="J898" t="s">
        <v>40</v>
      </c>
      <c r="K898" t="s">
        <v>41</v>
      </c>
      <c r="L898" t="s">
        <v>286</v>
      </c>
      <c r="M898" t="s">
        <v>73</v>
      </c>
      <c r="N898" t="s">
        <v>43</v>
      </c>
      <c r="O898" t="s">
        <v>184</v>
      </c>
      <c r="P898">
        <v>112</v>
      </c>
      <c r="Q898">
        <v>112</v>
      </c>
      <c r="R898">
        <v>671</v>
      </c>
      <c r="S898" t="s">
        <v>56</v>
      </c>
      <c r="T898">
        <v>0.67</v>
      </c>
      <c r="U898">
        <v>38</v>
      </c>
      <c r="V898" t="s">
        <v>55</v>
      </c>
      <c r="W898">
        <v>3.6999999999999998E-2</v>
      </c>
      <c r="X898">
        <v>1</v>
      </c>
      <c r="Y898" t="s">
        <v>47</v>
      </c>
      <c r="Z898">
        <v>0</v>
      </c>
      <c r="AA898">
        <v>293</v>
      </c>
      <c r="AB898" t="s">
        <v>47</v>
      </c>
      <c r="AC898">
        <v>0.29199999999999998</v>
      </c>
      <c r="AD898">
        <v>230</v>
      </c>
      <c r="AE898" t="s">
        <v>56</v>
      </c>
      <c r="AF898">
        <v>0.22900000000000001</v>
      </c>
      <c r="AG898">
        <v>18</v>
      </c>
      <c r="AH898" t="s">
        <v>103</v>
      </c>
      <c r="AI898">
        <v>1.7000000000000001E-2</v>
      </c>
      <c r="AJ898" t="s">
        <v>1141</v>
      </c>
    </row>
    <row r="899" spans="1:36" x14ac:dyDescent="0.25">
      <c r="A899" t="s">
        <v>876</v>
      </c>
      <c r="B899">
        <v>856653093</v>
      </c>
      <c r="C899" t="s">
        <v>877</v>
      </c>
      <c r="D899" t="s">
        <v>877</v>
      </c>
      <c r="E899" t="s">
        <v>60</v>
      </c>
      <c r="F899" t="s">
        <v>122</v>
      </c>
      <c r="I899" t="s">
        <v>39</v>
      </c>
      <c r="J899" t="s">
        <v>40</v>
      </c>
      <c r="K899" t="s">
        <v>41</v>
      </c>
      <c r="L899" t="s">
        <v>286</v>
      </c>
      <c r="M899" t="s">
        <v>73</v>
      </c>
      <c r="N899" t="s">
        <v>43</v>
      </c>
      <c r="O899" t="s">
        <v>119</v>
      </c>
      <c r="P899">
        <v>112</v>
      </c>
      <c r="Q899">
        <v>112</v>
      </c>
      <c r="R899">
        <v>191</v>
      </c>
      <c r="S899" t="s">
        <v>56</v>
      </c>
      <c r="T899">
        <v>0.19</v>
      </c>
      <c r="U899">
        <v>16</v>
      </c>
      <c r="V899" t="s">
        <v>55</v>
      </c>
      <c r="W899">
        <v>1.4999999999999999E-2</v>
      </c>
      <c r="X899">
        <v>1</v>
      </c>
      <c r="Y899" t="s">
        <v>47</v>
      </c>
      <c r="Z899">
        <v>0</v>
      </c>
      <c r="AA899">
        <v>281</v>
      </c>
      <c r="AB899" t="s">
        <v>47</v>
      </c>
      <c r="AC899">
        <v>0.28000000000000003</v>
      </c>
      <c r="AD899">
        <v>339</v>
      </c>
      <c r="AE899" t="s">
        <v>56</v>
      </c>
      <c r="AF899">
        <v>0.33800000000000002</v>
      </c>
      <c r="AG899">
        <v>103</v>
      </c>
      <c r="AH899" t="s">
        <v>103</v>
      </c>
      <c r="AI899">
        <v>0.10199999999999999</v>
      </c>
      <c r="AJ899" t="s">
        <v>1141</v>
      </c>
    </row>
    <row r="900" spans="1:36" x14ac:dyDescent="0.25">
      <c r="A900" t="s">
        <v>876</v>
      </c>
      <c r="B900">
        <v>856653093</v>
      </c>
      <c r="C900" t="s">
        <v>877</v>
      </c>
      <c r="D900" t="s">
        <v>877</v>
      </c>
      <c r="E900" t="s">
        <v>37</v>
      </c>
      <c r="F900" t="s">
        <v>122</v>
      </c>
      <c r="I900" t="s">
        <v>39</v>
      </c>
      <c r="J900" t="s">
        <v>40</v>
      </c>
      <c r="K900" t="s">
        <v>41</v>
      </c>
      <c r="L900" t="s">
        <v>286</v>
      </c>
      <c r="M900" t="s">
        <v>73</v>
      </c>
      <c r="N900" t="s">
        <v>43</v>
      </c>
      <c r="O900" t="s">
        <v>184</v>
      </c>
      <c r="P900">
        <v>112</v>
      </c>
      <c r="Q900">
        <v>112</v>
      </c>
      <c r="R900">
        <v>581</v>
      </c>
      <c r="S900" t="s">
        <v>56</v>
      </c>
      <c r="T900">
        <v>0.57999999999999996</v>
      </c>
      <c r="U900">
        <v>44</v>
      </c>
      <c r="V900" t="s">
        <v>55</v>
      </c>
      <c r="W900">
        <v>4.2999999999999997E-2</v>
      </c>
      <c r="X900">
        <v>1</v>
      </c>
      <c r="Y900" t="s">
        <v>47</v>
      </c>
      <c r="Z900">
        <v>0</v>
      </c>
      <c r="AA900">
        <v>293</v>
      </c>
      <c r="AB900" t="s">
        <v>47</v>
      </c>
      <c r="AC900">
        <v>0.29199999999999998</v>
      </c>
      <c r="AD900">
        <v>230</v>
      </c>
      <c r="AE900" t="s">
        <v>56</v>
      </c>
      <c r="AF900">
        <v>0.22900000000000001</v>
      </c>
      <c r="AG900">
        <v>18</v>
      </c>
      <c r="AH900" t="s">
        <v>103</v>
      </c>
      <c r="AI900">
        <v>1.7000000000000001E-2</v>
      </c>
      <c r="AJ900" t="s">
        <v>1153</v>
      </c>
    </row>
    <row r="901" spans="1:36" x14ac:dyDescent="0.25">
      <c r="A901" t="s">
        <v>876</v>
      </c>
      <c r="B901">
        <v>856653093</v>
      </c>
      <c r="C901" t="s">
        <v>877</v>
      </c>
      <c r="D901" t="s">
        <v>877</v>
      </c>
      <c r="E901" t="s">
        <v>60</v>
      </c>
      <c r="F901" t="s">
        <v>122</v>
      </c>
      <c r="I901" t="s">
        <v>39</v>
      </c>
      <c r="J901" t="s">
        <v>40</v>
      </c>
      <c r="K901" t="s">
        <v>41</v>
      </c>
      <c r="L901" t="s">
        <v>286</v>
      </c>
      <c r="M901" t="s">
        <v>73</v>
      </c>
      <c r="N901" t="s">
        <v>43</v>
      </c>
      <c r="O901" t="s">
        <v>119</v>
      </c>
      <c r="P901">
        <v>112</v>
      </c>
      <c r="Q901">
        <v>112</v>
      </c>
      <c r="R901">
        <v>301</v>
      </c>
      <c r="S901" t="s">
        <v>56</v>
      </c>
      <c r="T901">
        <v>0.3</v>
      </c>
      <c r="U901">
        <v>43</v>
      </c>
      <c r="V901" t="s">
        <v>55</v>
      </c>
      <c r="W901">
        <v>4.2000000000000003E-2</v>
      </c>
      <c r="X901">
        <v>1</v>
      </c>
      <c r="Y901" t="s">
        <v>47</v>
      </c>
      <c r="Z901">
        <v>0</v>
      </c>
      <c r="AA901">
        <v>281</v>
      </c>
      <c r="AB901" t="s">
        <v>47</v>
      </c>
      <c r="AC901">
        <v>0.28000000000000003</v>
      </c>
      <c r="AD901">
        <v>339</v>
      </c>
      <c r="AE901" t="s">
        <v>56</v>
      </c>
      <c r="AF901">
        <v>0.33800000000000002</v>
      </c>
      <c r="AG901">
        <v>103</v>
      </c>
      <c r="AH901" t="s">
        <v>103</v>
      </c>
      <c r="AI901">
        <v>0.10199999999999999</v>
      </c>
      <c r="AJ901" t="s">
        <v>1153</v>
      </c>
    </row>
    <row r="902" spans="1:36" x14ac:dyDescent="0.25">
      <c r="A902" t="s">
        <v>876</v>
      </c>
      <c r="B902">
        <v>856653093</v>
      </c>
      <c r="C902" t="s">
        <v>877</v>
      </c>
      <c r="D902" t="s">
        <v>877</v>
      </c>
      <c r="E902" t="s">
        <v>37</v>
      </c>
      <c r="F902" t="s">
        <v>122</v>
      </c>
      <c r="I902" t="s">
        <v>39</v>
      </c>
      <c r="J902" t="s">
        <v>40</v>
      </c>
      <c r="K902" t="s">
        <v>41</v>
      </c>
      <c r="L902" t="s">
        <v>286</v>
      </c>
      <c r="M902" t="s">
        <v>73</v>
      </c>
      <c r="N902" t="s">
        <v>43</v>
      </c>
      <c r="O902" t="s">
        <v>184</v>
      </c>
      <c r="P902">
        <v>112</v>
      </c>
      <c r="Q902">
        <v>112</v>
      </c>
      <c r="R902">
        <v>581</v>
      </c>
      <c r="S902" t="s">
        <v>56</v>
      </c>
      <c r="T902">
        <v>0.57999999999999996</v>
      </c>
      <c r="U902">
        <v>44</v>
      </c>
      <c r="V902" t="s">
        <v>55</v>
      </c>
      <c r="W902">
        <v>4.2999999999999997E-2</v>
      </c>
      <c r="X902">
        <v>1</v>
      </c>
      <c r="Y902" t="s">
        <v>47</v>
      </c>
      <c r="Z902">
        <v>0</v>
      </c>
      <c r="AA902">
        <v>293</v>
      </c>
      <c r="AB902" t="s">
        <v>47</v>
      </c>
      <c r="AC902">
        <v>0.29199999999999998</v>
      </c>
      <c r="AD902">
        <v>230</v>
      </c>
      <c r="AE902" t="s">
        <v>56</v>
      </c>
      <c r="AF902">
        <v>0.22900000000000001</v>
      </c>
      <c r="AG902">
        <v>18</v>
      </c>
      <c r="AH902" t="s">
        <v>103</v>
      </c>
      <c r="AI902">
        <v>1.7000000000000001E-2</v>
      </c>
      <c r="AJ902" t="s">
        <v>1154</v>
      </c>
    </row>
    <row r="903" spans="1:36" x14ac:dyDescent="0.25">
      <c r="A903" t="s">
        <v>876</v>
      </c>
      <c r="B903">
        <v>856653093</v>
      </c>
      <c r="C903" t="s">
        <v>877</v>
      </c>
      <c r="D903" t="s">
        <v>877</v>
      </c>
      <c r="E903" t="s">
        <v>60</v>
      </c>
      <c r="F903" t="s">
        <v>122</v>
      </c>
      <c r="I903" t="s">
        <v>39</v>
      </c>
      <c r="J903" t="s">
        <v>40</v>
      </c>
      <c r="K903" t="s">
        <v>41</v>
      </c>
      <c r="L903" t="s">
        <v>286</v>
      </c>
      <c r="M903" t="s">
        <v>73</v>
      </c>
      <c r="N903" t="s">
        <v>43</v>
      </c>
      <c r="O903" t="s">
        <v>119</v>
      </c>
      <c r="P903">
        <v>112</v>
      </c>
      <c r="Q903">
        <v>112</v>
      </c>
      <c r="R903">
        <v>301</v>
      </c>
      <c r="S903" t="s">
        <v>56</v>
      </c>
      <c r="T903">
        <v>0.3</v>
      </c>
      <c r="U903">
        <v>43</v>
      </c>
      <c r="V903" t="s">
        <v>55</v>
      </c>
      <c r="W903">
        <v>4.2000000000000003E-2</v>
      </c>
      <c r="X903">
        <v>1</v>
      </c>
      <c r="Y903" t="s">
        <v>47</v>
      </c>
      <c r="Z903">
        <v>0</v>
      </c>
      <c r="AA903">
        <v>281</v>
      </c>
      <c r="AB903" t="s">
        <v>47</v>
      </c>
      <c r="AC903">
        <v>0.28000000000000003</v>
      </c>
      <c r="AD903">
        <v>339</v>
      </c>
      <c r="AE903" t="s">
        <v>56</v>
      </c>
      <c r="AF903">
        <v>0.33800000000000002</v>
      </c>
      <c r="AG903">
        <v>103</v>
      </c>
      <c r="AH903" t="s">
        <v>103</v>
      </c>
      <c r="AI903">
        <v>0.10199999999999999</v>
      </c>
      <c r="AJ903" t="s">
        <v>1154</v>
      </c>
    </row>
    <row r="904" spans="1:36" x14ac:dyDescent="0.25">
      <c r="A904" t="s">
        <v>876</v>
      </c>
      <c r="B904">
        <v>856653093</v>
      </c>
      <c r="C904" t="s">
        <v>877</v>
      </c>
      <c r="D904" t="s">
        <v>877</v>
      </c>
      <c r="E904" t="s">
        <v>37</v>
      </c>
      <c r="F904" t="s">
        <v>122</v>
      </c>
      <c r="I904" t="s">
        <v>39</v>
      </c>
      <c r="J904" t="s">
        <v>40</v>
      </c>
      <c r="K904" t="s">
        <v>41</v>
      </c>
      <c r="L904" t="s">
        <v>286</v>
      </c>
      <c r="M904" t="s">
        <v>73</v>
      </c>
      <c r="N904" t="s">
        <v>43</v>
      </c>
      <c r="O904" t="s">
        <v>184</v>
      </c>
      <c r="P904">
        <v>112</v>
      </c>
      <c r="Q904">
        <v>112</v>
      </c>
      <c r="S904" t="s">
        <v>39</v>
      </c>
      <c r="V904" t="s">
        <v>39</v>
      </c>
      <c r="X904">
        <v>1</v>
      </c>
      <c r="Y904" t="s">
        <v>47</v>
      </c>
      <c r="Z904">
        <v>0</v>
      </c>
      <c r="AA904">
        <v>293</v>
      </c>
      <c r="AB904" t="s">
        <v>47</v>
      </c>
      <c r="AC904">
        <v>0.29199999999999998</v>
      </c>
      <c r="AD904">
        <v>230</v>
      </c>
      <c r="AE904" t="s">
        <v>56</v>
      </c>
      <c r="AF904">
        <v>0.22900000000000001</v>
      </c>
      <c r="AG904">
        <v>18</v>
      </c>
      <c r="AH904" t="s">
        <v>103</v>
      </c>
      <c r="AI904">
        <v>1.7000000000000001E-2</v>
      </c>
      <c r="AJ904" t="s">
        <v>1155</v>
      </c>
    </row>
    <row r="905" spans="1:36" x14ac:dyDescent="0.25">
      <c r="A905" t="s">
        <v>876</v>
      </c>
      <c r="B905">
        <v>856653093</v>
      </c>
      <c r="C905" t="s">
        <v>877</v>
      </c>
      <c r="D905" t="s">
        <v>877</v>
      </c>
      <c r="E905" t="s">
        <v>60</v>
      </c>
      <c r="F905" t="s">
        <v>122</v>
      </c>
      <c r="I905" t="s">
        <v>39</v>
      </c>
      <c r="J905" t="s">
        <v>40</v>
      </c>
      <c r="K905" t="s">
        <v>41</v>
      </c>
      <c r="L905" t="s">
        <v>286</v>
      </c>
      <c r="M905" t="s">
        <v>73</v>
      </c>
      <c r="N905" t="s">
        <v>43</v>
      </c>
      <c r="O905" t="s">
        <v>119</v>
      </c>
      <c r="P905">
        <v>112</v>
      </c>
      <c r="Q905">
        <v>112</v>
      </c>
      <c r="S905" t="s">
        <v>39</v>
      </c>
      <c r="V905" t="s">
        <v>39</v>
      </c>
      <c r="X905">
        <v>1</v>
      </c>
      <c r="Y905" t="s">
        <v>47</v>
      </c>
      <c r="Z905">
        <v>0</v>
      </c>
      <c r="AA905">
        <v>281</v>
      </c>
      <c r="AB905" t="s">
        <v>47</v>
      </c>
      <c r="AC905">
        <v>0.28000000000000003</v>
      </c>
      <c r="AD905">
        <v>339</v>
      </c>
      <c r="AE905" t="s">
        <v>56</v>
      </c>
      <c r="AF905">
        <v>0.33800000000000002</v>
      </c>
      <c r="AG905">
        <v>103</v>
      </c>
      <c r="AH905" t="s">
        <v>103</v>
      </c>
      <c r="AI905">
        <v>0.10199999999999999</v>
      </c>
      <c r="AJ905" t="s">
        <v>1155</v>
      </c>
    </row>
    <row r="906" spans="1:36" x14ac:dyDescent="0.25">
      <c r="A906" t="s">
        <v>876</v>
      </c>
      <c r="B906">
        <v>856653093</v>
      </c>
      <c r="C906" t="s">
        <v>877</v>
      </c>
      <c r="D906" t="s">
        <v>877</v>
      </c>
      <c r="E906" t="s">
        <v>37</v>
      </c>
      <c r="F906" t="s">
        <v>122</v>
      </c>
      <c r="I906" t="s">
        <v>39</v>
      </c>
      <c r="J906" t="s">
        <v>40</v>
      </c>
      <c r="K906" t="s">
        <v>41</v>
      </c>
      <c r="L906" t="s">
        <v>286</v>
      </c>
      <c r="M906" t="s">
        <v>73</v>
      </c>
      <c r="N906" t="s">
        <v>43</v>
      </c>
      <c r="O906" t="s">
        <v>184</v>
      </c>
      <c r="P906">
        <v>112</v>
      </c>
      <c r="Q906">
        <v>112</v>
      </c>
      <c r="S906" t="s">
        <v>39</v>
      </c>
      <c r="V906" t="s">
        <v>39</v>
      </c>
      <c r="X906">
        <v>1</v>
      </c>
      <c r="Y906" t="s">
        <v>47</v>
      </c>
      <c r="Z906">
        <v>0</v>
      </c>
      <c r="AA906">
        <v>293</v>
      </c>
      <c r="AB906" t="s">
        <v>47</v>
      </c>
      <c r="AC906">
        <v>0.29199999999999998</v>
      </c>
      <c r="AD906">
        <v>230</v>
      </c>
      <c r="AE906" t="s">
        <v>56</v>
      </c>
      <c r="AF906">
        <v>0.22900000000000001</v>
      </c>
      <c r="AG906">
        <v>18</v>
      </c>
      <c r="AH906" t="s">
        <v>103</v>
      </c>
      <c r="AI906">
        <v>1.7000000000000001E-2</v>
      </c>
      <c r="AJ906" t="s">
        <v>1156</v>
      </c>
    </row>
    <row r="907" spans="1:36" x14ac:dyDescent="0.25">
      <c r="A907" t="s">
        <v>876</v>
      </c>
      <c r="B907">
        <v>856653093</v>
      </c>
      <c r="C907" t="s">
        <v>877</v>
      </c>
      <c r="D907" t="s">
        <v>877</v>
      </c>
      <c r="E907" t="s">
        <v>60</v>
      </c>
      <c r="F907" t="s">
        <v>122</v>
      </c>
      <c r="I907" t="s">
        <v>39</v>
      </c>
      <c r="J907" t="s">
        <v>40</v>
      </c>
      <c r="K907" t="s">
        <v>41</v>
      </c>
      <c r="L907" t="s">
        <v>286</v>
      </c>
      <c r="M907" t="s">
        <v>73</v>
      </c>
      <c r="N907" t="s">
        <v>43</v>
      </c>
      <c r="O907" t="s">
        <v>119</v>
      </c>
      <c r="P907">
        <v>112</v>
      </c>
      <c r="Q907">
        <v>112</v>
      </c>
      <c r="S907" t="s">
        <v>39</v>
      </c>
      <c r="V907" t="s">
        <v>39</v>
      </c>
      <c r="X907">
        <v>1</v>
      </c>
      <c r="Y907" t="s">
        <v>47</v>
      </c>
      <c r="Z907">
        <v>0</v>
      </c>
      <c r="AA907">
        <v>281</v>
      </c>
      <c r="AB907" t="s">
        <v>47</v>
      </c>
      <c r="AC907">
        <v>0.28000000000000003</v>
      </c>
      <c r="AD907">
        <v>339</v>
      </c>
      <c r="AE907" t="s">
        <v>56</v>
      </c>
      <c r="AF907">
        <v>0.33800000000000002</v>
      </c>
      <c r="AG907">
        <v>103</v>
      </c>
      <c r="AH907" t="s">
        <v>103</v>
      </c>
      <c r="AI907">
        <v>0.10199999999999999</v>
      </c>
      <c r="AJ907" t="s">
        <v>1156</v>
      </c>
    </row>
    <row r="908" spans="1:36" x14ac:dyDescent="0.25">
      <c r="A908" t="s">
        <v>870</v>
      </c>
      <c r="B908">
        <v>873007925</v>
      </c>
      <c r="C908" t="s">
        <v>871</v>
      </c>
      <c r="D908" t="s">
        <v>871</v>
      </c>
      <c r="E908" t="s">
        <v>37</v>
      </c>
      <c r="F908" t="s">
        <v>127</v>
      </c>
      <c r="I908" t="s">
        <v>39</v>
      </c>
      <c r="J908" t="s">
        <v>40</v>
      </c>
      <c r="K908" t="s">
        <v>41</v>
      </c>
      <c r="L908" t="s">
        <v>197</v>
      </c>
      <c r="M908" t="s">
        <v>73</v>
      </c>
      <c r="N908" t="s">
        <v>43</v>
      </c>
      <c r="O908" t="s">
        <v>153</v>
      </c>
      <c r="P908">
        <v>113</v>
      </c>
      <c r="Q908">
        <v>113</v>
      </c>
      <c r="R908">
        <v>11</v>
      </c>
      <c r="S908" t="s">
        <v>45</v>
      </c>
      <c r="T908">
        <v>0.01</v>
      </c>
      <c r="U908">
        <v>557</v>
      </c>
      <c r="V908" t="s">
        <v>113</v>
      </c>
      <c r="W908">
        <v>0.55600000000000005</v>
      </c>
      <c r="X908">
        <v>18001</v>
      </c>
      <c r="Y908" t="s">
        <v>47</v>
      </c>
      <c r="Z908">
        <v>18</v>
      </c>
      <c r="AA908">
        <v>342</v>
      </c>
      <c r="AB908" t="s">
        <v>47</v>
      </c>
      <c r="AC908">
        <v>0.34100000000000003</v>
      </c>
      <c r="AD908">
        <v>603</v>
      </c>
      <c r="AE908" t="s">
        <v>48</v>
      </c>
      <c r="AF908">
        <v>0.60199999999999998</v>
      </c>
      <c r="AG908">
        <v>668</v>
      </c>
      <c r="AH908" t="s">
        <v>49</v>
      </c>
      <c r="AI908">
        <v>0.66700000000000004</v>
      </c>
      <c r="AJ908" t="s">
        <v>50</v>
      </c>
    </row>
    <row r="909" spans="1:36" x14ac:dyDescent="0.25">
      <c r="A909" t="s">
        <v>870</v>
      </c>
      <c r="B909">
        <v>873007925</v>
      </c>
      <c r="C909" t="s">
        <v>871</v>
      </c>
      <c r="D909" t="s">
        <v>871</v>
      </c>
      <c r="E909" t="s">
        <v>37</v>
      </c>
      <c r="F909" t="s">
        <v>127</v>
      </c>
      <c r="I909" t="s">
        <v>39</v>
      </c>
      <c r="J909" t="s">
        <v>40</v>
      </c>
      <c r="K909" t="s">
        <v>41</v>
      </c>
      <c r="L909" t="s">
        <v>197</v>
      </c>
      <c r="M909" t="s">
        <v>73</v>
      </c>
      <c r="N909" t="s">
        <v>43</v>
      </c>
      <c r="O909" t="s">
        <v>153</v>
      </c>
      <c r="P909">
        <v>113</v>
      </c>
      <c r="Q909">
        <v>113</v>
      </c>
      <c r="R909">
        <v>11</v>
      </c>
      <c r="S909" t="s">
        <v>45</v>
      </c>
      <c r="T909">
        <v>0.01</v>
      </c>
      <c r="U909">
        <v>70</v>
      </c>
      <c r="V909" t="s">
        <v>55</v>
      </c>
      <c r="W909">
        <v>6.9000000000000006E-2</v>
      </c>
      <c r="X909">
        <v>18001</v>
      </c>
      <c r="Y909" t="s">
        <v>47</v>
      </c>
      <c r="Z909">
        <v>18</v>
      </c>
      <c r="AA909">
        <v>342</v>
      </c>
      <c r="AB909" t="s">
        <v>47</v>
      </c>
      <c r="AC909">
        <v>0.34100000000000003</v>
      </c>
      <c r="AD909">
        <v>603</v>
      </c>
      <c r="AE909" t="s">
        <v>48</v>
      </c>
      <c r="AF909">
        <v>0.60199999999999998</v>
      </c>
      <c r="AG909">
        <v>668</v>
      </c>
      <c r="AH909" t="s">
        <v>49</v>
      </c>
      <c r="AI909">
        <v>0.66700000000000004</v>
      </c>
      <c r="AJ909" t="s">
        <v>1141</v>
      </c>
    </row>
    <row r="910" spans="1:36" x14ac:dyDescent="0.25">
      <c r="A910" t="s">
        <v>870</v>
      </c>
      <c r="B910">
        <v>873007925</v>
      </c>
      <c r="C910" t="s">
        <v>871</v>
      </c>
      <c r="D910" t="s">
        <v>871</v>
      </c>
      <c r="E910" t="s">
        <v>37</v>
      </c>
      <c r="F910" t="s">
        <v>127</v>
      </c>
      <c r="I910" t="s">
        <v>39</v>
      </c>
      <c r="J910" t="s">
        <v>40</v>
      </c>
      <c r="K910" t="s">
        <v>41</v>
      </c>
      <c r="L910" t="s">
        <v>197</v>
      </c>
      <c r="M910" t="s">
        <v>73</v>
      </c>
      <c r="N910" t="s">
        <v>43</v>
      </c>
      <c r="O910" t="s">
        <v>153</v>
      </c>
      <c r="P910">
        <v>113</v>
      </c>
      <c r="Q910">
        <v>113</v>
      </c>
      <c r="R910">
        <v>11</v>
      </c>
      <c r="S910" t="s">
        <v>45</v>
      </c>
      <c r="T910">
        <v>0.01</v>
      </c>
      <c r="U910">
        <v>557</v>
      </c>
      <c r="V910" t="s">
        <v>113</v>
      </c>
      <c r="W910">
        <v>0.55600000000000005</v>
      </c>
      <c r="X910">
        <v>18001</v>
      </c>
      <c r="Y910" t="s">
        <v>47</v>
      </c>
      <c r="Z910">
        <v>18</v>
      </c>
      <c r="AA910">
        <v>342</v>
      </c>
      <c r="AB910" t="s">
        <v>47</v>
      </c>
      <c r="AC910">
        <v>0.34100000000000003</v>
      </c>
      <c r="AD910">
        <v>603</v>
      </c>
      <c r="AE910" t="s">
        <v>48</v>
      </c>
      <c r="AF910">
        <v>0.60199999999999998</v>
      </c>
      <c r="AG910">
        <v>668</v>
      </c>
      <c r="AH910" t="s">
        <v>49</v>
      </c>
      <c r="AI910">
        <v>0.66700000000000004</v>
      </c>
      <c r="AJ910" t="s">
        <v>1153</v>
      </c>
    </row>
    <row r="911" spans="1:36" x14ac:dyDescent="0.25">
      <c r="A911" t="s">
        <v>870</v>
      </c>
      <c r="B911">
        <v>873007925</v>
      </c>
      <c r="C911" t="s">
        <v>871</v>
      </c>
      <c r="D911" t="s">
        <v>871</v>
      </c>
      <c r="E911" t="s">
        <v>37</v>
      </c>
      <c r="F911" t="s">
        <v>127</v>
      </c>
      <c r="I911" t="s">
        <v>39</v>
      </c>
      <c r="J911" t="s">
        <v>40</v>
      </c>
      <c r="K911" t="s">
        <v>41</v>
      </c>
      <c r="L911" t="s">
        <v>197</v>
      </c>
      <c r="M911" t="s">
        <v>73</v>
      </c>
      <c r="N911" t="s">
        <v>43</v>
      </c>
      <c r="O911" t="s">
        <v>153</v>
      </c>
      <c r="P911">
        <v>113</v>
      </c>
      <c r="Q911">
        <v>113</v>
      </c>
      <c r="R911">
        <v>11</v>
      </c>
      <c r="S911" t="s">
        <v>45</v>
      </c>
      <c r="T911">
        <v>0.01</v>
      </c>
      <c r="U911">
        <v>557</v>
      </c>
      <c r="V911" t="s">
        <v>113</v>
      </c>
      <c r="W911">
        <v>0.55600000000000005</v>
      </c>
      <c r="X911">
        <v>18001</v>
      </c>
      <c r="Y911" t="s">
        <v>47</v>
      </c>
      <c r="Z911">
        <v>18</v>
      </c>
      <c r="AA911">
        <v>342</v>
      </c>
      <c r="AB911" t="s">
        <v>47</v>
      </c>
      <c r="AC911">
        <v>0.34100000000000003</v>
      </c>
      <c r="AD911">
        <v>603</v>
      </c>
      <c r="AE911" t="s">
        <v>48</v>
      </c>
      <c r="AF911">
        <v>0.60199999999999998</v>
      </c>
      <c r="AG911">
        <v>668</v>
      </c>
      <c r="AH911" t="s">
        <v>49</v>
      </c>
      <c r="AI911">
        <v>0.66700000000000004</v>
      </c>
      <c r="AJ911" t="s">
        <v>1154</v>
      </c>
    </row>
    <row r="912" spans="1:36" x14ac:dyDescent="0.25">
      <c r="A912" t="s">
        <v>870</v>
      </c>
      <c r="B912">
        <v>873007925</v>
      </c>
      <c r="C912" t="s">
        <v>871</v>
      </c>
      <c r="D912" t="s">
        <v>871</v>
      </c>
      <c r="E912" t="s">
        <v>37</v>
      </c>
      <c r="F912" t="s">
        <v>127</v>
      </c>
      <c r="I912" t="s">
        <v>39</v>
      </c>
      <c r="J912" t="s">
        <v>40</v>
      </c>
      <c r="K912" t="s">
        <v>41</v>
      </c>
      <c r="L912" t="s">
        <v>197</v>
      </c>
      <c r="M912" t="s">
        <v>73</v>
      </c>
      <c r="N912" t="s">
        <v>43</v>
      </c>
      <c r="O912" t="s">
        <v>153</v>
      </c>
      <c r="P912">
        <v>113</v>
      </c>
      <c r="Q912">
        <v>113</v>
      </c>
      <c r="S912" t="s">
        <v>39</v>
      </c>
      <c r="V912" t="s">
        <v>39</v>
      </c>
      <c r="X912">
        <v>18001</v>
      </c>
      <c r="Y912" t="s">
        <v>47</v>
      </c>
      <c r="Z912">
        <v>18</v>
      </c>
      <c r="AA912">
        <v>342</v>
      </c>
      <c r="AB912" t="s">
        <v>47</v>
      </c>
      <c r="AC912">
        <v>0.34100000000000003</v>
      </c>
      <c r="AD912">
        <v>603</v>
      </c>
      <c r="AE912" t="s">
        <v>48</v>
      </c>
      <c r="AF912">
        <v>0.60199999999999998</v>
      </c>
      <c r="AG912">
        <v>668</v>
      </c>
      <c r="AH912" t="s">
        <v>49</v>
      </c>
      <c r="AI912">
        <v>0.66700000000000004</v>
      </c>
      <c r="AJ912" t="s">
        <v>1155</v>
      </c>
    </row>
    <row r="913" spans="1:36" x14ac:dyDescent="0.25">
      <c r="A913" t="s">
        <v>870</v>
      </c>
      <c r="B913">
        <v>873007925</v>
      </c>
      <c r="C913" t="s">
        <v>871</v>
      </c>
      <c r="D913" t="s">
        <v>871</v>
      </c>
      <c r="E913" t="s">
        <v>37</v>
      </c>
      <c r="F913" t="s">
        <v>127</v>
      </c>
      <c r="I913" t="s">
        <v>39</v>
      </c>
      <c r="J913" t="s">
        <v>40</v>
      </c>
      <c r="K913" t="s">
        <v>41</v>
      </c>
      <c r="L913" t="s">
        <v>197</v>
      </c>
      <c r="M913" t="s">
        <v>73</v>
      </c>
      <c r="N913" t="s">
        <v>43</v>
      </c>
      <c r="O913" t="s">
        <v>153</v>
      </c>
      <c r="P913">
        <v>113</v>
      </c>
      <c r="Q913">
        <v>113</v>
      </c>
      <c r="S913" t="s">
        <v>39</v>
      </c>
      <c r="V913" t="s">
        <v>39</v>
      </c>
      <c r="X913">
        <v>18001</v>
      </c>
      <c r="Y913" t="s">
        <v>47</v>
      </c>
      <c r="Z913">
        <v>18</v>
      </c>
      <c r="AA913">
        <v>342</v>
      </c>
      <c r="AB913" t="s">
        <v>47</v>
      </c>
      <c r="AC913">
        <v>0.34100000000000003</v>
      </c>
      <c r="AD913">
        <v>603</v>
      </c>
      <c r="AE913" t="s">
        <v>48</v>
      </c>
      <c r="AF913">
        <v>0.60199999999999998</v>
      </c>
      <c r="AG913">
        <v>668</v>
      </c>
      <c r="AH913" t="s">
        <v>49</v>
      </c>
      <c r="AI913">
        <v>0.66700000000000004</v>
      </c>
      <c r="AJ913" t="s">
        <v>1156</v>
      </c>
    </row>
    <row r="914" spans="1:36" x14ac:dyDescent="0.25">
      <c r="A914" t="s">
        <v>872</v>
      </c>
      <c r="B914">
        <v>855944240</v>
      </c>
      <c r="C914" t="s">
        <v>873</v>
      </c>
      <c r="D914" t="s">
        <v>873</v>
      </c>
      <c r="E914" t="s">
        <v>60</v>
      </c>
      <c r="F914" t="s">
        <v>88</v>
      </c>
      <c r="I914" t="s">
        <v>39</v>
      </c>
      <c r="J914" t="s">
        <v>40</v>
      </c>
      <c r="K914" t="s">
        <v>41</v>
      </c>
      <c r="L914" t="s">
        <v>118</v>
      </c>
      <c r="N914" t="s">
        <v>43</v>
      </c>
      <c r="O914" t="s">
        <v>194</v>
      </c>
      <c r="P914">
        <v>113</v>
      </c>
      <c r="Q914">
        <v>113</v>
      </c>
      <c r="R914">
        <v>51</v>
      </c>
      <c r="S914" t="s">
        <v>45</v>
      </c>
      <c r="T914">
        <v>0.05</v>
      </c>
      <c r="U914">
        <v>717</v>
      </c>
      <c r="V914" t="s">
        <v>113</v>
      </c>
      <c r="W914">
        <v>0.71599999999999997</v>
      </c>
      <c r="X914">
        <v>21001</v>
      </c>
      <c r="Y914" t="s">
        <v>47</v>
      </c>
      <c r="Z914">
        <v>21</v>
      </c>
      <c r="AA914">
        <v>439</v>
      </c>
      <c r="AB914" t="s">
        <v>47</v>
      </c>
      <c r="AC914">
        <v>0.438</v>
      </c>
      <c r="AD914">
        <v>620</v>
      </c>
      <c r="AE914" t="s">
        <v>48</v>
      </c>
      <c r="AF914">
        <v>0.61899999999999999</v>
      </c>
      <c r="AG914">
        <v>744</v>
      </c>
      <c r="AH914" t="s">
        <v>49</v>
      </c>
      <c r="AI914">
        <v>0.74299999999999999</v>
      </c>
      <c r="AJ914" t="s">
        <v>50</v>
      </c>
    </row>
    <row r="915" spans="1:36" x14ac:dyDescent="0.25">
      <c r="A915" t="s">
        <v>872</v>
      </c>
      <c r="B915">
        <v>855944240</v>
      </c>
      <c r="C915" t="s">
        <v>873</v>
      </c>
      <c r="D915" t="s">
        <v>873</v>
      </c>
      <c r="E915" t="s">
        <v>60</v>
      </c>
      <c r="F915" t="s">
        <v>88</v>
      </c>
      <c r="I915" t="s">
        <v>39</v>
      </c>
      <c r="J915" t="s">
        <v>40</v>
      </c>
      <c r="K915" t="s">
        <v>41</v>
      </c>
      <c r="L915" t="s">
        <v>118</v>
      </c>
      <c r="N915" t="s">
        <v>43</v>
      </c>
      <c r="O915" t="s">
        <v>194</v>
      </c>
      <c r="P915">
        <v>113</v>
      </c>
      <c r="Q915">
        <v>113</v>
      </c>
      <c r="R915">
        <v>61</v>
      </c>
      <c r="S915" t="s">
        <v>56</v>
      </c>
      <c r="T915">
        <v>0.06</v>
      </c>
      <c r="U915">
        <v>166</v>
      </c>
      <c r="V915" t="s">
        <v>55</v>
      </c>
      <c r="W915">
        <v>0.16500000000000001</v>
      </c>
      <c r="X915">
        <v>21001</v>
      </c>
      <c r="Y915" t="s">
        <v>47</v>
      </c>
      <c r="Z915">
        <v>21</v>
      </c>
      <c r="AA915">
        <v>439</v>
      </c>
      <c r="AB915" t="s">
        <v>47</v>
      </c>
      <c r="AC915">
        <v>0.438</v>
      </c>
      <c r="AD915">
        <v>620</v>
      </c>
      <c r="AE915" t="s">
        <v>48</v>
      </c>
      <c r="AF915">
        <v>0.61899999999999999</v>
      </c>
      <c r="AG915">
        <v>744</v>
      </c>
      <c r="AH915" t="s">
        <v>49</v>
      </c>
      <c r="AI915">
        <v>0.74299999999999999</v>
      </c>
      <c r="AJ915" t="s">
        <v>1141</v>
      </c>
    </row>
    <row r="916" spans="1:36" x14ac:dyDescent="0.25">
      <c r="A916" t="s">
        <v>872</v>
      </c>
      <c r="B916">
        <v>855944240</v>
      </c>
      <c r="C916" t="s">
        <v>873</v>
      </c>
      <c r="D916" t="s">
        <v>873</v>
      </c>
      <c r="E916" t="s">
        <v>60</v>
      </c>
      <c r="F916" t="s">
        <v>88</v>
      </c>
      <c r="I916" t="s">
        <v>39</v>
      </c>
      <c r="J916" t="s">
        <v>40</v>
      </c>
      <c r="K916" t="s">
        <v>41</v>
      </c>
      <c r="L916" t="s">
        <v>118</v>
      </c>
      <c r="N916" t="s">
        <v>43</v>
      </c>
      <c r="O916" t="s">
        <v>194</v>
      </c>
      <c r="P916">
        <v>113</v>
      </c>
      <c r="Q916">
        <v>113</v>
      </c>
      <c r="R916">
        <v>51</v>
      </c>
      <c r="S916" t="s">
        <v>45</v>
      </c>
      <c r="T916">
        <v>0.05</v>
      </c>
      <c r="U916">
        <v>717</v>
      </c>
      <c r="V916" t="s">
        <v>113</v>
      </c>
      <c r="W916">
        <v>0.71599999999999997</v>
      </c>
      <c r="X916">
        <v>21001</v>
      </c>
      <c r="Y916" t="s">
        <v>47</v>
      </c>
      <c r="Z916">
        <v>21</v>
      </c>
      <c r="AA916">
        <v>439</v>
      </c>
      <c r="AB916" t="s">
        <v>47</v>
      </c>
      <c r="AC916">
        <v>0.438</v>
      </c>
      <c r="AD916">
        <v>620</v>
      </c>
      <c r="AE916" t="s">
        <v>48</v>
      </c>
      <c r="AF916">
        <v>0.61899999999999999</v>
      </c>
      <c r="AG916">
        <v>744</v>
      </c>
      <c r="AH916" t="s">
        <v>49</v>
      </c>
      <c r="AI916">
        <v>0.74299999999999999</v>
      </c>
      <c r="AJ916" t="s">
        <v>1153</v>
      </c>
    </row>
    <row r="917" spans="1:36" x14ac:dyDescent="0.25">
      <c r="A917" t="s">
        <v>872</v>
      </c>
      <c r="B917">
        <v>855944240</v>
      </c>
      <c r="C917" t="s">
        <v>873</v>
      </c>
      <c r="D917" t="s">
        <v>873</v>
      </c>
      <c r="E917" t="s">
        <v>60</v>
      </c>
      <c r="F917" t="s">
        <v>88</v>
      </c>
      <c r="I917" t="s">
        <v>39</v>
      </c>
      <c r="J917" t="s">
        <v>40</v>
      </c>
      <c r="K917" t="s">
        <v>41</v>
      </c>
      <c r="L917" t="s">
        <v>118</v>
      </c>
      <c r="N917" t="s">
        <v>43</v>
      </c>
      <c r="O917" t="s">
        <v>194</v>
      </c>
      <c r="P917">
        <v>113</v>
      </c>
      <c r="Q917">
        <v>113</v>
      </c>
      <c r="R917">
        <v>51</v>
      </c>
      <c r="S917" t="s">
        <v>45</v>
      </c>
      <c r="T917">
        <v>0.05</v>
      </c>
      <c r="U917">
        <v>717</v>
      </c>
      <c r="V917" t="s">
        <v>113</v>
      </c>
      <c r="W917">
        <v>0.71599999999999997</v>
      </c>
      <c r="X917">
        <v>21001</v>
      </c>
      <c r="Y917" t="s">
        <v>47</v>
      </c>
      <c r="Z917">
        <v>21</v>
      </c>
      <c r="AA917">
        <v>439</v>
      </c>
      <c r="AB917" t="s">
        <v>47</v>
      </c>
      <c r="AC917">
        <v>0.438</v>
      </c>
      <c r="AD917">
        <v>620</v>
      </c>
      <c r="AE917" t="s">
        <v>48</v>
      </c>
      <c r="AF917">
        <v>0.61899999999999999</v>
      </c>
      <c r="AG917">
        <v>744</v>
      </c>
      <c r="AH917" t="s">
        <v>49</v>
      </c>
      <c r="AI917">
        <v>0.74299999999999999</v>
      </c>
      <c r="AJ917" t="s">
        <v>1154</v>
      </c>
    </row>
    <row r="918" spans="1:36" x14ac:dyDescent="0.25">
      <c r="A918" t="s">
        <v>872</v>
      </c>
      <c r="B918">
        <v>855944240</v>
      </c>
      <c r="C918" t="s">
        <v>873</v>
      </c>
      <c r="D918" t="s">
        <v>873</v>
      </c>
      <c r="E918" t="s">
        <v>60</v>
      </c>
      <c r="F918" t="s">
        <v>88</v>
      </c>
      <c r="I918" t="s">
        <v>39</v>
      </c>
      <c r="J918" t="s">
        <v>40</v>
      </c>
      <c r="K918" t="s">
        <v>41</v>
      </c>
      <c r="L918" t="s">
        <v>118</v>
      </c>
      <c r="N918" t="s">
        <v>43</v>
      </c>
      <c r="O918" t="s">
        <v>194</v>
      </c>
      <c r="P918">
        <v>113</v>
      </c>
      <c r="Q918">
        <v>113</v>
      </c>
      <c r="S918" t="s">
        <v>39</v>
      </c>
      <c r="V918" t="s">
        <v>39</v>
      </c>
      <c r="X918">
        <v>21001</v>
      </c>
      <c r="Y918" t="s">
        <v>47</v>
      </c>
      <c r="Z918">
        <v>21</v>
      </c>
      <c r="AA918">
        <v>439</v>
      </c>
      <c r="AB918" t="s">
        <v>47</v>
      </c>
      <c r="AC918">
        <v>0.438</v>
      </c>
      <c r="AD918">
        <v>620</v>
      </c>
      <c r="AE918" t="s">
        <v>48</v>
      </c>
      <c r="AF918">
        <v>0.61899999999999999</v>
      </c>
      <c r="AG918">
        <v>744</v>
      </c>
      <c r="AH918" t="s">
        <v>49</v>
      </c>
      <c r="AI918">
        <v>0.74299999999999999</v>
      </c>
      <c r="AJ918" t="s">
        <v>1155</v>
      </c>
    </row>
    <row r="919" spans="1:36" x14ac:dyDescent="0.25">
      <c r="A919" t="s">
        <v>872</v>
      </c>
      <c r="B919">
        <v>855944240</v>
      </c>
      <c r="C919" t="s">
        <v>873</v>
      </c>
      <c r="D919" t="s">
        <v>873</v>
      </c>
      <c r="E919" t="s">
        <v>60</v>
      </c>
      <c r="F919" t="s">
        <v>88</v>
      </c>
      <c r="I919" t="s">
        <v>39</v>
      </c>
      <c r="J919" t="s">
        <v>40</v>
      </c>
      <c r="K919" t="s">
        <v>41</v>
      </c>
      <c r="L919" t="s">
        <v>118</v>
      </c>
      <c r="N919" t="s">
        <v>43</v>
      </c>
      <c r="O919" t="s">
        <v>194</v>
      </c>
      <c r="P919">
        <v>113</v>
      </c>
      <c r="Q919">
        <v>113</v>
      </c>
      <c r="S919" t="s">
        <v>39</v>
      </c>
      <c r="V919" t="s">
        <v>39</v>
      </c>
      <c r="X919">
        <v>21001</v>
      </c>
      <c r="Y919" t="s">
        <v>47</v>
      </c>
      <c r="Z919">
        <v>21</v>
      </c>
      <c r="AA919">
        <v>439</v>
      </c>
      <c r="AB919" t="s">
        <v>47</v>
      </c>
      <c r="AC919">
        <v>0.438</v>
      </c>
      <c r="AD919">
        <v>620</v>
      </c>
      <c r="AE919" t="s">
        <v>48</v>
      </c>
      <c r="AF919">
        <v>0.61899999999999999</v>
      </c>
      <c r="AG919">
        <v>744</v>
      </c>
      <c r="AH919" t="s">
        <v>49</v>
      </c>
      <c r="AI919">
        <v>0.74299999999999999</v>
      </c>
      <c r="AJ919" t="s">
        <v>1156</v>
      </c>
    </row>
    <row r="920" spans="1:36" x14ac:dyDescent="0.25">
      <c r="A920" t="s">
        <v>866</v>
      </c>
      <c r="B920">
        <v>871865531</v>
      </c>
      <c r="C920" t="s">
        <v>867</v>
      </c>
      <c r="D920" t="s">
        <v>867</v>
      </c>
      <c r="E920" t="s">
        <v>37</v>
      </c>
      <c r="F920" t="s">
        <v>71</v>
      </c>
      <c r="I920" t="s">
        <v>39</v>
      </c>
      <c r="J920" t="s">
        <v>40</v>
      </c>
      <c r="K920" t="s">
        <v>41</v>
      </c>
      <c r="L920" t="s">
        <v>173</v>
      </c>
      <c r="N920" t="s">
        <v>43</v>
      </c>
      <c r="O920" t="s">
        <v>225</v>
      </c>
      <c r="P920">
        <v>114</v>
      </c>
      <c r="Q920">
        <v>114</v>
      </c>
      <c r="R920">
        <v>41</v>
      </c>
      <c r="S920" t="s">
        <v>45</v>
      </c>
      <c r="T920">
        <v>0.04</v>
      </c>
      <c r="U920">
        <v>441</v>
      </c>
      <c r="V920" t="s">
        <v>55</v>
      </c>
      <c r="W920">
        <v>0.44</v>
      </c>
      <c r="X920">
        <v>13001</v>
      </c>
      <c r="Y920" t="s">
        <v>47</v>
      </c>
      <c r="Z920">
        <v>13</v>
      </c>
      <c r="AA920">
        <v>319</v>
      </c>
      <c r="AB920" t="s">
        <v>47</v>
      </c>
      <c r="AC920">
        <v>0.318</v>
      </c>
      <c r="AD920">
        <v>583</v>
      </c>
      <c r="AE920" t="s">
        <v>48</v>
      </c>
      <c r="AF920">
        <v>0.58199999999999996</v>
      </c>
      <c r="AG920">
        <v>718</v>
      </c>
      <c r="AH920" t="s">
        <v>49</v>
      </c>
      <c r="AI920">
        <v>0.71699999999999997</v>
      </c>
      <c r="AJ920" t="s">
        <v>50</v>
      </c>
    </row>
    <row r="921" spans="1:36" x14ac:dyDescent="0.25">
      <c r="A921" t="s">
        <v>866</v>
      </c>
      <c r="B921">
        <v>871865531</v>
      </c>
      <c r="C921" t="s">
        <v>867</v>
      </c>
      <c r="D921" t="s">
        <v>867</v>
      </c>
      <c r="E921" t="s">
        <v>37</v>
      </c>
      <c r="F921" t="s">
        <v>71</v>
      </c>
      <c r="I921" t="s">
        <v>39</v>
      </c>
      <c r="J921" t="s">
        <v>40</v>
      </c>
      <c r="K921" t="s">
        <v>41</v>
      </c>
      <c r="L921" t="s">
        <v>173</v>
      </c>
      <c r="N921" t="s">
        <v>43</v>
      </c>
      <c r="O921" t="s">
        <v>225</v>
      </c>
      <c r="P921">
        <v>114</v>
      </c>
      <c r="Q921">
        <v>114</v>
      </c>
      <c r="R921">
        <v>11</v>
      </c>
      <c r="S921" t="s">
        <v>45</v>
      </c>
      <c r="T921">
        <v>0.01</v>
      </c>
      <c r="U921">
        <v>49</v>
      </c>
      <c r="V921" t="s">
        <v>55</v>
      </c>
      <c r="W921">
        <v>4.8000000000000001E-2</v>
      </c>
      <c r="X921">
        <v>13001</v>
      </c>
      <c r="Y921" t="s">
        <v>47</v>
      </c>
      <c r="Z921">
        <v>13</v>
      </c>
      <c r="AA921">
        <v>319</v>
      </c>
      <c r="AB921" t="s">
        <v>47</v>
      </c>
      <c r="AC921">
        <v>0.318</v>
      </c>
      <c r="AD921">
        <v>583</v>
      </c>
      <c r="AE921" t="s">
        <v>48</v>
      </c>
      <c r="AF921">
        <v>0.58199999999999996</v>
      </c>
      <c r="AG921">
        <v>718</v>
      </c>
      <c r="AH921" t="s">
        <v>49</v>
      </c>
      <c r="AI921">
        <v>0.71699999999999997</v>
      </c>
      <c r="AJ921" t="s">
        <v>1141</v>
      </c>
    </row>
    <row r="922" spans="1:36" x14ac:dyDescent="0.25">
      <c r="A922" t="s">
        <v>866</v>
      </c>
      <c r="B922">
        <v>871865531</v>
      </c>
      <c r="C922" t="s">
        <v>867</v>
      </c>
      <c r="D922" t="s">
        <v>867</v>
      </c>
      <c r="E922" t="s">
        <v>37</v>
      </c>
      <c r="F922" t="s">
        <v>71</v>
      </c>
      <c r="I922" t="s">
        <v>39</v>
      </c>
      <c r="J922" t="s">
        <v>40</v>
      </c>
      <c r="K922" t="s">
        <v>41</v>
      </c>
      <c r="L922" t="s">
        <v>173</v>
      </c>
      <c r="N922" t="s">
        <v>43</v>
      </c>
      <c r="O922" t="s">
        <v>225</v>
      </c>
      <c r="P922">
        <v>114</v>
      </c>
      <c r="Q922">
        <v>114</v>
      </c>
      <c r="R922">
        <v>41</v>
      </c>
      <c r="S922" t="s">
        <v>45</v>
      </c>
      <c r="T922">
        <v>0.04</v>
      </c>
      <c r="U922">
        <v>441</v>
      </c>
      <c r="V922" t="s">
        <v>55</v>
      </c>
      <c r="W922">
        <v>0.44</v>
      </c>
      <c r="X922">
        <v>13001</v>
      </c>
      <c r="Y922" t="s">
        <v>47</v>
      </c>
      <c r="Z922">
        <v>13</v>
      </c>
      <c r="AA922">
        <v>319</v>
      </c>
      <c r="AB922" t="s">
        <v>47</v>
      </c>
      <c r="AC922">
        <v>0.318</v>
      </c>
      <c r="AD922">
        <v>583</v>
      </c>
      <c r="AE922" t="s">
        <v>48</v>
      </c>
      <c r="AF922">
        <v>0.58199999999999996</v>
      </c>
      <c r="AG922">
        <v>718</v>
      </c>
      <c r="AH922" t="s">
        <v>49</v>
      </c>
      <c r="AI922">
        <v>0.71699999999999997</v>
      </c>
      <c r="AJ922" t="s">
        <v>1153</v>
      </c>
    </row>
    <row r="923" spans="1:36" x14ac:dyDescent="0.25">
      <c r="A923" t="s">
        <v>866</v>
      </c>
      <c r="B923">
        <v>871865531</v>
      </c>
      <c r="C923" t="s">
        <v>867</v>
      </c>
      <c r="D923" t="s">
        <v>867</v>
      </c>
      <c r="E923" t="s">
        <v>37</v>
      </c>
      <c r="F923" t="s">
        <v>71</v>
      </c>
      <c r="I923" t="s">
        <v>39</v>
      </c>
      <c r="J923" t="s">
        <v>40</v>
      </c>
      <c r="K923" t="s">
        <v>41</v>
      </c>
      <c r="L923" t="s">
        <v>173</v>
      </c>
      <c r="N923" t="s">
        <v>43</v>
      </c>
      <c r="O923" t="s">
        <v>225</v>
      </c>
      <c r="P923">
        <v>114</v>
      </c>
      <c r="Q923">
        <v>114</v>
      </c>
      <c r="R923">
        <v>41</v>
      </c>
      <c r="S923" t="s">
        <v>45</v>
      </c>
      <c r="T923">
        <v>0.04</v>
      </c>
      <c r="U923">
        <v>441</v>
      </c>
      <c r="V923" t="s">
        <v>55</v>
      </c>
      <c r="W923">
        <v>0.44</v>
      </c>
      <c r="X923">
        <v>13001</v>
      </c>
      <c r="Y923" t="s">
        <v>47</v>
      </c>
      <c r="Z923">
        <v>13</v>
      </c>
      <c r="AA923">
        <v>319</v>
      </c>
      <c r="AB923" t="s">
        <v>47</v>
      </c>
      <c r="AC923">
        <v>0.318</v>
      </c>
      <c r="AD923">
        <v>583</v>
      </c>
      <c r="AE923" t="s">
        <v>48</v>
      </c>
      <c r="AF923">
        <v>0.58199999999999996</v>
      </c>
      <c r="AG923">
        <v>718</v>
      </c>
      <c r="AH923" t="s">
        <v>49</v>
      </c>
      <c r="AI923">
        <v>0.71699999999999997</v>
      </c>
      <c r="AJ923" t="s">
        <v>1154</v>
      </c>
    </row>
    <row r="924" spans="1:36" x14ac:dyDescent="0.25">
      <c r="A924" t="s">
        <v>866</v>
      </c>
      <c r="B924">
        <v>871865531</v>
      </c>
      <c r="C924" t="s">
        <v>867</v>
      </c>
      <c r="D924" t="s">
        <v>867</v>
      </c>
      <c r="E924" t="s">
        <v>37</v>
      </c>
      <c r="F924" t="s">
        <v>71</v>
      </c>
      <c r="I924" t="s">
        <v>39</v>
      </c>
      <c r="J924" t="s">
        <v>40</v>
      </c>
      <c r="K924" t="s">
        <v>41</v>
      </c>
      <c r="L924" t="s">
        <v>173</v>
      </c>
      <c r="N924" t="s">
        <v>43</v>
      </c>
      <c r="O924" t="s">
        <v>225</v>
      </c>
      <c r="P924">
        <v>114</v>
      </c>
      <c r="Q924">
        <v>114</v>
      </c>
      <c r="S924" t="s">
        <v>39</v>
      </c>
      <c r="V924" t="s">
        <v>39</v>
      </c>
      <c r="X924">
        <v>13001</v>
      </c>
      <c r="Y924" t="s">
        <v>47</v>
      </c>
      <c r="Z924">
        <v>13</v>
      </c>
      <c r="AA924">
        <v>319</v>
      </c>
      <c r="AB924" t="s">
        <v>47</v>
      </c>
      <c r="AC924">
        <v>0.318</v>
      </c>
      <c r="AD924">
        <v>583</v>
      </c>
      <c r="AE924" t="s">
        <v>48</v>
      </c>
      <c r="AF924">
        <v>0.58199999999999996</v>
      </c>
      <c r="AG924">
        <v>718</v>
      </c>
      <c r="AH924" t="s">
        <v>49</v>
      </c>
      <c r="AI924">
        <v>0.71699999999999997</v>
      </c>
      <c r="AJ924" t="s">
        <v>1155</v>
      </c>
    </row>
    <row r="925" spans="1:36" x14ac:dyDescent="0.25">
      <c r="A925" t="s">
        <v>866</v>
      </c>
      <c r="B925">
        <v>871865531</v>
      </c>
      <c r="C925" t="s">
        <v>867</v>
      </c>
      <c r="D925" t="s">
        <v>867</v>
      </c>
      <c r="E925" t="s">
        <v>37</v>
      </c>
      <c r="F925" t="s">
        <v>71</v>
      </c>
      <c r="I925" t="s">
        <v>39</v>
      </c>
      <c r="J925" t="s">
        <v>40</v>
      </c>
      <c r="K925" t="s">
        <v>41</v>
      </c>
      <c r="L925" t="s">
        <v>173</v>
      </c>
      <c r="N925" t="s">
        <v>43</v>
      </c>
      <c r="O925" t="s">
        <v>225</v>
      </c>
      <c r="P925">
        <v>114</v>
      </c>
      <c r="Q925">
        <v>114</v>
      </c>
      <c r="S925" t="s">
        <v>39</v>
      </c>
      <c r="V925" t="s">
        <v>39</v>
      </c>
      <c r="X925">
        <v>13001</v>
      </c>
      <c r="Y925" t="s">
        <v>47</v>
      </c>
      <c r="Z925">
        <v>13</v>
      </c>
      <c r="AA925">
        <v>319</v>
      </c>
      <c r="AB925" t="s">
        <v>47</v>
      </c>
      <c r="AC925">
        <v>0.318</v>
      </c>
      <c r="AD925">
        <v>583</v>
      </c>
      <c r="AE925" t="s">
        <v>48</v>
      </c>
      <c r="AF925">
        <v>0.58199999999999996</v>
      </c>
      <c r="AG925">
        <v>718</v>
      </c>
      <c r="AH925" t="s">
        <v>49</v>
      </c>
      <c r="AI925">
        <v>0.71699999999999997</v>
      </c>
      <c r="AJ925" t="s">
        <v>1156</v>
      </c>
    </row>
    <row r="926" spans="1:36" x14ac:dyDescent="0.25">
      <c r="A926" t="s">
        <v>868</v>
      </c>
      <c r="B926">
        <v>873007914</v>
      </c>
      <c r="C926" t="s">
        <v>869</v>
      </c>
      <c r="D926" t="s">
        <v>869</v>
      </c>
      <c r="E926" t="s">
        <v>37</v>
      </c>
      <c r="F926" t="s">
        <v>127</v>
      </c>
      <c r="I926" t="s">
        <v>39</v>
      </c>
      <c r="J926" t="s">
        <v>40</v>
      </c>
      <c r="K926" t="s">
        <v>41</v>
      </c>
      <c r="L926" t="s">
        <v>42</v>
      </c>
      <c r="N926" t="s">
        <v>43</v>
      </c>
      <c r="O926" t="s">
        <v>324</v>
      </c>
      <c r="P926">
        <v>114</v>
      </c>
      <c r="Q926">
        <v>114</v>
      </c>
      <c r="R926">
        <v>161</v>
      </c>
      <c r="S926" t="s">
        <v>56</v>
      </c>
      <c r="T926">
        <v>0.16</v>
      </c>
      <c r="U926">
        <v>107</v>
      </c>
      <c r="V926" t="s">
        <v>55</v>
      </c>
      <c r="W926">
        <v>0.106</v>
      </c>
      <c r="X926">
        <v>6001</v>
      </c>
      <c r="Y926" t="s">
        <v>47</v>
      </c>
      <c r="Z926">
        <v>6</v>
      </c>
      <c r="AA926">
        <v>227</v>
      </c>
      <c r="AB926" t="s">
        <v>47</v>
      </c>
      <c r="AC926">
        <v>0.22600000000000001</v>
      </c>
      <c r="AD926">
        <v>446</v>
      </c>
      <c r="AE926" t="s">
        <v>56</v>
      </c>
      <c r="AF926">
        <v>0.44500000000000001</v>
      </c>
      <c r="AG926">
        <v>367</v>
      </c>
      <c r="AH926" t="s">
        <v>57</v>
      </c>
      <c r="AI926">
        <v>0.36599999999999999</v>
      </c>
      <c r="AJ926" t="s">
        <v>50</v>
      </c>
    </row>
    <row r="927" spans="1:36" x14ac:dyDescent="0.25">
      <c r="A927" t="s">
        <v>868</v>
      </c>
      <c r="B927">
        <v>873007914</v>
      </c>
      <c r="C927" t="s">
        <v>869</v>
      </c>
      <c r="D927" t="s">
        <v>869</v>
      </c>
      <c r="E927" t="s">
        <v>37</v>
      </c>
      <c r="F927" t="s">
        <v>127</v>
      </c>
      <c r="I927" t="s">
        <v>39</v>
      </c>
      <c r="J927" t="s">
        <v>40</v>
      </c>
      <c r="K927" t="s">
        <v>41</v>
      </c>
      <c r="L927" t="s">
        <v>42</v>
      </c>
      <c r="N927" t="s">
        <v>43</v>
      </c>
      <c r="O927" t="s">
        <v>324</v>
      </c>
      <c r="P927">
        <v>114</v>
      </c>
      <c r="Q927">
        <v>114</v>
      </c>
      <c r="R927">
        <v>101</v>
      </c>
      <c r="S927" t="s">
        <v>56</v>
      </c>
      <c r="T927">
        <v>0.1</v>
      </c>
      <c r="U927">
        <v>19</v>
      </c>
      <c r="V927" t="s">
        <v>55</v>
      </c>
      <c r="W927">
        <v>1.7999999999999999E-2</v>
      </c>
      <c r="X927">
        <v>6001</v>
      </c>
      <c r="Y927" t="s">
        <v>47</v>
      </c>
      <c r="Z927">
        <v>6</v>
      </c>
      <c r="AA927">
        <v>227</v>
      </c>
      <c r="AB927" t="s">
        <v>47</v>
      </c>
      <c r="AC927">
        <v>0.22600000000000001</v>
      </c>
      <c r="AD927">
        <v>446</v>
      </c>
      <c r="AE927" t="s">
        <v>56</v>
      </c>
      <c r="AF927">
        <v>0.44500000000000001</v>
      </c>
      <c r="AG927">
        <v>367</v>
      </c>
      <c r="AH927" t="s">
        <v>57</v>
      </c>
      <c r="AI927">
        <v>0.36599999999999999</v>
      </c>
      <c r="AJ927" t="s">
        <v>1141</v>
      </c>
    </row>
    <row r="928" spans="1:36" x14ac:dyDescent="0.25">
      <c r="A928" t="s">
        <v>868</v>
      </c>
      <c r="B928">
        <v>873007914</v>
      </c>
      <c r="C928" t="s">
        <v>869</v>
      </c>
      <c r="D928" t="s">
        <v>869</v>
      </c>
      <c r="E928" t="s">
        <v>37</v>
      </c>
      <c r="F928" t="s">
        <v>127</v>
      </c>
      <c r="I928" t="s">
        <v>39</v>
      </c>
      <c r="J928" t="s">
        <v>40</v>
      </c>
      <c r="K928" t="s">
        <v>41</v>
      </c>
      <c r="L928" t="s">
        <v>42</v>
      </c>
      <c r="N928" t="s">
        <v>43</v>
      </c>
      <c r="O928" t="s">
        <v>324</v>
      </c>
      <c r="P928">
        <v>114</v>
      </c>
      <c r="Q928">
        <v>114</v>
      </c>
      <c r="R928">
        <v>161</v>
      </c>
      <c r="S928" t="s">
        <v>56</v>
      </c>
      <c r="T928">
        <v>0.16</v>
      </c>
      <c r="U928">
        <v>107</v>
      </c>
      <c r="V928" t="s">
        <v>55</v>
      </c>
      <c r="W928">
        <v>0.106</v>
      </c>
      <c r="X928">
        <v>6001</v>
      </c>
      <c r="Y928" t="s">
        <v>47</v>
      </c>
      <c r="Z928">
        <v>6</v>
      </c>
      <c r="AA928">
        <v>227</v>
      </c>
      <c r="AB928" t="s">
        <v>47</v>
      </c>
      <c r="AC928">
        <v>0.22600000000000001</v>
      </c>
      <c r="AD928">
        <v>446</v>
      </c>
      <c r="AE928" t="s">
        <v>56</v>
      </c>
      <c r="AF928">
        <v>0.44500000000000001</v>
      </c>
      <c r="AG928">
        <v>367</v>
      </c>
      <c r="AH928" t="s">
        <v>57</v>
      </c>
      <c r="AI928">
        <v>0.36599999999999999</v>
      </c>
      <c r="AJ928" t="s">
        <v>1153</v>
      </c>
    </row>
    <row r="929" spans="1:36" x14ac:dyDescent="0.25">
      <c r="A929" t="s">
        <v>868</v>
      </c>
      <c r="B929">
        <v>873007914</v>
      </c>
      <c r="C929" t="s">
        <v>869</v>
      </c>
      <c r="D929" t="s">
        <v>869</v>
      </c>
      <c r="E929" t="s">
        <v>37</v>
      </c>
      <c r="F929" t="s">
        <v>127</v>
      </c>
      <c r="I929" t="s">
        <v>39</v>
      </c>
      <c r="J929" t="s">
        <v>40</v>
      </c>
      <c r="K929" t="s">
        <v>41</v>
      </c>
      <c r="L929" t="s">
        <v>42</v>
      </c>
      <c r="N929" t="s">
        <v>43</v>
      </c>
      <c r="O929" t="s">
        <v>324</v>
      </c>
      <c r="P929">
        <v>114</v>
      </c>
      <c r="Q929">
        <v>114</v>
      </c>
      <c r="R929">
        <v>161</v>
      </c>
      <c r="S929" t="s">
        <v>56</v>
      </c>
      <c r="T929">
        <v>0.16</v>
      </c>
      <c r="U929">
        <v>107</v>
      </c>
      <c r="V929" t="s">
        <v>55</v>
      </c>
      <c r="W929">
        <v>0.106</v>
      </c>
      <c r="X929">
        <v>6001</v>
      </c>
      <c r="Y929" t="s">
        <v>47</v>
      </c>
      <c r="Z929">
        <v>6</v>
      </c>
      <c r="AA929">
        <v>227</v>
      </c>
      <c r="AB929" t="s">
        <v>47</v>
      </c>
      <c r="AC929">
        <v>0.22600000000000001</v>
      </c>
      <c r="AD929">
        <v>446</v>
      </c>
      <c r="AE929" t="s">
        <v>56</v>
      </c>
      <c r="AF929">
        <v>0.44500000000000001</v>
      </c>
      <c r="AG929">
        <v>367</v>
      </c>
      <c r="AH929" t="s">
        <v>57</v>
      </c>
      <c r="AI929">
        <v>0.36599999999999999</v>
      </c>
      <c r="AJ929" t="s">
        <v>1154</v>
      </c>
    </row>
    <row r="930" spans="1:36" x14ac:dyDescent="0.25">
      <c r="A930" t="s">
        <v>868</v>
      </c>
      <c r="B930">
        <v>873007914</v>
      </c>
      <c r="C930" t="s">
        <v>869</v>
      </c>
      <c r="D930" t="s">
        <v>869</v>
      </c>
      <c r="E930" t="s">
        <v>37</v>
      </c>
      <c r="F930" t="s">
        <v>127</v>
      </c>
      <c r="I930" t="s">
        <v>39</v>
      </c>
      <c r="J930" t="s">
        <v>40</v>
      </c>
      <c r="K930" t="s">
        <v>41</v>
      </c>
      <c r="L930" t="s">
        <v>42</v>
      </c>
      <c r="N930" t="s">
        <v>43</v>
      </c>
      <c r="O930" t="s">
        <v>324</v>
      </c>
      <c r="P930">
        <v>114</v>
      </c>
      <c r="Q930">
        <v>114</v>
      </c>
      <c r="S930" t="s">
        <v>39</v>
      </c>
      <c r="V930" t="s">
        <v>39</v>
      </c>
      <c r="X930">
        <v>6001</v>
      </c>
      <c r="Y930" t="s">
        <v>47</v>
      </c>
      <c r="Z930">
        <v>6</v>
      </c>
      <c r="AA930">
        <v>227</v>
      </c>
      <c r="AB930" t="s">
        <v>47</v>
      </c>
      <c r="AC930">
        <v>0.22600000000000001</v>
      </c>
      <c r="AD930">
        <v>446</v>
      </c>
      <c r="AE930" t="s">
        <v>56</v>
      </c>
      <c r="AF930">
        <v>0.44500000000000001</v>
      </c>
      <c r="AG930">
        <v>367</v>
      </c>
      <c r="AH930" t="s">
        <v>57</v>
      </c>
      <c r="AI930">
        <v>0.36599999999999999</v>
      </c>
      <c r="AJ930" t="s">
        <v>1155</v>
      </c>
    </row>
    <row r="931" spans="1:36" x14ac:dyDescent="0.25">
      <c r="A931" t="s">
        <v>868</v>
      </c>
      <c r="B931">
        <v>873007914</v>
      </c>
      <c r="C931" t="s">
        <v>869</v>
      </c>
      <c r="D931" t="s">
        <v>869</v>
      </c>
      <c r="E931" t="s">
        <v>37</v>
      </c>
      <c r="F931" t="s">
        <v>127</v>
      </c>
      <c r="I931" t="s">
        <v>39</v>
      </c>
      <c r="J931" t="s">
        <v>40</v>
      </c>
      <c r="K931" t="s">
        <v>41</v>
      </c>
      <c r="L931" t="s">
        <v>42</v>
      </c>
      <c r="N931" t="s">
        <v>43</v>
      </c>
      <c r="O931" t="s">
        <v>324</v>
      </c>
      <c r="P931">
        <v>114</v>
      </c>
      <c r="Q931">
        <v>114</v>
      </c>
      <c r="S931" t="s">
        <v>39</v>
      </c>
      <c r="V931" t="s">
        <v>39</v>
      </c>
      <c r="X931">
        <v>6001</v>
      </c>
      <c r="Y931" t="s">
        <v>47</v>
      </c>
      <c r="Z931">
        <v>6</v>
      </c>
      <c r="AA931">
        <v>227</v>
      </c>
      <c r="AB931" t="s">
        <v>47</v>
      </c>
      <c r="AC931">
        <v>0.22600000000000001</v>
      </c>
      <c r="AD931">
        <v>446</v>
      </c>
      <c r="AE931" t="s">
        <v>56</v>
      </c>
      <c r="AF931">
        <v>0.44500000000000001</v>
      </c>
      <c r="AG931">
        <v>367</v>
      </c>
      <c r="AH931" t="s">
        <v>57</v>
      </c>
      <c r="AI931">
        <v>0.36599999999999999</v>
      </c>
      <c r="AJ931" t="s">
        <v>1156</v>
      </c>
    </row>
    <row r="932" spans="1:36" x14ac:dyDescent="0.25">
      <c r="A932" t="s">
        <v>862</v>
      </c>
      <c r="B932">
        <v>866303057</v>
      </c>
      <c r="C932" t="s">
        <v>863</v>
      </c>
      <c r="D932" t="s">
        <v>863</v>
      </c>
      <c r="E932" t="s">
        <v>37</v>
      </c>
      <c r="F932" t="s">
        <v>127</v>
      </c>
      <c r="I932" t="s">
        <v>39</v>
      </c>
      <c r="J932" t="s">
        <v>40</v>
      </c>
      <c r="K932" t="s">
        <v>41</v>
      </c>
      <c r="L932" t="s">
        <v>173</v>
      </c>
      <c r="N932" t="s">
        <v>43</v>
      </c>
      <c r="O932" t="s">
        <v>412</v>
      </c>
      <c r="P932">
        <v>115</v>
      </c>
      <c r="Q932">
        <v>115</v>
      </c>
      <c r="R932">
        <v>61</v>
      </c>
      <c r="S932" t="s">
        <v>56</v>
      </c>
      <c r="T932">
        <v>0.06</v>
      </c>
      <c r="U932">
        <v>4</v>
      </c>
      <c r="V932" t="s">
        <v>55</v>
      </c>
      <c r="W932">
        <v>3.0000000000000001E-3</v>
      </c>
      <c r="X932">
        <v>2001</v>
      </c>
      <c r="Y932" t="s">
        <v>47</v>
      </c>
      <c r="Z932">
        <v>2</v>
      </c>
      <c r="AA932">
        <v>289</v>
      </c>
      <c r="AB932" t="s">
        <v>47</v>
      </c>
      <c r="AC932">
        <v>0.28799999999999998</v>
      </c>
      <c r="AD932">
        <v>269</v>
      </c>
      <c r="AE932" t="s">
        <v>56</v>
      </c>
      <c r="AF932">
        <v>0.26800000000000002</v>
      </c>
      <c r="AG932">
        <v>296</v>
      </c>
      <c r="AH932" t="s">
        <v>57</v>
      </c>
      <c r="AI932">
        <v>0.29499999999999998</v>
      </c>
      <c r="AJ932" t="s">
        <v>50</v>
      </c>
    </row>
    <row r="933" spans="1:36" x14ac:dyDescent="0.25">
      <c r="A933" t="s">
        <v>862</v>
      </c>
      <c r="B933">
        <v>866303057</v>
      </c>
      <c r="C933" t="s">
        <v>863</v>
      </c>
      <c r="D933" t="s">
        <v>863</v>
      </c>
      <c r="E933" t="s">
        <v>37</v>
      </c>
      <c r="F933" t="s">
        <v>127</v>
      </c>
      <c r="I933" t="s">
        <v>39</v>
      </c>
      <c r="J933" t="s">
        <v>40</v>
      </c>
      <c r="K933" t="s">
        <v>41</v>
      </c>
      <c r="L933" t="s">
        <v>173</v>
      </c>
      <c r="N933" t="s">
        <v>43</v>
      </c>
      <c r="O933" t="s">
        <v>412</v>
      </c>
      <c r="P933">
        <v>115</v>
      </c>
      <c r="Q933">
        <v>115</v>
      </c>
      <c r="R933">
        <v>221</v>
      </c>
      <c r="S933" t="s">
        <v>56</v>
      </c>
      <c r="T933">
        <v>0.22</v>
      </c>
      <c r="U933">
        <v>2</v>
      </c>
      <c r="V933" t="s">
        <v>55</v>
      </c>
      <c r="W933">
        <v>1E-3</v>
      </c>
      <c r="X933">
        <v>2001</v>
      </c>
      <c r="Y933" t="s">
        <v>47</v>
      </c>
      <c r="Z933">
        <v>2</v>
      </c>
      <c r="AA933">
        <v>289</v>
      </c>
      <c r="AB933" t="s">
        <v>47</v>
      </c>
      <c r="AC933">
        <v>0.28799999999999998</v>
      </c>
      <c r="AD933">
        <v>269</v>
      </c>
      <c r="AE933" t="s">
        <v>56</v>
      </c>
      <c r="AF933">
        <v>0.26800000000000002</v>
      </c>
      <c r="AG933">
        <v>296</v>
      </c>
      <c r="AH933" t="s">
        <v>57</v>
      </c>
      <c r="AI933">
        <v>0.29499999999999998</v>
      </c>
      <c r="AJ933" t="s">
        <v>1141</v>
      </c>
    </row>
    <row r="934" spans="1:36" x14ac:dyDescent="0.25">
      <c r="A934" t="s">
        <v>862</v>
      </c>
      <c r="B934">
        <v>866303057</v>
      </c>
      <c r="C934" t="s">
        <v>863</v>
      </c>
      <c r="D934" t="s">
        <v>863</v>
      </c>
      <c r="E934" t="s">
        <v>37</v>
      </c>
      <c r="F934" t="s">
        <v>127</v>
      </c>
      <c r="I934" t="s">
        <v>39</v>
      </c>
      <c r="J934" t="s">
        <v>40</v>
      </c>
      <c r="K934" t="s">
        <v>41</v>
      </c>
      <c r="L934" t="s">
        <v>173</v>
      </c>
      <c r="N934" t="s">
        <v>43</v>
      </c>
      <c r="O934" t="s">
        <v>412</v>
      </c>
      <c r="P934">
        <v>115</v>
      </c>
      <c r="Q934">
        <v>115</v>
      </c>
      <c r="R934">
        <v>61</v>
      </c>
      <c r="S934" t="s">
        <v>56</v>
      </c>
      <c r="T934">
        <v>0.06</v>
      </c>
      <c r="U934">
        <v>4</v>
      </c>
      <c r="V934" t="s">
        <v>55</v>
      </c>
      <c r="W934">
        <v>3.0000000000000001E-3</v>
      </c>
      <c r="X934">
        <v>2001</v>
      </c>
      <c r="Y934" t="s">
        <v>47</v>
      </c>
      <c r="Z934">
        <v>2</v>
      </c>
      <c r="AA934">
        <v>289</v>
      </c>
      <c r="AB934" t="s">
        <v>47</v>
      </c>
      <c r="AC934">
        <v>0.28799999999999998</v>
      </c>
      <c r="AD934">
        <v>269</v>
      </c>
      <c r="AE934" t="s">
        <v>56</v>
      </c>
      <c r="AF934">
        <v>0.26800000000000002</v>
      </c>
      <c r="AG934">
        <v>296</v>
      </c>
      <c r="AH934" t="s">
        <v>57</v>
      </c>
      <c r="AI934">
        <v>0.29499999999999998</v>
      </c>
      <c r="AJ934" t="s">
        <v>1153</v>
      </c>
    </row>
    <row r="935" spans="1:36" x14ac:dyDescent="0.25">
      <c r="A935" t="s">
        <v>862</v>
      </c>
      <c r="B935">
        <v>866303057</v>
      </c>
      <c r="C935" t="s">
        <v>863</v>
      </c>
      <c r="D935" t="s">
        <v>863</v>
      </c>
      <c r="E935" t="s">
        <v>37</v>
      </c>
      <c r="F935" t="s">
        <v>127</v>
      </c>
      <c r="I935" t="s">
        <v>39</v>
      </c>
      <c r="J935" t="s">
        <v>40</v>
      </c>
      <c r="K935" t="s">
        <v>41</v>
      </c>
      <c r="L935" t="s">
        <v>173</v>
      </c>
      <c r="N935" t="s">
        <v>43</v>
      </c>
      <c r="O935" t="s">
        <v>412</v>
      </c>
      <c r="P935">
        <v>115</v>
      </c>
      <c r="Q935">
        <v>115</v>
      </c>
      <c r="R935">
        <v>61</v>
      </c>
      <c r="S935" t="s">
        <v>56</v>
      </c>
      <c r="T935">
        <v>0.06</v>
      </c>
      <c r="U935">
        <v>4</v>
      </c>
      <c r="V935" t="s">
        <v>55</v>
      </c>
      <c r="W935">
        <v>3.0000000000000001E-3</v>
      </c>
      <c r="X935">
        <v>2001</v>
      </c>
      <c r="Y935" t="s">
        <v>47</v>
      </c>
      <c r="Z935">
        <v>2</v>
      </c>
      <c r="AA935">
        <v>289</v>
      </c>
      <c r="AB935" t="s">
        <v>47</v>
      </c>
      <c r="AC935">
        <v>0.28799999999999998</v>
      </c>
      <c r="AD935">
        <v>269</v>
      </c>
      <c r="AE935" t="s">
        <v>56</v>
      </c>
      <c r="AF935">
        <v>0.26800000000000002</v>
      </c>
      <c r="AG935">
        <v>296</v>
      </c>
      <c r="AH935" t="s">
        <v>57</v>
      </c>
      <c r="AI935">
        <v>0.29499999999999998</v>
      </c>
      <c r="AJ935" t="s">
        <v>1154</v>
      </c>
    </row>
    <row r="936" spans="1:36" x14ac:dyDescent="0.25">
      <c r="A936" t="s">
        <v>862</v>
      </c>
      <c r="B936">
        <v>866303057</v>
      </c>
      <c r="C936" t="s">
        <v>863</v>
      </c>
      <c r="D936" t="s">
        <v>863</v>
      </c>
      <c r="E936" t="s">
        <v>37</v>
      </c>
      <c r="F936" t="s">
        <v>127</v>
      </c>
      <c r="I936" t="s">
        <v>39</v>
      </c>
      <c r="J936" t="s">
        <v>40</v>
      </c>
      <c r="K936" t="s">
        <v>41</v>
      </c>
      <c r="L936" t="s">
        <v>173</v>
      </c>
      <c r="N936" t="s">
        <v>43</v>
      </c>
      <c r="O936" t="s">
        <v>412</v>
      </c>
      <c r="P936">
        <v>115</v>
      </c>
      <c r="Q936">
        <v>115</v>
      </c>
      <c r="S936" t="s">
        <v>39</v>
      </c>
      <c r="V936" t="s">
        <v>39</v>
      </c>
      <c r="X936">
        <v>2001</v>
      </c>
      <c r="Y936" t="s">
        <v>47</v>
      </c>
      <c r="Z936">
        <v>2</v>
      </c>
      <c r="AA936">
        <v>289</v>
      </c>
      <c r="AB936" t="s">
        <v>47</v>
      </c>
      <c r="AC936">
        <v>0.28799999999999998</v>
      </c>
      <c r="AD936">
        <v>269</v>
      </c>
      <c r="AE936" t="s">
        <v>56</v>
      </c>
      <c r="AF936">
        <v>0.26800000000000002</v>
      </c>
      <c r="AG936">
        <v>296</v>
      </c>
      <c r="AH936" t="s">
        <v>57</v>
      </c>
      <c r="AI936">
        <v>0.29499999999999998</v>
      </c>
      <c r="AJ936" t="s">
        <v>1155</v>
      </c>
    </row>
    <row r="937" spans="1:36" x14ac:dyDescent="0.25">
      <c r="A937" t="s">
        <v>862</v>
      </c>
      <c r="B937">
        <v>866303057</v>
      </c>
      <c r="C937" t="s">
        <v>863</v>
      </c>
      <c r="D937" t="s">
        <v>863</v>
      </c>
      <c r="E937" t="s">
        <v>37</v>
      </c>
      <c r="F937" t="s">
        <v>127</v>
      </c>
      <c r="I937" t="s">
        <v>39</v>
      </c>
      <c r="J937" t="s">
        <v>40</v>
      </c>
      <c r="K937" t="s">
        <v>41</v>
      </c>
      <c r="L937" t="s">
        <v>173</v>
      </c>
      <c r="N937" t="s">
        <v>43</v>
      </c>
      <c r="O937" t="s">
        <v>412</v>
      </c>
      <c r="P937">
        <v>115</v>
      </c>
      <c r="Q937">
        <v>115</v>
      </c>
      <c r="S937" t="s">
        <v>39</v>
      </c>
      <c r="V937" t="s">
        <v>39</v>
      </c>
      <c r="X937">
        <v>2001</v>
      </c>
      <c r="Y937" t="s">
        <v>47</v>
      </c>
      <c r="Z937">
        <v>2</v>
      </c>
      <c r="AA937">
        <v>289</v>
      </c>
      <c r="AB937" t="s">
        <v>47</v>
      </c>
      <c r="AC937">
        <v>0.28799999999999998</v>
      </c>
      <c r="AD937">
        <v>269</v>
      </c>
      <c r="AE937" t="s">
        <v>56</v>
      </c>
      <c r="AF937">
        <v>0.26800000000000002</v>
      </c>
      <c r="AG937">
        <v>296</v>
      </c>
      <c r="AH937" t="s">
        <v>57</v>
      </c>
      <c r="AI937">
        <v>0.29499999999999998</v>
      </c>
      <c r="AJ937" t="s">
        <v>1156</v>
      </c>
    </row>
    <row r="938" spans="1:36" x14ac:dyDescent="0.25">
      <c r="A938" t="s">
        <v>864</v>
      </c>
      <c r="B938">
        <v>881528903</v>
      </c>
      <c r="C938" t="s">
        <v>865</v>
      </c>
      <c r="D938" t="s">
        <v>865</v>
      </c>
      <c r="E938" t="s">
        <v>99</v>
      </c>
      <c r="F938" t="s">
        <v>111</v>
      </c>
      <c r="I938" t="s">
        <v>39</v>
      </c>
      <c r="J938" t="s">
        <v>40</v>
      </c>
      <c r="K938" t="s">
        <v>41</v>
      </c>
      <c r="L938" t="s">
        <v>42</v>
      </c>
      <c r="N938" t="s">
        <v>43</v>
      </c>
      <c r="O938" t="s">
        <v>745</v>
      </c>
      <c r="P938">
        <v>115</v>
      </c>
      <c r="Q938">
        <v>115</v>
      </c>
      <c r="R938">
        <v>1001</v>
      </c>
      <c r="S938" t="s">
        <v>56</v>
      </c>
      <c r="T938">
        <v>1</v>
      </c>
      <c r="U938">
        <v>2</v>
      </c>
      <c r="V938" t="s">
        <v>55</v>
      </c>
      <c r="W938">
        <v>1E-3</v>
      </c>
      <c r="X938">
        <v>1</v>
      </c>
      <c r="Y938" t="s">
        <v>47</v>
      </c>
      <c r="Z938">
        <v>0</v>
      </c>
      <c r="AA938">
        <v>225</v>
      </c>
      <c r="AB938" t="s">
        <v>47</v>
      </c>
      <c r="AC938">
        <v>0.224</v>
      </c>
      <c r="AD938">
        <v>189</v>
      </c>
      <c r="AE938" t="s">
        <v>56</v>
      </c>
      <c r="AF938">
        <v>0.188</v>
      </c>
      <c r="AG938">
        <v>9</v>
      </c>
      <c r="AH938" t="s">
        <v>103</v>
      </c>
      <c r="AI938">
        <v>8.0000000000000002E-3</v>
      </c>
      <c r="AJ938" t="s">
        <v>50</v>
      </c>
    </row>
    <row r="939" spans="1:36" x14ac:dyDescent="0.25">
      <c r="A939" t="s">
        <v>864</v>
      </c>
      <c r="B939">
        <v>881528903</v>
      </c>
      <c r="C939" t="s">
        <v>865</v>
      </c>
      <c r="D939" t="s">
        <v>865</v>
      </c>
      <c r="E939" t="s">
        <v>99</v>
      </c>
      <c r="F939" t="s">
        <v>111</v>
      </c>
      <c r="I939" t="s">
        <v>39</v>
      </c>
      <c r="J939" t="s">
        <v>40</v>
      </c>
      <c r="K939" t="s">
        <v>41</v>
      </c>
      <c r="L939" t="s">
        <v>42</v>
      </c>
      <c r="N939" t="s">
        <v>43</v>
      </c>
      <c r="O939" t="s">
        <v>745</v>
      </c>
      <c r="P939">
        <v>115</v>
      </c>
      <c r="Q939">
        <v>115</v>
      </c>
      <c r="R939">
        <v>971</v>
      </c>
      <c r="S939" t="s">
        <v>56</v>
      </c>
      <c r="T939">
        <v>0.97</v>
      </c>
      <c r="U939">
        <v>1</v>
      </c>
      <c r="V939" t="s">
        <v>55</v>
      </c>
      <c r="W939">
        <v>0</v>
      </c>
      <c r="X939">
        <v>1</v>
      </c>
      <c r="Y939" t="s">
        <v>47</v>
      </c>
      <c r="Z939">
        <v>0</v>
      </c>
      <c r="AA939">
        <v>225</v>
      </c>
      <c r="AB939" t="s">
        <v>47</v>
      </c>
      <c r="AC939">
        <v>0.224</v>
      </c>
      <c r="AD939">
        <v>189</v>
      </c>
      <c r="AE939" t="s">
        <v>56</v>
      </c>
      <c r="AF939">
        <v>0.188</v>
      </c>
      <c r="AG939">
        <v>9</v>
      </c>
      <c r="AH939" t="s">
        <v>103</v>
      </c>
      <c r="AI939">
        <v>8.0000000000000002E-3</v>
      </c>
      <c r="AJ939" t="s">
        <v>1141</v>
      </c>
    </row>
    <row r="940" spans="1:36" x14ac:dyDescent="0.25">
      <c r="A940" t="s">
        <v>864</v>
      </c>
      <c r="B940">
        <v>881528903</v>
      </c>
      <c r="C940" t="s">
        <v>865</v>
      </c>
      <c r="D940" t="s">
        <v>865</v>
      </c>
      <c r="E940" t="s">
        <v>99</v>
      </c>
      <c r="F940" t="s">
        <v>111</v>
      </c>
      <c r="I940" t="s">
        <v>39</v>
      </c>
      <c r="J940" t="s">
        <v>40</v>
      </c>
      <c r="K940" t="s">
        <v>41</v>
      </c>
      <c r="L940" t="s">
        <v>42</v>
      </c>
      <c r="N940" t="s">
        <v>43</v>
      </c>
      <c r="O940" t="s">
        <v>745</v>
      </c>
      <c r="P940">
        <v>115</v>
      </c>
      <c r="Q940">
        <v>115</v>
      </c>
      <c r="R940">
        <v>1001</v>
      </c>
      <c r="S940" t="s">
        <v>56</v>
      </c>
      <c r="T940">
        <v>1</v>
      </c>
      <c r="U940">
        <v>2</v>
      </c>
      <c r="V940" t="s">
        <v>55</v>
      </c>
      <c r="W940">
        <v>1E-3</v>
      </c>
      <c r="X940">
        <v>1</v>
      </c>
      <c r="Y940" t="s">
        <v>47</v>
      </c>
      <c r="Z940">
        <v>0</v>
      </c>
      <c r="AA940">
        <v>225</v>
      </c>
      <c r="AB940" t="s">
        <v>47</v>
      </c>
      <c r="AC940">
        <v>0.224</v>
      </c>
      <c r="AD940">
        <v>189</v>
      </c>
      <c r="AE940" t="s">
        <v>56</v>
      </c>
      <c r="AF940">
        <v>0.188</v>
      </c>
      <c r="AG940">
        <v>9</v>
      </c>
      <c r="AH940" t="s">
        <v>103</v>
      </c>
      <c r="AI940">
        <v>8.0000000000000002E-3</v>
      </c>
      <c r="AJ940" t="s">
        <v>1153</v>
      </c>
    </row>
    <row r="941" spans="1:36" x14ac:dyDescent="0.25">
      <c r="A941" t="s">
        <v>864</v>
      </c>
      <c r="B941">
        <v>881528903</v>
      </c>
      <c r="C941" t="s">
        <v>865</v>
      </c>
      <c r="D941" t="s">
        <v>865</v>
      </c>
      <c r="E941" t="s">
        <v>99</v>
      </c>
      <c r="F941" t="s">
        <v>111</v>
      </c>
      <c r="I941" t="s">
        <v>39</v>
      </c>
      <c r="J941" t="s">
        <v>40</v>
      </c>
      <c r="K941" t="s">
        <v>41</v>
      </c>
      <c r="L941" t="s">
        <v>42</v>
      </c>
      <c r="N941" t="s">
        <v>43</v>
      </c>
      <c r="O941" t="s">
        <v>745</v>
      </c>
      <c r="P941">
        <v>115</v>
      </c>
      <c r="Q941">
        <v>115</v>
      </c>
      <c r="R941">
        <v>1001</v>
      </c>
      <c r="S941" t="s">
        <v>56</v>
      </c>
      <c r="T941">
        <v>1</v>
      </c>
      <c r="U941">
        <v>2</v>
      </c>
      <c r="V941" t="s">
        <v>55</v>
      </c>
      <c r="W941">
        <v>1E-3</v>
      </c>
      <c r="X941">
        <v>1</v>
      </c>
      <c r="Y941" t="s">
        <v>47</v>
      </c>
      <c r="Z941">
        <v>0</v>
      </c>
      <c r="AA941">
        <v>225</v>
      </c>
      <c r="AB941" t="s">
        <v>47</v>
      </c>
      <c r="AC941">
        <v>0.224</v>
      </c>
      <c r="AD941">
        <v>189</v>
      </c>
      <c r="AE941" t="s">
        <v>56</v>
      </c>
      <c r="AF941">
        <v>0.188</v>
      </c>
      <c r="AG941">
        <v>9</v>
      </c>
      <c r="AH941" t="s">
        <v>103</v>
      </c>
      <c r="AI941">
        <v>8.0000000000000002E-3</v>
      </c>
      <c r="AJ941" t="s">
        <v>1154</v>
      </c>
    </row>
    <row r="942" spans="1:36" x14ac:dyDescent="0.25">
      <c r="A942" t="s">
        <v>864</v>
      </c>
      <c r="B942">
        <v>881528903</v>
      </c>
      <c r="C942" t="s">
        <v>865</v>
      </c>
      <c r="D942" t="s">
        <v>865</v>
      </c>
      <c r="E942" t="s">
        <v>99</v>
      </c>
      <c r="F942" t="s">
        <v>111</v>
      </c>
      <c r="I942" t="s">
        <v>39</v>
      </c>
      <c r="J942" t="s">
        <v>40</v>
      </c>
      <c r="K942" t="s">
        <v>41</v>
      </c>
      <c r="L942" t="s">
        <v>42</v>
      </c>
      <c r="N942" t="s">
        <v>43</v>
      </c>
      <c r="O942" t="s">
        <v>745</v>
      </c>
      <c r="P942">
        <v>115</v>
      </c>
      <c r="Q942">
        <v>115</v>
      </c>
      <c r="S942" t="s">
        <v>39</v>
      </c>
      <c r="V942" t="s">
        <v>39</v>
      </c>
      <c r="X942">
        <v>1</v>
      </c>
      <c r="Y942" t="s">
        <v>47</v>
      </c>
      <c r="Z942">
        <v>0</v>
      </c>
      <c r="AA942">
        <v>225</v>
      </c>
      <c r="AB942" t="s">
        <v>47</v>
      </c>
      <c r="AC942">
        <v>0.224</v>
      </c>
      <c r="AD942">
        <v>189</v>
      </c>
      <c r="AE942" t="s">
        <v>56</v>
      </c>
      <c r="AF942">
        <v>0.188</v>
      </c>
      <c r="AG942">
        <v>9</v>
      </c>
      <c r="AH942" t="s">
        <v>103</v>
      </c>
      <c r="AI942">
        <v>8.0000000000000002E-3</v>
      </c>
      <c r="AJ942" t="s">
        <v>1155</v>
      </c>
    </row>
    <row r="943" spans="1:36" x14ac:dyDescent="0.25">
      <c r="A943" t="s">
        <v>864</v>
      </c>
      <c r="B943">
        <v>881528903</v>
      </c>
      <c r="C943" t="s">
        <v>865</v>
      </c>
      <c r="D943" t="s">
        <v>865</v>
      </c>
      <c r="E943" t="s">
        <v>99</v>
      </c>
      <c r="F943" t="s">
        <v>111</v>
      </c>
      <c r="I943" t="s">
        <v>39</v>
      </c>
      <c r="J943" t="s">
        <v>40</v>
      </c>
      <c r="K943" t="s">
        <v>41</v>
      </c>
      <c r="L943" t="s">
        <v>42</v>
      </c>
      <c r="N943" t="s">
        <v>43</v>
      </c>
      <c r="O943" t="s">
        <v>745</v>
      </c>
      <c r="P943">
        <v>115</v>
      </c>
      <c r="Q943">
        <v>115</v>
      </c>
      <c r="S943" t="s">
        <v>39</v>
      </c>
      <c r="V943" t="s">
        <v>39</v>
      </c>
      <c r="X943">
        <v>1</v>
      </c>
      <c r="Y943" t="s">
        <v>47</v>
      </c>
      <c r="Z943">
        <v>0</v>
      </c>
      <c r="AA943">
        <v>225</v>
      </c>
      <c r="AB943" t="s">
        <v>47</v>
      </c>
      <c r="AC943">
        <v>0.224</v>
      </c>
      <c r="AD943">
        <v>189</v>
      </c>
      <c r="AE943" t="s">
        <v>56</v>
      </c>
      <c r="AF943">
        <v>0.188</v>
      </c>
      <c r="AG943">
        <v>9</v>
      </c>
      <c r="AH943" t="s">
        <v>103</v>
      </c>
      <c r="AI943">
        <v>8.0000000000000002E-3</v>
      </c>
      <c r="AJ943" t="s">
        <v>1156</v>
      </c>
    </row>
    <row r="944" spans="1:36" x14ac:dyDescent="0.25">
      <c r="A944" t="s">
        <v>857</v>
      </c>
      <c r="B944">
        <v>851914908</v>
      </c>
      <c r="C944" t="s">
        <v>858</v>
      </c>
      <c r="D944" t="s">
        <v>858</v>
      </c>
      <c r="E944" t="s">
        <v>60</v>
      </c>
      <c r="F944" t="s">
        <v>229</v>
      </c>
      <c r="I944" t="s">
        <v>39</v>
      </c>
      <c r="J944" t="s">
        <v>40</v>
      </c>
      <c r="K944" t="s">
        <v>41</v>
      </c>
      <c r="L944" t="s">
        <v>234</v>
      </c>
      <c r="M944" t="s">
        <v>816</v>
      </c>
      <c r="N944" t="s">
        <v>43</v>
      </c>
      <c r="O944" t="s">
        <v>859</v>
      </c>
      <c r="P944">
        <v>116</v>
      </c>
      <c r="Q944">
        <v>116</v>
      </c>
      <c r="R944">
        <v>1</v>
      </c>
      <c r="S944" t="s">
        <v>45</v>
      </c>
      <c r="T944">
        <v>0</v>
      </c>
      <c r="U944">
        <v>1000</v>
      </c>
      <c r="V944" t="s">
        <v>46</v>
      </c>
      <c r="W944">
        <v>0.999</v>
      </c>
      <c r="X944">
        <v>24001</v>
      </c>
      <c r="Y944" t="s">
        <v>47</v>
      </c>
      <c r="Z944">
        <v>24</v>
      </c>
      <c r="AA944">
        <v>550</v>
      </c>
      <c r="AB944" t="s">
        <v>75</v>
      </c>
      <c r="AC944">
        <v>0.54900000000000004</v>
      </c>
      <c r="AD944">
        <v>834</v>
      </c>
      <c r="AE944" t="s">
        <v>48</v>
      </c>
      <c r="AF944">
        <v>0.83299999999999996</v>
      </c>
      <c r="AG944">
        <v>983</v>
      </c>
      <c r="AH944" t="s">
        <v>80</v>
      </c>
      <c r="AI944">
        <v>0.98199999999999998</v>
      </c>
      <c r="AJ944" t="s">
        <v>50</v>
      </c>
    </row>
    <row r="945" spans="1:36" x14ac:dyDescent="0.25">
      <c r="A945" t="s">
        <v>857</v>
      </c>
      <c r="B945">
        <v>851914908</v>
      </c>
      <c r="C945" t="s">
        <v>858</v>
      </c>
      <c r="D945" t="s">
        <v>858</v>
      </c>
      <c r="E945" t="s">
        <v>60</v>
      </c>
      <c r="F945" t="s">
        <v>229</v>
      </c>
      <c r="I945" t="s">
        <v>39</v>
      </c>
      <c r="J945" t="s">
        <v>40</v>
      </c>
      <c r="K945" t="s">
        <v>41</v>
      </c>
      <c r="L945" t="s">
        <v>234</v>
      </c>
      <c r="M945" t="s">
        <v>816</v>
      </c>
      <c r="N945" t="s">
        <v>43</v>
      </c>
      <c r="O945" t="s">
        <v>859</v>
      </c>
      <c r="P945">
        <v>116</v>
      </c>
      <c r="Q945">
        <v>116</v>
      </c>
      <c r="R945">
        <v>1</v>
      </c>
      <c r="S945" t="s">
        <v>45</v>
      </c>
      <c r="T945">
        <v>0</v>
      </c>
      <c r="U945">
        <v>998</v>
      </c>
      <c r="V945" t="s">
        <v>46</v>
      </c>
      <c r="W945">
        <v>0.997</v>
      </c>
      <c r="X945">
        <v>24001</v>
      </c>
      <c r="Y945" t="s">
        <v>47</v>
      </c>
      <c r="Z945">
        <v>24</v>
      </c>
      <c r="AA945">
        <v>550</v>
      </c>
      <c r="AB945" t="s">
        <v>75</v>
      </c>
      <c r="AC945">
        <v>0.54900000000000004</v>
      </c>
      <c r="AD945">
        <v>834</v>
      </c>
      <c r="AE945" t="s">
        <v>48</v>
      </c>
      <c r="AF945">
        <v>0.83299999999999996</v>
      </c>
      <c r="AG945">
        <v>983</v>
      </c>
      <c r="AH945" t="s">
        <v>80</v>
      </c>
      <c r="AI945">
        <v>0.98199999999999998</v>
      </c>
      <c r="AJ945" t="s">
        <v>1141</v>
      </c>
    </row>
    <row r="946" spans="1:36" x14ac:dyDescent="0.25">
      <c r="A946" t="s">
        <v>857</v>
      </c>
      <c r="B946">
        <v>851914908</v>
      </c>
      <c r="C946" t="s">
        <v>858</v>
      </c>
      <c r="D946" t="s">
        <v>858</v>
      </c>
      <c r="E946" t="s">
        <v>60</v>
      </c>
      <c r="F946" t="s">
        <v>229</v>
      </c>
      <c r="I946" t="s">
        <v>39</v>
      </c>
      <c r="J946" t="s">
        <v>40</v>
      </c>
      <c r="K946" t="s">
        <v>41</v>
      </c>
      <c r="L946" t="s">
        <v>234</v>
      </c>
      <c r="M946" t="s">
        <v>816</v>
      </c>
      <c r="N946" t="s">
        <v>43</v>
      </c>
      <c r="O946" t="s">
        <v>859</v>
      </c>
      <c r="P946">
        <v>116</v>
      </c>
      <c r="Q946">
        <v>116</v>
      </c>
      <c r="R946">
        <v>1</v>
      </c>
      <c r="S946" t="s">
        <v>45</v>
      </c>
      <c r="T946">
        <v>0</v>
      </c>
      <c r="U946">
        <v>1000</v>
      </c>
      <c r="V946" t="s">
        <v>46</v>
      </c>
      <c r="W946">
        <v>0.999</v>
      </c>
      <c r="X946">
        <v>24001</v>
      </c>
      <c r="Y946" t="s">
        <v>47</v>
      </c>
      <c r="Z946">
        <v>24</v>
      </c>
      <c r="AA946">
        <v>550</v>
      </c>
      <c r="AB946" t="s">
        <v>75</v>
      </c>
      <c r="AC946">
        <v>0.54900000000000004</v>
      </c>
      <c r="AD946">
        <v>834</v>
      </c>
      <c r="AE946" t="s">
        <v>48</v>
      </c>
      <c r="AF946">
        <v>0.83299999999999996</v>
      </c>
      <c r="AG946">
        <v>983</v>
      </c>
      <c r="AH946" t="s">
        <v>80</v>
      </c>
      <c r="AI946">
        <v>0.98199999999999998</v>
      </c>
      <c r="AJ946" t="s">
        <v>1153</v>
      </c>
    </row>
    <row r="947" spans="1:36" x14ac:dyDescent="0.25">
      <c r="A947" t="s">
        <v>857</v>
      </c>
      <c r="B947">
        <v>851914908</v>
      </c>
      <c r="C947" t="s">
        <v>858</v>
      </c>
      <c r="D947" t="s">
        <v>858</v>
      </c>
      <c r="E947" t="s">
        <v>60</v>
      </c>
      <c r="F947" t="s">
        <v>229</v>
      </c>
      <c r="I947" t="s">
        <v>39</v>
      </c>
      <c r="J947" t="s">
        <v>40</v>
      </c>
      <c r="K947" t="s">
        <v>41</v>
      </c>
      <c r="L947" t="s">
        <v>234</v>
      </c>
      <c r="M947" t="s">
        <v>816</v>
      </c>
      <c r="N947" t="s">
        <v>43</v>
      </c>
      <c r="O947" t="s">
        <v>859</v>
      </c>
      <c r="P947">
        <v>116</v>
      </c>
      <c r="Q947">
        <v>116</v>
      </c>
      <c r="R947">
        <v>1</v>
      </c>
      <c r="S947" t="s">
        <v>45</v>
      </c>
      <c r="T947">
        <v>0</v>
      </c>
      <c r="U947">
        <v>1000</v>
      </c>
      <c r="V947" t="s">
        <v>46</v>
      </c>
      <c r="W947">
        <v>0.999</v>
      </c>
      <c r="X947">
        <v>24001</v>
      </c>
      <c r="Y947" t="s">
        <v>47</v>
      </c>
      <c r="Z947">
        <v>24</v>
      </c>
      <c r="AA947">
        <v>550</v>
      </c>
      <c r="AB947" t="s">
        <v>75</v>
      </c>
      <c r="AC947">
        <v>0.54900000000000004</v>
      </c>
      <c r="AD947">
        <v>834</v>
      </c>
      <c r="AE947" t="s">
        <v>48</v>
      </c>
      <c r="AF947">
        <v>0.83299999999999996</v>
      </c>
      <c r="AG947">
        <v>983</v>
      </c>
      <c r="AH947" t="s">
        <v>80</v>
      </c>
      <c r="AI947">
        <v>0.98199999999999998</v>
      </c>
      <c r="AJ947" t="s">
        <v>1154</v>
      </c>
    </row>
    <row r="948" spans="1:36" x14ac:dyDescent="0.25">
      <c r="A948" t="s">
        <v>857</v>
      </c>
      <c r="B948">
        <v>851914908</v>
      </c>
      <c r="C948" t="s">
        <v>858</v>
      </c>
      <c r="D948" t="s">
        <v>858</v>
      </c>
      <c r="E948" t="s">
        <v>60</v>
      </c>
      <c r="F948" t="s">
        <v>229</v>
      </c>
      <c r="I948" t="s">
        <v>39</v>
      </c>
      <c r="J948" t="s">
        <v>40</v>
      </c>
      <c r="K948" t="s">
        <v>41</v>
      </c>
      <c r="L948" t="s">
        <v>234</v>
      </c>
      <c r="M948" t="s">
        <v>816</v>
      </c>
      <c r="N948" t="s">
        <v>43</v>
      </c>
      <c r="O948" t="s">
        <v>859</v>
      </c>
      <c r="P948">
        <v>116</v>
      </c>
      <c r="Q948">
        <v>116</v>
      </c>
      <c r="S948" t="s">
        <v>39</v>
      </c>
      <c r="V948" t="s">
        <v>39</v>
      </c>
      <c r="X948">
        <v>24001</v>
      </c>
      <c r="Y948" t="s">
        <v>47</v>
      </c>
      <c r="Z948">
        <v>24</v>
      </c>
      <c r="AA948">
        <v>550</v>
      </c>
      <c r="AB948" t="s">
        <v>75</v>
      </c>
      <c r="AC948">
        <v>0.54900000000000004</v>
      </c>
      <c r="AD948">
        <v>834</v>
      </c>
      <c r="AE948" t="s">
        <v>48</v>
      </c>
      <c r="AF948">
        <v>0.83299999999999996</v>
      </c>
      <c r="AG948">
        <v>983</v>
      </c>
      <c r="AH948" t="s">
        <v>80</v>
      </c>
      <c r="AI948">
        <v>0.98199999999999998</v>
      </c>
      <c r="AJ948" t="s">
        <v>1155</v>
      </c>
    </row>
    <row r="949" spans="1:36" x14ac:dyDescent="0.25">
      <c r="A949" t="s">
        <v>857</v>
      </c>
      <c r="B949">
        <v>851914908</v>
      </c>
      <c r="C949" t="s">
        <v>858</v>
      </c>
      <c r="D949" t="s">
        <v>858</v>
      </c>
      <c r="E949" t="s">
        <v>60</v>
      </c>
      <c r="F949" t="s">
        <v>229</v>
      </c>
      <c r="I949" t="s">
        <v>39</v>
      </c>
      <c r="J949" t="s">
        <v>40</v>
      </c>
      <c r="K949" t="s">
        <v>41</v>
      </c>
      <c r="L949" t="s">
        <v>234</v>
      </c>
      <c r="M949" t="s">
        <v>816</v>
      </c>
      <c r="N949" t="s">
        <v>43</v>
      </c>
      <c r="O949" t="s">
        <v>859</v>
      </c>
      <c r="P949">
        <v>116</v>
      </c>
      <c r="Q949">
        <v>116</v>
      </c>
      <c r="S949" t="s">
        <v>39</v>
      </c>
      <c r="V949" t="s">
        <v>39</v>
      </c>
      <c r="X949">
        <v>24001</v>
      </c>
      <c r="Y949" t="s">
        <v>47</v>
      </c>
      <c r="Z949">
        <v>24</v>
      </c>
      <c r="AA949">
        <v>550</v>
      </c>
      <c r="AB949" t="s">
        <v>75</v>
      </c>
      <c r="AC949">
        <v>0.54900000000000004</v>
      </c>
      <c r="AD949">
        <v>834</v>
      </c>
      <c r="AE949" t="s">
        <v>48</v>
      </c>
      <c r="AF949">
        <v>0.83299999999999996</v>
      </c>
      <c r="AG949">
        <v>983</v>
      </c>
      <c r="AH949" t="s">
        <v>80</v>
      </c>
      <c r="AI949">
        <v>0.98199999999999998</v>
      </c>
      <c r="AJ949" t="s">
        <v>1156</v>
      </c>
    </row>
    <row r="950" spans="1:36" x14ac:dyDescent="0.25">
      <c r="A950" t="s">
        <v>855</v>
      </c>
      <c r="B950">
        <v>855738958</v>
      </c>
      <c r="C950" t="s">
        <v>856</v>
      </c>
      <c r="D950" t="s">
        <v>856</v>
      </c>
      <c r="E950" t="s">
        <v>99</v>
      </c>
      <c r="F950" t="s">
        <v>769</v>
      </c>
      <c r="I950" t="s">
        <v>39</v>
      </c>
      <c r="J950" t="s">
        <v>40</v>
      </c>
      <c r="K950" t="s">
        <v>41</v>
      </c>
      <c r="L950" t="s">
        <v>131</v>
      </c>
      <c r="M950" t="s">
        <v>73</v>
      </c>
      <c r="N950" t="s">
        <v>43</v>
      </c>
      <c r="O950" t="s">
        <v>205</v>
      </c>
      <c r="P950">
        <v>116</v>
      </c>
      <c r="Q950">
        <v>116</v>
      </c>
      <c r="R950">
        <v>21</v>
      </c>
      <c r="S950" t="s">
        <v>45</v>
      </c>
      <c r="T950">
        <v>0.02</v>
      </c>
      <c r="U950">
        <v>959</v>
      </c>
      <c r="V950" t="s">
        <v>46</v>
      </c>
      <c r="W950">
        <v>0.95799999999999996</v>
      </c>
      <c r="X950">
        <v>21001</v>
      </c>
      <c r="Y950" t="s">
        <v>47</v>
      </c>
      <c r="Z950">
        <v>21</v>
      </c>
      <c r="AA950">
        <v>439</v>
      </c>
      <c r="AB950" t="s">
        <v>47</v>
      </c>
      <c r="AC950">
        <v>0.438</v>
      </c>
      <c r="AD950">
        <v>652</v>
      </c>
      <c r="AE950" t="s">
        <v>48</v>
      </c>
      <c r="AF950">
        <v>0.65100000000000002</v>
      </c>
      <c r="AG950">
        <v>834</v>
      </c>
      <c r="AH950" t="s">
        <v>49</v>
      </c>
      <c r="AI950">
        <v>0.83299999999999996</v>
      </c>
      <c r="AJ950" t="s">
        <v>50</v>
      </c>
    </row>
    <row r="951" spans="1:36" x14ac:dyDescent="0.25">
      <c r="A951" t="s">
        <v>855</v>
      </c>
      <c r="B951">
        <v>855738958</v>
      </c>
      <c r="C951" t="s">
        <v>856</v>
      </c>
      <c r="D951" t="s">
        <v>856</v>
      </c>
      <c r="E951" t="s">
        <v>99</v>
      </c>
      <c r="F951" t="s">
        <v>769</v>
      </c>
      <c r="I951" t="s">
        <v>39</v>
      </c>
      <c r="J951" t="s">
        <v>40</v>
      </c>
      <c r="K951" t="s">
        <v>41</v>
      </c>
      <c r="L951" t="s">
        <v>131</v>
      </c>
      <c r="M951" t="s">
        <v>73</v>
      </c>
      <c r="N951" t="s">
        <v>43</v>
      </c>
      <c r="O951" t="s">
        <v>205</v>
      </c>
      <c r="P951">
        <v>116</v>
      </c>
      <c r="Q951">
        <v>116</v>
      </c>
      <c r="R951">
        <v>21</v>
      </c>
      <c r="S951" t="s">
        <v>45</v>
      </c>
      <c r="T951">
        <v>0.02</v>
      </c>
      <c r="U951">
        <v>830</v>
      </c>
      <c r="V951" t="s">
        <v>113</v>
      </c>
      <c r="W951">
        <v>0.82899999999999996</v>
      </c>
      <c r="X951">
        <v>21001</v>
      </c>
      <c r="Y951" t="s">
        <v>47</v>
      </c>
      <c r="Z951">
        <v>21</v>
      </c>
      <c r="AA951">
        <v>439</v>
      </c>
      <c r="AB951" t="s">
        <v>47</v>
      </c>
      <c r="AC951">
        <v>0.438</v>
      </c>
      <c r="AD951">
        <v>652</v>
      </c>
      <c r="AE951" t="s">
        <v>48</v>
      </c>
      <c r="AF951">
        <v>0.65100000000000002</v>
      </c>
      <c r="AG951">
        <v>834</v>
      </c>
      <c r="AH951" t="s">
        <v>49</v>
      </c>
      <c r="AI951">
        <v>0.83299999999999996</v>
      </c>
      <c r="AJ951" t="s">
        <v>1141</v>
      </c>
    </row>
    <row r="952" spans="1:36" x14ac:dyDescent="0.25">
      <c r="A952" t="s">
        <v>855</v>
      </c>
      <c r="B952">
        <v>855738958</v>
      </c>
      <c r="C952" t="s">
        <v>856</v>
      </c>
      <c r="D952" t="s">
        <v>856</v>
      </c>
      <c r="E952" t="s">
        <v>99</v>
      </c>
      <c r="F952" t="s">
        <v>769</v>
      </c>
      <c r="I952" t="s">
        <v>39</v>
      </c>
      <c r="J952" t="s">
        <v>40</v>
      </c>
      <c r="K952" t="s">
        <v>41</v>
      </c>
      <c r="L952" t="s">
        <v>131</v>
      </c>
      <c r="M952" t="s">
        <v>73</v>
      </c>
      <c r="N952" t="s">
        <v>43</v>
      </c>
      <c r="O952" t="s">
        <v>205</v>
      </c>
      <c r="P952">
        <v>116</v>
      </c>
      <c r="Q952">
        <v>116</v>
      </c>
      <c r="R952">
        <v>21</v>
      </c>
      <c r="S952" t="s">
        <v>45</v>
      </c>
      <c r="T952">
        <v>0.02</v>
      </c>
      <c r="U952">
        <v>959</v>
      </c>
      <c r="V952" t="s">
        <v>46</v>
      </c>
      <c r="W952">
        <v>0.95799999999999996</v>
      </c>
      <c r="X952">
        <v>21001</v>
      </c>
      <c r="Y952" t="s">
        <v>47</v>
      </c>
      <c r="Z952">
        <v>21</v>
      </c>
      <c r="AA952">
        <v>439</v>
      </c>
      <c r="AB952" t="s">
        <v>47</v>
      </c>
      <c r="AC952">
        <v>0.438</v>
      </c>
      <c r="AD952">
        <v>652</v>
      </c>
      <c r="AE952" t="s">
        <v>48</v>
      </c>
      <c r="AF952">
        <v>0.65100000000000002</v>
      </c>
      <c r="AG952">
        <v>834</v>
      </c>
      <c r="AH952" t="s">
        <v>49</v>
      </c>
      <c r="AI952">
        <v>0.83299999999999996</v>
      </c>
      <c r="AJ952" t="s">
        <v>1153</v>
      </c>
    </row>
    <row r="953" spans="1:36" x14ac:dyDescent="0.25">
      <c r="A953" t="s">
        <v>855</v>
      </c>
      <c r="B953">
        <v>855738958</v>
      </c>
      <c r="C953" t="s">
        <v>856</v>
      </c>
      <c r="D953" t="s">
        <v>856</v>
      </c>
      <c r="E953" t="s">
        <v>99</v>
      </c>
      <c r="F953" t="s">
        <v>769</v>
      </c>
      <c r="I953" t="s">
        <v>39</v>
      </c>
      <c r="J953" t="s">
        <v>40</v>
      </c>
      <c r="K953" t="s">
        <v>41</v>
      </c>
      <c r="L953" t="s">
        <v>131</v>
      </c>
      <c r="M953" t="s">
        <v>73</v>
      </c>
      <c r="N953" t="s">
        <v>43</v>
      </c>
      <c r="O953" t="s">
        <v>205</v>
      </c>
      <c r="P953">
        <v>116</v>
      </c>
      <c r="Q953">
        <v>116</v>
      </c>
      <c r="R953">
        <v>21</v>
      </c>
      <c r="S953" t="s">
        <v>45</v>
      </c>
      <c r="T953">
        <v>0.02</v>
      </c>
      <c r="U953">
        <v>959</v>
      </c>
      <c r="V953" t="s">
        <v>46</v>
      </c>
      <c r="W953">
        <v>0.95799999999999996</v>
      </c>
      <c r="X953">
        <v>21001</v>
      </c>
      <c r="Y953" t="s">
        <v>47</v>
      </c>
      <c r="Z953">
        <v>21</v>
      </c>
      <c r="AA953">
        <v>439</v>
      </c>
      <c r="AB953" t="s">
        <v>47</v>
      </c>
      <c r="AC953">
        <v>0.438</v>
      </c>
      <c r="AD953">
        <v>652</v>
      </c>
      <c r="AE953" t="s">
        <v>48</v>
      </c>
      <c r="AF953">
        <v>0.65100000000000002</v>
      </c>
      <c r="AG953">
        <v>834</v>
      </c>
      <c r="AH953" t="s">
        <v>49</v>
      </c>
      <c r="AI953">
        <v>0.83299999999999996</v>
      </c>
      <c r="AJ953" t="s">
        <v>1154</v>
      </c>
    </row>
    <row r="954" spans="1:36" x14ac:dyDescent="0.25">
      <c r="A954" t="s">
        <v>855</v>
      </c>
      <c r="B954">
        <v>855738958</v>
      </c>
      <c r="C954" t="s">
        <v>856</v>
      </c>
      <c r="D954" t="s">
        <v>856</v>
      </c>
      <c r="E954" t="s">
        <v>99</v>
      </c>
      <c r="F954" t="s">
        <v>769</v>
      </c>
      <c r="I954" t="s">
        <v>39</v>
      </c>
      <c r="J954" t="s">
        <v>40</v>
      </c>
      <c r="K954" t="s">
        <v>41</v>
      </c>
      <c r="L954" t="s">
        <v>131</v>
      </c>
      <c r="M954" t="s">
        <v>73</v>
      </c>
      <c r="N954" t="s">
        <v>43</v>
      </c>
      <c r="O954" t="s">
        <v>205</v>
      </c>
      <c r="P954">
        <v>116</v>
      </c>
      <c r="Q954">
        <v>116</v>
      </c>
      <c r="S954" t="s">
        <v>39</v>
      </c>
      <c r="V954" t="s">
        <v>39</v>
      </c>
      <c r="X954">
        <v>21001</v>
      </c>
      <c r="Y954" t="s">
        <v>47</v>
      </c>
      <c r="Z954">
        <v>21</v>
      </c>
      <c r="AA954">
        <v>439</v>
      </c>
      <c r="AB954" t="s">
        <v>47</v>
      </c>
      <c r="AC954">
        <v>0.438</v>
      </c>
      <c r="AD954">
        <v>652</v>
      </c>
      <c r="AE954" t="s">
        <v>48</v>
      </c>
      <c r="AF954">
        <v>0.65100000000000002</v>
      </c>
      <c r="AG954">
        <v>834</v>
      </c>
      <c r="AH954" t="s">
        <v>49</v>
      </c>
      <c r="AI954">
        <v>0.83299999999999996</v>
      </c>
      <c r="AJ954" t="s">
        <v>1155</v>
      </c>
    </row>
    <row r="955" spans="1:36" x14ac:dyDescent="0.25">
      <c r="A955" t="s">
        <v>855</v>
      </c>
      <c r="B955">
        <v>855738958</v>
      </c>
      <c r="C955" t="s">
        <v>856</v>
      </c>
      <c r="D955" t="s">
        <v>856</v>
      </c>
      <c r="E955" t="s">
        <v>99</v>
      </c>
      <c r="F955" t="s">
        <v>769</v>
      </c>
      <c r="I955" t="s">
        <v>39</v>
      </c>
      <c r="J955" t="s">
        <v>40</v>
      </c>
      <c r="K955" t="s">
        <v>41</v>
      </c>
      <c r="L955" t="s">
        <v>131</v>
      </c>
      <c r="M955" t="s">
        <v>73</v>
      </c>
      <c r="N955" t="s">
        <v>43</v>
      </c>
      <c r="O955" t="s">
        <v>205</v>
      </c>
      <c r="P955">
        <v>116</v>
      </c>
      <c r="Q955">
        <v>116</v>
      </c>
      <c r="S955" t="s">
        <v>39</v>
      </c>
      <c r="V955" t="s">
        <v>39</v>
      </c>
      <c r="X955">
        <v>21001</v>
      </c>
      <c r="Y955" t="s">
        <v>47</v>
      </c>
      <c r="Z955">
        <v>21</v>
      </c>
      <c r="AA955">
        <v>439</v>
      </c>
      <c r="AB955" t="s">
        <v>47</v>
      </c>
      <c r="AC955">
        <v>0.438</v>
      </c>
      <c r="AD955">
        <v>652</v>
      </c>
      <c r="AE955" t="s">
        <v>48</v>
      </c>
      <c r="AF955">
        <v>0.65100000000000002</v>
      </c>
      <c r="AG955">
        <v>834</v>
      </c>
      <c r="AH955" t="s">
        <v>49</v>
      </c>
      <c r="AI955">
        <v>0.83299999999999996</v>
      </c>
      <c r="AJ955" t="s">
        <v>1156</v>
      </c>
    </row>
    <row r="956" spans="1:36" x14ac:dyDescent="0.25">
      <c r="A956" t="s">
        <v>860</v>
      </c>
      <c r="B956">
        <v>856057749</v>
      </c>
      <c r="C956" t="s">
        <v>861</v>
      </c>
      <c r="D956" t="s">
        <v>861</v>
      </c>
      <c r="E956" t="s">
        <v>99</v>
      </c>
      <c r="F956" t="s">
        <v>143</v>
      </c>
      <c r="I956" t="s">
        <v>39</v>
      </c>
      <c r="J956" t="s">
        <v>40</v>
      </c>
      <c r="K956" t="s">
        <v>41</v>
      </c>
      <c r="L956" t="s">
        <v>89</v>
      </c>
      <c r="N956" t="s">
        <v>43</v>
      </c>
      <c r="O956" t="s">
        <v>163</v>
      </c>
      <c r="P956">
        <v>116</v>
      </c>
      <c r="Q956">
        <v>116</v>
      </c>
      <c r="R956">
        <v>161</v>
      </c>
      <c r="S956" t="s">
        <v>56</v>
      </c>
      <c r="T956">
        <v>0.16</v>
      </c>
      <c r="U956">
        <v>59</v>
      </c>
      <c r="V956" t="s">
        <v>55</v>
      </c>
      <c r="W956">
        <v>5.8000000000000003E-2</v>
      </c>
      <c r="X956">
        <v>1001</v>
      </c>
      <c r="Y956" t="s">
        <v>47</v>
      </c>
      <c r="Z956">
        <v>1</v>
      </c>
      <c r="AA956">
        <v>230</v>
      </c>
      <c r="AB956" t="s">
        <v>47</v>
      </c>
      <c r="AC956">
        <v>0.22900000000000001</v>
      </c>
      <c r="AD956">
        <v>337</v>
      </c>
      <c r="AE956" t="s">
        <v>56</v>
      </c>
      <c r="AF956">
        <v>0.33600000000000002</v>
      </c>
      <c r="AG956">
        <v>305</v>
      </c>
      <c r="AH956" t="s">
        <v>57</v>
      </c>
      <c r="AI956">
        <v>0.30399999999999999</v>
      </c>
      <c r="AJ956" t="s">
        <v>50</v>
      </c>
    </row>
    <row r="957" spans="1:36" x14ac:dyDescent="0.25">
      <c r="A957" t="s">
        <v>860</v>
      </c>
      <c r="B957">
        <v>856057749</v>
      </c>
      <c r="C957" t="s">
        <v>861</v>
      </c>
      <c r="D957" t="s">
        <v>861</v>
      </c>
      <c r="E957" t="s">
        <v>99</v>
      </c>
      <c r="F957" t="s">
        <v>143</v>
      </c>
      <c r="I957" t="s">
        <v>39</v>
      </c>
      <c r="J957" t="s">
        <v>40</v>
      </c>
      <c r="K957" t="s">
        <v>41</v>
      </c>
      <c r="L957" t="s">
        <v>89</v>
      </c>
      <c r="N957" t="s">
        <v>43</v>
      </c>
      <c r="O957" t="s">
        <v>163</v>
      </c>
      <c r="P957">
        <v>116</v>
      </c>
      <c r="Q957">
        <v>116</v>
      </c>
      <c r="R957">
        <v>171</v>
      </c>
      <c r="S957" t="s">
        <v>56</v>
      </c>
      <c r="T957">
        <v>0.17</v>
      </c>
      <c r="U957">
        <v>13</v>
      </c>
      <c r="V957" t="s">
        <v>55</v>
      </c>
      <c r="W957">
        <v>1.2E-2</v>
      </c>
      <c r="X957">
        <v>1001</v>
      </c>
      <c r="Y957" t="s">
        <v>47</v>
      </c>
      <c r="Z957">
        <v>1</v>
      </c>
      <c r="AA957">
        <v>230</v>
      </c>
      <c r="AB957" t="s">
        <v>47</v>
      </c>
      <c r="AC957">
        <v>0.22900000000000001</v>
      </c>
      <c r="AD957">
        <v>337</v>
      </c>
      <c r="AE957" t="s">
        <v>56</v>
      </c>
      <c r="AF957">
        <v>0.33600000000000002</v>
      </c>
      <c r="AG957">
        <v>305</v>
      </c>
      <c r="AH957" t="s">
        <v>57</v>
      </c>
      <c r="AI957">
        <v>0.30399999999999999</v>
      </c>
      <c r="AJ957" t="s">
        <v>1141</v>
      </c>
    </row>
    <row r="958" spans="1:36" x14ac:dyDescent="0.25">
      <c r="A958" t="s">
        <v>860</v>
      </c>
      <c r="B958">
        <v>856057749</v>
      </c>
      <c r="C958" t="s">
        <v>861</v>
      </c>
      <c r="D958" t="s">
        <v>861</v>
      </c>
      <c r="E958" t="s">
        <v>99</v>
      </c>
      <c r="F958" t="s">
        <v>143</v>
      </c>
      <c r="I958" t="s">
        <v>39</v>
      </c>
      <c r="J958" t="s">
        <v>40</v>
      </c>
      <c r="K958" t="s">
        <v>41</v>
      </c>
      <c r="L958" t="s">
        <v>89</v>
      </c>
      <c r="N958" t="s">
        <v>43</v>
      </c>
      <c r="O958" t="s">
        <v>163</v>
      </c>
      <c r="P958">
        <v>116</v>
      </c>
      <c r="Q958">
        <v>116</v>
      </c>
      <c r="R958">
        <v>161</v>
      </c>
      <c r="S958" t="s">
        <v>56</v>
      </c>
      <c r="T958">
        <v>0.16</v>
      </c>
      <c r="U958">
        <v>59</v>
      </c>
      <c r="V958" t="s">
        <v>55</v>
      </c>
      <c r="W958">
        <v>5.8000000000000003E-2</v>
      </c>
      <c r="X958">
        <v>1001</v>
      </c>
      <c r="Y958" t="s">
        <v>47</v>
      </c>
      <c r="Z958">
        <v>1</v>
      </c>
      <c r="AA958">
        <v>230</v>
      </c>
      <c r="AB958" t="s">
        <v>47</v>
      </c>
      <c r="AC958">
        <v>0.22900000000000001</v>
      </c>
      <c r="AD958">
        <v>337</v>
      </c>
      <c r="AE958" t="s">
        <v>56</v>
      </c>
      <c r="AF958">
        <v>0.33600000000000002</v>
      </c>
      <c r="AG958">
        <v>305</v>
      </c>
      <c r="AH958" t="s">
        <v>57</v>
      </c>
      <c r="AI958">
        <v>0.30399999999999999</v>
      </c>
      <c r="AJ958" t="s">
        <v>1153</v>
      </c>
    </row>
    <row r="959" spans="1:36" x14ac:dyDescent="0.25">
      <c r="A959" t="s">
        <v>860</v>
      </c>
      <c r="B959">
        <v>856057749</v>
      </c>
      <c r="C959" t="s">
        <v>861</v>
      </c>
      <c r="D959" t="s">
        <v>861</v>
      </c>
      <c r="E959" t="s">
        <v>99</v>
      </c>
      <c r="F959" t="s">
        <v>143</v>
      </c>
      <c r="I959" t="s">
        <v>39</v>
      </c>
      <c r="J959" t="s">
        <v>40</v>
      </c>
      <c r="K959" t="s">
        <v>41</v>
      </c>
      <c r="L959" t="s">
        <v>89</v>
      </c>
      <c r="N959" t="s">
        <v>43</v>
      </c>
      <c r="O959" t="s">
        <v>163</v>
      </c>
      <c r="P959">
        <v>116</v>
      </c>
      <c r="Q959">
        <v>116</v>
      </c>
      <c r="R959">
        <v>161</v>
      </c>
      <c r="S959" t="s">
        <v>56</v>
      </c>
      <c r="T959">
        <v>0.16</v>
      </c>
      <c r="U959">
        <v>59</v>
      </c>
      <c r="V959" t="s">
        <v>55</v>
      </c>
      <c r="W959">
        <v>5.8000000000000003E-2</v>
      </c>
      <c r="X959">
        <v>1001</v>
      </c>
      <c r="Y959" t="s">
        <v>47</v>
      </c>
      <c r="Z959">
        <v>1</v>
      </c>
      <c r="AA959">
        <v>230</v>
      </c>
      <c r="AB959" t="s">
        <v>47</v>
      </c>
      <c r="AC959">
        <v>0.22900000000000001</v>
      </c>
      <c r="AD959">
        <v>337</v>
      </c>
      <c r="AE959" t="s">
        <v>56</v>
      </c>
      <c r="AF959">
        <v>0.33600000000000002</v>
      </c>
      <c r="AG959">
        <v>305</v>
      </c>
      <c r="AH959" t="s">
        <v>57</v>
      </c>
      <c r="AI959">
        <v>0.30399999999999999</v>
      </c>
      <c r="AJ959" t="s">
        <v>1154</v>
      </c>
    </row>
    <row r="960" spans="1:36" x14ac:dyDescent="0.25">
      <c r="A960" t="s">
        <v>860</v>
      </c>
      <c r="B960">
        <v>856057749</v>
      </c>
      <c r="C960" t="s">
        <v>861</v>
      </c>
      <c r="D960" t="s">
        <v>861</v>
      </c>
      <c r="E960" t="s">
        <v>99</v>
      </c>
      <c r="F960" t="s">
        <v>143</v>
      </c>
      <c r="I960" t="s">
        <v>39</v>
      </c>
      <c r="J960" t="s">
        <v>40</v>
      </c>
      <c r="K960" t="s">
        <v>41</v>
      </c>
      <c r="L960" t="s">
        <v>89</v>
      </c>
      <c r="N960" t="s">
        <v>43</v>
      </c>
      <c r="O960" t="s">
        <v>163</v>
      </c>
      <c r="P960">
        <v>116</v>
      </c>
      <c r="Q960">
        <v>116</v>
      </c>
      <c r="S960" t="s">
        <v>39</v>
      </c>
      <c r="V960" t="s">
        <v>39</v>
      </c>
      <c r="X960">
        <v>1001</v>
      </c>
      <c r="Y960" t="s">
        <v>47</v>
      </c>
      <c r="Z960">
        <v>1</v>
      </c>
      <c r="AA960">
        <v>230</v>
      </c>
      <c r="AB960" t="s">
        <v>47</v>
      </c>
      <c r="AC960">
        <v>0.22900000000000001</v>
      </c>
      <c r="AD960">
        <v>337</v>
      </c>
      <c r="AE960" t="s">
        <v>56</v>
      </c>
      <c r="AF960">
        <v>0.33600000000000002</v>
      </c>
      <c r="AG960">
        <v>305</v>
      </c>
      <c r="AH960" t="s">
        <v>57</v>
      </c>
      <c r="AI960">
        <v>0.30399999999999999</v>
      </c>
      <c r="AJ960" t="s">
        <v>1155</v>
      </c>
    </row>
    <row r="961" spans="1:36" x14ac:dyDescent="0.25">
      <c r="A961" t="s">
        <v>860</v>
      </c>
      <c r="B961">
        <v>856057749</v>
      </c>
      <c r="C961" t="s">
        <v>861</v>
      </c>
      <c r="D961" t="s">
        <v>861</v>
      </c>
      <c r="E961" t="s">
        <v>99</v>
      </c>
      <c r="F961" t="s">
        <v>143</v>
      </c>
      <c r="I961" t="s">
        <v>39</v>
      </c>
      <c r="J961" t="s">
        <v>40</v>
      </c>
      <c r="K961" t="s">
        <v>41</v>
      </c>
      <c r="L961" t="s">
        <v>89</v>
      </c>
      <c r="N961" t="s">
        <v>43</v>
      </c>
      <c r="O961" t="s">
        <v>163</v>
      </c>
      <c r="P961">
        <v>116</v>
      </c>
      <c r="Q961">
        <v>116</v>
      </c>
      <c r="S961" t="s">
        <v>39</v>
      </c>
      <c r="V961" t="s">
        <v>39</v>
      </c>
      <c r="X961">
        <v>1001</v>
      </c>
      <c r="Y961" t="s">
        <v>47</v>
      </c>
      <c r="Z961">
        <v>1</v>
      </c>
      <c r="AA961">
        <v>230</v>
      </c>
      <c r="AB961" t="s">
        <v>47</v>
      </c>
      <c r="AC961">
        <v>0.22900000000000001</v>
      </c>
      <c r="AD961">
        <v>337</v>
      </c>
      <c r="AE961" t="s">
        <v>56</v>
      </c>
      <c r="AF961">
        <v>0.33600000000000002</v>
      </c>
      <c r="AG961">
        <v>305</v>
      </c>
      <c r="AH961" t="s">
        <v>57</v>
      </c>
      <c r="AI961">
        <v>0.30399999999999999</v>
      </c>
      <c r="AJ961" t="s">
        <v>1156</v>
      </c>
    </row>
    <row r="962" spans="1:36" x14ac:dyDescent="0.25">
      <c r="A962" t="s">
        <v>853</v>
      </c>
      <c r="B962">
        <v>874102450</v>
      </c>
      <c r="C962" t="s">
        <v>854</v>
      </c>
      <c r="D962" t="s">
        <v>854</v>
      </c>
      <c r="E962" t="s">
        <v>37</v>
      </c>
      <c r="F962" t="s">
        <v>71</v>
      </c>
      <c r="I962" t="s">
        <v>39</v>
      </c>
      <c r="J962" t="s">
        <v>40</v>
      </c>
      <c r="K962" t="s">
        <v>41</v>
      </c>
      <c r="L962" t="s">
        <v>234</v>
      </c>
      <c r="M962" t="s">
        <v>339</v>
      </c>
      <c r="N962" t="s">
        <v>43</v>
      </c>
      <c r="O962" t="s">
        <v>459</v>
      </c>
      <c r="P962">
        <v>117</v>
      </c>
      <c r="Q962">
        <v>117</v>
      </c>
      <c r="R962">
        <v>1</v>
      </c>
      <c r="S962" t="s">
        <v>45</v>
      </c>
      <c r="T962">
        <v>0</v>
      </c>
      <c r="U962">
        <v>839</v>
      </c>
      <c r="V962" t="s">
        <v>113</v>
      </c>
      <c r="W962">
        <v>0.83799999999999997</v>
      </c>
      <c r="X962">
        <v>22001</v>
      </c>
      <c r="Y962" t="s">
        <v>47</v>
      </c>
      <c r="Z962">
        <v>22</v>
      </c>
      <c r="AA962">
        <v>442</v>
      </c>
      <c r="AB962" t="s">
        <v>47</v>
      </c>
      <c r="AC962">
        <v>0.441</v>
      </c>
      <c r="AD962">
        <v>861</v>
      </c>
      <c r="AE962" t="s">
        <v>48</v>
      </c>
      <c r="AF962">
        <v>0.86</v>
      </c>
      <c r="AG962">
        <v>927</v>
      </c>
      <c r="AH962" t="s">
        <v>49</v>
      </c>
      <c r="AI962">
        <v>0.92600000000000005</v>
      </c>
      <c r="AJ962" t="s">
        <v>50</v>
      </c>
    </row>
    <row r="963" spans="1:36" x14ac:dyDescent="0.25">
      <c r="A963" t="s">
        <v>853</v>
      </c>
      <c r="B963">
        <v>874102450</v>
      </c>
      <c r="C963" t="s">
        <v>854</v>
      </c>
      <c r="D963" t="s">
        <v>854</v>
      </c>
      <c r="E963" t="s">
        <v>37</v>
      </c>
      <c r="F963" t="s">
        <v>71</v>
      </c>
      <c r="I963" t="s">
        <v>39</v>
      </c>
      <c r="J963" t="s">
        <v>40</v>
      </c>
      <c r="K963" t="s">
        <v>41</v>
      </c>
      <c r="L963" t="s">
        <v>234</v>
      </c>
      <c r="M963" t="s">
        <v>339</v>
      </c>
      <c r="N963" t="s">
        <v>43</v>
      </c>
      <c r="O963" t="s">
        <v>459</v>
      </c>
      <c r="P963">
        <v>117</v>
      </c>
      <c r="Q963">
        <v>117</v>
      </c>
      <c r="R963">
        <v>11</v>
      </c>
      <c r="S963" t="s">
        <v>45</v>
      </c>
      <c r="T963">
        <v>0.01</v>
      </c>
      <c r="U963">
        <v>687</v>
      </c>
      <c r="V963" t="s">
        <v>113</v>
      </c>
      <c r="W963">
        <v>0.68600000000000005</v>
      </c>
      <c r="X963">
        <v>22001</v>
      </c>
      <c r="Y963" t="s">
        <v>47</v>
      </c>
      <c r="Z963">
        <v>22</v>
      </c>
      <c r="AA963">
        <v>442</v>
      </c>
      <c r="AB963" t="s">
        <v>47</v>
      </c>
      <c r="AC963">
        <v>0.441</v>
      </c>
      <c r="AD963">
        <v>861</v>
      </c>
      <c r="AE963" t="s">
        <v>48</v>
      </c>
      <c r="AF963">
        <v>0.86</v>
      </c>
      <c r="AG963">
        <v>927</v>
      </c>
      <c r="AH963" t="s">
        <v>49</v>
      </c>
      <c r="AI963">
        <v>0.92600000000000005</v>
      </c>
      <c r="AJ963" t="s">
        <v>1141</v>
      </c>
    </row>
    <row r="964" spans="1:36" x14ac:dyDescent="0.25">
      <c r="A964" t="s">
        <v>853</v>
      </c>
      <c r="B964">
        <v>874102450</v>
      </c>
      <c r="C964" t="s">
        <v>854</v>
      </c>
      <c r="D964" t="s">
        <v>854</v>
      </c>
      <c r="E964" t="s">
        <v>37</v>
      </c>
      <c r="F964" t="s">
        <v>71</v>
      </c>
      <c r="I964" t="s">
        <v>39</v>
      </c>
      <c r="J964" t="s">
        <v>40</v>
      </c>
      <c r="K964" t="s">
        <v>41</v>
      </c>
      <c r="L964" t="s">
        <v>234</v>
      </c>
      <c r="M964" t="s">
        <v>339</v>
      </c>
      <c r="N964" t="s">
        <v>43</v>
      </c>
      <c r="O964" t="s">
        <v>459</v>
      </c>
      <c r="P964">
        <v>117</v>
      </c>
      <c r="Q964">
        <v>117</v>
      </c>
      <c r="R964">
        <v>1</v>
      </c>
      <c r="S964" t="s">
        <v>45</v>
      </c>
      <c r="T964">
        <v>0</v>
      </c>
      <c r="U964">
        <v>839</v>
      </c>
      <c r="V964" t="s">
        <v>113</v>
      </c>
      <c r="W964">
        <v>0.83799999999999997</v>
      </c>
      <c r="X964">
        <v>22001</v>
      </c>
      <c r="Y964" t="s">
        <v>47</v>
      </c>
      <c r="Z964">
        <v>22</v>
      </c>
      <c r="AA964">
        <v>442</v>
      </c>
      <c r="AB964" t="s">
        <v>47</v>
      </c>
      <c r="AC964">
        <v>0.441</v>
      </c>
      <c r="AD964">
        <v>861</v>
      </c>
      <c r="AE964" t="s">
        <v>48</v>
      </c>
      <c r="AF964">
        <v>0.86</v>
      </c>
      <c r="AG964">
        <v>927</v>
      </c>
      <c r="AH964" t="s">
        <v>49</v>
      </c>
      <c r="AI964">
        <v>0.92600000000000005</v>
      </c>
      <c r="AJ964" t="s">
        <v>1153</v>
      </c>
    </row>
    <row r="965" spans="1:36" x14ac:dyDescent="0.25">
      <c r="A965" t="s">
        <v>853</v>
      </c>
      <c r="B965">
        <v>874102450</v>
      </c>
      <c r="C965" t="s">
        <v>854</v>
      </c>
      <c r="D965" t="s">
        <v>854</v>
      </c>
      <c r="E965" t="s">
        <v>37</v>
      </c>
      <c r="F965" t="s">
        <v>71</v>
      </c>
      <c r="I965" t="s">
        <v>39</v>
      </c>
      <c r="J965" t="s">
        <v>40</v>
      </c>
      <c r="K965" t="s">
        <v>41</v>
      </c>
      <c r="L965" t="s">
        <v>234</v>
      </c>
      <c r="M965" t="s">
        <v>339</v>
      </c>
      <c r="N965" t="s">
        <v>43</v>
      </c>
      <c r="O965" t="s">
        <v>459</v>
      </c>
      <c r="P965">
        <v>117</v>
      </c>
      <c r="Q965">
        <v>117</v>
      </c>
      <c r="R965">
        <v>1</v>
      </c>
      <c r="S965" t="s">
        <v>45</v>
      </c>
      <c r="T965">
        <v>0</v>
      </c>
      <c r="U965">
        <v>839</v>
      </c>
      <c r="V965" t="s">
        <v>113</v>
      </c>
      <c r="W965">
        <v>0.83799999999999997</v>
      </c>
      <c r="X965">
        <v>22001</v>
      </c>
      <c r="Y965" t="s">
        <v>47</v>
      </c>
      <c r="Z965">
        <v>22</v>
      </c>
      <c r="AA965">
        <v>442</v>
      </c>
      <c r="AB965" t="s">
        <v>47</v>
      </c>
      <c r="AC965">
        <v>0.441</v>
      </c>
      <c r="AD965">
        <v>861</v>
      </c>
      <c r="AE965" t="s">
        <v>48</v>
      </c>
      <c r="AF965">
        <v>0.86</v>
      </c>
      <c r="AG965">
        <v>927</v>
      </c>
      <c r="AH965" t="s">
        <v>49</v>
      </c>
      <c r="AI965">
        <v>0.92600000000000005</v>
      </c>
      <c r="AJ965" t="s">
        <v>1154</v>
      </c>
    </row>
    <row r="966" spans="1:36" x14ac:dyDescent="0.25">
      <c r="A966" t="s">
        <v>853</v>
      </c>
      <c r="B966">
        <v>874102450</v>
      </c>
      <c r="C966" t="s">
        <v>854</v>
      </c>
      <c r="D966" t="s">
        <v>854</v>
      </c>
      <c r="E966" t="s">
        <v>37</v>
      </c>
      <c r="F966" t="s">
        <v>71</v>
      </c>
      <c r="I966" t="s">
        <v>39</v>
      </c>
      <c r="J966" t="s">
        <v>40</v>
      </c>
      <c r="K966" t="s">
        <v>41</v>
      </c>
      <c r="L966" t="s">
        <v>234</v>
      </c>
      <c r="M966" t="s">
        <v>339</v>
      </c>
      <c r="N966" t="s">
        <v>43</v>
      </c>
      <c r="O966" t="s">
        <v>459</v>
      </c>
      <c r="P966">
        <v>117</v>
      </c>
      <c r="Q966">
        <v>117</v>
      </c>
      <c r="S966" t="s">
        <v>39</v>
      </c>
      <c r="V966" t="s">
        <v>39</v>
      </c>
      <c r="X966">
        <v>22001</v>
      </c>
      <c r="Y966" t="s">
        <v>47</v>
      </c>
      <c r="Z966">
        <v>22</v>
      </c>
      <c r="AA966">
        <v>442</v>
      </c>
      <c r="AB966" t="s">
        <v>47</v>
      </c>
      <c r="AC966">
        <v>0.441</v>
      </c>
      <c r="AD966">
        <v>861</v>
      </c>
      <c r="AE966" t="s">
        <v>48</v>
      </c>
      <c r="AF966">
        <v>0.86</v>
      </c>
      <c r="AG966">
        <v>927</v>
      </c>
      <c r="AH966" t="s">
        <v>49</v>
      </c>
      <c r="AI966">
        <v>0.92600000000000005</v>
      </c>
      <c r="AJ966" t="s">
        <v>1155</v>
      </c>
    </row>
    <row r="967" spans="1:36" x14ac:dyDescent="0.25">
      <c r="A967" t="s">
        <v>853</v>
      </c>
      <c r="B967">
        <v>874102450</v>
      </c>
      <c r="C967" t="s">
        <v>854</v>
      </c>
      <c r="D967" t="s">
        <v>854</v>
      </c>
      <c r="E967" t="s">
        <v>37</v>
      </c>
      <c r="F967" t="s">
        <v>71</v>
      </c>
      <c r="I967" t="s">
        <v>39</v>
      </c>
      <c r="J967" t="s">
        <v>40</v>
      </c>
      <c r="K967" t="s">
        <v>41</v>
      </c>
      <c r="L967" t="s">
        <v>234</v>
      </c>
      <c r="M967" t="s">
        <v>339</v>
      </c>
      <c r="N967" t="s">
        <v>43</v>
      </c>
      <c r="O967" t="s">
        <v>459</v>
      </c>
      <c r="P967">
        <v>117</v>
      </c>
      <c r="Q967">
        <v>117</v>
      </c>
      <c r="S967" t="s">
        <v>39</v>
      </c>
      <c r="V967" t="s">
        <v>39</v>
      </c>
      <c r="X967">
        <v>22001</v>
      </c>
      <c r="Y967" t="s">
        <v>47</v>
      </c>
      <c r="Z967">
        <v>22</v>
      </c>
      <c r="AA967">
        <v>442</v>
      </c>
      <c r="AB967" t="s">
        <v>47</v>
      </c>
      <c r="AC967">
        <v>0.441</v>
      </c>
      <c r="AD967">
        <v>861</v>
      </c>
      <c r="AE967" t="s">
        <v>48</v>
      </c>
      <c r="AF967">
        <v>0.86</v>
      </c>
      <c r="AG967">
        <v>927</v>
      </c>
      <c r="AH967" t="s">
        <v>49</v>
      </c>
      <c r="AI967">
        <v>0.92600000000000005</v>
      </c>
      <c r="AJ967" t="s">
        <v>1156</v>
      </c>
    </row>
    <row r="968" spans="1:36" x14ac:dyDescent="0.25">
      <c r="A968" t="s">
        <v>851</v>
      </c>
      <c r="B968">
        <v>855427576</v>
      </c>
      <c r="C968" t="s">
        <v>852</v>
      </c>
      <c r="D968" t="s">
        <v>852</v>
      </c>
      <c r="E968" t="s">
        <v>37</v>
      </c>
      <c r="F968" t="s">
        <v>291</v>
      </c>
      <c r="I968" t="s">
        <v>39</v>
      </c>
      <c r="J968" t="s">
        <v>40</v>
      </c>
      <c r="K968" t="s">
        <v>41</v>
      </c>
      <c r="L968" t="s">
        <v>286</v>
      </c>
      <c r="M968" t="s">
        <v>47</v>
      </c>
      <c r="N968" t="s">
        <v>43</v>
      </c>
      <c r="O968" t="s">
        <v>378</v>
      </c>
      <c r="P968">
        <v>119</v>
      </c>
      <c r="Q968">
        <v>119</v>
      </c>
      <c r="R968">
        <v>1</v>
      </c>
      <c r="S968" t="s">
        <v>45</v>
      </c>
      <c r="T968">
        <v>0</v>
      </c>
      <c r="U968">
        <v>800</v>
      </c>
      <c r="V968" t="s">
        <v>113</v>
      </c>
      <c r="W968">
        <v>0.79900000000000004</v>
      </c>
      <c r="X968">
        <v>22001</v>
      </c>
      <c r="Y968" t="s">
        <v>47</v>
      </c>
      <c r="Z968">
        <v>22</v>
      </c>
      <c r="AA968">
        <v>539</v>
      </c>
      <c r="AB968" t="s">
        <v>75</v>
      </c>
      <c r="AC968">
        <v>0.53800000000000003</v>
      </c>
      <c r="AD968">
        <v>739</v>
      </c>
      <c r="AE968" t="s">
        <v>48</v>
      </c>
      <c r="AF968">
        <v>0.73799999999999999</v>
      </c>
      <c r="AG968">
        <v>863</v>
      </c>
      <c r="AH968" t="s">
        <v>49</v>
      </c>
      <c r="AI968">
        <v>0.86199999999999999</v>
      </c>
      <c r="AJ968" t="s">
        <v>50</v>
      </c>
    </row>
    <row r="969" spans="1:36" x14ac:dyDescent="0.25">
      <c r="A969" t="s">
        <v>851</v>
      </c>
      <c r="B969">
        <v>855427576</v>
      </c>
      <c r="C969" t="s">
        <v>852</v>
      </c>
      <c r="D969" t="s">
        <v>852</v>
      </c>
      <c r="E969" t="s">
        <v>65</v>
      </c>
      <c r="F969" t="s">
        <v>291</v>
      </c>
      <c r="I969" t="s">
        <v>39</v>
      </c>
      <c r="J969" t="s">
        <v>40</v>
      </c>
      <c r="K969" t="s">
        <v>41</v>
      </c>
      <c r="L969" t="s">
        <v>286</v>
      </c>
      <c r="M969" t="s">
        <v>47</v>
      </c>
      <c r="N969" t="s">
        <v>43</v>
      </c>
      <c r="O969" t="s">
        <v>71</v>
      </c>
      <c r="P969">
        <v>119</v>
      </c>
      <c r="Q969">
        <v>119</v>
      </c>
      <c r="R969">
        <v>61</v>
      </c>
      <c r="S969" t="s">
        <v>56</v>
      </c>
      <c r="T969">
        <v>0.06</v>
      </c>
      <c r="U969">
        <v>309</v>
      </c>
      <c r="V969" t="s">
        <v>55</v>
      </c>
      <c r="W969">
        <v>0.308</v>
      </c>
      <c r="X969">
        <v>17001</v>
      </c>
      <c r="Y969" t="s">
        <v>47</v>
      </c>
      <c r="Z969">
        <v>17</v>
      </c>
      <c r="AA969">
        <v>339</v>
      </c>
      <c r="AB969" t="s">
        <v>47</v>
      </c>
      <c r="AC969">
        <v>0.33800000000000002</v>
      </c>
      <c r="AD969">
        <v>507</v>
      </c>
      <c r="AE969" t="s">
        <v>48</v>
      </c>
      <c r="AF969">
        <v>0.50600000000000001</v>
      </c>
      <c r="AG969">
        <v>457</v>
      </c>
      <c r="AH969" t="s">
        <v>57</v>
      </c>
      <c r="AI969">
        <v>0.45600000000000002</v>
      </c>
      <c r="AJ969" t="s">
        <v>50</v>
      </c>
    </row>
    <row r="970" spans="1:36" x14ac:dyDescent="0.25">
      <c r="A970" t="s">
        <v>851</v>
      </c>
      <c r="B970">
        <v>855427576</v>
      </c>
      <c r="C970" t="s">
        <v>852</v>
      </c>
      <c r="D970" t="s">
        <v>852</v>
      </c>
      <c r="E970" t="s">
        <v>60</v>
      </c>
      <c r="F970" t="s">
        <v>291</v>
      </c>
      <c r="I970" t="s">
        <v>39</v>
      </c>
      <c r="J970" t="s">
        <v>40</v>
      </c>
      <c r="K970" t="s">
        <v>41</v>
      </c>
      <c r="L970" t="s">
        <v>286</v>
      </c>
      <c r="M970" t="s">
        <v>47</v>
      </c>
      <c r="N970" t="s">
        <v>43</v>
      </c>
      <c r="O970" t="s">
        <v>547</v>
      </c>
      <c r="P970">
        <v>119</v>
      </c>
      <c r="Q970">
        <v>119</v>
      </c>
      <c r="R970">
        <v>11</v>
      </c>
      <c r="S970" t="s">
        <v>45</v>
      </c>
      <c r="T970">
        <v>0.01</v>
      </c>
      <c r="U970">
        <v>987</v>
      </c>
      <c r="V970" t="s">
        <v>46</v>
      </c>
      <c r="W970">
        <v>0.98599999999999999</v>
      </c>
      <c r="X970">
        <v>22001</v>
      </c>
      <c r="Y970" t="s">
        <v>47</v>
      </c>
      <c r="Z970">
        <v>22</v>
      </c>
      <c r="AA970">
        <v>526</v>
      </c>
      <c r="AB970" t="s">
        <v>75</v>
      </c>
      <c r="AC970">
        <v>0.52500000000000002</v>
      </c>
      <c r="AD970">
        <v>717</v>
      </c>
      <c r="AE970" t="s">
        <v>48</v>
      </c>
      <c r="AF970">
        <v>0.71599999999999997</v>
      </c>
      <c r="AG970">
        <v>725</v>
      </c>
      <c r="AH970" t="s">
        <v>49</v>
      </c>
      <c r="AI970">
        <v>0.72399999999999998</v>
      </c>
      <c r="AJ970" t="s">
        <v>50</v>
      </c>
    </row>
    <row r="971" spans="1:36" x14ac:dyDescent="0.25">
      <c r="A971" t="s">
        <v>851</v>
      </c>
      <c r="B971">
        <v>855427576</v>
      </c>
      <c r="C971" t="s">
        <v>852</v>
      </c>
      <c r="D971" t="s">
        <v>852</v>
      </c>
      <c r="E971" t="s">
        <v>37</v>
      </c>
      <c r="F971" t="s">
        <v>291</v>
      </c>
      <c r="I971" t="s">
        <v>39</v>
      </c>
      <c r="J971" t="s">
        <v>40</v>
      </c>
      <c r="K971" t="s">
        <v>41</v>
      </c>
      <c r="L971" t="s">
        <v>286</v>
      </c>
      <c r="M971" t="s">
        <v>47</v>
      </c>
      <c r="N971" t="s">
        <v>43</v>
      </c>
      <c r="O971" t="s">
        <v>378</v>
      </c>
      <c r="P971">
        <v>119</v>
      </c>
      <c r="Q971">
        <v>119</v>
      </c>
      <c r="R971">
        <v>11</v>
      </c>
      <c r="S971" t="s">
        <v>45</v>
      </c>
      <c r="T971">
        <v>0.01</v>
      </c>
      <c r="U971">
        <v>209</v>
      </c>
      <c r="V971" t="s">
        <v>55</v>
      </c>
      <c r="W971">
        <v>0.20799999999999999</v>
      </c>
      <c r="X971">
        <v>22001</v>
      </c>
      <c r="Y971" t="s">
        <v>47</v>
      </c>
      <c r="Z971">
        <v>22</v>
      </c>
      <c r="AA971">
        <v>539</v>
      </c>
      <c r="AB971" t="s">
        <v>75</v>
      </c>
      <c r="AC971">
        <v>0.53800000000000003</v>
      </c>
      <c r="AD971">
        <v>739</v>
      </c>
      <c r="AE971" t="s">
        <v>48</v>
      </c>
      <c r="AF971">
        <v>0.73799999999999999</v>
      </c>
      <c r="AG971">
        <v>863</v>
      </c>
      <c r="AH971" t="s">
        <v>49</v>
      </c>
      <c r="AI971">
        <v>0.86199999999999999</v>
      </c>
      <c r="AJ971" t="s">
        <v>1141</v>
      </c>
    </row>
    <row r="972" spans="1:36" x14ac:dyDescent="0.25">
      <c r="A972" t="s">
        <v>851</v>
      </c>
      <c r="B972">
        <v>855427576</v>
      </c>
      <c r="C972" t="s">
        <v>852</v>
      </c>
      <c r="D972" t="s">
        <v>852</v>
      </c>
      <c r="E972" t="s">
        <v>65</v>
      </c>
      <c r="F972" t="s">
        <v>291</v>
      </c>
      <c r="I972" t="s">
        <v>39</v>
      </c>
      <c r="J972" t="s">
        <v>40</v>
      </c>
      <c r="K972" t="s">
        <v>41</v>
      </c>
      <c r="L972" t="s">
        <v>286</v>
      </c>
      <c r="M972" t="s">
        <v>47</v>
      </c>
      <c r="N972" t="s">
        <v>43</v>
      </c>
      <c r="O972" t="s">
        <v>71</v>
      </c>
      <c r="P972">
        <v>119</v>
      </c>
      <c r="Q972">
        <v>119</v>
      </c>
      <c r="R972">
        <v>111</v>
      </c>
      <c r="S972" t="s">
        <v>56</v>
      </c>
      <c r="T972">
        <v>0.11</v>
      </c>
      <c r="U972">
        <v>12</v>
      </c>
      <c r="V972" t="s">
        <v>55</v>
      </c>
      <c r="W972">
        <v>1.0999999999999999E-2</v>
      </c>
      <c r="X972">
        <v>17001</v>
      </c>
      <c r="Y972" t="s">
        <v>47</v>
      </c>
      <c r="Z972">
        <v>17</v>
      </c>
      <c r="AA972">
        <v>339</v>
      </c>
      <c r="AB972" t="s">
        <v>47</v>
      </c>
      <c r="AC972">
        <v>0.33800000000000002</v>
      </c>
      <c r="AD972">
        <v>507</v>
      </c>
      <c r="AE972" t="s">
        <v>48</v>
      </c>
      <c r="AF972">
        <v>0.50600000000000001</v>
      </c>
      <c r="AG972">
        <v>457</v>
      </c>
      <c r="AH972" t="s">
        <v>57</v>
      </c>
      <c r="AI972">
        <v>0.45600000000000002</v>
      </c>
      <c r="AJ972" t="s">
        <v>1141</v>
      </c>
    </row>
    <row r="973" spans="1:36" x14ac:dyDescent="0.25">
      <c r="A973" t="s">
        <v>851</v>
      </c>
      <c r="B973">
        <v>855427576</v>
      </c>
      <c r="C973" t="s">
        <v>852</v>
      </c>
      <c r="D973" t="s">
        <v>852</v>
      </c>
      <c r="E973" t="s">
        <v>60</v>
      </c>
      <c r="F973" t="s">
        <v>291</v>
      </c>
      <c r="I973" t="s">
        <v>39</v>
      </c>
      <c r="J973" t="s">
        <v>40</v>
      </c>
      <c r="K973" t="s">
        <v>41</v>
      </c>
      <c r="L973" t="s">
        <v>286</v>
      </c>
      <c r="M973" t="s">
        <v>47</v>
      </c>
      <c r="N973" t="s">
        <v>43</v>
      </c>
      <c r="O973" t="s">
        <v>547</v>
      </c>
      <c r="P973">
        <v>119</v>
      </c>
      <c r="Q973">
        <v>119</v>
      </c>
      <c r="R973">
        <v>61</v>
      </c>
      <c r="S973" t="s">
        <v>56</v>
      </c>
      <c r="T973">
        <v>0.06</v>
      </c>
      <c r="U973">
        <v>838</v>
      </c>
      <c r="V973" t="s">
        <v>113</v>
      </c>
      <c r="W973">
        <v>0.83699999999999997</v>
      </c>
      <c r="X973">
        <v>22001</v>
      </c>
      <c r="Y973" t="s">
        <v>47</v>
      </c>
      <c r="Z973">
        <v>22</v>
      </c>
      <c r="AA973">
        <v>526</v>
      </c>
      <c r="AB973" t="s">
        <v>75</v>
      </c>
      <c r="AC973">
        <v>0.52500000000000002</v>
      </c>
      <c r="AD973">
        <v>717</v>
      </c>
      <c r="AE973" t="s">
        <v>48</v>
      </c>
      <c r="AF973">
        <v>0.71599999999999997</v>
      </c>
      <c r="AG973">
        <v>725</v>
      </c>
      <c r="AH973" t="s">
        <v>49</v>
      </c>
      <c r="AI973">
        <v>0.72399999999999998</v>
      </c>
      <c r="AJ973" t="s">
        <v>1141</v>
      </c>
    </row>
    <row r="974" spans="1:36" x14ac:dyDescent="0.25">
      <c r="A974" t="s">
        <v>851</v>
      </c>
      <c r="B974">
        <v>855427576</v>
      </c>
      <c r="C974" t="s">
        <v>852</v>
      </c>
      <c r="D974" t="s">
        <v>852</v>
      </c>
      <c r="E974" t="s">
        <v>37</v>
      </c>
      <c r="F974" t="s">
        <v>291</v>
      </c>
      <c r="I974" t="s">
        <v>39</v>
      </c>
      <c r="J974" t="s">
        <v>40</v>
      </c>
      <c r="K974" t="s">
        <v>41</v>
      </c>
      <c r="L974" t="s">
        <v>286</v>
      </c>
      <c r="M974" t="s">
        <v>47</v>
      </c>
      <c r="N974" t="s">
        <v>43</v>
      </c>
      <c r="O974" t="s">
        <v>378</v>
      </c>
      <c r="P974">
        <v>119</v>
      </c>
      <c r="Q974">
        <v>119</v>
      </c>
      <c r="R974">
        <v>1</v>
      </c>
      <c r="S974" t="s">
        <v>45</v>
      </c>
      <c r="T974">
        <v>0</v>
      </c>
      <c r="U974">
        <v>800</v>
      </c>
      <c r="V974" t="s">
        <v>113</v>
      </c>
      <c r="W974">
        <v>0.79900000000000004</v>
      </c>
      <c r="X974">
        <v>22001</v>
      </c>
      <c r="Y974" t="s">
        <v>47</v>
      </c>
      <c r="Z974">
        <v>22</v>
      </c>
      <c r="AA974">
        <v>539</v>
      </c>
      <c r="AB974" t="s">
        <v>75</v>
      </c>
      <c r="AC974">
        <v>0.53800000000000003</v>
      </c>
      <c r="AD974">
        <v>739</v>
      </c>
      <c r="AE974" t="s">
        <v>48</v>
      </c>
      <c r="AF974">
        <v>0.73799999999999999</v>
      </c>
      <c r="AG974">
        <v>863</v>
      </c>
      <c r="AH974" t="s">
        <v>49</v>
      </c>
      <c r="AI974">
        <v>0.86199999999999999</v>
      </c>
      <c r="AJ974" t="s">
        <v>1153</v>
      </c>
    </row>
    <row r="975" spans="1:36" x14ac:dyDescent="0.25">
      <c r="A975" t="s">
        <v>851</v>
      </c>
      <c r="B975">
        <v>855427576</v>
      </c>
      <c r="C975" t="s">
        <v>852</v>
      </c>
      <c r="D975" t="s">
        <v>852</v>
      </c>
      <c r="E975" t="s">
        <v>65</v>
      </c>
      <c r="F975" t="s">
        <v>291</v>
      </c>
      <c r="I975" t="s">
        <v>39</v>
      </c>
      <c r="J975" t="s">
        <v>40</v>
      </c>
      <c r="K975" t="s">
        <v>41</v>
      </c>
      <c r="L975" t="s">
        <v>286</v>
      </c>
      <c r="M975" t="s">
        <v>47</v>
      </c>
      <c r="N975" t="s">
        <v>43</v>
      </c>
      <c r="O975" t="s">
        <v>71</v>
      </c>
      <c r="P975">
        <v>119</v>
      </c>
      <c r="Q975">
        <v>119</v>
      </c>
      <c r="R975">
        <v>61</v>
      </c>
      <c r="S975" t="s">
        <v>56</v>
      </c>
      <c r="T975">
        <v>0.06</v>
      </c>
      <c r="U975">
        <v>309</v>
      </c>
      <c r="V975" t="s">
        <v>55</v>
      </c>
      <c r="W975">
        <v>0.308</v>
      </c>
      <c r="X975">
        <v>17001</v>
      </c>
      <c r="Y975" t="s">
        <v>47</v>
      </c>
      <c r="Z975">
        <v>17</v>
      </c>
      <c r="AA975">
        <v>339</v>
      </c>
      <c r="AB975" t="s">
        <v>47</v>
      </c>
      <c r="AC975">
        <v>0.33800000000000002</v>
      </c>
      <c r="AD975">
        <v>507</v>
      </c>
      <c r="AE975" t="s">
        <v>48</v>
      </c>
      <c r="AF975">
        <v>0.50600000000000001</v>
      </c>
      <c r="AG975">
        <v>457</v>
      </c>
      <c r="AH975" t="s">
        <v>57</v>
      </c>
      <c r="AI975">
        <v>0.45600000000000002</v>
      </c>
      <c r="AJ975" t="s">
        <v>1153</v>
      </c>
    </row>
    <row r="976" spans="1:36" x14ac:dyDescent="0.25">
      <c r="A976" t="s">
        <v>851</v>
      </c>
      <c r="B976">
        <v>855427576</v>
      </c>
      <c r="C976" t="s">
        <v>852</v>
      </c>
      <c r="D976" t="s">
        <v>852</v>
      </c>
      <c r="E976" t="s">
        <v>60</v>
      </c>
      <c r="F976" t="s">
        <v>291</v>
      </c>
      <c r="I976" t="s">
        <v>39</v>
      </c>
      <c r="J976" t="s">
        <v>40</v>
      </c>
      <c r="K976" t="s">
        <v>41</v>
      </c>
      <c r="L976" t="s">
        <v>286</v>
      </c>
      <c r="M976" t="s">
        <v>47</v>
      </c>
      <c r="N976" t="s">
        <v>43</v>
      </c>
      <c r="O976" t="s">
        <v>547</v>
      </c>
      <c r="P976">
        <v>119</v>
      </c>
      <c r="Q976">
        <v>119</v>
      </c>
      <c r="R976">
        <v>11</v>
      </c>
      <c r="S976" t="s">
        <v>45</v>
      </c>
      <c r="T976">
        <v>0.01</v>
      </c>
      <c r="U976">
        <v>987</v>
      </c>
      <c r="V976" t="s">
        <v>46</v>
      </c>
      <c r="W976">
        <v>0.98599999999999999</v>
      </c>
      <c r="X976">
        <v>22001</v>
      </c>
      <c r="Y976" t="s">
        <v>47</v>
      </c>
      <c r="Z976">
        <v>22</v>
      </c>
      <c r="AA976">
        <v>526</v>
      </c>
      <c r="AB976" t="s">
        <v>75</v>
      </c>
      <c r="AC976">
        <v>0.52500000000000002</v>
      </c>
      <c r="AD976">
        <v>717</v>
      </c>
      <c r="AE976" t="s">
        <v>48</v>
      </c>
      <c r="AF976">
        <v>0.71599999999999997</v>
      </c>
      <c r="AG976">
        <v>725</v>
      </c>
      <c r="AH976" t="s">
        <v>49</v>
      </c>
      <c r="AI976">
        <v>0.72399999999999998</v>
      </c>
      <c r="AJ976" t="s">
        <v>1153</v>
      </c>
    </row>
    <row r="977" spans="1:36" x14ac:dyDescent="0.25">
      <c r="A977" t="s">
        <v>851</v>
      </c>
      <c r="B977">
        <v>855427576</v>
      </c>
      <c r="C977" t="s">
        <v>852</v>
      </c>
      <c r="D977" t="s">
        <v>852</v>
      </c>
      <c r="E977" t="s">
        <v>37</v>
      </c>
      <c r="F977" t="s">
        <v>291</v>
      </c>
      <c r="I977" t="s">
        <v>39</v>
      </c>
      <c r="J977" t="s">
        <v>40</v>
      </c>
      <c r="K977" t="s">
        <v>41</v>
      </c>
      <c r="L977" t="s">
        <v>286</v>
      </c>
      <c r="M977" t="s">
        <v>47</v>
      </c>
      <c r="N977" t="s">
        <v>43</v>
      </c>
      <c r="O977" t="s">
        <v>378</v>
      </c>
      <c r="P977">
        <v>119</v>
      </c>
      <c r="Q977">
        <v>119</v>
      </c>
      <c r="R977">
        <v>1</v>
      </c>
      <c r="S977" t="s">
        <v>45</v>
      </c>
      <c r="T977">
        <v>0</v>
      </c>
      <c r="U977">
        <v>800</v>
      </c>
      <c r="V977" t="s">
        <v>113</v>
      </c>
      <c r="W977">
        <v>0.79900000000000004</v>
      </c>
      <c r="X977">
        <v>22001</v>
      </c>
      <c r="Y977" t="s">
        <v>47</v>
      </c>
      <c r="Z977">
        <v>22</v>
      </c>
      <c r="AA977">
        <v>539</v>
      </c>
      <c r="AB977" t="s">
        <v>75</v>
      </c>
      <c r="AC977">
        <v>0.53800000000000003</v>
      </c>
      <c r="AD977">
        <v>739</v>
      </c>
      <c r="AE977" t="s">
        <v>48</v>
      </c>
      <c r="AF977">
        <v>0.73799999999999999</v>
      </c>
      <c r="AG977">
        <v>863</v>
      </c>
      <c r="AH977" t="s">
        <v>49</v>
      </c>
      <c r="AI977">
        <v>0.86199999999999999</v>
      </c>
      <c r="AJ977" t="s">
        <v>1154</v>
      </c>
    </row>
    <row r="978" spans="1:36" x14ac:dyDescent="0.25">
      <c r="A978" t="s">
        <v>851</v>
      </c>
      <c r="B978">
        <v>855427576</v>
      </c>
      <c r="C978" t="s">
        <v>852</v>
      </c>
      <c r="D978" t="s">
        <v>852</v>
      </c>
      <c r="E978" t="s">
        <v>65</v>
      </c>
      <c r="F978" t="s">
        <v>291</v>
      </c>
      <c r="I978" t="s">
        <v>39</v>
      </c>
      <c r="J978" t="s">
        <v>40</v>
      </c>
      <c r="K978" t="s">
        <v>41</v>
      </c>
      <c r="L978" t="s">
        <v>286</v>
      </c>
      <c r="M978" t="s">
        <v>47</v>
      </c>
      <c r="N978" t="s">
        <v>43</v>
      </c>
      <c r="O978" t="s">
        <v>71</v>
      </c>
      <c r="P978">
        <v>119</v>
      </c>
      <c r="Q978">
        <v>119</v>
      </c>
      <c r="R978">
        <v>61</v>
      </c>
      <c r="S978" t="s">
        <v>56</v>
      </c>
      <c r="T978">
        <v>0.06</v>
      </c>
      <c r="U978">
        <v>309</v>
      </c>
      <c r="V978" t="s">
        <v>55</v>
      </c>
      <c r="W978">
        <v>0.308</v>
      </c>
      <c r="X978">
        <v>17001</v>
      </c>
      <c r="Y978" t="s">
        <v>47</v>
      </c>
      <c r="Z978">
        <v>17</v>
      </c>
      <c r="AA978">
        <v>339</v>
      </c>
      <c r="AB978" t="s">
        <v>47</v>
      </c>
      <c r="AC978">
        <v>0.33800000000000002</v>
      </c>
      <c r="AD978">
        <v>507</v>
      </c>
      <c r="AE978" t="s">
        <v>48</v>
      </c>
      <c r="AF978">
        <v>0.50600000000000001</v>
      </c>
      <c r="AG978">
        <v>457</v>
      </c>
      <c r="AH978" t="s">
        <v>57</v>
      </c>
      <c r="AI978">
        <v>0.45600000000000002</v>
      </c>
      <c r="AJ978" t="s">
        <v>1154</v>
      </c>
    </row>
    <row r="979" spans="1:36" x14ac:dyDescent="0.25">
      <c r="A979" t="s">
        <v>851</v>
      </c>
      <c r="B979">
        <v>855427576</v>
      </c>
      <c r="C979" t="s">
        <v>852</v>
      </c>
      <c r="D979" t="s">
        <v>852</v>
      </c>
      <c r="E979" t="s">
        <v>60</v>
      </c>
      <c r="F979" t="s">
        <v>291</v>
      </c>
      <c r="I979" t="s">
        <v>39</v>
      </c>
      <c r="J979" t="s">
        <v>40</v>
      </c>
      <c r="K979" t="s">
        <v>41</v>
      </c>
      <c r="L979" t="s">
        <v>286</v>
      </c>
      <c r="M979" t="s">
        <v>47</v>
      </c>
      <c r="N979" t="s">
        <v>43</v>
      </c>
      <c r="O979" t="s">
        <v>547</v>
      </c>
      <c r="P979">
        <v>119</v>
      </c>
      <c r="Q979">
        <v>119</v>
      </c>
      <c r="R979">
        <v>11</v>
      </c>
      <c r="S979" t="s">
        <v>45</v>
      </c>
      <c r="T979">
        <v>0.01</v>
      </c>
      <c r="U979">
        <v>987</v>
      </c>
      <c r="V979" t="s">
        <v>46</v>
      </c>
      <c r="W979">
        <v>0.98599999999999999</v>
      </c>
      <c r="X979">
        <v>22001</v>
      </c>
      <c r="Y979" t="s">
        <v>47</v>
      </c>
      <c r="Z979">
        <v>22</v>
      </c>
      <c r="AA979">
        <v>526</v>
      </c>
      <c r="AB979" t="s">
        <v>75</v>
      </c>
      <c r="AC979">
        <v>0.52500000000000002</v>
      </c>
      <c r="AD979">
        <v>717</v>
      </c>
      <c r="AE979" t="s">
        <v>48</v>
      </c>
      <c r="AF979">
        <v>0.71599999999999997</v>
      </c>
      <c r="AG979">
        <v>725</v>
      </c>
      <c r="AH979" t="s">
        <v>49</v>
      </c>
      <c r="AI979">
        <v>0.72399999999999998</v>
      </c>
      <c r="AJ979" t="s">
        <v>1154</v>
      </c>
    </row>
    <row r="980" spans="1:36" x14ac:dyDescent="0.25">
      <c r="A980" t="s">
        <v>851</v>
      </c>
      <c r="B980">
        <v>855427576</v>
      </c>
      <c r="C980" t="s">
        <v>852</v>
      </c>
      <c r="D980" t="s">
        <v>852</v>
      </c>
      <c r="E980" t="s">
        <v>37</v>
      </c>
      <c r="F980" t="s">
        <v>291</v>
      </c>
      <c r="I980" t="s">
        <v>39</v>
      </c>
      <c r="J980" t="s">
        <v>40</v>
      </c>
      <c r="K980" t="s">
        <v>41</v>
      </c>
      <c r="L980" t="s">
        <v>286</v>
      </c>
      <c r="M980" t="s">
        <v>47</v>
      </c>
      <c r="N980" t="s">
        <v>43</v>
      </c>
      <c r="O980" t="s">
        <v>378</v>
      </c>
      <c r="P980">
        <v>119</v>
      </c>
      <c r="Q980">
        <v>119</v>
      </c>
      <c r="S980" t="s">
        <v>39</v>
      </c>
      <c r="V980" t="s">
        <v>39</v>
      </c>
      <c r="X980">
        <v>22001</v>
      </c>
      <c r="Y980" t="s">
        <v>47</v>
      </c>
      <c r="Z980">
        <v>22</v>
      </c>
      <c r="AA980">
        <v>539</v>
      </c>
      <c r="AB980" t="s">
        <v>75</v>
      </c>
      <c r="AC980">
        <v>0.53800000000000003</v>
      </c>
      <c r="AD980">
        <v>739</v>
      </c>
      <c r="AE980" t="s">
        <v>48</v>
      </c>
      <c r="AF980">
        <v>0.73799999999999999</v>
      </c>
      <c r="AG980">
        <v>863</v>
      </c>
      <c r="AH980" t="s">
        <v>49</v>
      </c>
      <c r="AI980">
        <v>0.86199999999999999</v>
      </c>
      <c r="AJ980" t="s">
        <v>1155</v>
      </c>
    </row>
    <row r="981" spans="1:36" x14ac:dyDescent="0.25">
      <c r="A981" t="s">
        <v>851</v>
      </c>
      <c r="B981">
        <v>855427576</v>
      </c>
      <c r="C981" t="s">
        <v>852</v>
      </c>
      <c r="D981" t="s">
        <v>852</v>
      </c>
      <c r="E981" t="s">
        <v>65</v>
      </c>
      <c r="F981" t="s">
        <v>291</v>
      </c>
      <c r="I981" t="s">
        <v>39</v>
      </c>
      <c r="J981" t="s">
        <v>40</v>
      </c>
      <c r="K981" t="s">
        <v>41</v>
      </c>
      <c r="L981" t="s">
        <v>286</v>
      </c>
      <c r="M981" t="s">
        <v>47</v>
      </c>
      <c r="N981" t="s">
        <v>43</v>
      </c>
      <c r="O981" t="s">
        <v>71</v>
      </c>
      <c r="P981">
        <v>119</v>
      </c>
      <c r="Q981">
        <v>119</v>
      </c>
      <c r="S981" t="s">
        <v>39</v>
      </c>
      <c r="V981" t="s">
        <v>39</v>
      </c>
      <c r="X981">
        <v>17001</v>
      </c>
      <c r="Y981" t="s">
        <v>47</v>
      </c>
      <c r="Z981">
        <v>17</v>
      </c>
      <c r="AA981">
        <v>339</v>
      </c>
      <c r="AB981" t="s">
        <v>47</v>
      </c>
      <c r="AC981">
        <v>0.33800000000000002</v>
      </c>
      <c r="AD981">
        <v>507</v>
      </c>
      <c r="AE981" t="s">
        <v>48</v>
      </c>
      <c r="AF981">
        <v>0.50600000000000001</v>
      </c>
      <c r="AG981">
        <v>457</v>
      </c>
      <c r="AH981" t="s">
        <v>57</v>
      </c>
      <c r="AI981">
        <v>0.45600000000000002</v>
      </c>
      <c r="AJ981" t="s">
        <v>1155</v>
      </c>
    </row>
    <row r="982" spans="1:36" x14ac:dyDescent="0.25">
      <c r="A982" t="s">
        <v>851</v>
      </c>
      <c r="B982">
        <v>855427576</v>
      </c>
      <c r="C982" t="s">
        <v>852</v>
      </c>
      <c r="D982" t="s">
        <v>852</v>
      </c>
      <c r="E982" t="s">
        <v>60</v>
      </c>
      <c r="F982" t="s">
        <v>291</v>
      </c>
      <c r="I982" t="s">
        <v>39</v>
      </c>
      <c r="J982" t="s">
        <v>40</v>
      </c>
      <c r="K982" t="s">
        <v>41</v>
      </c>
      <c r="L982" t="s">
        <v>286</v>
      </c>
      <c r="M982" t="s">
        <v>47</v>
      </c>
      <c r="N982" t="s">
        <v>43</v>
      </c>
      <c r="O982" t="s">
        <v>547</v>
      </c>
      <c r="P982">
        <v>119</v>
      </c>
      <c r="Q982">
        <v>119</v>
      </c>
      <c r="S982" t="s">
        <v>39</v>
      </c>
      <c r="V982" t="s">
        <v>39</v>
      </c>
      <c r="X982">
        <v>22001</v>
      </c>
      <c r="Y982" t="s">
        <v>47</v>
      </c>
      <c r="Z982">
        <v>22</v>
      </c>
      <c r="AA982">
        <v>526</v>
      </c>
      <c r="AB982" t="s">
        <v>75</v>
      </c>
      <c r="AC982">
        <v>0.52500000000000002</v>
      </c>
      <c r="AD982">
        <v>717</v>
      </c>
      <c r="AE982" t="s">
        <v>48</v>
      </c>
      <c r="AF982">
        <v>0.71599999999999997</v>
      </c>
      <c r="AG982">
        <v>725</v>
      </c>
      <c r="AH982" t="s">
        <v>49</v>
      </c>
      <c r="AI982">
        <v>0.72399999999999998</v>
      </c>
      <c r="AJ982" t="s">
        <v>1155</v>
      </c>
    </row>
    <row r="983" spans="1:36" x14ac:dyDescent="0.25">
      <c r="A983" t="s">
        <v>851</v>
      </c>
      <c r="B983">
        <v>855427576</v>
      </c>
      <c r="C983" t="s">
        <v>852</v>
      </c>
      <c r="D983" t="s">
        <v>852</v>
      </c>
      <c r="E983" t="s">
        <v>37</v>
      </c>
      <c r="F983" t="s">
        <v>291</v>
      </c>
      <c r="I983" t="s">
        <v>39</v>
      </c>
      <c r="J983" t="s">
        <v>40</v>
      </c>
      <c r="K983" t="s">
        <v>41</v>
      </c>
      <c r="L983" t="s">
        <v>286</v>
      </c>
      <c r="M983" t="s">
        <v>47</v>
      </c>
      <c r="N983" t="s">
        <v>43</v>
      </c>
      <c r="O983" t="s">
        <v>378</v>
      </c>
      <c r="P983">
        <v>119</v>
      </c>
      <c r="Q983">
        <v>119</v>
      </c>
      <c r="S983" t="s">
        <v>39</v>
      </c>
      <c r="V983" t="s">
        <v>39</v>
      </c>
      <c r="X983">
        <v>22001</v>
      </c>
      <c r="Y983" t="s">
        <v>47</v>
      </c>
      <c r="Z983">
        <v>22</v>
      </c>
      <c r="AA983">
        <v>539</v>
      </c>
      <c r="AB983" t="s">
        <v>75</v>
      </c>
      <c r="AC983">
        <v>0.53800000000000003</v>
      </c>
      <c r="AD983">
        <v>739</v>
      </c>
      <c r="AE983" t="s">
        <v>48</v>
      </c>
      <c r="AF983">
        <v>0.73799999999999999</v>
      </c>
      <c r="AG983">
        <v>863</v>
      </c>
      <c r="AH983" t="s">
        <v>49</v>
      </c>
      <c r="AI983">
        <v>0.86199999999999999</v>
      </c>
      <c r="AJ983" t="s">
        <v>1156</v>
      </c>
    </row>
    <row r="984" spans="1:36" x14ac:dyDescent="0.25">
      <c r="A984" t="s">
        <v>851</v>
      </c>
      <c r="B984">
        <v>855427576</v>
      </c>
      <c r="C984" t="s">
        <v>852</v>
      </c>
      <c r="D984" t="s">
        <v>852</v>
      </c>
      <c r="E984" t="s">
        <v>65</v>
      </c>
      <c r="F984" t="s">
        <v>291</v>
      </c>
      <c r="I984" t="s">
        <v>39</v>
      </c>
      <c r="J984" t="s">
        <v>40</v>
      </c>
      <c r="K984" t="s">
        <v>41</v>
      </c>
      <c r="L984" t="s">
        <v>286</v>
      </c>
      <c r="M984" t="s">
        <v>47</v>
      </c>
      <c r="N984" t="s">
        <v>43</v>
      </c>
      <c r="O984" t="s">
        <v>71</v>
      </c>
      <c r="P984">
        <v>119</v>
      </c>
      <c r="Q984">
        <v>119</v>
      </c>
      <c r="S984" t="s">
        <v>39</v>
      </c>
      <c r="V984" t="s">
        <v>39</v>
      </c>
      <c r="X984">
        <v>17001</v>
      </c>
      <c r="Y984" t="s">
        <v>47</v>
      </c>
      <c r="Z984">
        <v>17</v>
      </c>
      <c r="AA984">
        <v>339</v>
      </c>
      <c r="AB984" t="s">
        <v>47</v>
      </c>
      <c r="AC984">
        <v>0.33800000000000002</v>
      </c>
      <c r="AD984">
        <v>507</v>
      </c>
      <c r="AE984" t="s">
        <v>48</v>
      </c>
      <c r="AF984">
        <v>0.50600000000000001</v>
      </c>
      <c r="AG984">
        <v>457</v>
      </c>
      <c r="AH984" t="s">
        <v>57</v>
      </c>
      <c r="AI984">
        <v>0.45600000000000002</v>
      </c>
      <c r="AJ984" t="s">
        <v>1156</v>
      </c>
    </row>
    <row r="985" spans="1:36" x14ac:dyDescent="0.25">
      <c r="A985" t="s">
        <v>851</v>
      </c>
      <c r="B985">
        <v>855427576</v>
      </c>
      <c r="C985" t="s">
        <v>852</v>
      </c>
      <c r="D985" t="s">
        <v>852</v>
      </c>
      <c r="E985" t="s">
        <v>60</v>
      </c>
      <c r="F985" t="s">
        <v>291</v>
      </c>
      <c r="I985" t="s">
        <v>39</v>
      </c>
      <c r="J985" t="s">
        <v>40</v>
      </c>
      <c r="K985" t="s">
        <v>41</v>
      </c>
      <c r="L985" t="s">
        <v>286</v>
      </c>
      <c r="M985" t="s">
        <v>47</v>
      </c>
      <c r="N985" t="s">
        <v>43</v>
      </c>
      <c r="O985" t="s">
        <v>547</v>
      </c>
      <c r="P985">
        <v>119</v>
      </c>
      <c r="Q985">
        <v>119</v>
      </c>
      <c r="S985" t="s">
        <v>39</v>
      </c>
      <c r="V985" t="s">
        <v>39</v>
      </c>
      <c r="X985">
        <v>22001</v>
      </c>
      <c r="Y985" t="s">
        <v>47</v>
      </c>
      <c r="Z985">
        <v>22</v>
      </c>
      <c r="AA985">
        <v>526</v>
      </c>
      <c r="AB985" t="s">
        <v>75</v>
      </c>
      <c r="AC985">
        <v>0.52500000000000002</v>
      </c>
      <c r="AD985">
        <v>717</v>
      </c>
      <c r="AE985" t="s">
        <v>48</v>
      </c>
      <c r="AF985">
        <v>0.71599999999999997</v>
      </c>
      <c r="AG985">
        <v>725</v>
      </c>
      <c r="AH985" t="s">
        <v>49</v>
      </c>
      <c r="AI985">
        <v>0.72399999999999998</v>
      </c>
      <c r="AJ985" t="s">
        <v>1156</v>
      </c>
    </row>
    <row r="986" spans="1:36" x14ac:dyDescent="0.25">
      <c r="A986" t="s">
        <v>847</v>
      </c>
      <c r="B986">
        <v>872290453</v>
      </c>
      <c r="C986" t="s">
        <v>848</v>
      </c>
      <c r="D986" t="s">
        <v>848</v>
      </c>
      <c r="E986" t="s">
        <v>99</v>
      </c>
      <c r="F986" t="s">
        <v>143</v>
      </c>
      <c r="I986" t="s">
        <v>39</v>
      </c>
      <c r="J986" t="s">
        <v>40</v>
      </c>
      <c r="K986" t="s">
        <v>41</v>
      </c>
      <c r="L986" t="s">
        <v>173</v>
      </c>
      <c r="N986" t="s">
        <v>43</v>
      </c>
      <c r="O986" t="s">
        <v>576</v>
      </c>
      <c r="P986">
        <v>121</v>
      </c>
      <c r="Q986">
        <v>121</v>
      </c>
      <c r="R986">
        <v>201</v>
      </c>
      <c r="S986" t="s">
        <v>56</v>
      </c>
      <c r="T986">
        <v>0.2</v>
      </c>
      <c r="U986">
        <v>63</v>
      </c>
      <c r="V986" t="s">
        <v>55</v>
      </c>
      <c r="W986">
        <v>6.2E-2</v>
      </c>
      <c r="X986">
        <v>14001</v>
      </c>
      <c r="Y986" t="s">
        <v>47</v>
      </c>
      <c r="Z986">
        <v>14</v>
      </c>
      <c r="AA986">
        <v>170</v>
      </c>
      <c r="AB986" t="s">
        <v>47</v>
      </c>
      <c r="AC986">
        <v>0.16900000000000001</v>
      </c>
      <c r="AD986">
        <v>486</v>
      </c>
      <c r="AE986" t="s">
        <v>56</v>
      </c>
      <c r="AF986">
        <v>0.48499999999999999</v>
      </c>
      <c r="AG986">
        <v>382</v>
      </c>
      <c r="AH986" t="s">
        <v>57</v>
      </c>
      <c r="AI986">
        <v>0.38100000000000001</v>
      </c>
      <c r="AJ986" t="s">
        <v>50</v>
      </c>
    </row>
    <row r="987" spans="1:36" x14ac:dyDescent="0.25">
      <c r="A987" t="s">
        <v>847</v>
      </c>
      <c r="B987">
        <v>872290453</v>
      </c>
      <c r="C987" t="s">
        <v>848</v>
      </c>
      <c r="D987" t="s">
        <v>848</v>
      </c>
      <c r="E987" t="s">
        <v>99</v>
      </c>
      <c r="F987" t="s">
        <v>143</v>
      </c>
      <c r="I987" t="s">
        <v>39</v>
      </c>
      <c r="J987" t="s">
        <v>40</v>
      </c>
      <c r="K987" t="s">
        <v>41</v>
      </c>
      <c r="L987" t="s">
        <v>173</v>
      </c>
      <c r="N987" t="s">
        <v>43</v>
      </c>
      <c r="O987" t="s">
        <v>576</v>
      </c>
      <c r="P987">
        <v>121</v>
      </c>
      <c r="Q987">
        <v>121</v>
      </c>
      <c r="R987">
        <v>131</v>
      </c>
      <c r="S987" t="s">
        <v>56</v>
      </c>
      <c r="T987">
        <v>0.13</v>
      </c>
      <c r="U987">
        <v>8</v>
      </c>
      <c r="V987" t="s">
        <v>55</v>
      </c>
      <c r="W987">
        <v>7.0000000000000001E-3</v>
      </c>
      <c r="X987">
        <v>14001</v>
      </c>
      <c r="Y987" t="s">
        <v>47</v>
      </c>
      <c r="Z987">
        <v>14</v>
      </c>
      <c r="AA987">
        <v>170</v>
      </c>
      <c r="AB987" t="s">
        <v>47</v>
      </c>
      <c r="AC987">
        <v>0.16900000000000001</v>
      </c>
      <c r="AD987">
        <v>486</v>
      </c>
      <c r="AE987" t="s">
        <v>56</v>
      </c>
      <c r="AF987">
        <v>0.48499999999999999</v>
      </c>
      <c r="AG987">
        <v>382</v>
      </c>
      <c r="AH987" t="s">
        <v>57</v>
      </c>
      <c r="AI987">
        <v>0.38100000000000001</v>
      </c>
      <c r="AJ987" t="s">
        <v>1141</v>
      </c>
    </row>
    <row r="988" spans="1:36" x14ac:dyDescent="0.25">
      <c r="A988" t="s">
        <v>847</v>
      </c>
      <c r="B988">
        <v>872290453</v>
      </c>
      <c r="C988" t="s">
        <v>848</v>
      </c>
      <c r="D988" t="s">
        <v>848</v>
      </c>
      <c r="E988" t="s">
        <v>99</v>
      </c>
      <c r="F988" t="s">
        <v>143</v>
      </c>
      <c r="I988" t="s">
        <v>39</v>
      </c>
      <c r="J988" t="s">
        <v>40</v>
      </c>
      <c r="K988" t="s">
        <v>41</v>
      </c>
      <c r="L988" t="s">
        <v>173</v>
      </c>
      <c r="N988" t="s">
        <v>43</v>
      </c>
      <c r="O988" t="s">
        <v>576</v>
      </c>
      <c r="P988">
        <v>121</v>
      </c>
      <c r="Q988">
        <v>121</v>
      </c>
      <c r="R988">
        <v>201</v>
      </c>
      <c r="S988" t="s">
        <v>56</v>
      </c>
      <c r="T988">
        <v>0.2</v>
      </c>
      <c r="U988">
        <v>63</v>
      </c>
      <c r="V988" t="s">
        <v>55</v>
      </c>
      <c r="W988">
        <v>6.2E-2</v>
      </c>
      <c r="X988">
        <v>14001</v>
      </c>
      <c r="Y988" t="s">
        <v>47</v>
      </c>
      <c r="Z988">
        <v>14</v>
      </c>
      <c r="AA988">
        <v>170</v>
      </c>
      <c r="AB988" t="s">
        <v>47</v>
      </c>
      <c r="AC988">
        <v>0.16900000000000001</v>
      </c>
      <c r="AD988">
        <v>486</v>
      </c>
      <c r="AE988" t="s">
        <v>56</v>
      </c>
      <c r="AF988">
        <v>0.48499999999999999</v>
      </c>
      <c r="AG988">
        <v>382</v>
      </c>
      <c r="AH988" t="s">
        <v>57</v>
      </c>
      <c r="AI988">
        <v>0.38100000000000001</v>
      </c>
      <c r="AJ988" t="s">
        <v>1153</v>
      </c>
    </row>
    <row r="989" spans="1:36" x14ac:dyDescent="0.25">
      <c r="A989" t="s">
        <v>847</v>
      </c>
      <c r="B989">
        <v>872290453</v>
      </c>
      <c r="C989" t="s">
        <v>848</v>
      </c>
      <c r="D989" t="s">
        <v>848</v>
      </c>
      <c r="E989" t="s">
        <v>99</v>
      </c>
      <c r="F989" t="s">
        <v>143</v>
      </c>
      <c r="I989" t="s">
        <v>39</v>
      </c>
      <c r="J989" t="s">
        <v>40</v>
      </c>
      <c r="K989" t="s">
        <v>41</v>
      </c>
      <c r="L989" t="s">
        <v>173</v>
      </c>
      <c r="N989" t="s">
        <v>43</v>
      </c>
      <c r="O989" t="s">
        <v>576</v>
      </c>
      <c r="P989">
        <v>121</v>
      </c>
      <c r="Q989">
        <v>121</v>
      </c>
      <c r="R989">
        <v>201</v>
      </c>
      <c r="S989" t="s">
        <v>56</v>
      </c>
      <c r="T989">
        <v>0.2</v>
      </c>
      <c r="U989">
        <v>63</v>
      </c>
      <c r="V989" t="s">
        <v>55</v>
      </c>
      <c r="W989">
        <v>6.2E-2</v>
      </c>
      <c r="X989">
        <v>14001</v>
      </c>
      <c r="Y989" t="s">
        <v>47</v>
      </c>
      <c r="Z989">
        <v>14</v>
      </c>
      <c r="AA989">
        <v>170</v>
      </c>
      <c r="AB989" t="s">
        <v>47</v>
      </c>
      <c r="AC989">
        <v>0.16900000000000001</v>
      </c>
      <c r="AD989">
        <v>486</v>
      </c>
      <c r="AE989" t="s">
        <v>56</v>
      </c>
      <c r="AF989">
        <v>0.48499999999999999</v>
      </c>
      <c r="AG989">
        <v>382</v>
      </c>
      <c r="AH989" t="s">
        <v>57</v>
      </c>
      <c r="AI989">
        <v>0.38100000000000001</v>
      </c>
      <c r="AJ989" t="s">
        <v>1154</v>
      </c>
    </row>
    <row r="990" spans="1:36" x14ac:dyDescent="0.25">
      <c r="A990" t="s">
        <v>847</v>
      </c>
      <c r="B990">
        <v>872290453</v>
      </c>
      <c r="C990" t="s">
        <v>848</v>
      </c>
      <c r="D990" t="s">
        <v>848</v>
      </c>
      <c r="E990" t="s">
        <v>99</v>
      </c>
      <c r="F990" t="s">
        <v>143</v>
      </c>
      <c r="I990" t="s">
        <v>39</v>
      </c>
      <c r="J990" t="s">
        <v>40</v>
      </c>
      <c r="K990" t="s">
        <v>41</v>
      </c>
      <c r="L990" t="s">
        <v>173</v>
      </c>
      <c r="N990" t="s">
        <v>43</v>
      </c>
      <c r="O990" t="s">
        <v>576</v>
      </c>
      <c r="P990">
        <v>121</v>
      </c>
      <c r="Q990">
        <v>121</v>
      </c>
      <c r="S990" t="s">
        <v>39</v>
      </c>
      <c r="V990" t="s">
        <v>39</v>
      </c>
      <c r="X990">
        <v>14001</v>
      </c>
      <c r="Y990" t="s">
        <v>47</v>
      </c>
      <c r="Z990">
        <v>14</v>
      </c>
      <c r="AA990">
        <v>170</v>
      </c>
      <c r="AB990" t="s">
        <v>47</v>
      </c>
      <c r="AC990">
        <v>0.16900000000000001</v>
      </c>
      <c r="AD990">
        <v>486</v>
      </c>
      <c r="AE990" t="s">
        <v>56</v>
      </c>
      <c r="AF990">
        <v>0.48499999999999999</v>
      </c>
      <c r="AG990">
        <v>382</v>
      </c>
      <c r="AH990" t="s">
        <v>57</v>
      </c>
      <c r="AI990">
        <v>0.38100000000000001</v>
      </c>
      <c r="AJ990" t="s">
        <v>1155</v>
      </c>
    </row>
    <row r="991" spans="1:36" x14ac:dyDescent="0.25">
      <c r="A991" t="s">
        <v>847</v>
      </c>
      <c r="B991">
        <v>872290453</v>
      </c>
      <c r="C991" t="s">
        <v>848</v>
      </c>
      <c r="D991" t="s">
        <v>848</v>
      </c>
      <c r="E991" t="s">
        <v>99</v>
      </c>
      <c r="F991" t="s">
        <v>143</v>
      </c>
      <c r="I991" t="s">
        <v>39</v>
      </c>
      <c r="J991" t="s">
        <v>40</v>
      </c>
      <c r="K991" t="s">
        <v>41</v>
      </c>
      <c r="L991" t="s">
        <v>173</v>
      </c>
      <c r="N991" t="s">
        <v>43</v>
      </c>
      <c r="O991" t="s">
        <v>576</v>
      </c>
      <c r="P991">
        <v>121</v>
      </c>
      <c r="Q991">
        <v>121</v>
      </c>
      <c r="S991" t="s">
        <v>39</v>
      </c>
      <c r="V991" t="s">
        <v>39</v>
      </c>
      <c r="X991">
        <v>14001</v>
      </c>
      <c r="Y991" t="s">
        <v>47</v>
      </c>
      <c r="Z991">
        <v>14</v>
      </c>
      <c r="AA991">
        <v>170</v>
      </c>
      <c r="AB991" t="s">
        <v>47</v>
      </c>
      <c r="AC991">
        <v>0.16900000000000001</v>
      </c>
      <c r="AD991">
        <v>486</v>
      </c>
      <c r="AE991" t="s">
        <v>56</v>
      </c>
      <c r="AF991">
        <v>0.48499999999999999</v>
      </c>
      <c r="AG991">
        <v>382</v>
      </c>
      <c r="AH991" t="s">
        <v>57</v>
      </c>
      <c r="AI991">
        <v>0.38100000000000001</v>
      </c>
      <c r="AJ991" t="s">
        <v>1156</v>
      </c>
    </row>
    <row r="992" spans="1:36" x14ac:dyDescent="0.25">
      <c r="A992" t="s">
        <v>849</v>
      </c>
      <c r="B992">
        <v>881528547</v>
      </c>
      <c r="C992" t="s">
        <v>850</v>
      </c>
      <c r="D992" t="s">
        <v>850</v>
      </c>
      <c r="E992" t="s">
        <v>99</v>
      </c>
      <c r="F992" t="s">
        <v>111</v>
      </c>
      <c r="I992" t="s">
        <v>39</v>
      </c>
      <c r="J992" t="s">
        <v>40</v>
      </c>
      <c r="K992" t="s">
        <v>41</v>
      </c>
      <c r="L992" t="s">
        <v>173</v>
      </c>
      <c r="N992" t="s">
        <v>43</v>
      </c>
      <c r="O992" t="s">
        <v>745</v>
      </c>
      <c r="P992">
        <v>121</v>
      </c>
      <c r="Q992">
        <v>121</v>
      </c>
      <c r="R992">
        <v>31</v>
      </c>
      <c r="S992" t="s">
        <v>45</v>
      </c>
      <c r="T992">
        <v>0.03</v>
      </c>
      <c r="U992">
        <v>288</v>
      </c>
      <c r="V992" t="s">
        <v>55</v>
      </c>
      <c r="W992">
        <v>0.28699999999999998</v>
      </c>
      <c r="X992">
        <v>20001</v>
      </c>
      <c r="Y992" t="s">
        <v>47</v>
      </c>
      <c r="Z992">
        <v>20</v>
      </c>
      <c r="AA992">
        <v>399</v>
      </c>
      <c r="AB992" t="s">
        <v>47</v>
      </c>
      <c r="AC992">
        <v>0.39800000000000002</v>
      </c>
      <c r="AD992">
        <v>630</v>
      </c>
      <c r="AE992" t="s">
        <v>48</v>
      </c>
      <c r="AF992">
        <v>0.629</v>
      </c>
      <c r="AG992">
        <v>725</v>
      </c>
      <c r="AH992" t="s">
        <v>49</v>
      </c>
      <c r="AI992">
        <v>0.72399999999999998</v>
      </c>
      <c r="AJ992" t="s">
        <v>50</v>
      </c>
    </row>
    <row r="993" spans="1:36" x14ac:dyDescent="0.25">
      <c r="A993" t="s">
        <v>849</v>
      </c>
      <c r="B993">
        <v>881528547</v>
      </c>
      <c r="C993" t="s">
        <v>850</v>
      </c>
      <c r="D993" t="s">
        <v>850</v>
      </c>
      <c r="E993" t="s">
        <v>99</v>
      </c>
      <c r="F993" t="s">
        <v>111</v>
      </c>
      <c r="I993" t="s">
        <v>39</v>
      </c>
      <c r="J993" t="s">
        <v>40</v>
      </c>
      <c r="K993" t="s">
        <v>41</v>
      </c>
      <c r="L993" t="s">
        <v>173</v>
      </c>
      <c r="N993" t="s">
        <v>43</v>
      </c>
      <c r="O993" t="s">
        <v>745</v>
      </c>
      <c r="P993">
        <v>121</v>
      </c>
      <c r="Q993">
        <v>121</v>
      </c>
      <c r="R993">
        <v>31</v>
      </c>
      <c r="S993" t="s">
        <v>45</v>
      </c>
      <c r="T993">
        <v>0.03</v>
      </c>
      <c r="U993">
        <v>45</v>
      </c>
      <c r="V993" t="s">
        <v>55</v>
      </c>
      <c r="W993">
        <v>4.3999999999999997E-2</v>
      </c>
      <c r="X993">
        <v>20001</v>
      </c>
      <c r="Y993" t="s">
        <v>47</v>
      </c>
      <c r="Z993">
        <v>20</v>
      </c>
      <c r="AA993">
        <v>399</v>
      </c>
      <c r="AB993" t="s">
        <v>47</v>
      </c>
      <c r="AC993">
        <v>0.39800000000000002</v>
      </c>
      <c r="AD993">
        <v>630</v>
      </c>
      <c r="AE993" t="s">
        <v>48</v>
      </c>
      <c r="AF993">
        <v>0.629</v>
      </c>
      <c r="AG993">
        <v>725</v>
      </c>
      <c r="AH993" t="s">
        <v>49</v>
      </c>
      <c r="AI993">
        <v>0.72399999999999998</v>
      </c>
      <c r="AJ993" t="s">
        <v>1141</v>
      </c>
    </row>
    <row r="994" spans="1:36" x14ac:dyDescent="0.25">
      <c r="A994" t="s">
        <v>849</v>
      </c>
      <c r="B994">
        <v>881528547</v>
      </c>
      <c r="C994" t="s">
        <v>850</v>
      </c>
      <c r="D994" t="s">
        <v>850</v>
      </c>
      <c r="E994" t="s">
        <v>99</v>
      </c>
      <c r="F994" t="s">
        <v>111</v>
      </c>
      <c r="I994" t="s">
        <v>39</v>
      </c>
      <c r="J994" t="s">
        <v>40</v>
      </c>
      <c r="K994" t="s">
        <v>41</v>
      </c>
      <c r="L994" t="s">
        <v>173</v>
      </c>
      <c r="N994" t="s">
        <v>43</v>
      </c>
      <c r="O994" t="s">
        <v>745</v>
      </c>
      <c r="P994">
        <v>121</v>
      </c>
      <c r="Q994">
        <v>121</v>
      </c>
      <c r="R994">
        <v>31</v>
      </c>
      <c r="S994" t="s">
        <v>45</v>
      </c>
      <c r="T994">
        <v>0.03</v>
      </c>
      <c r="U994">
        <v>288</v>
      </c>
      <c r="V994" t="s">
        <v>55</v>
      </c>
      <c r="W994">
        <v>0.28699999999999998</v>
      </c>
      <c r="X994">
        <v>20001</v>
      </c>
      <c r="Y994" t="s">
        <v>47</v>
      </c>
      <c r="Z994">
        <v>20</v>
      </c>
      <c r="AA994">
        <v>399</v>
      </c>
      <c r="AB994" t="s">
        <v>47</v>
      </c>
      <c r="AC994">
        <v>0.39800000000000002</v>
      </c>
      <c r="AD994">
        <v>630</v>
      </c>
      <c r="AE994" t="s">
        <v>48</v>
      </c>
      <c r="AF994">
        <v>0.629</v>
      </c>
      <c r="AG994">
        <v>725</v>
      </c>
      <c r="AH994" t="s">
        <v>49</v>
      </c>
      <c r="AI994">
        <v>0.72399999999999998</v>
      </c>
      <c r="AJ994" t="s">
        <v>1153</v>
      </c>
    </row>
    <row r="995" spans="1:36" x14ac:dyDescent="0.25">
      <c r="A995" t="s">
        <v>849</v>
      </c>
      <c r="B995">
        <v>881528547</v>
      </c>
      <c r="C995" t="s">
        <v>850</v>
      </c>
      <c r="D995" t="s">
        <v>850</v>
      </c>
      <c r="E995" t="s">
        <v>99</v>
      </c>
      <c r="F995" t="s">
        <v>111</v>
      </c>
      <c r="I995" t="s">
        <v>39</v>
      </c>
      <c r="J995" t="s">
        <v>40</v>
      </c>
      <c r="K995" t="s">
        <v>41</v>
      </c>
      <c r="L995" t="s">
        <v>173</v>
      </c>
      <c r="N995" t="s">
        <v>43</v>
      </c>
      <c r="O995" t="s">
        <v>745</v>
      </c>
      <c r="P995">
        <v>121</v>
      </c>
      <c r="Q995">
        <v>121</v>
      </c>
      <c r="R995">
        <v>31</v>
      </c>
      <c r="S995" t="s">
        <v>45</v>
      </c>
      <c r="T995">
        <v>0.03</v>
      </c>
      <c r="U995">
        <v>288</v>
      </c>
      <c r="V995" t="s">
        <v>55</v>
      </c>
      <c r="W995">
        <v>0.28699999999999998</v>
      </c>
      <c r="X995">
        <v>20001</v>
      </c>
      <c r="Y995" t="s">
        <v>47</v>
      </c>
      <c r="Z995">
        <v>20</v>
      </c>
      <c r="AA995">
        <v>399</v>
      </c>
      <c r="AB995" t="s">
        <v>47</v>
      </c>
      <c r="AC995">
        <v>0.39800000000000002</v>
      </c>
      <c r="AD995">
        <v>630</v>
      </c>
      <c r="AE995" t="s">
        <v>48</v>
      </c>
      <c r="AF995">
        <v>0.629</v>
      </c>
      <c r="AG995">
        <v>725</v>
      </c>
      <c r="AH995" t="s">
        <v>49</v>
      </c>
      <c r="AI995">
        <v>0.72399999999999998</v>
      </c>
      <c r="AJ995" t="s">
        <v>1154</v>
      </c>
    </row>
    <row r="996" spans="1:36" x14ac:dyDescent="0.25">
      <c r="A996" t="s">
        <v>849</v>
      </c>
      <c r="B996">
        <v>881528547</v>
      </c>
      <c r="C996" t="s">
        <v>850</v>
      </c>
      <c r="D996" t="s">
        <v>850</v>
      </c>
      <c r="E996" t="s">
        <v>99</v>
      </c>
      <c r="F996" t="s">
        <v>111</v>
      </c>
      <c r="I996" t="s">
        <v>39</v>
      </c>
      <c r="J996" t="s">
        <v>40</v>
      </c>
      <c r="K996" t="s">
        <v>41</v>
      </c>
      <c r="L996" t="s">
        <v>173</v>
      </c>
      <c r="N996" t="s">
        <v>43</v>
      </c>
      <c r="O996" t="s">
        <v>745</v>
      </c>
      <c r="P996">
        <v>121</v>
      </c>
      <c r="Q996">
        <v>121</v>
      </c>
      <c r="S996" t="s">
        <v>39</v>
      </c>
      <c r="V996" t="s">
        <v>39</v>
      </c>
      <c r="X996">
        <v>20001</v>
      </c>
      <c r="Y996" t="s">
        <v>47</v>
      </c>
      <c r="Z996">
        <v>20</v>
      </c>
      <c r="AA996">
        <v>399</v>
      </c>
      <c r="AB996" t="s">
        <v>47</v>
      </c>
      <c r="AC996">
        <v>0.39800000000000002</v>
      </c>
      <c r="AD996">
        <v>630</v>
      </c>
      <c r="AE996" t="s">
        <v>48</v>
      </c>
      <c r="AF996">
        <v>0.629</v>
      </c>
      <c r="AG996">
        <v>725</v>
      </c>
      <c r="AH996" t="s">
        <v>49</v>
      </c>
      <c r="AI996">
        <v>0.72399999999999998</v>
      </c>
      <c r="AJ996" t="s">
        <v>1155</v>
      </c>
    </row>
    <row r="997" spans="1:36" x14ac:dyDescent="0.25">
      <c r="A997" t="s">
        <v>849</v>
      </c>
      <c r="B997">
        <v>881528547</v>
      </c>
      <c r="C997" t="s">
        <v>850</v>
      </c>
      <c r="D997" t="s">
        <v>850</v>
      </c>
      <c r="E997" t="s">
        <v>99</v>
      </c>
      <c r="F997" t="s">
        <v>111</v>
      </c>
      <c r="I997" t="s">
        <v>39</v>
      </c>
      <c r="J997" t="s">
        <v>40</v>
      </c>
      <c r="K997" t="s">
        <v>41</v>
      </c>
      <c r="L997" t="s">
        <v>173</v>
      </c>
      <c r="N997" t="s">
        <v>43</v>
      </c>
      <c r="O997" t="s">
        <v>745</v>
      </c>
      <c r="P997">
        <v>121</v>
      </c>
      <c r="Q997">
        <v>121</v>
      </c>
      <c r="S997" t="s">
        <v>39</v>
      </c>
      <c r="V997" t="s">
        <v>39</v>
      </c>
      <c r="X997">
        <v>20001</v>
      </c>
      <c r="Y997" t="s">
        <v>47</v>
      </c>
      <c r="Z997">
        <v>20</v>
      </c>
      <c r="AA997">
        <v>399</v>
      </c>
      <c r="AB997" t="s">
        <v>47</v>
      </c>
      <c r="AC997">
        <v>0.39800000000000002</v>
      </c>
      <c r="AD997">
        <v>630</v>
      </c>
      <c r="AE997" t="s">
        <v>48</v>
      </c>
      <c r="AF997">
        <v>0.629</v>
      </c>
      <c r="AG997">
        <v>725</v>
      </c>
      <c r="AH997" t="s">
        <v>49</v>
      </c>
      <c r="AI997">
        <v>0.72399999999999998</v>
      </c>
      <c r="AJ997" t="s">
        <v>1156</v>
      </c>
    </row>
    <row r="998" spans="1:36" x14ac:dyDescent="0.25">
      <c r="A998" t="s">
        <v>842</v>
      </c>
      <c r="B998">
        <v>851640263</v>
      </c>
      <c r="C998" t="s">
        <v>843</v>
      </c>
      <c r="D998" t="s">
        <v>843</v>
      </c>
      <c r="E998" t="s">
        <v>60</v>
      </c>
      <c r="F998" t="s">
        <v>88</v>
      </c>
      <c r="I998" t="s">
        <v>39</v>
      </c>
      <c r="J998" t="s">
        <v>40</v>
      </c>
      <c r="K998" t="s">
        <v>41</v>
      </c>
      <c r="L998" t="s">
        <v>151</v>
      </c>
      <c r="M998" t="s">
        <v>844</v>
      </c>
      <c r="N998" t="s">
        <v>43</v>
      </c>
      <c r="O998" t="s">
        <v>600</v>
      </c>
      <c r="P998">
        <v>125</v>
      </c>
      <c r="Q998">
        <v>125</v>
      </c>
      <c r="R998">
        <v>1001</v>
      </c>
      <c r="S998" t="s">
        <v>56</v>
      </c>
      <c r="T998">
        <v>1</v>
      </c>
      <c r="U998">
        <v>4</v>
      </c>
      <c r="V998" t="s">
        <v>55</v>
      </c>
      <c r="W998">
        <v>3.0000000000000001E-3</v>
      </c>
      <c r="X998">
        <v>1</v>
      </c>
      <c r="Y998" t="s">
        <v>47</v>
      </c>
      <c r="Z998">
        <v>0</v>
      </c>
      <c r="AA998">
        <v>241</v>
      </c>
      <c r="AB998" t="s">
        <v>47</v>
      </c>
      <c r="AC998">
        <v>0.24</v>
      </c>
      <c r="AD998">
        <v>1</v>
      </c>
      <c r="AE998" t="s">
        <v>56</v>
      </c>
      <c r="AF998">
        <v>0</v>
      </c>
      <c r="AG998">
        <v>9</v>
      </c>
      <c r="AH998" t="s">
        <v>103</v>
      </c>
      <c r="AI998">
        <v>8.0000000000000002E-3</v>
      </c>
      <c r="AJ998" t="s">
        <v>50</v>
      </c>
    </row>
    <row r="999" spans="1:36" x14ac:dyDescent="0.25">
      <c r="A999" t="s">
        <v>842</v>
      </c>
      <c r="B999">
        <v>851640263</v>
      </c>
      <c r="C999" t="s">
        <v>843</v>
      </c>
      <c r="D999" t="s">
        <v>843</v>
      </c>
      <c r="E999" t="s">
        <v>60</v>
      </c>
      <c r="F999" t="s">
        <v>88</v>
      </c>
      <c r="I999" t="s">
        <v>39</v>
      </c>
      <c r="J999" t="s">
        <v>40</v>
      </c>
      <c r="K999" t="s">
        <v>41</v>
      </c>
      <c r="L999" t="s">
        <v>151</v>
      </c>
      <c r="M999" t="s">
        <v>844</v>
      </c>
      <c r="N999" t="s">
        <v>43</v>
      </c>
      <c r="O999" t="s">
        <v>600</v>
      </c>
      <c r="P999">
        <v>125</v>
      </c>
      <c r="Q999">
        <v>125</v>
      </c>
      <c r="R999">
        <v>1001</v>
      </c>
      <c r="S999" t="s">
        <v>56</v>
      </c>
      <c r="T999">
        <v>1</v>
      </c>
      <c r="U999">
        <v>1</v>
      </c>
      <c r="V999" t="s">
        <v>55</v>
      </c>
      <c r="W999">
        <v>0</v>
      </c>
      <c r="X999">
        <v>1</v>
      </c>
      <c r="Y999" t="s">
        <v>47</v>
      </c>
      <c r="Z999">
        <v>0</v>
      </c>
      <c r="AA999">
        <v>241</v>
      </c>
      <c r="AB999" t="s">
        <v>47</v>
      </c>
      <c r="AC999">
        <v>0.24</v>
      </c>
      <c r="AD999">
        <v>1</v>
      </c>
      <c r="AE999" t="s">
        <v>56</v>
      </c>
      <c r="AF999">
        <v>0</v>
      </c>
      <c r="AG999">
        <v>9</v>
      </c>
      <c r="AH999" t="s">
        <v>103</v>
      </c>
      <c r="AI999">
        <v>8.0000000000000002E-3</v>
      </c>
      <c r="AJ999" t="s">
        <v>1141</v>
      </c>
    </row>
    <row r="1000" spans="1:36" x14ac:dyDescent="0.25">
      <c r="A1000" t="s">
        <v>842</v>
      </c>
      <c r="B1000">
        <v>851640263</v>
      </c>
      <c r="C1000" t="s">
        <v>843</v>
      </c>
      <c r="D1000" t="s">
        <v>843</v>
      </c>
      <c r="E1000" t="s">
        <v>60</v>
      </c>
      <c r="F1000" t="s">
        <v>88</v>
      </c>
      <c r="I1000" t="s">
        <v>39</v>
      </c>
      <c r="J1000" t="s">
        <v>40</v>
      </c>
      <c r="K1000" t="s">
        <v>41</v>
      </c>
      <c r="L1000" t="s">
        <v>151</v>
      </c>
      <c r="M1000" t="s">
        <v>844</v>
      </c>
      <c r="N1000" t="s">
        <v>43</v>
      </c>
      <c r="O1000" t="s">
        <v>600</v>
      </c>
      <c r="P1000">
        <v>125</v>
      </c>
      <c r="Q1000">
        <v>125</v>
      </c>
      <c r="R1000">
        <v>1001</v>
      </c>
      <c r="S1000" t="s">
        <v>56</v>
      </c>
      <c r="T1000">
        <v>1</v>
      </c>
      <c r="U1000">
        <v>4</v>
      </c>
      <c r="V1000" t="s">
        <v>55</v>
      </c>
      <c r="W1000">
        <v>3.0000000000000001E-3</v>
      </c>
      <c r="X1000">
        <v>1</v>
      </c>
      <c r="Y1000" t="s">
        <v>47</v>
      </c>
      <c r="Z1000">
        <v>0</v>
      </c>
      <c r="AA1000">
        <v>241</v>
      </c>
      <c r="AB1000" t="s">
        <v>47</v>
      </c>
      <c r="AC1000">
        <v>0.24</v>
      </c>
      <c r="AD1000">
        <v>1</v>
      </c>
      <c r="AE1000" t="s">
        <v>56</v>
      </c>
      <c r="AF1000">
        <v>0</v>
      </c>
      <c r="AG1000">
        <v>9</v>
      </c>
      <c r="AH1000" t="s">
        <v>103</v>
      </c>
      <c r="AI1000">
        <v>8.0000000000000002E-3</v>
      </c>
      <c r="AJ1000" t="s">
        <v>1153</v>
      </c>
    </row>
    <row r="1001" spans="1:36" x14ac:dyDescent="0.25">
      <c r="A1001" t="s">
        <v>842</v>
      </c>
      <c r="B1001">
        <v>851640263</v>
      </c>
      <c r="C1001" t="s">
        <v>843</v>
      </c>
      <c r="D1001" t="s">
        <v>843</v>
      </c>
      <c r="E1001" t="s">
        <v>60</v>
      </c>
      <c r="F1001" t="s">
        <v>88</v>
      </c>
      <c r="I1001" t="s">
        <v>39</v>
      </c>
      <c r="J1001" t="s">
        <v>40</v>
      </c>
      <c r="K1001" t="s">
        <v>41</v>
      </c>
      <c r="L1001" t="s">
        <v>151</v>
      </c>
      <c r="M1001" t="s">
        <v>844</v>
      </c>
      <c r="N1001" t="s">
        <v>43</v>
      </c>
      <c r="O1001" t="s">
        <v>600</v>
      </c>
      <c r="P1001">
        <v>125</v>
      </c>
      <c r="Q1001">
        <v>125</v>
      </c>
      <c r="R1001">
        <v>1001</v>
      </c>
      <c r="S1001" t="s">
        <v>56</v>
      </c>
      <c r="T1001">
        <v>1</v>
      </c>
      <c r="U1001">
        <v>4</v>
      </c>
      <c r="V1001" t="s">
        <v>55</v>
      </c>
      <c r="W1001">
        <v>3.0000000000000001E-3</v>
      </c>
      <c r="X1001">
        <v>1</v>
      </c>
      <c r="Y1001" t="s">
        <v>47</v>
      </c>
      <c r="Z1001">
        <v>0</v>
      </c>
      <c r="AA1001">
        <v>241</v>
      </c>
      <c r="AB1001" t="s">
        <v>47</v>
      </c>
      <c r="AC1001">
        <v>0.24</v>
      </c>
      <c r="AD1001">
        <v>1</v>
      </c>
      <c r="AE1001" t="s">
        <v>56</v>
      </c>
      <c r="AF1001">
        <v>0</v>
      </c>
      <c r="AG1001">
        <v>9</v>
      </c>
      <c r="AH1001" t="s">
        <v>103</v>
      </c>
      <c r="AI1001">
        <v>8.0000000000000002E-3</v>
      </c>
      <c r="AJ1001" t="s">
        <v>1154</v>
      </c>
    </row>
    <row r="1002" spans="1:36" x14ac:dyDescent="0.25">
      <c r="A1002" t="s">
        <v>842</v>
      </c>
      <c r="B1002">
        <v>851640263</v>
      </c>
      <c r="C1002" t="s">
        <v>843</v>
      </c>
      <c r="D1002" t="s">
        <v>843</v>
      </c>
      <c r="E1002" t="s">
        <v>60</v>
      </c>
      <c r="F1002" t="s">
        <v>88</v>
      </c>
      <c r="I1002" t="s">
        <v>39</v>
      </c>
      <c r="J1002" t="s">
        <v>40</v>
      </c>
      <c r="K1002" t="s">
        <v>41</v>
      </c>
      <c r="L1002" t="s">
        <v>151</v>
      </c>
      <c r="M1002" t="s">
        <v>844</v>
      </c>
      <c r="N1002" t="s">
        <v>43</v>
      </c>
      <c r="O1002" t="s">
        <v>600</v>
      </c>
      <c r="P1002">
        <v>125</v>
      </c>
      <c r="Q1002">
        <v>125</v>
      </c>
      <c r="S1002" t="s">
        <v>39</v>
      </c>
      <c r="V1002" t="s">
        <v>39</v>
      </c>
      <c r="X1002">
        <v>1</v>
      </c>
      <c r="Y1002" t="s">
        <v>47</v>
      </c>
      <c r="Z1002">
        <v>0</v>
      </c>
      <c r="AA1002">
        <v>241</v>
      </c>
      <c r="AB1002" t="s">
        <v>47</v>
      </c>
      <c r="AC1002">
        <v>0.24</v>
      </c>
      <c r="AD1002">
        <v>1</v>
      </c>
      <c r="AE1002" t="s">
        <v>56</v>
      </c>
      <c r="AF1002">
        <v>0</v>
      </c>
      <c r="AG1002">
        <v>9</v>
      </c>
      <c r="AH1002" t="s">
        <v>103</v>
      </c>
      <c r="AI1002">
        <v>8.0000000000000002E-3</v>
      </c>
      <c r="AJ1002" t="s">
        <v>1155</v>
      </c>
    </row>
    <row r="1003" spans="1:36" x14ac:dyDescent="0.25">
      <c r="A1003" t="s">
        <v>842</v>
      </c>
      <c r="B1003">
        <v>851640263</v>
      </c>
      <c r="C1003" t="s">
        <v>843</v>
      </c>
      <c r="D1003" t="s">
        <v>843</v>
      </c>
      <c r="E1003" t="s">
        <v>60</v>
      </c>
      <c r="F1003" t="s">
        <v>88</v>
      </c>
      <c r="I1003" t="s">
        <v>39</v>
      </c>
      <c r="J1003" t="s">
        <v>40</v>
      </c>
      <c r="K1003" t="s">
        <v>41</v>
      </c>
      <c r="L1003" t="s">
        <v>151</v>
      </c>
      <c r="M1003" t="s">
        <v>844</v>
      </c>
      <c r="N1003" t="s">
        <v>43</v>
      </c>
      <c r="O1003" t="s">
        <v>600</v>
      </c>
      <c r="P1003">
        <v>125</v>
      </c>
      <c r="Q1003">
        <v>125</v>
      </c>
      <c r="S1003" t="s">
        <v>39</v>
      </c>
      <c r="V1003" t="s">
        <v>39</v>
      </c>
      <c r="X1003">
        <v>1</v>
      </c>
      <c r="Y1003" t="s">
        <v>47</v>
      </c>
      <c r="Z1003">
        <v>0</v>
      </c>
      <c r="AA1003">
        <v>241</v>
      </c>
      <c r="AB1003" t="s">
        <v>47</v>
      </c>
      <c r="AC1003">
        <v>0.24</v>
      </c>
      <c r="AD1003">
        <v>1</v>
      </c>
      <c r="AE1003" t="s">
        <v>56</v>
      </c>
      <c r="AF1003">
        <v>0</v>
      </c>
      <c r="AG1003">
        <v>9</v>
      </c>
      <c r="AH1003" t="s">
        <v>103</v>
      </c>
      <c r="AI1003">
        <v>8.0000000000000002E-3</v>
      </c>
      <c r="AJ1003" t="s">
        <v>1156</v>
      </c>
    </row>
    <row r="1004" spans="1:36" x14ac:dyDescent="0.25">
      <c r="A1004" t="s">
        <v>845</v>
      </c>
      <c r="B1004">
        <v>855956636</v>
      </c>
      <c r="C1004" t="s">
        <v>846</v>
      </c>
      <c r="D1004" t="s">
        <v>846</v>
      </c>
      <c r="E1004" t="s">
        <v>37</v>
      </c>
      <c r="F1004" t="s">
        <v>71</v>
      </c>
      <c r="I1004" t="s">
        <v>39</v>
      </c>
      <c r="J1004" t="s">
        <v>40</v>
      </c>
      <c r="K1004" t="s">
        <v>41</v>
      </c>
      <c r="L1004" t="s">
        <v>53</v>
      </c>
      <c r="N1004" t="s">
        <v>43</v>
      </c>
      <c r="O1004" t="s">
        <v>603</v>
      </c>
      <c r="P1004">
        <v>125</v>
      </c>
      <c r="Q1004">
        <v>125</v>
      </c>
      <c r="R1004">
        <v>51</v>
      </c>
      <c r="S1004" t="s">
        <v>45</v>
      </c>
      <c r="T1004">
        <v>0.05</v>
      </c>
      <c r="U1004">
        <v>987</v>
      </c>
      <c r="V1004" t="s">
        <v>46</v>
      </c>
      <c r="W1004">
        <v>0.98599999999999999</v>
      </c>
      <c r="X1004">
        <v>22001</v>
      </c>
      <c r="Y1004" t="s">
        <v>47</v>
      </c>
      <c r="Z1004">
        <v>22</v>
      </c>
      <c r="AA1004">
        <v>414</v>
      </c>
      <c r="AB1004" t="s">
        <v>47</v>
      </c>
      <c r="AC1004">
        <v>0.41299999999999998</v>
      </c>
      <c r="AD1004">
        <v>568</v>
      </c>
      <c r="AE1004" t="s">
        <v>48</v>
      </c>
      <c r="AF1004">
        <v>0.56699999999999995</v>
      </c>
      <c r="AG1004">
        <v>152</v>
      </c>
      <c r="AH1004" t="s">
        <v>103</v>
      </c>
      <c r="AI1004">
        <v>0.151</v>
      </c>
      <c r="AJ1004" t="s">
        <v>50</v>
      </c>
    </row>
    <row r="1005" spans="1:36" x14ac:dyDescent="0.25">
      <c r="A1005" t="s">
        <v>845</v>
      </c>
      <c r="B1005">
        <v>855956636</v>
      </c>
      <c r="C1005" t="s">
        <v>846</v>
      </c>
      <c r="D1005" t="s">
        <v>846</v>
      </c>
      <c r="E1005" t="s">
        <v>37</v>
      </c>
      <c r="F1005" t="s">
        <v>71</v>
      </c>
      <c r="I1005" t="s">
        <v>39</v>
      </c>
      <c r="J1005" t="s">
        <v>40</v>
      </c>
      <c r="K1005" t="s">
        <v>41</v>
      </c>
      <c r="L1005" t="s">
        <v>53</v>
      </c>
      <c r="N1005" t="s">
        <v>43</v>
      </c>
      <c r="O1005" t="s">
        <v>603</v>
      </c>
      <c r="P1005">
        <v>125</v>
      </c>
      <c r="Q1005">
        <v>125</v>
      </c>
      <c r="R1005">
        <v>1</v>
      </c>
      <c r="S1005" t="s">
        <v>45</v>
      </c>
      <c r="T1005">
        <v>0</v>
      </c>
      <c r="U1005">
        <v>952</v>
      </c>
      <c r="V1005" t="s">
        <v>46</v>
      </c>
      <c r="W1005">
        <v>0.95099999999999996</v>
      </c>
      <c r="X1005">
        <v>22001</v>
      </c>
      <c r="Y1005" t="s">
        <v>47</v>
      </c>
      <c r="Z1005">
        <v>22</v>
      </c>
      <c r="AA1005">
        <v>414</v>
      </c>
      <c r="AB1005" t="s">
        <v>47</v>
      </c>
      <c r="AC1005">
        <v>0.41299999999999998</v>
      </c>
      <c r="AD1005">
        <v>568</v>
      </c>
      <c r="AE1005" t="s">
        <v>48</v>
      </c>
      <c r="AF1005">
        <v>0.56699999999999995</v>
      </c>
      <c r="AG1005">
        <v>152</v>
      </c>
      <c r="AH1005" t="s">
        <v>103</v>
      </c>
      <c r="AI1005">
        <v>0.151</v>
      </c>
      <c r="AJ1005" t="s">
        <v>1141</v>
      </c>
    </row>
    <row r="1006" spans="1:36" x14ac:dyDescent="0.25">
      <c r="A1006" t="s">
        <v>845</v>
      </c>
      <c r="B1006">
        <v>855956636</v>
      </c>
      <c r="C1006" t="s">
        <v>846</v>
      </c>
      <c r="D1006" t="s">
        <v>846</v>
      </c>
      <c r="E1006" t="s">
        <v>37</v>
      </c>
      <c r="F1006" t="s">
        <v>71</v>
      </c>
      <c r="I1006" t="s">
        <v>39</v>
      </c>
      <c r="J1006" t="s">
        <v>40</v>
      </c>
      <c r="K1006" t="s">
        <v>41</v>
      </c>
      <c r="L1006" t="s">
        <v>53</v>
      </c>
      <c r="N1006" t="s">
        <v>43</v>
      </c>
      <c r="O1006" t="s">
        <v>603</v>
      </c>
      <c r="P1006">
        <v>125</v>
      </c>
      <c r="Q1006">
        <v>125</v>
      </c>
      <c r="R1006">
        <v>51</v>
      </c>
      <c r="S1006" t="s">
        <v>45</v>
      </c>
      <c r="T1006">
        <v>0.05</v>
      </c>
      <c r="U1006">
        <v>987</v>
      </c>
      <c r="V1006" t="s">
        <v>46</v>
      </c>
      <c r="W1006">
        <v>0.98599999999999999</v>
      </c>
      <c r="X1006">
        <v>22001</v>
      </c>
      <c r="Y1006" t="s">
        <v>47</v>
      </c>
      <c r="Z1006">
        <v>22</v>
      </c>
      <c r="AA1006">
        <v>414</v>
      </c>
      <c r="AB1006" t="s">
        <v>47</v>
      </c>
      <c r="AC1006">
        <v>0.41299999999999998</v>
      </c>
      <c r="AD1006">
        <v>568</v>
      </c>
      <c r="AE1006" t="s">
        <v>48</v>
      </c>
      <c r="AF1006">
        <v>0.56699999999999995</v>
      </c>
      <c r="AG1006">
        <v>152</v>
      </c>
      <c r="AH1006" t="s">
        <v>103</v>
      </c>
      <c r="AI1006">
        <v>0.151</v>
      </c>
      <c r="AJ1006" t="s">
        <v>1153</v>
      </c>
    </row>
    <row r="1007" spans="1:36" x14ac:dyDescent="0.25">
      <c r="A1007" t="s">
        <v>845</v>
      </c>
      <c r="B1007">
        <v>855956636</v>
      </c>
      <c r="C1007" t="s">
        <v>846</v>
      </c>
      <c r="D1007" t="s">
        <v>846</v>
      </c>
      <c r="E1007" t="s">
        <v>37</v>
      </c>
      <c r="F1007" t="s">
        <v>71</v>
      </c>
      <c r="I1007" t="s">
        <v>39</v>
      </c>
      <c r="J1007" t="s">
        <v>40</v>
      </c>
      <c r="K1007" t="s">
        <v>41</v>
      </c>
      <c r="L1007" t="s">
        <v>53</v>
      </c>
      <c r="N1007" t="s">
        <v>43</v>
      </c>
      <c r="O1007" t="s">
        <v>603</v>
      </c>
      <c r="P1007">
        <v>125</v>
      </c>
      <c r="Q1007">
        <v>125</v>
      </c>
      <c r="R1007">
        <v>51</v>
      </c>
      <c r="S1007" t="s">
        <v>45</v>
      </c>
      <c r="T1007">
        <v>0.05</v>
      </c>
      <c r="U1007">
        <v>987</v>
      </c>
      <c r="V1007" t="s">
        <v>46</v>
      </c>
      <c r="W1007">
        <v>0.98599999999999999</v>
      </c>
      <c r="X1007">
        <v>22001</v>
      </c>
      <c r="Y1007" t="s">
        <v>47</v>
      </c>
      <c r="Z1007">
        <v>22</v>
      </c>
      <c r="AA1007">
        <v>414</v>
      </c>
      <c r="AB1007" t="s">
        <v>47</v>
      </c>
      <c r="AC1007">
        <v>0.41299999999999998</v>
      </c>
      <c r="AD1007">
        <v>568</v>
      </c>
      <c r="AE1007" t="s">
        <v>48</v>
      </c>
      <c r="AF1007">
        <v>0.56699999999999995</v>
      </c>
      <c r="AG1007">
        <v>152</v>
      </c>
      <c r="AH1007" t="s">
        <v>103</v>
      </c>
      <c r="AI1007">
        <v>0.151</v>
      </c>
      <c r="AJ1007" t="s">
        <v>1154</v>
      </c>
    </row>
    <row r="1008" spans="1:36" x14ac:dyDescent="0.25">
      <c r="A1008" t="s">
        <v>845</v>
      </c>
      <c r="B1008">
        <v>855956636</v>
      </c>
      <c r="C1008" t="s">
        <v>846</v>
      </c>
      <c r="D1008" t="s">
        <v>846</v>
      </c>
      <c r="E1008" t="s">
        <v>37</v>
      </c>
      <c r="F1008" t="s">
        <v>71</v>
      </c>
      <c r="I1008" t="s">
        <v>39</v>
      </c>
      <c r="J1008" t="s">
        <v>40</v>
      </c>
      <c r="K1008" t="s">
        <v>41</v>
      </c>
      <c r="L1008" t="s">
        <v>53</v>
      </c>
      <c r="N1008" t="s">
        <v>43</v>
      </c>
      <c r="O1008" t="s">
        <v>603</v>
      </c>
      <c r="P1008">
        <v>125</v>
      </c>
      <c r="Q1008">
        <v>125</v>
      </c>
      <c r="S1008" t="s">
        <v>39</v>
      </c>
      <c r="V1008" t="s">
        <v>39</v>
      </c>
      <c r="X1008">
        <v>22001</v>
      </c>
      <c r="Y1008" t="s">
        <v>47</v>
      </c>
      <c r="Z1008">
        <v>22</v>
      </c>
      <c r="AA1008">
        <v>414</v>
      </c>
      <c r="AB1008" t="s">
        <v>47</v>
      </c>
      <c r="AC1008">
        <v>0.41299999999999998</v>
      </c>
      <c r="AD1008">
        <v>568</v>
      </c>
      <c r="AE1008" t="s">
        <v>48</v>
      </c>
      <c r="AF1008">
        <v>0.56699999999999995</v>
      </c>
      <c r="AG1008">
        <v>152</v>
      </c>
      <c r="AH1008" t="s">
        <v>103</v>
      </c>
      <c r="AI1008">
        <v>0.151</v>
      </c>
      <c r="AJ1008" t="s">
        <v>1155</v>
      </c>
    </row>
    <row r="1009" spans="1:36" x14ac:dyDescent="0.25">
      <c r="A1009" t="s">
        <v>845</v>
      </c>
      <c r="B1009">
        <v>855956636</v>
      </c>
      <c r="C1009" t="s">
        <v>846</v>
      </c>
      <c r="D1009" t="s">
        <v>846</v>
      </c>
      <c r="E1009" t="s">
        <v>37</v>
      </c>
      <c r="F1009" t="s">
        <v>71</v>
      </c>
      <c r="I1009" t="s">
        <v>39</v>
      </c>
      <c r="J1009" t="s">
        <v>40</v>
      </c>
      <c r="K1009" t="s">
        <v>41</v>
      </c>
      <c r="L1009" t="s">
        <v>53</v>
      </c>
      <c r="N1009" t="s">
        <v>43</v>
      </c>
      <c r="O1009" t="s">
        <v>603</v>
      </c>
      <c r="P1009">
        <v>125</v>
      </c>
      <c r="Q1009">
        <v>125</v>
      </c>
      <c r="S1009" t="s">
        <v>39</v>
      </c>
      <c r="V1009" t="s">
        <v>39</v>
      </c>
      <c r="X1009">
        <v>22001</v>
      </c>
      <c r="Y1009" t="s">
        <v>47</v>
      </c>
      <c r="Z1009">
        <v>22</v>
      </c>
      <c r="AA1009">
        <v>414</v>
      </c>
      <c r="AB1009" t="s">
        <v>47</v>
      </c>
      <c r="AC1009">
        <v>0.41299999999999998</v>
      </c>
      <c r="AD1009">
        <v>568</v>
      </c>
      <c r="AE1009" t="s">
        <v>48</v>
      </c>
      <c r="AF1009">
        <v>0.56699999999999995</v>
      </c>
      <c r="AG1009">
        <v>152</v>
      </c>
      <c r="AH1009" t="s">
        <v>103</v>
      </c>
      <c r="AI1009">
        <v>0.151</v>
      </c>
      <c r="AJ1009" t="s">
        <v>1156</v>
      </c>
    </row>
    <row r="1010" spans="1:36" x14ac:dyDescent="0.25">
      <c r="A1010" t="s">
        <v>840</v>
      </c>
      <c r="B1010">
        <v>871759654</v>
      </c>
      <c r="C1010" t="s">
        <v>841</v>
      </c>
      <c r="D1010" t="s">
        <v>841</v>
      </c>
      <c r="E1010" t="s">
        <v>99</v>
      </c>
      <c r="F1010" t="s">
        <v>111</v>
      </c>
      <c r="I1010" t="s">
        <v>39</v>
      </c>
      <c r="J1010" t="s">
        <v>40</v>
      </c>
      <c r="K1010" t="s">
        <v>41</v>
      </c>
      <c r="L1010" t="s">
        <v>78</v>
      </c>
      <c r="N1010" t="s">
        <v>43</v>
      </c>
      <c r="O1010" t="s">
        <v>112</v>
      </c>
      <c r="P1010">
        <v>127</v>
      </c>
      <c r="Q1010">
        <v>127</v>
      </c>
      <c r="R1010">
        <v>21</v>
      </c>
      <c r="S1010" t="s">
        <v>45</v>
      </c>
      <c r="T1010">
        <v>0.02</v>
      </c>
      <c r="U1010">
        <v>152</v>
      </c>
      <c r="V1010" t="s">
        <v>55</v>
      </c>
      <c r="W1010">
        <v>0.151</v>
      </c>
      <c r="X1010">
        <v>17001</v>
      </c>
      <c r="Y1010" t="s">
        <v>47</v>
      </c>
      <c r="Z1010">
        <v>17</v>
      </c>
      <c r="AA1010">
        <v>296</v>
      </c>
      <c r="AB1010" t="s">
        <v>47</v>
      </c>
      <c r="AC1010">
        <v>0.29499999999999998</v>
      </c>
      <c r="AD1010">
        <v>579</v>
      </c>
      <c r="AE1010" t="s">
        <v>48</v>
      </c>
      <c r="AF1010">
        <v>0.57799999999999996</v>
      </c>
      <c r="AG1010">
        <v>499</v>
      </c>
      <c r="AH1010" t="s">
        <v>57</v>
      </c>
      <c r="AI1010">
        <v>0.498</v>
      </c>
      <c r="AJ1010" t="s">
        <v>50</v>
      </c>
    </row>
    <row r="1011" spans="1:36" x14ac:dyDescent="0.25">
      <c r="A1011" t="s">
        <v>840</v>
      </c>
      <c r="B1011">
        <v>871759654</v>
      </c>
      <c r="C1011" t="s">
        <v>841</v>
      </c>
      <c r="D1011" t="s">
        <v>841</v>
      </c>
      <c r="E1011" t="s">
        <v>99</v>
      </c>
      <c r="F1011" t="s">
        <v>111</v>
      </c>
      <c r="I1011" t="s">
        <v>39</v>
      </c>
      <c r="J1011" t="s">
        <v>40</v>
      </c>
      <c r="K1011" t="s">
        <v>41</v>
      </c>
      <c r="L1011" t="s">
        <v>78</v>
      </c>
      <c r="N1011" t="s">
        <v>43</v>
      </c>
      <c r="O1011" t="s">
        <v>112</v>
      </c>
      <c r="P1011">
        <v>127</v>
      </c>
      <c r="Q1011">
        <v>127</v>
      </c>
      <c r="R1011">
        <v>21</v>
      </c>
      <c r="S1011" t="s">
        <v>45</v>
      </c>
      <c r="T1011">
        <v>0.02</v>
      </c>
      <c r="U1011">
        <v>157</v>
      </c>
      <c r="V1011" t="s">
        <v>55</v>
      </c>
      <c r="W1011">
        <v>0.156</v>
      </c>
      <c r="X1011">
        <v>17001</v>
      </c>
      <c r="Y1011" t="s">
        <v>47</v>
      </c>
      <c r="Z1011">
        <v>17</v>
      </c>
      <c r="AA1011">
        <v>296</v>
      </c>
      <c r="AB1011" t="s">
        <v>47</v>
      </c>
      <c r="AC1011">
        <v>0.29499999999999998</v>
      </c>
      <c r="AD1011">
        <v>579</v>
      </c>
      <c r="AE1011" t="s">
        <v>48</v>
      </c>
      <c r="AF1011">
        <v>0.57799999999999996</v>
      </c>
      <c r="AG1011">
        <v>499</v>
      </c>
      <c r="AH1011" t="s">
        <v>57</v>
      </c>
      <c r="AI1011">
        <v>0.498</v>
      </c>
      <c r="AJ1011" t="s">
        <v>1141</v>
      </c>
    </row>
    <row r="1012" spans="1:36" x14ac:dyDescent="0.25">
      <c r="A1012" t="s">
        <v>840</v>
      </c>
      <c r="B1012">
        <v>871759654</v>
      </c>
      <c r="C1012" t="s">
        <v>841</v>
      </c>
      <c r="D1012" t="s">
        <v>841</v>
      </c>
      <c r="E1012" t="s">
        <v>99</v>
      </c>
      <c r="F1012" t="s">
        <v>111</v>
      </c>
      <c r="I1012" t="s">
        <v>39</v>
      </c>
      <c r="J1012" t="s">
        <v>40</v>
      </c>
      <c r="K1012" t="s">
        <v>41</v>
      </c>
      <c r="L1012" t="s">
        <v>78</v>
      </c>
      <c r="N1012" t="s">
        <v>43</v>
      </c>
      <c r="O1012" t="s">
        <v>112</v>
      </c>
      <c r="P1012">
        <v>127</v>
      </c>
      <c r="Q1012">
        <v>127</v>
      </c>
      <c r="R1012">
        <v>21</v>
      </c>
      <c r="S1012" t="s">
        <v>45</v>
      </c>
      <c r="T1012">
        <v>0.02</v>
      </c>
      <c r="U1012">
        <v>152</v>
      </c>
      <c r="V1012" t="s">
        <v>55</v>
      </c>
      <c r="W1012">
        <v>0.151</v>
      </c>
      <c r="X1012">
        <v>17001</v>
      </c>
      <c r="Y1012" t="s">
        <v>47</v>
      </c>
      <c r="Z1012">
        <v>17</v>
      </c>
      <c r="AA1012">
        <v>296</v>
      </c>
      <c r="AB1012" t="s">
        <v>47</v>
      </c>
      <c r="AC1012">
        <v>0.29499999999999998</v>
      </c>
      <c r="AD1012">
        <v>579</v>
      </c>
      <c r="AE1012" t="s">
        <v>48</v>
      </c>
      <c r="AF1012">
        <v>0.57799999999999996</v>
      </c>
      <c r="AG1012">
        <v>499</v>
      </c>
      <c r="AH1012" t="s">
        <v>57</v>
      </c>
      <c r="AI1012">
        <v>0.498</v>
      </c>
      <c r="AJ1012" t="s">
        <v>1153</v>
      </c>
    </row>
    <row r="1013" spans="1:36" x14ac:dyDescent="0.25">
      <c r="A1013" t="s">
        <v>840</v>
      </c>
      <c r="B1013">
        <v>871759654</v>
      </c>
      <c r="C1013" t="s">
        <v>841</v>
      </c>
      <c r="D1013" t="s">
        <v>841</v>
      </c>
      <c r="E1013" t="s">
        <v>99</v>
      </c>
      <c r="F1013" t="s">
        <v>111</v>
      </c>
      <c r="I1013" t="s">
        <v>39</v>
      </c>
      <c r="J1013" t="s">
        <v>40</v>
      </c>
      <c r="K1013" t="s">
        <v>41</v>
      </c>
      <c r="L1013" t="s">
        <v>78</v>
      </c>
      <c r="N1013" t="s">
        <v>43</v>
      </c>
      <c r="O1013" t="s">
        <v>112</v>
      </c>
      <c r="P1013">
        <v>127</v>
      </c>
      <c r="Q1013">
        <v>127</v>
      </c>
      <c r="R1013">
        <v>21</v>
      </c>
      <c r="S1013" t="s">
        <v>45</v>
      </c>
      <c r="T1013">
        <v>0.02</v>
      </c>
      <c r="U1013">
        <v>152</v>
      </c>
      <c r="V1013" t="s">
        <v>55</v>
      </c>
      <c r="W1013">
        <v>0.151</v>
      </c>
      <c r="X1013">
        <v>17001</v>
      </c>
      <c r="Y1013" t="s">
        <v>47</v>
      </c>
      <c r="Z1013">
        <v>17</v>
      </c>
      <c r="AA1013">
        <v>296</v>
      </c>
      <c r="AB1013" t="s">
        <v>47</v>
      </c>
      <c r="AC1013">
        <v>0.29499999999999998</v>
      </c>
      <c r="AD1013">
        <v>579</v>
      </c>
      <c r="AE1013" t="s">
        <v>48</v>
      </c>
      <c r="AF1013">
        <v>0.57799999999999996</v>
      </c>
      <c r="AG1013">
        <v>499</v>
      </c>
      <c r="AH1013" t="s">
        <v>57</v>
      </c>
      <c r="AI1013">
        <v>0.498</v>
      </c>
      <c r="AJ1013" t="s">
        <v>1154</v>
      </c>
    </row>
    <row r="1014" spans="1:36" x14ac:dyDescent="0.25">
      <c r="A1014" t="s">
        <v>840</v>
      </c>
      <c r="B1014">
        <v>871759654</v>
      </c>
      <c r="C1014" t="s">
        <v>841</v>
      </c>
      <c r="D1014" t="s">
        <v>841</v>
      </c>
      <c r="E1014" t="s">
        <v>99</v>
      </c>
      <c r="F1014" t="s">
        <v>111</v>
      </c>
      <c r="I1014" t="s">
        <v>39</v>
      </c>
      <c r="J1014" t="s">
        <v>40</v>
      </c>
      <c r="K1014" t="s">
        <v>41</v>
      </c>
      <c r="L1014" t="s">
        <v>78</v>
      </c>
      <c r="N1014" t="s">
        <v>43</v>
      </c>
      <c r="O1014" t="s">
        <v>112</v>
      </c>
      <c r="P1014">
        <v>127</v>
      </c>
      <c r="Q1014">
        <v>127</v>
      </c>
      <c r="S1014" t="s">
        <v>39</v>
      </c>
      <c r="V1014" t="s">
        <v>39</v>
      </c>
      <c r="X1014">
        <v>17001</v>
      </c>
      <c r="Y1014" t="s">
        <v>47</v>
      </c>
      <c r="Z1014">
        <v>17</v>
      </c>
      <c r="AA1014">
        <v>296</v>
      </c>
      <c r="AB1014" t="s">
        <v>47</v>
      </c>
      <c r="AC1014">
        <v>0.29499999999999998</v>
      </c>
      <c r="AD1014">
        <v>579</v>
      </c>
      <c r="AE1014" t="s">
        <v>48</v>
      </c>
      <c r="AF1014">
        <v>0.57799999999999996</v>
      </c>
      <c r="AG1014">
        <v>499</v>
      </c>
      <c r="AH1014" t="s">
        <v>57</v>
      </c>
      <c r="AI1014">
        <v>0.498</v>
      </c>
      <c r="AJ1014" t="s">
        <v>1155</v>
      </c>
    </row>
    <row r="1015" spans="1:36" x14ac:dyDescent="0.25">
      <c r="A1015" t="s">
        <v>840</v>
      </c>
      <c r="B1015">
        <v>871759654</v>
      </c>
      <c r="C1015" t="s">
        <v>841</v>
      </c>
      <c r="D1015" t="s">
        <v>841</v>
      </c>
      <c r="E1015" t="s">
        <v>99</v>
      </c>
      <c r="F1015" t="s">
        <v>111</v>
      </c>
      <c r="I1015" t="s">
        <v>39</v>
      </c>
      <c r="J1015" t="s">
        <v>40</v>
      </c>
      <c r="K1015" t="s">
        <v>41</v>
      </c>
      <c r="L1015" t="s">
        <v>78</v>
      </c>
      <c r="N1015" t="s">
        <v>43</v>
      </c>
      <c r="O1015" t="s">
        <v>112</v>
      </c>
      <c r="P1015">
        <v>127</v>
      </c>
      <c r="Q1015">
        <v>127</v>
      </c>
      <c r="S1015" t="s">
        <v>39</v>
      </c>
      <c r="V1015" t="s">
        <v>39</v>
      </c>
      <c r="X1015">
        <v>17001</v>
      </c>
      <c r="Y1015" t="s">
        <v>47</v>
      </c>
      <c r="Z1015">
        <v>17</v>
      </c>
      <c r="AA1015">
        <v>296</v>
      </c>
      <c r="AB1015" t="s">
        <v>47</v>
      </c>
      <c r="AC1015">
        <v>0.29499999999999998</v>
      </c>
      <c r="AD1015">
        <v>579</v>
      </c>
      <c r="AE1015" t="s">
        <v>48</v>
      </c>
      <c r="AF1015">
        <v>0.57799999999999996</v>
      </c>
      <c r="AG1015">
        <v>499</v>
      </c>
      <c r="AH1015" t="s">
        <v>57</v>
      </c>
      <c r="AI1015">
        <v>0.498</v>
      </c>
      <c r="AJ1015" t="s">
        <v>1156</v>
      </c>
    </row>
    <row r="1016" spans="1:36" x14ac:dyDescent="0.25">
      <c r="A1016" t="s">
        <v>836</v>
      </c>
      <c r="B1016">
        <v>874102381</v>
      </c>
      <c r="C1016" t="s">
        <v>837</v>
      </c>
      <c r="D1016" t="s">
        <v>837</v>
      </c>
      <c r="E1016" t="s">
        <v>99</v>
      </c>
      <c r="F1016" t="s">
        <v>143</v>
      </c>
      <c r="I1016" t="s">
        <v>39</v>
      </c>
      <c r="J1016" t="s">
        <v>40</v>
      </c>
      <c r="K1016" t="s">
        <v>41</v>
      </c>
      <c r="L1016" t="s">
        <v>89</v>
      </c>
      <c r="N1016" t="s">
        <v>43</v>
      </c>
      <c r="O1016" t="s">
        <v>576</v>
      </c>
      <c r="P1016">
        <v>129</v>
      </c>
      <c r="Q1016">
        <v>129</v>
      </c>
      <c r="R1016">
        <v>1001</v>
      </c>
      <c r="S1016" t="s">
        <v>56</v>
      </c>
      <c r="T1016">
        <v>1</v>
      </c>
      <c r="U1016">
        <v>2</v>
      </c>
      <c r="V1016" t="s">
        <v>55</v>
      </c>
      <c r="W1016">
        <v>1E-3</v>
      </c>
      <c r="X1016">
        <v>1</v>
      </c>
      <c r="Y1016" t="s">
        <v>47</v>
      </c>
      <c r="Z1016">
        <v>0</v>
      </c>
      <c r="AA1016">
        <v>175</v>
      </c>
      <c r="AB1016" t="s">
        <v>47</v>
      </c>
      <c r="AC1016">
        <v>0.17399999999999999</v>
      </c>
      <c r="AD1016">
        <v>248</v>
      </c>
      <c r="AE1016" t="s">
        <v>56</v>
      </c>
      <c r="AF1016">
        <v>0.247</v>
      </c>
      <c r="AG1016">
        <v>89</v>
      </c>
      <c r="AH1016" t="s">
        <v>103</v>
      </c>
      <c r="AI1016">
        <v>8.7999999999999995E-2</v>
      </c>
      <c r="AJ1016" t="s">
        <v>50</v>
      </c>
    </row>
    <row r="1017" spans="1:36" x14ac:dyDescent="0.25">
      <c r="A1017" t="s">
        <v>836</v>
      </c>
      <c r="B1017">
        <v>874102381</v>
      </c>
      <c r="C1017" t="s">
        <v>837</v>
      </c>
      <c r="D1017" t="s">
        <v>837</v>
      </c>
      <c r="E1017" t="s">
        <v>99</v>
      </c>
      <c r="F1017" t="s">
        <v>143</v>
      </c>
      <c r="I1017" t="s">
        <v>39</v>
      </c>
      <c r="J1017" t="s">
        <v>40</v>
      </c>
      <c r="K1017" t="s">
        <v>41</v>
      </c>
      <c r="L1017" t="s">
        <v>89</v>
      </c>
      <c r="N1017" t="s">
        <v>43</v>
      </c>
      <c r="O1017" t="s">
        <v>576</v>
      </c>
      <c r="P1017">
        <v>129</v>
      </c>
      <c r="Q1017">
        <v>129</v>
      </c>
      <c r="R1017">
        <v>1001</v>
      </c>
      <c r="S1017" t="s">
        <v>56</v>
      </c>
      <c r="T1017">
        <v>1</v>
      </c>
      <c r="U1017">
        <v>1</v>
      </c>
      <c r="V1017" t="s">
        <v>55</v>
      </c>
      <c r="W1017">
        <v>0</v>
      </c>
      <c r="X1017">
        <v>1</v>
      </c>
      <c r="Y1017" t="s">
        <v>47</v>
      </c>
      <c r="Z1017">
        <v>0</v>
      </c>
      <c r="AA1017">
        <v>175</v>
      </c>
      <c r="AB1017" t="s">
        <v>47</v>
      </c>
      <c r="AC1017">
        <v>0.17399999999999999</v>
      </c>
      <c r="AD1017">
        <v>248</v>
      </c>
      <c r="AE1017" t="s">
        <v>56</v>
      </c>
      <c r="AF1017">
        <v>0.247</v>
      </c>
      <c r="AG1017">
        <v>89</v>
      </c>
      <c r="AH1017" t="s">
        <v>103</v>
      </c>
      <c r="AI1017">
        <v>8.7999999999999995E-2</v>
      </c>
      <c r="AJ1017" t="s">
        <v>1141</v>
      </c>
    </row>
    <row r="1018" spans="1:36" x14ac:dyDescent="0.25">
      <c r="A1018" t="s">
        <v>836</v>
      </c>
      <c r="B1018">
        <v>874102381</v>
      </c>
      <c r="C1018" t="s">
        <v>837</v>
      </c>
      <c r="D1018" t="s">
        <v>837</v>
      </c>
      <c r="E1018" t="s">
        <v>99</v>
      </c>
      <c r="F1018" t="s">
        <v>143</v>
      </c>
      <c r="I1018" t="s">
        <v>39</v>
      </c>
      <c r="J1018" t="s">
        <v>40</v>
      </c>
      <c r="K1018" t="s">
        <v>41</v>
      </c>
      <c r="L1018" t="s">
        <v>89</v>
      </c>
      <c r="N1018" t="s">
        <v>43</v>
      </c>
      <c r="O1018" t="s">
        <v>576</v>
      </c>
      <c r="P1018">
        <v>129</v>
      </c>
      <c r="Q1018">
        <v>129</v>
      </c>
      <c r="R1018">
        <v>1001</v>
      </c>
      <c r="S1018" t="s">
        <v>56</v>
      </c>
      <c r="T1018">
        <v>1</v>
      </c>
      <c r="U1018">
        <v>2</v>
      </c>
      <c r="V1018" t="s">
        <v>55</v>
      </c>
      <c r="W1018">
        <v>1E-3</v>
      </c>
      <c r="X1018">
        <v>1</v>
      </c>
      <c r="Y1018" t="s">
        <v>47</v>
      </c>
      <c r="Z1018">
        <v>0</v>
      </c>
      <c r="AA1018">
        <v>175</v>
      </c>
      <c r="AB1018" t="s">
        <v>47</v>
      </c>
      <c r="AC1018">
        <v>0.17399999999999999</v>
      </c>
      <c r="AD1018">
        <v>248</v>
      </c>
      <c r="AE1018" t="s">
        <v>56</v>
      </c>
      <c r="AF1018">
        <v>0.247</v>
      </c>
      <c r="AG1018">
        <v>89</v>
      </c>
      <c r="AH1018" t="s">
        <v>103</v>
      </c>
      <c r="AI1018">
        <v>8.7999999999999995E-2</v>
      </c>
      <c r="AJ1018" t="s">
        <v>1153</v>
      </c>
    </row>
    <row r="1019" spans="1:36" x14ac:dyDescent="0.25">
      <c r="A1019" t="s">
        <v>836</v>
      </c>
      <c r="B1019">
        <v>874102381</v>
      </c>
      <c r="C1019" t="s">
        <v>837</v>
      </c>
      <c r="D1019" t="s">
        <v>837</v>
      </c>
      <c r="E1019" t="s">
        <v>99</v>
      </c>
      <c r="F1019" t="s">
        <v>143</v>
      </c>
      <c r="I1019" t="s">
        <v>39</v>
      </c>
      <c r="J1019" t="s">
        <v>40</v>
      </c>
      <c r="K1019" t="s">
        <v>41</v>
      </c>
      <c r="L1019" t="s">
        <v>89</v>
      </c>
      <c r="N1019" t="s">
        <v>43</v>
      </c>
      <c r="O1019" t="s">
        <v>576</v>
      </c>
      <c r="P1019">
        <v>129</v>
      </c>
      <c r="Q1019">
        <v>129</v>
      </c>
      <c r="R1019">
        <v>1001</v>
      </c>
      <c r="S1019" t="s">
        <v>56</v>
      </c>
      <c r="T1019">
        <v>1</v>
      </c>
      <c r="U1019">
        <v>2</v>
      </c>
      <c r="V1019" t="s">
        <v>55</v>
      </c>
      <c r="W1019">
        <v>1E-3</v>
      </c>
      <c r="X1019">
        <v>1</v>
      </c>
      <c r="Y1019" t="s">
        <v>47</v>
      </c>
      <c r="Z1019">
        <v>0</v>
      </c>
      <c r="AA1019">
        <v>175</v>
      </c>
      <c r="AB1019" t="s">
        <v>47</v>
      </c>
      <c r="AC1019">
        <v>0.17399999999999999</v>
      </c>
      <c r="AD1019">
        <v>248</v>
      </c>
      <c r="AE1019" t="s">
        <v>56</v>
      </c>
      <c r="AF1019">
        <v>0.247</v>
      </c>
      <c r="AG1019">
        <v>89</v>
      </c>
      <c r="AH1019" t="s">
        <v>103</v>
      </c>
      <c r="AI1019">
        <v>8.7999999999999995E-2</v>
      </c>
      <c r="AJ1019" t="s">
        <v>1154</v>
      </c>
    </row>
    <row r="1020" spans="1:36" x14ac:dyDescent="0.25">
      <c r="A1020" t="s">
        <v>836</v>
      </c>
      <c r="B1020">
        <v>874102381</v>
      </c>
      <c r="C1020" t="s">
        <v>837</v>
      </c>
      <c r="D1020" t="s">
        <v>837</v>
      </c>
      <c r="E1020" t="s">
        <v>99</v>
      </c>
      <c r="F1020" t="s">
        <v>143</v>
      </c>
      <c r="I1020" t="s">
        <v>39</v>
      </c>
      <c r="J1020" t="s">
        <v>40</v>
      </c>
      <c r="K1020" t="s">
        <v>41</v>
      </c>
      <c r="L1020" t="s">
        <v>89</v>
      </c>
      <c r="N1020" t="s">
        <v>43</v>
      </c>
      <c r="O1020" t="s">
        <v>576</v>
      </c>
      <c r="P1020">
        <v>129</v>
      </c>
      <c r="Q1020">
        <v>129</v>
      </c>
      <c r="S1020" t="s">
        <v>39</v>
      </c>
      <c r="V1020" t="s">
        <v>39</v>
      </c>
      <c r="X1020">
        <v>1</v>
      </c>
      <c r="Y1020" t="s">
        <v>47</v>
      </c>
      <c r="Z1020">
        <v>0</v>
      </c>
      <c r="AA1020">
        <v>175</v>
      </c>
      <c r="AB1020" t="s">
        <v>47</v>
      </c>
      <c r="AC1020">
        <v>0.17399999999999999</v>
      </c>
      <c r="AD1020">
        <v>248</v>
      </c>
      <c r="AE1020" t="s">
        <v>56</v>
      </c>
      <c r="AF1020">
        <v>0.247</v>
      </c>
      <c r="AG1020">
        <v>89</v>
      </c>
      <c r="AH1020" t="s">
        <v>103</v>
      </c>
      <c r="AI1020">
        <v>8.7999999999999995E-2</v>
      </c>
      <c r="AJ1020" t="s">
        <v>1155</v>
      </c>
    </row>
    <row r="1021" spans="1:36" x14ac:dyDescent="0.25">
      <c r="A1021" t="s">
        <v>836</v>
      </c>
      <c r="B1021">
        <v>874102381</v>
      </c>
      <c r="C1021" t="s">
        <v>837</v>
      </c>
      <c r="D1021" t="s">
        <v>837</v>
      </c>
      <c r="E1021" t="s">
        <v>99</v>
      </c>
      <c r="F1021" t="s">
        <v>143</v>
      </c>
      <c r="I1021" t="s">
        <v>39</v>
      </c>
      <c r="J1021" t="s">
        <v>40</v>
      </c>
      <c r="K1021" t="s">
        <v>41</v>
      </c>
      <c r="L1021" t="s">
        <v>89</v>
      </c>
      <c r="N1021" t="s">
        <v>43</v>
      </c>
      <c r="O1021" t="s">
        <v>576</v>
      </c>
      <c r="P1021">
        <v>129</v>
      </c>
      <c r="Q1021">
        <v>129</v>
      </c>
      <c r="S1021" t="s">
        <v>39</v>
      </c>
      <c r="V1021" t="s">
        <v>39</v>
      </c>
      <c r="X1021">
        <v>1</v>
      </c>
      <c r="Y1021" t="s">
        <v>47</v>
      </c>
      <c r="Z1021">
        <v>0</v>
      </c>
      <c r="AA1021">
        <v>175</v>
      </c>
      <c r="AB1021" t="s">
        <v>47</v>
      </c>
      <c r="AC1021">
        <v>0.17399999999999999</v>
      </c>
      <c r="AD1021">
        <v>248</v>
      </c>
      <c r="AE1021" t="s">
        <v>56</v>
      </c>
      <c r="AF1021">
        <v>0.247</v>
      </c>
      <c r="AG1021">
        <v>89</v>
      </c>
      <c r="AH1021" t="s">
        <v>103</v>
      </c>
      <c r="AI1021">
        <v>8.7999999999999995E-2</v>
      </c>
      <c r="AJ1021" t="s">
        <v>1156</v>
      </c>
    </row>
    <row r="1022" spans="1:36" x14ac:dyDescent="0.25">
      <c r="A1022" t="s">
        <v>838</v>
      </c>
      <c r="B1022">
        <v>855649613</v>
      </c>
      <c r="C1022" t="s">
        <v>839</v>
      </c>
      <c r="D1022" t="s">
        <v>839</v>
      </c>
      <c r="E1022" t="s">
        <v>60</v>
      </c>
      <c r="F1022" t="s">
        <v>61</v>
      </c>
      <c r="I1022" t="s">
        <v>39</v>
      </c>
      <c r="J1022" t="s">
        <v>40</v>
      </c>
      <c r="K1022" t="s">
        <v>41</v>
      </c>
      <c r="L1022" t="s">
        <v>78</v>
      </c>
      <c r="N1022" t="s">
        <v>43</v>
      </c>
      <c r="O1022" t="s">
        <v>62</v>
      </c>
      <c r="P1022">
        <v>129</v>
      </c>
      <c r="Q1022">
        <v>129</v>
      </c>
      <c r="R1022">
        <v>291</v>
      </c>
      <c r="S1022" t="s">
        <v>56</v>
      </c>
      <c r="T1022">
        <v>0.28999999999999998</v>
      </c>
      <c r="U1022">
        <v>6</v>
      </c>
      <c r="V1022" t="s">
        <v>55</v>
      </c>
      <c r="W1022">
        <v>5.0000000000000001E-3</v>
      </c>
      <c r="X1022">
        <v>7001</v>
      </c>
      <c r="Y1022" t="s">
        <v>47</v>
      </c>
      <c r="Z1022">
        <v>7</v>
      </c>
      <c r="AA1022">
        <v>314</v>
      </c>
      <c r="AB1022" t="s">
        <v>47</v>
      </c>
      <c r="AC1022">
        <v>0.313</v>
      </c>
      <c r="AD1022">
        <v>353</v>
      </c>
      <c r="AE1022" t="s">
        <v>56</v>
      </c>
      <c r="AF1022">
        <v>0.35199999999999998</v>
      </c>
      <c r="AG1022">
        <v>80</v>
      </c>
      <c r="AH1022" t="s">
        <v>103</v>
      </c>
      <c r="AI1022">
        <v>7.9000000000000001E-2</v>
      </c>
      <c r="AJ1022" t="s">
        <v>50</v>
      </c>
    </row>
    <row r="1023" spans="1:36" x14ac:dyDescent="0.25">
      <c r="A1023" t="s">
        <v>838</v>
      </c>
      <c r="B1023">
        <v>855649613</v>
      </c>
      <c r="C1023" t="s">
        <v>839</v>
      </c>
      <c r="D1023" t="s">
        <v>839</v>
      </c>
      <c r="E1023" t="s">
        <v>60</v>
      </c>
      <c r="F1023" t="s">
        <v>61</v>
      </c>
      <c r="I1023" t="s">
        <v>39</v>
      </c>
      <c r="J1023" t="s">
        <v>40</v>
      </c>
      <c r="K1023" t="s">
        <v>41</v>
      </c>
      <c r="L1023" t="s">
        <v>78</v>
      </c>
      <c r="N1023" t="s">
        <v>43</v>
      </c>
      <c r="O1023" t="s">
        <v>62</v>
      </c>
      <c r="P1023">
        <v>129</v>
      </c>
      <c r="Q1023">
        <v>129</v>
      </c>
      <c r="R1023">
        <v>401</v>
      </c>
      <c r="S1023" t="s">
        <v>56</v>
      </c>
      <c r="T1023">
        <v>0.4</v>
      </c>
      <c r="U1023">
        <v>1</v>
      </c>
      <c r="V1023" t="s">
        <v>55</v>
      </c>
      <c r="W1023">
        <v>0</v>
      </c>
      <c r="X1023">
        <v>7001</v>
      </c>
      <c r="Y1023" t="s">
        <v>47</v>
      </c>
      <c r="Z1023">
        <v>7</v>
      </c>
      <c r="AA1023">
        <v>314</v>
      </c>
      <c r="AB1023" t="s">
        <v>47</v>
      </c>
      <c r="AC1023">
        <v>0.313</v>
      </c>
      <c r="AD1023">
        <v>353</v>
      </c>
      <c r="AE1023" t="s">
        <v>56</v>
      </c>
      <c r="AF1023">
        <v>0.35199999999999998</v>
      </c>
      <c r="AG1023">
        <v>80</v>
      </c>
      <c r="AH1023" t="s">
        <v>103</v>
      </c>
      <c r="AI1023">
        <v>7.9000000000000001E-2</v>
      </c>
      <c r="AJ1023" t="s">
        <v>1141</v>
      </c>
    </row>
    <row r="1024" spans="1:36" x14ac:dyDescent="0.25">
      <c r="A1024" t="s">
        <v>838</v>
      </c>
      <c r="B1024">
        <v>855649613</v>
      </c>
      <c r="C1024" t="s">
        <v>839</v>
      </c>
      <c r="D1024" t="s">
        <v>839</v>
      </c>
      <c r="E1024" t="s">
        <v>60</v>
      </c>
      <c r="F1024" t="s">
        <v>61</v>
      </c>
      <c r="I1024" t="s">
        <v>39</v>
      </c>
      <c r="J1024" t="s">
        <v>40</v>
      </c>
      <c r="K1024" t="s">
        <v>41</v>
      </c>
      <c r="L1024" t="s">
        <v>78</v>
      </c>
      <c r="N1024" t="s">
        <v>43</v>
      </c>
      <c r="O1024" t="s">
        <v>62</v>
      </c>
      <c r="P1024">
        <v>129</v>
      </c>
      <c r="Q1024">
        <v>129</v>
      </c>
      <c r="R1024">
        <v>291</v>
      </c>
      <c r="S1024" t="s">
        <v>56</v>
      </c>
      <c r="T1024">
        <v>0.28999999999999998</v>
      </c>
      <c r="U1024">
        <v>6</v>
      </c>
      <c r="V1024" t="s">
        <v>55</v>
      </c>
      <c r="W1024">
        <v>5.0000000000000001E-3</v>
      </c>
      <c r="X1024">
        <v>7001</v>
      </c>
      <c r="Y1024" t="s">
        <v>47</v>
      </c>
      <c r="Z1024">
        <v>7</v>
      </c>
      <c r="AA1024">
        <v>314</v>
      </c>
      <c r="AB1024" t="s">
        <v>47</v>
      </c>
      <c r="AC1024">
        <v>0.313</v>
      </c>
      <c r="AD1024">
        <v>353</v>
      </c>
      <c r="AE1024" t="s">
        <v>56</v>
      </c>
      <c r="AF1024">
        <v>0.35199999999999998</v>
      </c>
      <c r="AG1024">
        <v>80</v>
      </c>
      <c r="AH1024" t="s">
        <v>103</v>
      </c>
      <c r="AI1024">
        <v>7.9000000000000001E-2</v>
      </c>
      <c r="AJ1024" t="s">
        <v>1153</v>
      </c>
    </row>
    <row r="1025" spans="1:36" x14ac:dyDescent="0.25">
      <c r="A1025" t="s">
        <v>838</v>
      </c>
      <c r="B1025">
        <v>855649613</v>
      </c>
      <c r="C1025" t="s">
        <v>839</v>
      </c>
      <c r="D1025" t="s">
        <v>839</v>
      </c>
      <c r="E1025" t="s">
        <v>60</v>
      </c>
      <c r="F1025" t="s">
        <v>61</v>
      </c>
      <c r="I1025" t="s">
        <v>39</v>
      </c>
      <c r="J1025" t="s">
        <v>40</v>
      </c>
      <c r="K1025" t="s">
        <v>41</v>
      </c>
      <c r="L1025" t="s">
        <v>78</v>
      </c>
      <c r="N1025" t="s">
        <v>43</v>
      </c>
      <c r="O1025" t="s">
        <v>62</v>
      </c>
      <c r="P1025">
        <v>129</v>
      </c>
      <c r="Q1025">
        <v>129</v>
      </c>
      <c r="R1025">
        <v>291</v>
      </c>
      <c r="S1025" t="s">
        <v>56</v>
      </c>
      <c r="T1025">
        <v>0.28999999999999998</v>
      </c>
      <c r="U1025">
        <v>6</v>
      </c>
      <c r="V1025" t="s">
        <v>55</v>
      </c>
      <c r="W1025">
        <v>5.0000000000000001E-3</v>
      </c>
      <c r="X1025">
        <v>7001</v>
      </c>
      <c r="Y1025" t="s">
        <v>47</v>
      </c>
      <c r="Z1025">
        <v>7</v>
      </c>
      <c r="AA1025">
        <v>314</v>
      </c>
      <c r="AB1025" t="s">
        <v>47</v>
      </c>
      <c r="AC1025">
        <v>0.313</v>
      </c>
      <c r="AD1025">
        <v>353</v>
      </c>
      <c r="AE1025" t="s">
        <v>56</v>
      </c>
      <c r="AF1025">
        <v>0.35199999999999998</v>
      </c>
      <c r="AG1025">
        <v>80</v>
      </c>
      <c r="AH1025" t="s">
        <v>103</v>
      </c>
      <c r="AI1025">
        <v>7.9000000000000001E-2</v>
      </c>
      <c r="AJ1025" t="s">
        <v>1154</v>
      </c>
    </row>
    <row r="1026" spans="1:36" x14ac:dyDescent="0.25">
      <c r="A1026" t="s">
        <v>838</v>
      </c>
      <c r="B1026">
        <v>855649613</v>
      </c>
      <c r="C1026" t="s">
        <v>839</v>
      </c>
      <c r="D1026" t="s">
        <v>839</v>
      </c>
      <c r="E1026" t="s">
        <v>60</v>
      </c>
      <c r="F1026" t="s">
        <v>61</v>
      </c>
      <c r="I1026" t="s">
        <v>39</v>
      </c>
      <c r="J1026" t="s">
        <v>40</v>
      </c>
      <c r="K1026" t="s">
        <v>41</v>
      </c>
      <c r="L1026" t="s">
        <v>78</v>
      </c>
      <c r="N1026" t="s">
        <v>43</v>
      </c>
      <c r="O1026" t="s">
        <v>62</v>
      </c>
      <c r="P1026">
        <v>129</v>
      </c>
      <c r="Q1026">
        <v>129</v>
      </c>
      <c r="S1026" t="s">
        <v>39</v>
      </c>
      <c r="V1026" t="s">
        <v>39</v>
      </c>
      <c r="X1026">
        <v>7001</v>
      </c>
      <c r="Y1026" t="s">
        <v>47</v>
      </c>
      <c r="Z1026">
        <v>7</v>
      </c>
      <c r="AA1026">
        <v>314</v>
      </c>
      <c r="AB1026" t="s">
        <v>47</v>
      </c>
      <c r="AC1026">
        <v>0.313</v>
      </c>
      <c r="AD1026">
        <v>353</v>
      </c>
      <c r="AE1026" t="s">
        <v>56</v>
      </c>
      <c r="AF1026">
        <v>0.35199999999999998</v>
      </c>
      <c r="AG1026">
        <v>80</v>
      </c>
      <c r="AH1026" t="s">
        <v>103</v>
      </c>
      <c r="AI1026">
        <v>7.9000000000000001E-2</v>
      </c>
      <c r="AJ1026" t="s">
        <v>1155</v>
      </c>
    </row>
    <row r="1027" spans="1:36" x14ac:dyDescent="0.25">
      <c r="A1027" t="s">
        <v>838</v>
      </c>
      <c r="B1027">
        <v>855649613</v>
      </c>
      <c r="C1027" t="s">
        <v>839</v>
      </c>
      <c r="D1027" t="s">
        <v>839</v>
      </c>
      <c r="E1027" t="s">
        <v>60</v>
      </c>
      <c r="F1027" t="s">
        <v>61</v>
      </c>
      <c r="I1027" t="s">
        <v>39</v>
      </c>
      <c r="J1027" t="s">
        <v>40</v>
      </c>
      <c r="K1027" t="s">
        <v>41</v>
      </c>
      <c r="L1027" t="s">
        <v>78</v>
      </c>
      <c r="N1027" t="s">
        <v>43</v>
      </c>
      <c r="O1027" t="s">
        <v>62</v>
      </c>
      <c r="P1027">
        <v>129</v>
      </c>
      <c r="Q1027">
        <v>129</v>
      </c>
      <c r="S1027" t="s">
        <v>39</v>
      </c>
      <c r="V1027" t="s">
        <v>39</v>
      </c>
      <c r="X1027">
        <v>7001</v>
      </c>
      <c r="Y1027" t="s">
        <v>47</v>
      </c>
      <c r="Z1027">
        <v>7</v>
      </c>
      <c r="AA1027">
        <v>314</v>
      </c>
      <c r="AB1027" t="s">
        <v>47</v>
      </c>
      <c r="AC1027">
        <v>0.313</v>
      </c>
      <c r="AD1027">
        <v>353</v>
      </c>
      <c r="AE1027" t="s">
        <v>56</v>
      </c>
      <c r="AF1027">
        <v>0.35199999999999998</v>
      </c>
      <c r="AG1027">
        <v>80</v>
      </c>
      <c r="AH1027" t="s">
        <v>103</v>
      </c>
      <c r="AI1027">
        <v>7.9000000000000001E-2</v>
      </c>
      <c r="AJ1027" t="s">
        <v>1156</v>
      </c>
    </row>
    <row r="1028" spans="1:36" x14ac:dyDescent="0.25">
      <c r="A1028" t="s">
        <v>833</v>
      </c>
      <c r="B1028">
        <v>855382317</v>
      </c>
      <c r="C1028" t="s">
        <v>834</v>
      </c>
      <c r="D1028" t="s">
        <v>834</v>
      </c>
      <c r="E1028" t="s">
        <v>65</v>
      </c>
      <c r="F1028" t="s">
        <v>66</v>
      </c>
      <c r="I1028" t="s">
        <v>39</v>
      </c>
      <c r="J1028" t="s">
        <v>40</v>
      </c>
      <c r="K1028" t="s">
        <v>41</v>
      </c>
      <c r="L1028" t="s">
        <v>118</v>
      </c>
      <c r="N1028" t="s">
        <v>43</v>
      </c>
      <c r="O1028" t="s">
        <v>835</v>
      </c>
      <c r="P1028">
        <v>131</v>
      </c>
      <c r="Q1028">
        <v>131</v>
      </c>
      <c r="R1028">
        <v>61</v>
      </c>
      <c r="S1028" t="s">
        <v>56</v>
      </c>
      <c r="T1028">
        <v>0.06</v>
      </c>
      <c r="U1028">
        <v>374</v>
      </c>
      <c r="V1028" t="s">
        <v>55</v>
      </c>
      <c r="W1028">
        <v>0.373</v>
      </c>
      <c r="X1028">
        <v>16001</v>
      </c>
      <c r="Y1028" t="s">
        <v>47</v>
      </c>
      <c r="Z1028">
        <v>16</v>
      </c>
      <c r="AA1028">
        <v>121</v>
      </c>
      <c r="AB1028" t="s">
        <v>47</v>
      </c>
      <c r="AC1028">
        <v>0.12</v>
      </c>
      <c r="AD1028">
        <v>584</v>
      </c>
      <c r="AE1028" t="s">
        <v>48</v>
      </c>
      <c r="AF1028">
        <v>0.58299999999999996</v>
      </c>
      <c r="AG1028">
        <v>617</v>
      </c>
      <c r="AH1028" t="s">
        <v>49</v>
      </c>
      <c r="AI1028">
        <v>0.61599999999999999</v>
      </c>
      <c r="AJ1028" t="s">
        <v>50</v>
      </c>
    </row>
    <row r="1029" spans="1:36" x14ac:dyDescent="0.25">
      <c r="A1029" t="s">
        <v>833</v>
      </c>
      <c r="B1029">
        <v>855382317</v>
      </c>
      <c r="C1029" t="s">
        <v>834</v>
      </c>
      <c r="D1029" t="s">
        <v>834</v>
      </c>
      <c r="E1029" t="s">
        <v>65</v>
      </c>
      <c r="F1029" t="s">
        <v>66</v>
      </c>
      <c r="I1029" t="s">
        <v>39</v>
      </c>
      <c r="J1029" t="s">
        <v>40</v>
      </c>
      <c r="K1029" t="s">
        <v>41</v>
      </c>
      <c r="L1029" t="s">
        <v>118</v>
      </c>
      <c r="N1029" t="s">
        <v>43</v>
      </c>
      <c r="O1029" t="s">
        <v>835</v>
      </c>
      <c r="P1029">
        <v>131</v>
      </c>
      <c r="Q1029">
        <v>131</v>
      </c>
      <c r="R1029">
        <v>51</v>
      </c>
      <c r="S1029" t="s">
        <v>56</v>
      </c>
      <c r="T1029">
        <v>0.05</v>
      </c>
      <c r="U1029">
        <v>86</v>
      </c>
      <c r="V1029" t="s">
        <v>55</v>
      </c>
      <c r="W1029">
        <v>8.5000000000000006E-2</v>
      </c>
      <c r="X1029">
        <v>16001</v>
      </c>
      <c r="Y1029" t="s">
        <v>47</v>
      </c>
      <c r="Z1029">
        <v>16</v>
      </c>
      <c r="AA1029">
        <v>121</v>
      </c>
      <c r="AB1029" t="s">
        <v>47</v>
      </c>
      <c r="AC1029">
        <v>0.12</v>
      </c>
      <c r="AD1029">
        <v>584</v>
      </c>
      <c r="AE1029" t="s">
        <v>48</v>
      </c>
      <c r="AF1029">
        <v>0.58299999999999996</v>
      </c>
      <c r="AG1029">
        <v>617</v>
      </c>
      <c r="AH1029" t="s">
        <v>49</v>
      </c>
      <c r="AI1029">
        <v>0.61599999999999999</v>
      </c>
      <c r="AJ1029" t="s">
        <v>1141</v>
      </c>
    </row>
    <row r="1030" spans="1:36" x14ac:dyDescent="0.25">
      <c r="A1030" t="s">
        <v>833</v>
      </c>
      <c r="B1030">
        <v>855382317</v>
      </c>
      <c r="C1030" t="s">
        <v>834</v>
      </c>
      <c r="D1030" t="s">
        <v>834</v>
      </c>
      <c r="E1030" t="s">
        <v>65</v>
      </c>
      <c r="F1030" t="s">
        <v>66</v>
      </c>
      <c r="I1030" t="s">
        <v>39</v>
      </c>
      <c r="J1030" t="s">
        <v>40</v>
      </c>
      <c r="K1030" t="s">
        <v>41</v>
      </c>
      <c r="L1030" t="s">
        <v>118</v>
      </c>
      <c r="N1030" t="s">
        <v>43</v>
      </c>
      <c r="O1030" t="s">
        <v>835</v>
      </c>
      <c r="P1030">
        <v>131</v>
      </c>
      <c r="Q1030">
        <v>131</v>
      </c>
      <c r="R1030">
        <v>61</v>
      </c>
      <c r="S1030" t="s">
        <v>56</v>
      </c>
      <c r="T1030">
        <v>0.06</v>
      </c>
      <c r="U1030">
        <v>374</v>
      </c>
      <c r="V1030" t="s">
        <v>55</v>
      </c>
      <c r="W1030">
        <v>0.373</v>
      </c>
      <c r="X1030">
        <v>16001</v>
      </c>
      <c r="Y1030" t="s">
        <v>47</v>
      </c>
      <c r="Z1030">
        <v>16</v>
      </c>
      <c r="AA1030">
        <v>121</v>
      </c>
      <c r="AB1030" t="s">
        <v>47</v>
      </c>
      <c r="AC1030">
        <v>0.12</v>
      </c>
      <c r="AD1030">
        <v>584</v>
      </c>
      <c r="AE1030" t="s">
        <v>48</v>
      </c>
      <c r="AF1030">
        <v>0.58299999999999996</v>
      </c>
      <c r="AG1030">
        <v>617</v>
      </c>
      <c r="AH1030" t="s">
        <v>49</v>
      </c>
      <c r="AI1030">
        <v>0.61599999999999999</v>
      </c>
      <c r="AJ1030" t="s">
        <v>1153</v>
      </c>
    </row>
    <row r="1031" spans="1:36" x14ac:dyDescent="0.25">
      <c r="A1031" t="s">
        <v>833</v>
      </c>
      <c r="B1031">
        <v>855382317</v>
      </c>
      <c r="C1031" t="s">
        <v>834</v>
      </c>
      <c r="D1031" t="s">
        <v>834</v>
      </c>
      <c r="E1031" t="s">
        <v>65</v>
      </c>
      <c r="F1031" t="s">
        <v>66</v>
      </c>
      <c r="I1031" t="s">
        <v>39</v>
      </c>
      <c r="J1031" t="s">
        <v>40</v>
      </c>
      <c r="K1031" t="s">
        <v>41</v>
      </c>
      <c r="L1031" t="s">
        <v>118</v>
      </c>
      <c r="N1031" t="s">
        <v>43</v>
      </c>
      <c r="O1031" t="s">
        <v>835</v>
      </c>
      <c r="P1031">
        <v>131</v>
      </c>
      <c r="Q1031">
        <v>131</v>
      </c>
      <c r="R1031">
        <v>61</v>
      </c>
      <c r="S1031" t="s">
        <v>56</v>
      </c>
      <c r="T1031">
        <v>0.06</v>
      </c>
      <c r="U1031">
        <v>374</v>
      </c>
      <c r="V1031" t="s">
        <v>55</v>
      </c>
      <c r="W1031">
        <v>0.373</v>
      </c>
      <c r="X1031">
        <v>16001</v>
      </c>
      <c r="Y1031" t="s">
        <v>47</v>
      </c>
      <c r="Z1031">
        <v>16</v>
      </c>
      <c r="AA1031">
        <v>121</v>
      </c>
      <c r="AB1031" t="s">
        <v>47</v>
      </c>
      <c r="AC1031">
        <v>0.12</v>
      </c>
      <c r="AD1031">
        <v>584</v>
      </c>
      <c r="AE1031" t="s">
        <v>48</v>
      </c>
      <c r="AF1031">
        <v>0.58299999999999996</v>
      </c>
      <c r="AG1031">
        <v>617</v>
      </c>
      <c r="AH1031" t="s">
        <v>49</v>
      </c>
      <c r="AI1031">
        <v>0.61599999999999999</v>
      </c>
      <c r="AJ1031" t="s">
        <v>1154</v>
      </c>
    </row>
    <row r="1032" spans="1:36" x14ac:dyDescent="0.25">
      <c r="A1032" t="s">
        <v>833</v>
      </c>
      <c r="B1032">
        <v>855382317</v>
      </c>
      <c r="C1032" t="s">
        <v>834</v>
      </c>
      <c r="D1032" t="s">
        <v>834</v>
      </c>
      <c r="E1032" t="s">
        <v>65</v>
      </c>
      <c r="F1032" t="s">
        <v>66</v>
      </c>
      <c r="I1032" t="s">
        <v>39</v>
      </c>
      <c r="J1032" t="s">
        <v>40</v>
      </c>
      <c r="K1032" t="s">
        <v>41</v>
      </c>
      <c r="L1032" t="s">
        <v>118</v>
      </c>
      <c r="N1032" t="s">
        <v>43</v>
      </c>
      <c r="O1032" t="s">
        <v>835</v>
      </c>
      <c r="P1032">
        <v>131</v>
      </c>
      <c r="Q1032">
        <v>131</v>
      </c>
      <c r="S1032" t="s">
        <v>39</v>
      </c>
      <c r="V1032" t="s">
        <v>39</v>
      </c>
      <c r="X1032">
        <v>16001</v>
      </c>
      <c r="Y1032" t="s">
        <v>47</v>
      </c>
      <c r="Z1032">
        <v>16</v>
      </c>
      <c r="AA1032">
        <v>121</v>
      </c>
      <c r="AB1032" t="s">
        <v>47</v>
      </c>
      <c r="AC1032">
        <v>0.12</v>
      </c>
      <c r="AD1032">
        <v>584</v>
      </c>
      <c r="AE1032" t="s">
        <v>48</v>
      </c>
      <c r="AF1032">
        <v>0.58299999999999996</v>
      </c>
      <c r="AG1032">
        <v>617</v>
      </c>
      <c r="AH1032" t="s">
        <v>49</v>
      </c>
      <c r="AI1032">
        <v>0.61599999999999999</v>
      </c>
      <c r="AJ1032" t="s">
        <v>1155</v>
      </c>
    </row>
    <row r="1033" spans="1:36" x14ac:dyDescent="0.25">
      <c r="A1033" t="s">
        <v>833</v>
      </c>
      <c r="B1033">
        <v>855382317</v>
      </c>
      <c r="C1033" t="s">
        <v>834</v>
      </c>
      <c r="D1033" t="s">
        <v>834</v>
      </c>
      <c r="E1033" t="s">
        <v>65</v>
      </c>
      <c r="F1033" t="s">
        <v>66</v>
      </c>
      <c r="I1033" t="s">
        <v>39</v>
      </c>
      <c r="J1033" t="s">
        <v>40</v>
      </c>
      <c r="K1033" t="s">
        <v>41</v>
      </c>
      <c r="L1033" t="s">
        <v>118</v>
      </c>
      <c r="N1033" t="s">
        <v>43</v>
      </c>
      <c r="O1033" t="s">
        <v>835</v>
      </c>
      <c r="P1033">
        <v>131</v>
      </c>
      <c r="Q1033">
        <v>131</v>
      </c>
      <c r="S1033" t="s">
        <v>39</v>
      </c>
      <c r="V1033" t="s">
        <v>39</v>
      </c>
      <c r="X1033">
        <v>16001</v>
      </c>
      <c r="Y1033" t="s">
        <v>47</v>
      </c>
      <c r="Z1033">
        <v>16</v>
      </c>
      <c r="AA1033">
        <v>121</v>
      </c>
      <c r="AB1033" t="s">
        <v>47</v>
      </c>
      <c r="AC1033">
        <v>0.12</v>
      </c>
      <c r="AD1033">
        <v>584</v>
      </c>
      <c r="AE1033" t="s">
        <v>48</v>
      </c>
      <c r="AF1033">
        <v>0.58299999999999996</v>
      </c>
      <c r="AG1033">
        <v>617</v>
      </c>
      <c r="AH1033" t="s">
        <v>49</v>
      </c>
      <c r="AI1033">
        <v>0.61599999999999999</v>
      </c>
      <c r="AJ1033" t="s">
        <v>1156</v>
      </c>
    </row>
    <row r="1034" spans="1:36" x14ac:dyDescent="0.25">
      <c r="A1034" t="s">
        <v>830</v>
      </c>
      <c r="B1034">
        <v>866417684</v>
      </c>
      <c r="C1034" t="s">
        <v>831</v>
      </c>
      <c r="D1034" t="s">
        <v>831</v>
      </c>
      <c r="E1034" t="s">
        <v>99</v>
      </c>
      <c r="F1034" t="s">
        <v>143</v>
      </c>
      <c r="I1034" t="s">
        <v>39</v>
      </c>
      <c r="J1034" t="s">
        <v>40</v>
      </c>
      <c r="K1034" t="s">
        <v>41</v>
      </c>
      <c r="L1034" t="s">
        <v>94</v>
      </c>
      <c r="M1034" t="s">
        <v>73</v>
      </c>
      <c r="N1034" t="s">
        <v>43</v>
      </c>
      <c r="O1034" t="s">
        <v>832</v>
      </c>
      <c r="P1034">
        <v>132</v>
      </c>
      <c r="Q1034">
        <v>132</v>
      </c>
      <c r="R1034">
        <v>221</v>
      </c>
      <c r="S1034" t="s">
        <v>56</v>
      </c>
      <c r="T1034">
        <v>0.22</v>
      </c>
      <c r="U1034">
        <v>13</v>
      </c>
      <c r="V1034" t="s">
        <v>55</v>
      </c>
      <c r="W1034">
        <v>1.2E-2</v>
      </c>
      <c r="X1034">
        <v>14001</v>
      </c>
      <c r="Y1034" t="s">
        <v>47</v>
      </c>
      <c r="Z1034">
        <v>14</v>
      </c>
      <c r="AA1034">
        <v>89</v>
      </c>
      <c r="AB1034" t="s">
        <v>47</v>
      </c>
      <c r="AC1034">
        <v>8.7999999999999995E-2</v>
      </c>
      <c r="AD1034">
        <v>440</v>
      </c>
      <c r="AE1034" t="s">
        <v>56</v>
      </c>
      <c r="AF1034">
        <v>0.439</v>
      </c>
      <c r="AG1034">
        <v>290</v>
      </c>
      <c r="AH1034" t="s">
        <v>57</v>
      </c>
      <c r="AI1034">
        <v>0.28899999999999998</v>
      </c>
      <c r="AJ1034" t="s">
        <v>50</v>
      </c>
    </row>
    <row r="1035" spans="1:36" x14ac:dyDescent="0.25">
      <c r="A1035" t="s">
        <v>830</v>
      </c>
      <c r="B1035">
        <v>866417684</v>
      </c>
      <c r="C1035" t="s">
        <v>831</v>
      </c>
      <c r="D1035" t="s">
        <v>831</v>
      </c>
      <c r="E1035" t="s">
        <v>99</v>
      </c>
      <c r="F1035" t="s">
        <v>143</v>
      </c>
      <c r="I1035" t="s">
        <v>39</v>
      </c>
      <c r="J1035" t="s">
        <v>40</v>
      </c>
      <c r="K1035" t="s">
        <v>41</v>
      </c>
      <c r="L1035" t="s">
        <v>94</v>
      </c>
      <c r="M1035" t="s">
        <v>73</v>
      </c>
      <c r="N1035" t="s">
        <v>43</v>
      </c>
      <c r="O1035" t="s">
        <v>832</v>
      </c>
      <c r="P1035">
        <v>132</v>
      </c>
      <c r="Q1035">
        <v>132</v>
      </c>
      <c r="R1035">
        <v>251</v>
      </c>
      <c r="S1035" t="s">
        <v>56</v>
      </c>
      <c r="T1035">
        <v>0.25</v>
      </c>
      <c r="U1035">
        <v>13</v>
      </c>
      <c r="V1035" t="s">
        <v>55</v>
      </c>
      <c r="W1035">
        <v>1.2E-2</v>
      </c>
      <c r="X1035">
        <v>14001</v>
      </c>
      <c r="Y1035" t="s">
        <v>47</v>
      </c>
      <c r="Z1035">
        <v>14</v>
      </c>
      <c r="AA1035">
        <v>89</v>
      </c>
      <c r="AB1035" t="s">
        <v>47</v>
      </c>
      <c r="AC1035">
        <v>8.7999999999999995E-2</v>
      </c>
      <c r="AD1035">
        <v>440</v>
      </c>
      <c r="AE1035" t="s">
        <v>56</v>
      </c>
      <c r="AF1035">
        <v>0.439</v>
      </c>
      <c r="AG1035">
        <v>290</v>
      </c>
      <c r="AH1035" t="s">
        <v>57</v>
      </c>
      <c r="AI1035">
        <v>0.28899999999999998</v>
      </c>
      <c r="AJ1035" t="s">
        <v>1141</v>
      </c>
    </row>
    <row r="1036" spans="1:36" x14ac:dyDescent="0.25">
      <c r="A1036" t="s">
        <v>830</v>
      </c>
      <c r="B1036">
        <v>866417684</v>
      </c>
      <c r="C1036" t="s">
        <v>831</v>
      </c>
      <c r="D1036" t="s">
        <v>831</v>
      </c>
      <c r="E1036" t="s">
        <v>99</v>
      </c>
      <c r="F1036" t="s">
        <v>143</v>
      </c>
      <c r="I1036" t="s">
        <v>39</v>
      </c>
      <c r="J1036" t="s">
        <v>40</v>
      </c>
      <c r="K1036" t="s">
        <v>41</v>
      </c>
      <c r="L1036" t="s">
        <v>94</v>
      </c>
      <c r="M1036" t="s">
        <v>73</v>
      </c>
      <c r="N1036" t="s">
        <v>43</v>
      </c>
      <c r="O1036" t="s">
        <v>832</v>
      </c>
      <c r="P1036">
        <v>132</v>
      </c>
      <c r="Q1036">
        <v>132</v>
      </c>
      <c r="R1036">
        <v>221</v>
      </c>
      <c r="S1036" t="s">
        <v>56</v>
      </c>
      <c r="T1036">
        <v>0.22</v>
      </c>
      <c r="U1036">
        <v>13</v>
      </c>
      <c r="V1036" t="s">
        <v>55</v>
      </c>
      <c r="W1036">
        <v>1.2E-2</v>
      </c>
      <c r="X1036">
        <v>14001</v>
      </c>
      <c r="Y1036" t="s">
        <v>47</v>
      </c>
      <c r="Z1036">
        <v>14</v>
      </c>
      <c r="AA1036">
        <v>89</v>
      </c>
      <c r="AB1036" t="s">
        <v>47</v>
      </c>
      <c r="AC1036">
        <v>8.7999999999999995E-2</v>
      </c>
      <c r="AD1036">
        <v>440</v>
      </c>
      <c r="AE1036" t="s">
        <v>56</v>
      </c>
      <c r="AF1036">
        <v>0.439</v>
      </c>
      <c r="AG1036">
        <v>290</v>
      </c>
      <c r="AH1036" t="s">
        <v>57</v>
      </c>
      <c r="AI1036">
        <v>0.28899999999999998</v>
      </c>
      <c r="AJ1036" t="s">
        <v>1153</v>
      </c>
    </row>
    <row r="1037" spans="1:36" x14ac:dyDescent="0.25">
      <c r="A1037" t="s">
        <v>830</v>
      </c>
      <c r="B1037">
        <v>866417684</v>
      </c>
      <c r="C1037" t="s">
        <v>831</v>
      </c>
      <c r="D1037" t="s">
        <v>831</v>
      </c>
      <c r="E1037" t="s">
        <v>99</v>
      </c>
      <c r="F1037" t="s">
        <v>143</v>
      </c>
      <c r="I1037" t="s">
        <v>39</v>
      </c>
      <c r="J1037" t="s">
        <v>40</v>
      </c>
      <c r="K1037" t="s">
        <v>41</v>
      </c>
      <c r="L1037" t="s">
        <v>94</v>
      </c>
      <c r="M1037" t="s">
        <v>73</v>
      </c>
      <c r="N1037" t="s">
        <v>43</v>
      </c>
      <c r="O1037" t="s">
        <v>832</v>
      </c>
      <c r="P1037">
        <v>132</v>
      </c>
      <c r="Q1037">
        <v>132</v>
      </c>
      <c r="R1037">
        <v>221</v>
      </c>
      <c r="S1037" t="s">
        <v>56</v>
      </c>
      <c r="T1037">
        <v>0.22</v>
      </c>
      <c r="U1037">
        <v>13</v>
      </c>
      <c r="V1037" t="s">
        <v>55</v>
      </c>
      <c r="W1037">
        <v>1.2E-2</v>
      </c>
      <c r="X1037">
        <v>14001</v>
      </c>
      <c r="Y1037" t="s">
        <v>47</v>
      </c>
      <c r="Z1037">
        <v>14</v>
      </c>
      <c r="AA1037">
        <v>89</v>
      </c>
      <c r="AB1037" t="s">
        <v>47</v>
      </c>
      <c r="AC1037">
        <v>8.7999999999999995E-2</v>
      </c>
      <c r="AD1037">
        <v>440</v>
      </c>
      <c r="AE1037" t="s">
        <v>56</v>
      </c>
      <c r="AF1037">
        <v>0.439</v>
      </c>
      <c r="AG1037">
        <v>290</v>
      </c>
      <c r="AH1037" t="s">
        <v>57</v>
      </c>
      <c r="AI1037">
        <v>0.28899999999999998</v>
      </c>
      <c r="AJ1037" t="s">
        <v>1154</v>
      </c>
    </row>
    <row r="1038" spans="1:36" x14ac:dyDescent="0.25">
      <c r="A1038" t="s">
        <v>830</v>
      </c>
      <c r="B1038">
        <v>866417684</v>
      </c>
      <c r="C1038" t="s">
        <v>831</v>
      </c>
      <c r="D1038" t="s">
        <v>831</v>
      </c>
      <c r="E1038" t="s">
        <v>99</v>
      </c>
      <c r="F1038" t="s">
        <v>143</v>
      </c>
      <c r="I1038" t="s">
        <v>39</v>
      </c>
      <c r="J1038" t="s">
        <v>40</v>
      </c>
      <c r="K1038" t="s">
        <v>41</v>
      </c>
      <c r="L1038" t="s">
        <v>94</v>
      </c>
      <c r="M1038" t="s">
        <v>73</v>
      </c>
      <c r="N1038" t="s">
        <v>43</v>
      </c>
      <c r="O1038" t="s">
        <v>832</v>
      </c>
      <c r="P1038">
        <v>132</v>
      </c>
      <c r="Q1038">
        <v>132</v>
      </c>
      <c r="S1038" t="s">
        <v>39</v>
      </c>
      <c r="V1038" t="s">
        <v>39</v>
      </c>
      <c r="X1038">
        <v>14001</v>
      </c>
      <c r="Y1038" t="s">
        <v>47</v>
      </c>
      <c r="Z1038">
        <v>14</v>
      </c>
      <c r="AA1038">
        <v>89</v>
      </c>
      <c r="AB1038" t="s">
        <v>47</v>
      </c>
      <c r="AC1038">
        <v>8.7999999999999995E-2</v>
      </c>
      <c r="AD1038">
        <v>440</v>
      </c>
      <c r="AE1038" t="s">
        <v>56</v>
      </c>
      <c r="AF1038">
        <v>0.439</v>
      </c>
      <c r="AG1038">
        <v>290</v>
      </c>
      <c r="AH1038" t="s">
        <v>57</v>
      </c>
      <c r="AI1038">
        <v>0.28899999999999998</v>
      </c>
      <c r="AJ1038" t="s">
        <v>1155</v>
      </c>
    </row>
    <row r="1039" spans="1:36" x14ac:dyDescent="0.25">
      <c r="A1039" t="s">
        <v>830</v>
      </c>
      <c r="B1039">
        <v>866417684</v>
      </c>
      <c r="C1039" t="s">
        <v>831</v>
      </c>
      <c r="D1039" t="s">
        <v>831</v>
      </c>
      <c r="E1039" t="s">
        <v>99</v>
      </c>
      <c r="F1039" t="s">
        <v>143</v>
      </c>
      <c r="I1039" t="s">
        <v>39</v>
      </c>
      <c r="J1039" t="s">
        <v>40</v>
      </c>
      <c r="K1039" t="s">
        <v>41</v>
      </c>
      <c r="L1039" t="s">
        <v>94</v>
      </c>
      <c r="M1039" t="s">
        <v>73</v>
      </c>
      <c r="N1039" t="s">
        <v>43</v>
      </c>
      <c r="O1039" t="s">
        <v>832</v>
      </c>
      <c r="P1039">
        <v>132</v>
      </c>
      <c r="Q1039">
        <v>132</v>
      </c>
      <c r="S1039" t="s">
        <v>39</v>
      </c>
      <c r="V1039" t="s">
        <v>39</v>
      </c>
      <c r="X1039">
        <v>14001</v>
      </c>
      <c r="Y1039" t="s">
        <v>47</v>
      </c>
      <c r="Z1039">
        <v>14</v>
      </c>
      <c r="AA1039">
        <v>89</v>
      </c>
      <c r="AB1039" t="s">
        <v>47</v>
      </c>
      <c r="AC1039">
        <v>8.7999999999999995E-2</v>
      </c>
      <c r="AD1039">
        <v>440</v>
      </c>
      <c r="AE1039" t="s">
        <v>56</v>
      </c>
      <c r="AF1039">
        <v>0.439</v>
      </c>
      <c r="AG1039">
        <v>290</v>
      </c>
      <c r="AH1039" t="s">
        <v>57</v>
      </c>
      <c r="AI1039">
        <v>0.28899999999999998</v>
      </c>
      <c r="AJ1039" t="s">
        <v>1156</v>
      </c>
    </row>
    <row r="1040" spans="1:36" x14ac:dyDescent="0.25">
      <c r="A1040" t="s">
        <v>828</v>
      </c>
      <c r="B1040">
        <v>869309678</v>
      </c>
      <c r="C1040" t="s">
        <v>829</v>
      </c>
      <c r="D1040" t="s">
        <v>829</v>
      </c>
      <c r="E1040" t="s">
        <v>60</v>
      </c>
      <c r="F1040" t="s">
        <v>88</v>
      </c>
      <c r="I1040" t="s">
        <v>39</v>
      </c>
      <c r="J1040" t="s">
        <v>40</v>
      </c>
      <c r="K1040" t="s">
        <v>41</v>
      </c>
      <c r="L1040" t="s">
        <v>78</v>
      </c>
      <c r="N1040" t="s">
        <v>43</v>
      </c>
      <c r="O1040" t="s">
        <v>462</v>
      </c>
      <c r="P1040">
        <v>132</v>
      </c>
      <c r="Q1040">
        <v>132</v>
      </c>
      <c r="R1040">
        <v>731</v>
      </c>
      <c r="S1040" t="s">
        <v>56</v>
      </c>
      <c r="T1040">
        <v>0.73</v>
      </c>
      <c r="U1040">
        <v>1</v>
      </c>
      <c r="V1040" t="s">
        <v>55</v>
      </c>
      <c r="W1040">
        <v>0</v>
      </c>
      <c r="X1040">
        <v>2001</v>
      </c>
      <c r="Y1040" t="s">
        <v>47</v>
      </c>
      <c r="Z1040">
        <v>2</v>
      </c>
      <c r="AA1040">
        <v>156</v>
      </c>
      <c r="AB1040" t="s">
        <v>47</v>
      </c>
      <c r="AC1040">
        <v>0.155</v>
      </c>
      <c r="AD1040">
        <v>286</v>
      </c>
      <c r="AE1040" t="s">
        <v>56</v>
      </c>
      <c r="AF1040">
        <v>0.28499999999999998</v>
      </c>
      <c r="AG1040">
        <v>85</v>
      </c>
      <c r="AH1040" t="s">
        <v>103</v>
      </c>
      <c r="AI1040">
        <v>8.4000000000000005E-2</v>
      </c>
      <c r="AJ1040" t="s">
        <v>50</v>
      </c>
    </row>
    <row r="1041" spans="1:36" x14ac:dyDescent="0.25">
      <c r="A1041" t="s">
        <v>828</v>
      </c>
      <c r="B1041">
        <v>869309678</v>
      </c>
      <c r="C1041" t="s">
        <v>829</v>
      </c>
      <c r="D1041" t="s">
        <v>829</v>
      </c>
      <c r="E1041" t="s">
        <v>60</v>
      </c>
      <c r="F1041" t="s">
        <v>88</v>
      </c>
      <c r="I1041" t="s">
        <v>39</v>
      </c>
      <c r="J1041" t="s">
        <v>40</v>
      </c>
      <c r="K1041" t="s">
        <v>41</v>
      </c>
      <c r="L1041" t="s">
        <v>78</v>
      </c>
      <c r="N1041" t="s">
        <v>43</v>
      </c>
      <c r="O1041" t="s">
        <v>462</v>
      </c>
      <c r="P1041">
        <v>132</v>
      </c>
      <c r="Q1041">
        <v>132</v>
      </c>
      <c r="R1041">
        <v>941</v>
      </c>
      <c r="S1041" t="s">
        <v>56</v>
      </c>
      <c r="T1041">
        <v>0.94</v>
      </c>
      <c r="U1041">
        <v>1</v>
      </c>
      <c r="V1041" t="s">
        <v>55</v>
      </c>
      <c r="W1041">
        <v>0</v>
      </c>
      <c r="X1041">
        <v>2001</v>
      </c>
      <c r="Y1041" t="s">
        <v>47</v>
      </c>
      <c r="Z1041">
        <v>2</v>
      </c>
      <c r="AA1041">
        <v>156</v>
      </c>
      <c r="AB1041" t="s">
        <v>47</v>
      </c>
      <c r="AC1041">
        <v>0.155</v>
      </c>
      <c r="AD1041">
        <v>286</v>
      </c>
      <c r="AE1041" t="s">
        <v>56</v>
      </c>
      <c r="AF1041">
        <v>0.28499999999999998</v>
      </c>
      <c r="AG1041">
        <v>85</v>
      </c>
      <c r="AH1041" t="s">
        <v>103</v>
      </c>
      <c r="AI1041">
        <v>8.4000000000000005E-2</v>
      </c>
      <c r="AJ1041" t="s">
        <v>1141</v>
      </c>
    </row>
    <row r="1042" spans="1:36" x14ac:dyDescent="0.25">
      <c r="A1042" t="s">
        <v>828</v>
      </c>
      <c r="B1042">
        <v>869309678</v>
      </c>
      <c r="C1042" t="s">
        <v>829</v>
      </c>
      <c r="D1042" t="s">
        <v>829</v>
      </c>
      <c r="E1042" t="s">
        <v>60</v>
      </c>
      <c r="F1042" t="s">
        <v>88</v>
      </c>
      <c r="I1042" t="s">
        <v>39</v>
      </c>
      <c r="J1042" t="s">
        <v>40</v>
      </c>
      <c r="K1042" t="s">
        <v>41</v>
      </c>
      <c r="L1042" t="s">
        <v>78</v>
      </c>
      <c r="N1042" t="s">
        <v>43</v>
      </c>
      <c r="O1042" t="s">
        <v>462</v>
      </c>
      <c r="P1042">
        <v>132</v>
      </c>
      <c r="Q1042">
        <v>132</v>
      </c>
      <c r="R1042">
        <v>731</v>
      </c>
      <c r="S1042" t="s">
        <v>56</v>
      </c>
      <c r="T1042">
        <v>0.73</v>
      </c>
      <c r="U1042">
        <v>1</v>
      </c>
      <c r="V1042" t="s">
        <v>55</v>
      </c>
      <c r="W1042">
        <v>0</v>
      </c>
      <c r="X1042">
        <v>2001</v>
      </c>
      <c r="Y1042" t="s">
        <v>47</v>
      </c>
      <c r="Z1042">
        <v>2</v>
      </c>
      <c r="AA1042">
        <v>156</v>
      </c>
      <c r="AB1042" t="s">
        <v>47</v>
      </c>
      <c r="AC1042">
        <v>0.155</v>
      </c>
      <c r="AD1042">
        <v>286</v>
      </c>
      <c r="AE1042" t="s">
        <v>56</v>
      </c>
      <c r="AF1042">
        <v>0.28499999999999998</v>
      </c>
      <c r="AG1042">
        <v>85</v>
      </c>
      <c r="AH1042" t="s">
        <v>103</v>
      </c>
      <c r="AI1042">
        <v>8.4000000000000005E-2</v>
      </c>
      <c r="AJ1042" t="s">
        <v>1153</v>
      </c>
    </row>
    <row r="1043" spans="1:36" x14ac:dyDescent="0.25">
      <c r="A1043" t="s">
        <v>828</v>
      </c>
      <c r="B1043">
        <v>869309678</v>
      </c>
      <c r="C1043" t="s">
        <v>829</v>
      </c>
      <c r="D1043" t="s">
        <v>829</v>
      </c>
      <c r="E1043" t="s">
        <v>60</v>
      </c>
      <c r="F1043" t="s">
        <v>88</v>
      </c>
      <c r="I1043" t="s">
        <v>39</v>
      </c>
      <c r="J1043" t="s">
        <v>40</v>
      </c>
      <c r="K1043" t="s">
        <v>41</v>
      </c>
      <c r="L1043" t="s">
        <v>78</v>
      </c>
      <c r="N1043" t="s">
        <v>43</v>
      </c>
      <c r="O1043" t="s">
        <v>462</v>
      </c>
      <c r="P1043">
        <v>132</v>
      </c>
      <c r="Q1043">
        <v>132</v>
      </c>
      <c r="R1043">
        <v>731</v>
      </c>
      <c r="S1043" t="s">
        <v>56</v>
      </c>
      <c r="T1043">
        <v>0.73</v>
      </c>
      <c r="U1043">
        <v>1</v>
      </c>
      <c r="V1043" t="s">
        <v>55</v>
      </c>
      <c r="W1043">
        <v>0</v>
      </c>
      <c r="X1043">
        <v>2001</v>
      </c>
      <c r="Y1043" t="s">
        <v>47</v>
      </c>
      <c r="Z1043">
        <v>2</v>
      </c>
      <c r="AA1043">
        <v>156</v>
      </c>
      <c r="AB1043" t="s">
        <v>47</v>
      </c>
      <c r="AC1043">
        <v>0.155</v>
      </c>
      <c r="AD1043">
        <v>286</v>
      </c>
      <c r="AE1043" t="s">
        <v>56</v>
      </c>
      <c r="AF1043">
        <v>0.28499999999999998</v>
      </c>
      <c r="AG1043">
        <v>85</v>
      </c>
      <c r="AH1043" t="s">
        <v>103</v>
      </c>
      <c r="AI1043">
        <v>8.4000000000000005E-2</v>
      </c>
      <c r="AJ1043" t="s">
        <v>1154</v>
      </c>
    </row>
    <row r="1044" spans="1:36" x14ac:dyDescent="0.25">
      <c r="A1044" t="s">
        <v>828</v>
      </c>
      <c r="B1044">
        <v>869309678</v>
      </c>
      <c r="C1044" t="s">
        <v>829</v>
      </c>
      <c r="D1044" t="s">
        <v>829</v>
      </c>
      <c r="E1044" t="s">
        <v>60</v>
      </c>
      <c r="F1044" t="s">
        <v>88</v>
      </c>
      <c r="I1044" t="s">
        <v>39</v>
      </c>
      <c r="J1044" t="s">
        <v>40</v>
      </c>
      <c r="K1044" t="s">
        <v>41</v>
      </c>
      <c r="L1044" t="s">
        <v>78</v>
      </c>
      <c r="N1044" t="s">
        <v>43</v>
      </c>
      <c r="O1044" t="s">
        <v>462</v>
      </c>
      <c r="P1044">
        <v>132</v>
      </c>
      <c r="Q1044">
        <v>132</v>
      </c>
      <c r="S1044" t="s">
        <v>39</v>
      </c>
      <c r="V1044" t="s">
        <v>39</v>
      </c>
      <c r="X1044">
        <v>2001</v>
      </c>
      <c r="Y1044" t="s">
        <v>47</v>
      </c>
      <c r="Z1044">
        <v>2</v>
      </c>
      <c r="AA1044">
        <v>156</v>
      </c>
      <c r="AB1044" t="s">
        <v>47</v>
      </c>
      <c r="AC1044">
        <v>0.155</v>
      </c>
      <c r="AD1044">
        <v>286</v>
      </c>
      <c r="AE1044" t="s">
        <v>56</v>
      </c>
      <c r="AF1044">
        <v>0.28499999999999998</v>
      </c>
      <c r="AG1044">
        <v>85</v>
      </c>
      <c r="AH1044" t="s">
        <v>103</v>
      </c>
      <c r="AI1044">
        <v>8.4000000000000005E-2</v>
      </c>
      <c r="AJ1044" t="s">
        <v>1155</v>
      </c>
    </row>
    <row r="1045" spans="1:36" x14ac:dyDescent="0.25">
      <c r="A1045" t="s">
        <v>828</v>
      </c>
      <c r="B1045">
        <v>869309678</v>
      </c>
      <c r="C1045" t="s">
        <v>829</v>
      </c>
      <c r="D1045" t="s">
        <v>829</v>
      </c>
      <c r="E1045" t="s">
        <v>60</v>
      </c>
      <c r="F1045" t="s">
        <v>88</v>
      </c>
      <c r="I1045" t="s">
        <v>39</v>
      </c>
      <c r="J1045" t="s">
        <v>40</v>
      </c>
      <c r="K1045" t="s">
        <v>41</v>
      </c>
      <c r="L1045" t="s">
        <v>78</v>
      </c>
      <c r="N1045" t="s">
        <v>43</v>
      </c>
      <c r="O1045" t="s">
        <v>462</v>
      </c>
      <c r="P1045">
        <v>132</v>
      </c>
      <c r="Q1045">
        <v>132</v>
      </c>
      <c r="S1045" t="s">
        <v>39</v>
      </c>
      <c r="V1045" t="s">
        <v>39</v>
      </c>
      <c r="X1045">
        <v>2001</v>
      </c>
      <c r="Y1045" t="s">
        <v>47</v>
      </c>
      <c r="Z1045">
        <v>2</v>
      </c>
      <c r="AA1045">
        <v>156</v>
      </c>
      <c r="AB1045" t="s">
        <v>47</v>
      </c>
      <c r="AC1045">
        <v>0.155</v>
      </c>
      <c r="AD1045">
        <v>286</v>
      </c>
      <c r="AE1045" t="s">
        <v>56</v>
      </c>
      <c r="AF1045">
        <v>0.28499999999999998</v>
      </c>
      <c r="AG1045">
        <v>85</v>
      </c>
      <c r="AH1045" t="s">
        <v>103</v>
      </c>
      <c r="AI1045">
        <v>8.4000000000000005E-2</v>
      </c>
      <c r="AJ1045" t="s">
        <v>1156</v>
      </c>
    </row>
    <row r="1046" spans="1:36" x14ac:dyDescent="0.25">
      <c r="A1046" t="s">
        <v>825</v>
      </c>
      <c r="B1046">
        <v>881527963</v>
      </c>
      <c r="C1046" t="s">
        <v>826</v>
      </c>
      <c r="D1046" t="s">
        <v>826</v>
      </c>
      <c r="E1046" t="s">
        <v>60</v>
      </c>
      <c r="F1046" t="s">
        <v>61</v>
      </c>
      <c r="I1046" t="s">
        <v>39</v>
      </c>
      <c r="J1046" t="s">
        <v>40</v>
      </c>
      <c r="K1046" t="s">
        <v>41</v>
      </c>
      <c r="L1046" t="s">
        <v>42</v>
      </c>
      <c r="N1046" t="s">
        <v>43</v>
      </c>
      <c r="O1046" t="s">
        <v>827</v>
      </c>
      <c r="P1046">
        <v>134</v>
      </c>
      <c r="Q1046">
        <v>134</v>
      </c>
      <c r="R1046">
        <v>161</v>
      </c>
      <c r="S1046" t="s">
        <v>56</v>
      </c>
      <c r="T1046">
        <v>0.16</v>
      </c>
      <c r="U1046">
        <v>167</v>
      </c>
      <c r="V1046" t="s">
        <v>55</v>
      </c>
      <c r="W1046">
        <v>0.16600000000000001</v>
      </c>
      <c r="X1046">
        <v>18001</v>
      </c>
      <c r="Y1046" t="s">
        <v>47</v>
      </c>
      <c r="Z1046">
        <v>18</v>
      </c>
      <c r="AA1046">
        <v>390</v>
      </c>
      <c r="AB1046" t="s">
        <v>47</v>
      </c>
      <c r="AC1046">
        <v>0.38900000000000001</v>
      </c>
      <c r="AD1046">
        <v>756</v>
      </c>
      <c r="AE1046" t="s">
        <v>48</v>
      </c>
      <c r="AF1046">
        <v>0.755</v>
      </c>
      <c r="AG1046">
        <v>542</v>
      </c>
      <c r="AH1046" t="s">
        <v>49</v>
      </c>
      <c r="AI1046">
        <v>0.54100000000000004</v>
      </c>
      <c r="AJ1046" t="s">
        <v>50</v>
      </c>
    </row>
    <row r="1047" spans="1:36" x14ac:dyDescent="0.25">
      <c r="A1047" t="s">
        <v>825</v>
      </c>
      <c r="B1047">
        <v>881527963</v>
      </c>
      <c r="C1047" t="s">
        <v>826</v>
      </c>
      <c r="D1047" t="s">
        <v>826</v>
      </c>
      <c r="E1047" t="s">
        <v>60</v>
      </c>
      <c r="F1047" t="s">
        <v>61</v>
      </c>
      <c r="I1047" t="s">
        <v>39</v>
      </c>
      <c r="J1047" t="s">
        <v>40</v>
      </c>
      <c r="K1047" t="s">
        <v>41</v>
      </c>
      <c r="L1047" t="s">
        <v>42</v>
      </c>
      <c r="N1047" t="s">
        <v>43</v>
      </c>
      <c r="O1047" t="s">
        <v>827</v>
      </c>
      <c r="P1047">
        <v>134</v>
      </c>
      <c r="Q1047">
        <v>134</v>
      </c>
      <c r="R1047">
        <v>71</v>
      </c>
      <c r="S1047" t="s">
        <v>56</v>
      </c>
      <c r="T1047">
        <v>7.0000000000000007E-2</v>
      </c>
      <c r="U1047">
        <v>463</v>
      </c>
      <c r="V1047" t="s">
        <v>113</v>
      </c>
      <c r="W1047">
        <v>0.46200000000000002</v>
      </c>
      <c r="X1047">
        <v>18001</v>
      </c>
      <c r="Y1047" t="s">
        <v>47</v>
      </c>
      <c r="Z1047">
        <v>18</v>
      </c>
      <c r="AA1047">
        <v>390</v>
      </c>
      <c r="AB1047" t="s">
        <v>47</v>
      </c>
      <c r="AC1047">
        <v>0.38900000000000001</v>
      </c>
      <c r="AD1047">
        <v>756</v>
      </c>
      <c r="AE1047" t="s">
        <v>48</v>
      </c>
      <c r="AF1047">
        <v>0.755</v>
      </c>
      <c r="AG1047">
        <v>542</v>
      </c>
      <c r="AH1047" t="s">
        <v>49</v>
      </c>
      <c r="AI1047">
        <v>0.54100000000000004</v>
      </c>
      <c r="AJ1047" t="s">
        <v>1141</v>
      </c>
    </row>
    <row r="1048" spans="1:36" x14ac:dyDescent="0.25">
      <c r="A1048" t="s">
        <v>825</v>
      </c>
      <c r="B1048">
        <v>881527963</v>
      </c>
      <c r="C1048" t="s">
        <v>826</v>
      </c>
      <c r="D1048" t="s">
        <v>826</v>
      </c>
      <c r="E1048" t="s">
        <v>60</v>
      </c>
      <c r="F1048" t="s">
        <v>61</v>
      </c>
      <c r="I1048" t="s">
        <v>39</v>
      </c>
      <c r="J1048" t="s">
        <v>40</v>
      </c>
      <c r="K1048" t="s">
        <v>41</v>
      </c>
      <c r="L1048" t="s">
        <v>42</v>
      </c>
      <c r="N1048" t="s">
        <v>43</v>
      </c>
      <c r="O1048" t="s">
        <v>827</v>
      </c>
      <c r="P1048">
        <v>134</v>
      </c>
      <c r="Q1048">
        <v>134</v>
      </c>
      <c r="R1048">
        <v>161</v>
      </c>
      <c r="S1048" t="s">
        <v>56</v>
      </c>
      <c r="T1048">
        <v>0.16</v>
      </c>
      <c r="U1048">
        <v>167</v>
      </c>
      <c r="V1048" t="s">
        <v>55</v>
      </c>
      <c r="W1048">
        <v>0.16600000000000001</v>
      </c>
      <c r="X1048">
        <v>18001</v>
      </c>
      <c r="Y1048" t="s">
        <v>47</v>
      </c>
      <c r="Z1048">
        <v>18</v>
      </c>
      <c r="AA1048">
        <v>390</v>
      </c>
      <c r="AB1048" t="s">
        <v>47</v>
      </c>
      <c r="AC1048">
        <v>0.38900000000000001</v>
      </c>
      <c r="AD1048">
        <v>756</v>
      </c>
      <c r="AE1048" t="s">
        <v>48</v>
      </c>
      <c r="AF1048">
        <v>0.755</v>
      </c>
      <c r="AG1048">
        <v>542</v>
      </c>
      <c r="AH1048" t="s">
        <v>49</v>
      </c>
      <c r="AI1048">
        <v>0.54100000000000004</v>
      </c>
      <c r="AJ1048" t="s">
        <v>1153</v>
      </c>
    </row>
    <row r="1049" spans="1:36" x14ac:dyDescent="0.25">
      <c r="A1049" t="s">
        <v>825</v>
      </c>
      <c r="B1049">
        <v>881527963</v>
      </c>
      <c r="C1049" t="s">
        <v>826</v>
      </c>
      <c r="D1049" t="s">
        <v>826</v>
      </c>
      <c r="E1049" t="s">
        <v>60</v>
      </c>
      <c r="F1049" t="s">
        <v>61</v>
      </c>
      <c r="I1049" t="s">
        <v>39</v>
      </c>
      <c r="J1049" t="s">
        <v>40</v>
      </c>
      <c r="K1049" t="s">
        <v>41</v>
      </c>
      <c r="L1049" t="s">
        <v>42</v>
      </c>
      <c r="N1049" t="s">
        <v>43</v>
      </c>
      <c r="O1049" t="s">
        <v>827</v>
      </c>
      <c r="P1049">
        <v>134</v>
      </c>
      <c r="Q1049">
        <v>134</v>
      </c>
      <c r="R1049">
        <v>161</v>
      </c>
      <c r="S1049" t="s">
        <v>56</v>
      </c>
      <c r="T1049">
        <v>0.16</v>
      </c>
      <c r="U1049">
        <v>167</v>
      </c>
      <c r="V1049" t="s">
        <v>55</v>
      </c>
      <c r="W1049">
        <v>0.16600000000000001</v>
      </c>
      <c r="X1049">
        <v>18001</v>
      </c>
      <c r="Y1049" t="s">
        <v>47</v>
      </c>
      <c r="Z1049">
        <v>18</v>
      </c>
      <c r="AA1049">
        <v>390</v>
      </c>
      <c r="AB1049" t="s">
        <v>47</v>
      </c>
      <c r="AC1049">
        <v>0.38900000000000001</v>
      </c>
      <c r="AD1049">
        <v>756</v>
      </c>
      <c r="AE1049" t="s">
        <v>48</v>
      </c>
      <c r="AF1049">
        <v>0.755</v>
      </c>
      <c r="AG1049">
        <v>542</v>
      </c>
      <c r="AH1049" t="s">
        <v>49</v>
      </c>
      <c r="AI1049">
        <v>0.54100000000000004</v>
      </c>
      <c r="AJ1049" t="s">
        <v>1154</v>
      </c>
    </row>
    <row r="1050" spans="1:36" x14ac:dyDescent="0.25">
      <c r="A1050" t="s">
        <v>825</v>
      </c>
      <c r="B1050">
        <v>881527963</v>
      </c>
      <c r="C1050" t="s">
        <v>826</v>
      </c>
      <c r="D1050" t="s">
        <v>826</v>
      </c>
      <c r="E1050" t="s">
        <v>60</v>
      </c>
      <c r="F1050" t="s">
        <v>61</v>
      </c>
      <c r="I1050" t="s">
        <v>39</v>
      </c>
      <c r="J1050" t="s">
        <v>40</v>
      </c>
      <c r="K1050" t="s">
        <v>41</v>
      </c>
      <c r="L1050" t="s">
        <v>42</v>
      </c>
      <c r="N1050" t="s">
        <v>43</v>
      </c>
      <c r="O1050" t="s">
        <v>827</v>
      </c>
      <c r="P1050">
        <v>134</v>
      </c>
      <c r="Q1050">
        <v>134</v>
      </c>
      <c r="S1050" t="s">
        <v>39</v>
      </c>
      <c r="V1050" t="s">
        <v>39</v>
      </c>
      <c r="X1050">
        <v>18001</v>
      </c>
      <c r="Y1050" t="s">
        <v>47</v>
      </c>
      <c r="Z1050">
        <v>18</v>
      </c>
      <c r="AA1050">
        <v>390</v>
      </c>
      <c r="AB1050" t="s">
        <v>47</v>
      </c>
      <c r="AC1050">
        <v>0.38900000000000001</v>
      </c>
      <c r="AD1050">
        <v>756</v>
      </c>
      <c r="AE1050" t="s">
        <v>48</v>
      </c>
      <c r="AF1050">
        <v>0.755</v>
      </c>
      <c r="AG1050">
        <v>542</v>
      </c>
      <c r="AH1050" t="s">
        <v>49</v>
      </c>
      <c r="AI1050">
        <v>0.54100000000000004</v>
      </c>
      <c r="AJ1050" t="s">
        <v>1155</v>
      </c>
    </row>
    <row r="1051" spans="1:36" x14ac:dyDescent="0.25">
      <c r="A1051" t="s">
        <v>825</v>
      </c>
      <c r="B1051">
        <v>881527963</v>
      </c>
      <c r="C1051" t="s">
        <v>826</v>
      </c>
      <c r="D1051" t="s">
        <v>826</v>
      </c>
      <c r="E1051" t="s">
        <v>60</v>
      </c>
      <c r="F1051" t="s">
        <v>61</v>
      </c>
      <c r="I1051" t="s">
        <v>39</v>
      </c>
      <c r="J1051" t="s">
        <v>40</v>
      </c>
      <c r="K1051" t="s">
        <v>41</v>
      </c>
      <c r="L1051" t="s">
        <v>42</v>
      </c>
      <c r="N1051" t="s">
        <v>43</v>
      </c>
      <c r="O1051" t="s">
        <v>827</v>
      </c>
      <c r="P1051">
        <v>134</v>
      </c>
      <c r="Q1051">
        <v>134</v>
      </c>
      <c r="S1051" t="s">
        <v>39</v>
      </c>
      <c r="V1051" t="s">
        <v>39</v>
      </c>
      <c r="X1051">
        <v>18001</v>
      </c>
      <c r="Y1051" t="s">
        <v>47</v>
      </c>
      <c r="Z1051">
        <v>18</v>
      </c>
      <c r="AA1051">
        <v>390</v>
      </c>
      <c r="AB1051" t="s">
        <v>47</v>
      </c>
      <c r="AC1051">
        <v>0.38900000000000001</v>
      </c>
      <c r="AD1051">
        <v>756</v>
      </c>
      <c r="AE1051" t="s">
        <v>48</v>
      </c>
      <c r="AF1051">
        <v>0.755</v>
      </c>
      <c r="AG1051">
        <v>542</v>
      </c>
      <c r="AH1051" t="s">
        <v>49</v>
      </c>
      <c r="AI1051">
        <v>0.54100000000000004</v>
      </c>
      <c r="AJ1051" t="s">
        <v>1156</v>
      </c>
    </row>
    <row r="1052" spans="1:36" x14ac:dyDescent="0.25">
      <c r="A1052" t="s">
        <v>823</v>
      </c>
      <c r="B1052">
        <v>856221241</v>
      </c>
      <c r="C1052" t="s">
        <v>824</v>
      </c>
      <c r="D1052" t="s">
        <v>824</v>
      </c>
      <c r="E1052" t="s">
        <v>65</v>
      </c>
      <c r="F1052" t="s">
        <v>93</v>
      </c>
      <c r="I1052" t="s">
        <v>39</v>
      </c>
      <c r="J1052" t="s">
        <v>40</v>
      </c>
      <c r="K1052" t="s">
        <v>41</v>
      </c>
      <c r="L1052" t="s">
        <v>458</v>
      </c>
      <c r="N1052" t="s">
        <v>43</v>
      </c>
      <c r="O1052" t="s">
        <v>307</v>
      </c>
      <c r="P1052">
        <v>134</v>
      </c>
      <c r="Q1052">
        <v>134</v>
      </c>
      <c r="R1052">
        <v>1</v>
      </c>
      <c r="S1052" t="s">
        <v>45</v>
      </c>
      <c r="T1052">
        <v>0</v>
      </c>
      <c r="U1052">
        <v>891</v>
      </c>
      <c r="V1052" t="s">
        <v>113</v>
      </c>
      <c r="W1052">
        <v>0.89</v>
      </c>
      <c r="X1052">
        <v>22001</v>
      </c>
      <c r="Y1052" t="s">
        <v>47</v>
      </c>
      <c r="Z1052">
        <v>22</v>
      </c>
      <c r="AA1052">
        <v>530</v>
      </c>
      <c r="AB1052" t="s">
        <v>75</v>
      </c>
      <c r="AC1052">
        <v>0.52900000000000003</v>
      </c>
      <c r="AD1052">
        <v>633</v>
      </c>
      <c r="AE1052" t="s">
        <v>48</v>
      </c>
      <c r="AF1052">
        <v>0.63200000000000001</v>
      </c>
      <c r="AG1052">
        <v>775</v>
      </c>
      <c r="AH1052" t="s">
        <v>49</v>
      </c>
      <c r="AI1052">
        <v>0.77400000000000002</v>
      </c>
      <c r="AJ1052" t="s">
        <v>50</v>
      </c>
    </row>
    <row r="1053" spans="1:36" x14ac:dyDescent="0.25">
      <c r="A1053" t="s">
        <v>823</v>
      </c>
      <c r="B1053">
        <v>856221241</v>
      </c>
      <c r="C1053" t="s">
        <v>824</v>
      </c>
      <c r="D1053" t="s">
        <v>824</v>
      </c>
      <c r="E1053" t="s">
        <v>65</v>
      </c>
      <c r="F1053" t="s">
        <v>93</v>
      </c>
      <c r="I1053" t="s">
        <v>39</v>
      </c>
      <c r="J1053" t="s">
        <v>40</v>
      </c>
      <c r="K1053" t="s">
        <v>41</v>
      </c>
      <c r="L1053" t="s">
        <v>458</v>
      </c>
      <c r="N1053" t="s">
        <v>43</v>
      </c>
      <c r="O1053" t="s">
        <v>307</v>
      </c>
      <c r="P1053">
        <v>134</v>
      </c>
      <c r="Q1053">
        <v>134</v>
      </c>
      <c r="R1053">
        <v>31</v>
      </c>
      <c r="S1053" t="s">
        <v>45</v>
      </c>
      <c r="T1053">
        <v>0.03</v>
      </c>
      <c r="U1053">
        <v>861</v>
      </c>
      <c r="V1053" t="s">
        <v>113</v>
      </c>
      <c r="W1053">
        <v>0.86</v>
      </c>
      <c r="X1053">
        <v>22001</v>
      </c>
      <c r="Y1053" t="s">
        <v>47</v>
      </c>
      <c r="Z1053">
        <v>22</v>
      </c>
      <c r="AA1053">
        <v>530</v>
      </c>
      <c r="AB1053" t="s">
        <v>75</v>
      </c>
      <c r="AC1053">
        <v>0.52900000000000003</v>
      </c>
      <c r="AD1053">
        <v>633</v>
      </c>
      <c r="AE1053" t="s">
        <v>48</v>
      </c>
      <c r="AF1053">
        <v>0.63200000000000001</v>
      </c>
      <c r="AG1053">
        <v>775</v>
      </c>
      <c r="AH1053" t="s">
        <v>49</v>
      </c>
      <c r="AI1053">
        <v>0.77400000000000002</v>
      </c>
      <c r="AJ1053" t="s">
        <v>1141</v>
      </c>
    </row>
    <row r="1054" spans="1:36" x14ac:dyDescent="0.25">
      <c r="A1054" t="s">
        <v>823</v>
      </c>
      <c r="B1054">
        <v>856221241</v>
      </c>
      <c r="C1054" t="s">
        <v>824</v>
      </c>
      <c r="D1054" t="s">
        <v>824</v>
      </c>
      <c r="E1054" t="s">
        <v>65</v>
      </c>
      <c r="F1054" t="s">
        <v>93</v>
      </c>
      <c r="I1054" t="s">
        <v>39</v>
      </c>
      <c r="J1054" t="s">
        <v>40</v>
      </c>
      <c r="K1054" t="s">
        <v>41</v>
      </c>
      <c r="L1054" t="s">
        <v>458</v>
      </c>
      <c r="N1054" t="s">
        <v>43</v>
      </c>
      <c r="O1054" t="s">
        <v>307</v>
      </c>
      <c r="P1054">
        <v>134</v>
      </c>
      <c r="Q1054">
        <v>134</v>
      </c>
      <c r="R1054">
        <v>1</v>
      </c>
      <c r="S1054" t="s">
        <v>45</v>
      </c>
      <c r="T1054">
        <v>0</v>
      </c>
      <c r="U1054">
        <v>891</v>
      </c>
      <c r="V1054" t="s">
        <v>113</v>
      </c>
      <c r="W1054">
        <v>0.89</v>
      </c>
      <c r="X1054">
        <v>22001</v>
      </c>
      <c r="Y1054" t="s">
        <v>47</v>
      </c>
      <c r="Z1054">
        <v>22</v>
      </c>
      <c r="AA1054">
        <v>530</v>
      </c>
      <c r="AB1054" t="s">
        <v>75</v>
      </c>
      <c r="AC1054">
        <v>0.52900000000000003</v>
      </c>
      <c r="AD1054">
        <v>633</v>
      </c>
      <c r="AE1054" t="s">
        <v>48</v>
      </c>
      <c r="AF1054">
        <v>0.63200000000000001</v>
      </c>
      <c r="AG1054">
        <v>775</v>
      </c>
      <c r="AH1054" t="s">
        <v>49</v>
      </c>
      <c r="AI1054">
        <v>0.77400000000000002</v>
      </c>
      <c r="AJ1054" t="s">
        <v>1153</v>
      </c>
    </row>
    <row r="1055" spans="1:36" x14ac:dyDescent="0.25">
      <c r="A1055" t="s">
        <v>823</v>
      </c>
      <c r="B1055">
        <v>856221241</v>
      </c>
      <c r="C1055" t="s">
        <v>824</v>
      </c>
      <c r="D1055" t="s">
        <v>824</v>
      </c>
      <c r="E1055" t="s">
        <v>65</v>
      </c>
      <c r="F1055" t="s">
        <v>93</v>
      </c>
      <c r="I1055" t="s">
        <v>39</v>
      </c>
      <c r="J1055" t="s">
        <v>40</v>
      </c>
      <c r="K1055" t="s">
        <v>41</v>
      </c>
      <c r="L1055" t="s">
        <v>458</v>
      </c>
      <c r="N1055" t="s">
        <v>43</v>
      </c>
      <c r="O1055" t="s">
        <v>307</v>
      </c>
      <c r="P1055">
        <v>134</v>
      </c>
      <c r="Q1055">
        <v>134</v>
      </c>
      <c r="R1055">
        <v>1</v>
      </c>
      <c r="S1055" t="s">
        <v>45</v>
      </c>
      <c r="T1055">
        <v>0</v>
      </c>
      <c r="U1055">
        <v>891</v>
      </c>
      <c r="V1055" t="s">
        <v>113</v>
      </c>
      <c r="W1055">
        <v>0.89</v>
      </c>
      <c r="X1055">
        <v>22001</v>
      </c>
      <c r="Y1055" t="s">
        <v>47</v>
      </c>
      <c r="Z1055">
        <v>22</v>
      </c>
      <c r="AA1055">
        <v>530</v>
      </c>
      <c r="AB1055" t="s">
        <v>75</v>
      </c>
      <c r="AC1055">
        <v>0.52900000000000003</v>
      </c>
      <c r="AD1055">
        <v>633</v>
      </c>
      <c r="AE1055" t="s">
        <v>48</v>
      </c>
      <c r="AF1055">
        <v>0.63200000000000001</v>
      </c>
      <c r="AG1055">
        <v>775</v>
      </c>
      <c r="AH1055" t="s">
        <v>49</v>
      </c>
      <c r="AI1055">
        <v>0.77400000000000002</v>
      </c>
      <c r="AJ1055" t="s">
        <v>1154</v>
      </c>
    </row>
    <row r="1056" spans="1:36" x14ac:dyDescent="0.25">
      <c r="A1056" t="s">
        <v>823</v>
      </c>
      <c r="B1056">
        <v>856221241</v>
      </c>
      <c r="C1056" t="s">
        <v>824</v>
      </c>
      <c r="D1056" t="s">
        <v>824</v>
      </c>
      <c r="E1056" t="s">
        <v>65</v>
      </c>
      <c r="F1056" t="s">
        <v>93</v>
      </c>
      <c r="I1056" t="s">
        <v>39</v>
      </c>
      <c r="J1056" t="s">
        <v>40</v>
      </c>
      <c r="K1056" t="s">
        <v>41</v>
      </c>
      <c r="L1056" t="s">
        <v>458</v>
      </c>
      <c r="N1056" t="s">
        <v>43</v>
      </c>
      <c r="O1056" t="s">
        <v>307</v>
      </c>
      <c r="P1056">
        <v>134</v>
      </c>
      <c r="Q1056">
        <v>134</v>
      </c>
      <c r="S1056" t="s">
        <v>39</v>
      </c>
      <c r="V1056" t="s">
        <v>39</v>
      </c>
      <c r="X1056">
        <v>22001</v>
      </c>
      <c r="Y1056" t="s">
        <v>47</v>
      </c>
      <c r="Z1056">
        <v>22</v>
      </c>
      <c r="AA1056">
        <v>530</v>
      </c>
      <c r="AB1056" t="s">
        <v>75</v>
      </c>
      <c r="AC1056">
        <v>0.52900000000000003</v>
      </c>
      <c r="AD1056">
        <v>633</v>
      </c>
      <c r="AE1056" t="s">
        <v>48</v>
      </c>
      <c r="AF1056">
        <v>0.63200000000000001</v>
      </c>
      <c r="AG1056">
        <v>775</v>
      </c>
      <c r="AH1056" t="s">
        <v>49</v>
      </c>
      <c r="AI1056">
        <v>0.77400000000000002</v>
      </c>
      <c r="AJ1056" t="s">
        <v>1155</v>
      </c>
    </row>
    <row r="1057" spans="1:36" x14ac:dyDescent="0.25">
      <c r="A1057" t="s">
        <v>823</v>
      </c>
      <c r="B1057">
        <v>856221241</v>
      </c>
      <c r="C1057" t="s">
        <v>824</v>
      </c>
      <c r="D1057" t="s">
        <v>824</v>
      </c>
      <c r="E1057" t="s">
        <v>65</v>
      </c>
      <c r="F1057" t="s">
        <v>93</v>
      </c>
      <c r="I1057" t="s">
        <v>39</v>
      </c>
      <c r="J1057" t="s">
        <v>40</v>
      </c>
      <c r="K1057" t="s">
        <v>41</v>
      </c>
      <c r="L1057" t="s">
        <v>458</v>
      </c>
      <c r="N1057" t="s">
        <v>43</v>
      </c>
      <c r="O1057" t="s">
        <v>307</v>
      </c>
      <c r="P1057">
        <v>134</v>
      </c>
      <c r="Q1057">
        <v>134</v>
      </c>
      <c r="S1057" t="s">
        <v>39</v>
      </c>
      <c r="V1057" t="s">
        <v>39</v>
      </c>
      <c r="X1057">
        <v>22001</v>
      </c>
      <c r="Y1057" t="s">
        <v>47</v>
      </c>
      <c r="Z1057">
        <v>22</v>
      </c>
      <c r="AA1057">
        <v>530</v>
      </c>
      <c r="AB1057" t="s">
        <v>75</v>
      </c>
      <c r="AC1057">
        <v>0.52900000000000003</v>
      </c>
      <c r="AD1057">
        <v>633</v>
      </c>
      <c r="AE1057" t="s">
        <v>48</v>
      </c>
      <c r="AF1057">
        <v>0.63200000000000001</v>
      </c>
      <c r="AG1057">
        <v>775</v>
      </c>
      <c r="AH1057" t="s">
        <v>49</v>
      </c>
      <c r="AI1057">
        <v>0.77400000000000002</v>
      </c>
      <c r="AJ1057" t="s">
        <v>1156</v>
      </c>
    </row>
    <row r="1058" spans="1:36" x14ac:dyDescent="0.25">
      <c r="A1058" t="s">
        <v>821</v>
      </c>
      <c r="B1058">
        <v>881527849</v>
      </c>
      <c r="C1058" t="s">
        <v>822</v>
      </c>
      <c r="D1058" t="s">
        <v>822</v>
      </c>
      <c r="E1058" t="s">
        <v>37</v>
      </c>
      <c r="F1058" t="s">
        <v>127</v>
      </c>
      <c r="I1058" t="s">
        <v>39</v>
      </c>
      <c r="J1058" t="s">
        <v>40</v>
      </c>
      <c r="K1058" t="s">
        <v>41</v>
      </c>
      <c r="L1058" t="s">
        <v>42</v>
      </c>
      <c r="N1058" t="s">
        <v>43</v>
      </c>
      <c r="O1058" t="s">
        <v>412</v>
      </c>
      <c r="P1058">
        <v>135</v>
      </c>
      <c r="Q1058">
        <v>135</v>
      </c>
      <c r="R1058">
        <v>1</v>
      </c>
      <c r="S1058" t="s">
        <v>45</v>
      </c>
      <c r="T1058">
        <v>0</v>
      </c>
      <c r="U1058">
        <v>162</v>
      </c>
      <c r="V1058" t="s">
        <v>55</v>
      </c>
      <c r="W1058">
        <v>0.161</v>
      </c>
      <c r="X1058">
        <v>19001</v>
      </c>
      <c r="Y1058" t="s">
        <v>47</v>
      </c>
      <c r="Z1058">
        <v>19</v>
      </c>
      <c r="AA1058">
        <v>430</v>
      </c>
      <c r="AB1058" t="s">
        <v>47</v>
      </c>
      <c r="AC1058">
        <v>0.42899999999999999</v>
      </c>
      <c r="AD1058">
        <v>514</v>
      </c>
      <c r="AE1058" t="s">
        <v>48</v>
      </c>
      <c r="AF1058">
        <v>0.51300000000000001</v>
      </c>
      <c r="AG1058">
        <v>880</v>
      </c>
      <c r="AH1058" t="s">
        <v>49</v>
      </c>
      <c r="AI1058">
        <v>0.879</v>
      </c>
      <c r="AJ1058" t="s">
        <v>50</v>
      </c>
    </row>
    <row r="1059" spans="1:36" x14ac:dyDescent="0.25">
      <c r="A1059" t="s">
        <v>821</v>
      </c>
      <c r="B1059">
        <v>881527849</v>
      </c>
      <c r="C1059" t="s">
        <v>822</v>
      </c>
      <c r="D1059" t="s">
        <v>822</v>
      </c>
      <c r="E1059" t="s">
        <v>37</v>
      </c>
      <c r="F1059" t="s">
        <v>127</v>
      </c>
      <c r="I1059" t="s">
        <v>39</v>
      </c>
      <c r="J1059" t="s">
        <v>40</v>
      </c>
      <c r="K1059" t="s">
        <v>41</v>
      </c>
      <c r="L1059" t="s">
        <v>42</v>
      </c>
      <c r="N1059" t="s">
        <v>43</v>
      </c>
      <c r="O1059" t="s">
        <v>412</v>
      </c>
      <c r="P1059">
        <v>135</v>
      </c>
      <c r="Q1059">
        <v>135</v>
      </c>
      <c r="R1059">
        <v>1</v>
      </c>
      <c r="S1059" t="s">
        <v>45</v>
      </c>
      <c r="T1059">
        <v>0</v>
      </c>
      <c r="U1059">
        <v>143</v>
      </c>
      <c r="V1059" t="s">
        <v>55</v>
      </c>
      <c r="W1059">
        <v>0.14199999999999999</v>
      </c>
      <c r="X1059">
        <v>19001</v>
      </c>
      <c r="Y1059" t="s">
        <v>47</v>
      </c>
      <c r="Z1059">
        <v>19</v>
      </c>
      <c r="AA1059">
        <v>430</v>
      </c>
      <c r="AB1059" t="s">
        <v>47</v>
      </c>
      <c r="AC1059">
        <v>0.42899999999999999</v>
      </c>
      <c r="AD1059">
        <v>514</v>
      </c>
      <c r="AE1059" t="s">
        <v>48</v>
      </c>
      <c r="AF1059">
        <v>0.51300000000000001</v>
      </c>
      <c r="AG1059">
        <v>880</v>
      </c>
      <c r="AH1059" t="s">
        <v>49</v>
      </c>
      <c r="AI1059">
        <v>0.879</v>
      </c>
      <c r="AJ1059" t="s">
        <v>1141</v>
      </c>
    </row>
    <row r="1060" spans="1:36" x14ac:dyDescent="0.25">
      <c r="A1060" t="s">
        <v>821</v>
      </c>
      <c r="B1060">
        <v>881527849</v>
      </c>
      <c r="C1060" t="s">
        <v>822</v>
      </c>
      <c r="D1060" t="s">
        <v>822</v>
      </c>
      <c r="E1060" t="s">
        <v>37</v>
      </c>
      <c r="F1060" t="s">
        <v>127</v>
      </c>
      <c r="I1060" t="s">
        <v>39</v>
      </c>
      <c r="J1060" t="s">
        <v>40</v>
      </c>
      <c r="K1060" t="s">
        <v>41</v>
      </c>
      <c r="L1060" t="s">
        <v>42</v>
      </c>
      <c r="N1060" t="s">
        <v>43</v>
      </c>
      <c r="O1060" t="s">
        <v>412</v>
      </c>
      <c r="P1060">
        <v>135</v>
      </c>
      <c r="Q1060">
        <v>135</v>
      </c>
      <c r="R1060">
        <v>1</v>
      </c>
      <c r="S1060" t="s">
        <v>45</v>
      </c>
      <c r="T1060">
        <v>0</v>
      </c>
      <c r="U1060">
        <v>162</v>
      </c>
      <c r="V1060" t="s">
        <v>55</v>
      </c>
      <c r="W1060">
        <v>0.161</v>
      </c>
      <c r="X1060">
        <v>19001</v>
      </c>
      <c r="Y1060" t="s">
        <v>47</v>
      </c>
      <c r="Z1060">
        <v>19</v>
      </c>
      <c r="AA1060">
        <v>430</v>
      </c>
      <c r="AB1060" t="s">
        <v>47</v>
      </c>
      <c r="AC1060">
        <v>0.42899999999999999</v>
      </c>
      <c r="AD1060">
        <v>514</v>
      </c>
      <c r="AE1060" t="s">
        <v>48</v>
      </c>
      <c r="AF1060">
        <v>0.51300000000000001</v>
      </c>
      <c r="AG1060">
        <v>880</v>
      </c>
      <c r="AH1060" t="s">
        <v>49</v>
      </c>
      <c r="AI1060">
        <v>0.879</v>
      </c>
      <c r="AJ1060" t="s">
        <v>1153</v>
      </c>
    </row>
    <row r="1061" spans="1:36" x14ac:dyDescent="0.25">
      <c r="A1061" t="s">
        <v>821</v>
      </c>
      <c r="B1061">
        <v>881527849</v>
      </c>
      <c r="C1061" t="s">
        <v>822</v>
      </c>
      <c r="D1061" t="s">
        <v>822</v>
      </c>
      <c r="E1061" t="s">
        <v>37</v>
      </c>
      <c r="F1061" t="s">
        <v>127</v>
      </c>
      <c r="I1061" t="s">
        <v>39</v>
      </c>
      <c r="J1061" t="s">
        <v>40</v>
      </c>
      <c r="K1061" t="s">
        <v>41</v>
      </c>
      <c r="L1061" t="s">
        <v>42</v>
      </c>
      <c r="N1061" t="s">
        <v>43</v>
      </c>
      <c r="O1061" t="s">
        <v>412</v>
      </c>
      <c r="P1061">
        <v>135</v>
      </c>
      <c r="Q1061">
        <v>135</v>
      </c>
      <c r="R1061">
        <v>1</v>
      </c>
      <c r="S1061" t="s">
        <v>45</v>
      </c>
      <c r="T1061">
        <v>0</v>
      </c>
      <c r="U1061">
        <v>162</v>
      </c>
      <c r="V1061" t="s">
        <v>55</v>
      </c>
      <c r="W1061">
        <v>0.161</v>
      </c>
      <c r="X1061">
        <v>19001</v>
      </c>
      <c r="Y1061" t="s">
        <v>47</v>
      </c>
      <c r="Z1061">
        <v>19</v>
      </c>
      <c r="AA1061">
        <v>430</v>
      </c>
      <c r="AB1061" t="s">
        <v>47</v>
      </c>
      <c r="AC1061">
        <v>0.42899999999999999</v>
      </c>
      <c r="AD1061">
        <v>514</v>
      </c>
      <c r="AE1061" t="s">
        <v>48</v>
      </c>
      <c r="AF1061">
        <v>0.51300000000000001</v>
      </c>
      <c r="AG1061">
        <v>880</v>
      </c>
      <c r="AH1061" t="s">
        <v>49</v>
      </c>
      <c r="AI1061">
        <v>0.879</v>
      </c>
      <c r="AJ1061" t="s">
        <v>1154</v>
      </c>
    </row>
    <row r="1062" spans="1:36" x14ac:dyDescent="0.25">
      <c r="A1062" t="s">
        <v>821</v>
      </c>
      <c r="B1062">
        <v>881527849</v>
      </c>
      <c r="C1062" t="s">
        <v>822</v>
      </c>
      <c r="D1062" t="s">
        <v>822</v>
      </c>
      <c r="E1062" t="s">
        <v>37</v>
      </c>
      <c r="F1062" t="s">
        <v>127</v>
      </c>
      <c r="I1062" t="s">
        <v>39</v>
      </c>
      <c r="J1062" t="s">
        <v>40</v>
      </c>
      <c r="K1062" t="s">
        <v>41</v>
      </c>
      <c r="L1062" t="s">
        <v>42</v>
      </c>
      <c r="N1062" t="s">
        <v>43</v>
      </c>
      <c r="O1062" t="s">
        <v>412</v>
      </c>
      <c r="P1062">
        <v>135</v>
      </c>
      <c r="Q1062">
        <v>135</v>
      </c>
      <c r="S1062" t="s">
        <v>39</v>
      </c>
      <c r="V1062" t="s">
        <v>39</v>
      </c>
      <c r="X1062">
        <v>19001</v>
      </c>
      <c r="Y1062" t="s">
        <v>47</v>
      </c>
      <c r="Z1062">
        <v>19</v>
      </c>
      <c r="AA1062">
        <v>430</v>
      </c>
      <c r="AB1062" t="s">
        <v>47</v>
      </c>
      <c r="AC1062">
        <v>0.42899999999999999</v>
      </c>
      <c r="AD1062">
        <v>514</v>
      </c>
      <c r="AE1062" t="s">
        <v>48</v>
      </c>
      <c r="AF1062">
        <v>0.51300000000000001</v>
      </c>
      <c r="AG1062">
        <v>880</v>
      </c>
      <c r="AH1062" t="s">
        <v>49</v>
      </c>
      <c r="AI1062">
        <v>0.879</v>
      </c>
      <c r="AJ1062" t="s">
        <v>1155</v>
      </c>
    </row>
    <row r="1063" spans="1:36" x14ac:dyDescent="0.25">
      <c r="A1063" t="s">
        <v>821</v>
      </c>
      <c r="B1063">
        <v>881527849</v>
      </c>
      <c r="C1063" t="s">
        <v>822</v>
      </c>
      <c r="D1063" t="s">
        <v>822</v>
      </c>
      <c r="E1063" t="s">
        <v>37</v>
      </c>
      <c r="F1063" t="s">
        <v>127</v>
      </c>
      <c r="I1063" t="s">
        <v>39</v>
      </c>
      <c r="J1063" t="s">
        <v>40</v>
      </c>
      <c r="K1063" t="s">
        <v>41</v>
      </c>
      <c r="L1063" t="s">
        <v>42</v>
      </c>
      <c r="N1063" t="s">
        <v>43</v>
      </c>
      <c r="O1063" t="s">
        <v>412</v>
      </c>
      <c r="P1063">
        <v>135</v>
      </c>
      <c r="Q1063">
        <v>135</v>
      </c>
      <c r="S1063" t="s">
        <v>39</v>
      </c>
      <c r="V1063" t="s">
        <v>39</v>
      </c>
      <c r="X1063">
        <v>19001</v>
      </c>
      <c r="Y1063" t="s">
        <v>47</v>
      </c>
      <c r="Z1063">
        <v>19</v>
      </c>
      <c r="AA1063">
        <v>430</v>
      </c>
      <c r="AB1063" t="s">
        <v>47</v>
      </c>
      <c r="AC1063">
        <v>0.42899999999999999</v>
      </c>
      <c r="AD1063">
        <v>514</v>
      </c>
      <c r="AE1063" t="s">
        <v>48</v>
      </c>
      <c r="AF1063">
        <v>0.51300000000000001</v>
      </c>
      <c r="AG1063">
        <v>880</v>
      </c>
      <c r="AH1063" t="s">
        <v>49</v>
      </c>
      <c r="AI1063">
        <v>0.879</v>
      </c>
      <c r="AJ1063" t="s">
        <v>1156</v>
      </c>
    </row>
    <row r="1064" spans="1:36" x14ac:dyDescent="0.25">
      <c r="A1064" t="s">
        <v>819</v>
      </c>
      <c r="B1064">
        <v>881527819</v>
      </c>
      <c r="C1064" t="s">
        <v>820</v>
      </c>
      <c r="D1064" t="s">
        <v>820</v>
      </c>
      <c r="E1064" t="s">
        <v>99</v>
      </c>
      <c r="F1064" t="s">
        <v>107</v>
      </c>
      <c r="I1064" t="s">
        <v>39</v>
      </c>
      <c r="J1064" t="s">
        <v>40</v>
      </c>
      <c r="K1064" t="s">
        <v>41</v>
      </c>
      <c r="N1064" t="s">
        <v>43</v>
      </c>
      <c r="O1064" t="s">
        <v>108</v>
      </c>
      <c r="P1064">
        <v>136</v>
      </c>
      <c r="Q1064">
        <v>136</v>
      </c>
      <c r="R1064">
        <v>1</v>
      </c>
      <c r="S1064" t="s">
        <v>45</v>
      </c>
      <c r="T1064">
        <v>0</v>
      </c>
      <c r="U1064">
        <v>990</v>
      </c>
      <c r="V1064" t="s">
        <v>46</v>
      </c>
      <c r="W1064">
        <v>0.98899999999999999</v>
      </c>
      <c r="X1064">
        <v>27001</v>
      </c>
      <c r="Y1064" t="s">
        <v>47</v>
      </c>
      <c r="Z1064">
        <v>27</v>
      </c>
      <c r="AA1064">
        <v>830</v>
      </c>
      <c r="AB1064" t="s">
        <v>75</v>
      </c>
      <c r="AC1064">
        <v>0.82899999999999996</v>
      </c>
      <c r="AD1064">
        <v>857</v>
      </c>
      <c r="AE1064" t="s">
        <v>48</v>
      </c>
      <c r="AF1064">
        <v>0.85599999999999998</v>
      </c>
      <c r="AG1064">
        <v>994</v>
      </c>
      <c r="AH1064" t="s">
        <v>80</v>
      </c>
      <c r="AI1064">
        <v>0.99299999999999999</v>
      </c>
      <c r="AJ1064" t="s">
        <v>50</v>
      </c>
    </row>
    <row r="1065" spans="1:36" x14ac:dyDescent="0.25">
      <c r="A1065" t="s">
        <v>819</v>
      </c>
      <c r="B1065">
        <v>881527819</v>
      </c>
      <c r="C1065" t="s">
        <v>820</v>
      </c>
      <c r="D1065" t="s">
        <v>820</v>
      </c>
      <c r="E1065" t="s">
        <v>99</v>
      </c>
      <c r="F1065" t="s">
        <v>107</v>
      </c>
      <c r="I1065" t="s">
        <v>39</v>
      </c>
      <c r="J1065" t="s">
        <v>40</v>
      </c>
      <c r="K1065" t="s">
        <v>41</v>
      </c>
      <c r="N1065" t="s">
        <v>43</v>
      </c>
      <c r="O1065" t="s">
        <v>108</v>
      </c>
      <c r="P1065">
        <v>136</v>
      </c>
      <c r="Q1065">
        <v>136</v>
      </c>
      <c r="R1065">
        <v>1</v>
      </c>
      <c r="S1065" t="s">
        <v>45</v>
      </c>
      <c r="T1065">
        <v>0</v>
      </c>
      <c r="U1065">
        <v>992</v>
      </c>
      <c r="V1065" t="s">
        <v>46</v>
      </c>
      <c r="W1065">
        <v>0.99099999999999999</v>
      </c>
      <c r="X1065">
        <v>27001</v>
      </c>
      <c r="Y1065" t="s">
        <v>47</v>
      </c>
      <c r="Z1065">
        <v>27</v>
      </c>
      <c r="AA1065">
        <v>830</v>
      </c>
      <c r="AB1065" t="s">
        <v>75</v>
      </c>
      <c r="AC1065">
        <v>0.82899999999999996</v>
      </c>
      <c r="AD1065">
        <v>857</v>
      </c>
      <c r="AE1065" t="s">
        <v>48</v>
      </c>
      <c r="AF1065">
        <v>0.85599999999999998</v>
      </c>
      <c r="AG1065">
        <v>994</v>
      </c>
      <c r="AH1065" t="s">
        <v>80</v>
      </c>
      <c r="AI1065">
        <v>0.99299999999999999</v>
      </c>
      <c r="AJ1065" t="s">
        <v>1141</v>
      </c>
    </row>
    <row r="1066" spans="1:36" x14ac:dyDescent="0.25">
      <c r="A1066" t="s">
        <v>819</v>
      </c>
      <c r="B1066">
        <v>881527819</v>
      </c>
      <c r="C1066" t="s">
        <v>820</v>
      </c>
      <c r="D1066" t="s">
        <v>820</v>
      </c>
      <c r="E1066" t="s">
        <v>99</v>
      </c>
      <c r="F1066" t="s">
        <v>107</v>
      </c>
      <c r="I1066" t="s">
        <v>39</v>
      </c>
      <c r="J1066" t="s">
        <v>40</v>
      </c>
      <c r="K1066" t="s">
        <v>41</v>
      </c>
      <c r="N1066" t="s">
        <v>43</v>
      </c>
      <c r="O1066" t="s">
        <v>108</v>
      </c>
      <c r="P1066">
        <v>136</v>
      </c>
      <c r="Q1066">
        <v>136</v>
      </c>
      <c r="R1066">
        <v>1</v>
      </c>
      <c r="S1066" t="s">
        <v>45</v>
      </c>
      <c r="T1066">
        <v>0</v>
      </c>
      <c r="U1066">
        <v>990</v>
      </c>
      <c r="V1066" t="s">
        <v>46</v>
      </c>
      <c r="W1066">
        <v>0.98899999999999999</v>
      </c>
      <c r="X1066">
        <v>27001</v>
      </c>
      <c r="Y1066" t="s">
        <v>47</v>
      </c>
      <c r="Z1066">
        <v>27</v>
      </c>
      <c r="AA1066">
        <v>830</v>
      </c>
      <c r="AB1066" t="s">
        <v>75</v>
      </c>
      <c r="AC1066">
        <v>0.82899999999999996</v>
      </c>
      <c r="AD1066">
        <v>857</v>
      </c>
      <c r="AE1066" t="s">
        <v>48</v>
      </c>
      <c r="AF1066">
        <v>0.85599999999999998</v>
      </c>
      <c r="AG1066">
        <v>994</v>
      </c>
      <c r="AH1066" t="s">
        <v>80</v>
      </c>
      <c r="AI1066">
        <v>0.99299999999999999</v>
      </c>
      <c r="AJ1066" t="s">
        <v>1153</v>
      </c>
    </row>
    <row r="1067" spans="1:36" x14ac:dyDescent="0.25">
      <c r="A1067" t="s">
        <v>819</v>
      </c>
      <c r="B1067">
        <v>881527819</v>
      </c>
      <c r="C1067" t="s">
        <v>820</v>
      </c>
      <c r="D1067" t="s">
        <v>820</v>
      </c>
      <c r="E1067" t="s">
        <v>99</v>
      </c>
      <c r="F1067" t="s">
        <v>107</v>
      </c>
      <c r="I1067" t="s">
        <v>39</v>
      </c>
      <c r="J1067" t="s">
        <v>40</v>
      </c>
      <c r="K1067" t="s">
        <v>41</v>
      </c>
      <c r="N1067" t="s">
        <v>43</v>
      </c>
      <c r="O1067" t="s">
        <v>108</v>
      </c>
      <c r="P1067">
        <v>136</v>
      </c>
      <c r="Q1067">
        <v>136</v>
      </c>
      <c r="R1067">
        <v>1</v>
      </c>
      <c r="S1067" t="s">
        <v>45</v>
      </c>
      <c r="T1067">
        <v>0</v>
      </c>
      <c r="U1067">
        <v>990</v>
      </c>
      <c r="V1067" t="s">
        <v>46</v>
      </c>
      <c r="W1067">
        <v>0.98899999999999999</v>
      </c>
      <c r="X1067">
        <v>27001</v>
      </c>
      <c r="Y1067" t="s">
        <v>47</v>
      </c>
      <c r="Z1067">
        <v>27</v>
      </c>
      <c r="AA1067">
        <v>830</v>
      </c>
      <c r="AB1067" t="s">
        <v>75</v>
      </c>
      <c r="AC1067">
        <v>0.82899999999999996</v>
      </c>
      <c r="AD1067">
        <v>857</v>
      </c>
      <c r="AE1067" t="s">
        <v>48</v>
      </c>
      <c r="AF1067">
        <v>0.85599999999999998</v>
      </c>
      <c r="AG1067">
        <v>994</v>
      </c>
      <c r="AH1067" t="s">
        <v>80</v>
      </c>
      <c r="AI1067">
        <v>0.99299999999999999</v>
      </c>
      <c r="AJ1067" t="s">
        <v>1154</v>
      </c>
    </row>
    <row r="1068" spans="1:36" x14ac:dyDescent="0.25">
      <c r="A1068" t="s">
        <v>819</v>
      </c>
      <c r="B1068">
        <v>881527819</v>
      </c>
      <c r="C1068" t="s">
        <v>820</v>
      </c>
      <c r="D1068" t="s">
        <v>820</v>
      </c>
      <c r="E1068" t="s">
        <v>99</v>
      </c>
      <c r="F1068" t="s">
        <v>107</v>
      </c>
      <c r="I1068" t="s">
        <v>39</v>
      </c>
      <c r="J1068" t="s">
        <v>40</v>
      </c>
      <c r="K1068" t="s">
        <v>41</v>
      </c>
      <c r="N1068" t="s">
        <v>43</v>
      </c>
      <c r="O1068" t="s">
        <v>108</v>
      </c>
      <c r="P1068">
        <v>136</v>
      </c>
      <c r="Q1068">
        <v>136</v>
      </c>
      <c r="S1068" t="s">
        <v>39</v>
      </c>
      <c r="V1068" t="s">
        <v>39</v>
      </c>
      <c r="X1068">
        <v>27001</v>
      </c>
      <c r="Y1068" t="s">
        <v>47</v>
      </c>
      <c r="Z1068">
        <v>27</v>
      </c>
      <c r="AA1068">
        <v>830</v>
      </c>
      <c r="AB1068" t="s">
        <v>75</v>
      </c>
      <c r="AC1068">
        <v>0.82899999999999996</v>
      </c>
      <c r="AD1068">
        <v>857</v>
      </c>
      <c r="AE1068" t="s">
        <v>48</v>
      </c>
      <c r="AF1068">
        <v>0.85599999999999998</v>
      </c>
      <c r="AG1068">
        <v>994</v>
      </c>
      <c r="AH1068" t="s">
        <v>80</v>
      </c>
      <c r="AI1068">
        <v>0.99299999999999999</v>
      </c>
      <c r="AJ1068" t="s">
        <v>1155</v>
      </c>
    </row>
    <row r="1069" spans="1:36" x14ac:dyDescent="0.25">
      <c r="A1069" t="s">
        <v>819</v>
      </c>
      <c r="B1069">
        <v>881527819</v>
      </c>
      <c r="C1069" t="s">
        <v>820</v>
      </c>
      <c r="D1069" t="s">
        <v>820</v>
      </c>
      <c r="E1069" t="s">
        <v>99</v>
      </c>
      <c r="F1069" t="s">
        <v>107</v>
      </c>
      <c r="I1069" t="s">
        <v>39</v>
      </c>
      <c r="J1069" t="s">
        <v>40</v>
      </c>
      <c r="K1069" t="s">
        <v>41</v>
      </c>
      <c r="N1069" t="s">
        <v>43</v>
      </c>
      <c r="O1069" t="s">
        <v>108</v>
      </c>
      <c r="P1069">
        <v>136</v>
      </c>
      <c r="Q1069">
        <v>136</v>
      </c>
      <c r="S1069" t="s">
        <v>39</v>
      </c>
      <c r="V1069" t="s">
        <v>39</v>
      </c>
      <c r="X1069">
        <v>27001</v>
      </c>
      <c r="Y1069" t="s">
        <v>47</v>
      </c>
      <c r="Z1069">
        <v>27</v>
      </c>
      <c r="AA1069">
        <v>830</v>
      </c>
      <c r="AB1069" t="s">
        <v>75</v>
      </c>
      <c r="AC1069">
        <v>0.82899999999999996</v>
      </c>
      <c r="AD1069">
        <v>857</v>
      </c>
      <c r="AE1069" t="s">
        <v>48</v>
      </c>
      <c r="AF1069">
        <v>0.85599999999999998</v>
      </c>
      <c r="AG1069">
        <v>994</v>
      </c>
      <c r="AH1069" t="s">
        <v>80</v>
      </c>
      <c r="AI1069">
        <v>0.99299999999999999</v>
      </c>
      <c r="AJ1069" t="s">
        <v>1156</v>
      </c>
    </row>
    <row r="1070" spans="1:36" x14ac:dyDescent="0.25">
      <c r="A1070" t="s">
        <v>817</v>
      </c>
      <c r="B1070">
        <v>856032866</v>
      </c>
      <c r="C1070" t="s">
        <v>818</v>
      </c>
      <c r="D1070" t="s">
        <v>818</v>
      </c>
      <c r="E1070" t="s">
        <v>99</v>
      </c>
      <c r="F1070" t="s">
        <v>111</v>
      </c>
      <c r="I1070" t="s">
        <v>39</v>
      </c>
      <c r="J1070" t="s">
        <v>40</v>
      </c>
      <c r="K1070" t="s">
        <v>41</v>
      </c>
      <c r="L1070" t="s">
        <v>118</v>
      </c>
      <c r="N1070" t="s">
        <v>43</v>
      </c>
      <c r="O1070" t="s">
        <v>139</v>
      </c>
      <c r="P1070">
        <v>137</v>
      </c>
      <c r="Q1070">
        <v>137</v>
      </c>
      <c r="R1070">
        <v>641</v>
      </c>
      <c r="S1070" t="s">
        <v>56</v>
      </c>
      <c r="T1070">
        <v>0.64</v>
      </c>
      <c r="U1070">
        <v>199</v>
      </c>
      <c r="V1070" t="s">
        <v>55</v>
      </c>
      <c r="W1070">
        <v>0.19800000000000001</v>
      </c>
      <c r="X1070">
        <v>15001</v>
      </c>
      <c r="Y1070" t="s">
        <v>47</v>
      </c>
      <c r="Z1070">
        <v>15</v>
      </c>
      <c r="AA1070">
        <v>180</v>
      </c>
      <c r="AB1070" t="s">
        <v>47</v>
      </c>
      <c r="AC1070">
        <v>0.17899999999999999</v>
      </c>
      <c r="AD1070">
        <v>299</v>
      </c>
      <c r="AE1070" t="s">
        <v>56</v>
      </c>
      <c r="AF1070">
        <v>0.29799999999999999</v>
      </c>
      <c r="AG1070">
        <v>233</v>
      </c>
      <c r="AH1070" t="s">
        <v>57</v>
      </c>
      <c r="AI1070">
        <v>0.23200000000000001</v>
      </c>
      <c r="AJ1070" t="s">
        <v>50</v>
      </c>
    </row>
    <row r="1071" spans="1:36" x14ac:dyDescent="0.25">
      <c r="A1071" t="s">
        <v>817</v>
      </c>
      <c r="B1071">
        <v>856032866</v>
      </c>
      <c r="C1071" t="s">
        <v>818</v>
      </c>
      <c r="D1071" t="s">
        <v>818</v>
      </c>
      <c r="E1071" t="s">
        <v>99</v>
      </c>
      <c r="F1071" t="s">
        <v>111</v>
      </c>
      <c r="I1071" t="s">
        <v>39</v>
      </c>
      <c r="J1071" t="s">
        <v>40</v>
      </c>
      <c r="K1071" t="s">
        <v>41</v>
      </c>
      <c r="L1071" t="s">
        <v>118</v>
      </c>
      <c r="N1071" t="s">
        <v>43</v>
      </c>
      <c r="O1071" t="s">
        <v>139</v>
      </c>
      <c r="P1071">
        <v>137</v>
      </c>
      <c r="Q1071">
        <v>137</v>
      </c>
      <c r="R1071">
        <v>91</v>
      </c>
      <c r="S1071" t="s">
        <v>56</v>
      </c>
      <c r="T1071">
        <v>0.09</v>
      </c>
      <c r="U1071">
        <v>163</v>
      </c>
      <c r="V1071" t="s">
        <v>55</v>
      </c>
      <c r="W1071">
        <v>0.16200000000000001</v>
      </c>
      <c r="X1071">
        <v>15001</v>
      </c>
      <c r="Y1071" t="s">
        <v>47</v>
      </c>
      <c r="Z1071">
        <v>15</v>
      </c>
      <c r="AA1071">
        <v>180</v>
      </c>
      <c r="AB1071" t="s">
        <v>47</v>
      </c>
      <c r="AC1071">
        <v>0.17899999999999999</v>
      </c>
      <c r="AD1071">
        <v>299</v>
      </c>
      <c r="AE1071" t="s">
        <v>56</v>
      </c>
      <c r="AF1071">
        <v>0.29799999999999999</v>
      </c>
      <c r="AG1071">
        <v>233</v>
      </c>
      <c r="AH1071" t="s">
        <v>57</v>
      </c>
      <c r="AI1071">
        <v>0.23200000000000001</v>
      </c>
      <c r="AJ1071" t="s">
        <v>1141</v>
      </c>
    </row>
    <row r="1072" spans="1:36" x14ac:dyDescent="0.25">
      <c r="A1072" t="s">
        <v>817</v>
      </c>
      <c r="B1072">
        <v>856032866</v>
      </c>
      <c r="C1072" t="s">
        <v>818</v>
      </c>
      <c r="D1072" t="s">
        <v>818</v>
      </c>
      <c r="E1072" t="s">
        <v>99</v>
      </c>
      <c r="F1072" t="s">
        <v>111</v>
      </c>
      <c r="I1072" t="s">
        <v>39</v>
      </c>
      <c r="J1072" t="s">
        <v>40</v>
      </c>
      <c r="K1072" t="s">
        <v>41</v>
      </c>
      <c r="L1072" t="s">
        <v>118</v>
      </c>
      <c r="N1072" t="s">
        <v>43</v>
      </c>
      <c r="O1072" t="s">
        <v>139</v>
      </c>
      <c r="P1072">
        <v>137</v>
      </c>
      <c r="Q1072">
        <v>137</v>
      </c>
      <c r="R1072">
        <v>641</v>
      </c>
      <c r="S1072" t="s">
        <v>56</v>
      </c>
      <c r="T1072">
        <v>0.64</v>
      </c>
      <c r="U1072">
        <v>199</v>
      </c>
      <c r="V1072" t="s">
        <v>55</v>
      </c>
      <c r="W1072">
        <v>0.19800000000000001</v>
      </c>
      <c r="X1072">
        <v>15001</v>
      </c>
      <c r="Y1072" t="s">
        <v>47</v>
      </c>
      <c r="Z1072">
        <v>15</v>
      </c>
      <c r="AA1072">
        <v>180</v>
      </c>
      <c r="AB1072" t="s">
        <v>47</v>
      </c>
      <c r="AC1072">
        <v>0.17899999999999999</v>
      </c>
      <c r="AD1072">
        <v>299</v>
      </c>
      <c r="AE1072" t="s">
        <v>56</v>
      </c>
      <c r="AF1072">
        <v>0.29799999999999999</v>
      </c>
      <c r="AG1072">
        <v>233</v>
      </c>
      <c r="AH1072" t="s">
        <v>57</v>
      </c>
      <c r="AI1072">
        <v>0.23200000000000001</v>
      </c>
      <c r="AJ1072" t="s">
        <v>1153</v>
      </c>
    </row>
    <row r="1073" spans="1:36" x14ac:dyDescent="0.25">
      <c r="A1073" t="s">
        <v>817</v>
      </c>
      <c r="B1073">
        <v>856032866</v>
      </c>
      <c r="C1073" t="s">
        <v>818</v>
      </c>
      <c r="D1073" t="s">
        <v>818</v>
      </c>
      <c r="E1073" t="s">
        <v>99</v>
      </c>
      <c r="F1073" t="s">
        <v>111</v>
      </c>
      <c r="I1073" t="s">
        <v>39</v>
      </c>
      <c r="J1073" t="s">
        <v>40</v>
      </c>
      <c r="K1073" t="s">
        <v>41</v>
      </c>
      <c r="L1073" t="s">
        <v>118</v>
      </c>
      <c r="N1073" t="s">
        <v>43</v>
      </c>
      <c r="O1073" t="s">
        <v>139</v>
      </c>
      <c r="P1073">
        <v>137</v>
      </c>
      <c r="Q1073">
        <v>137</v>
      </c>
      <c r="R1073">
        <v>641</v>
      </c>
      <c r="S1073" t="s">
        <v>56</v>
      </c>
      <c r="T1073">
        <v>0.64</v>
      </c>
      <c r="U1073">
        <v>199</v>
      </c>
      <c r="V1073" t="s">
        <v>55</v>
      </c>
      <c r="W1073">
        <v>0.19800000000000001</v>
      </c>
      <c r="X1073">
        <v>15001</v>
      </c>
      <c r="Y1073" t="s">
        <v>47</v>
      </c>
      <c r="Z1073">
        <v>15</v>
      </c>
      <c r="AA1073">
        <v>180</v>
      </c>
      <c r="AB1073" t="s">
        <v>47</v>
      </c>
      <c r="AC1073">
        <v>0.17899999999999999</v>
      </c>
      <c r="AD1073">
        <v>299</v>
      </c>
      <c r="AE1073" t="s">
        <v>56</v>
      </c>
      <c r="AF1073">
        <v>0.29799999999999999</v>
      </c>
      <c r="AG1073">
        <v>233</v>
      </c>
      <c r="AH1073" t="s">
        <v>57</v>
      </c>
      <c r="AI1073">
        <v>0.23200000000000001</v>
      </c>
      <c r="AJ1073" t="s">
        <v>1154</v>
      </c>
    </row>
    <row r="1074" spans="1:36" x14ac:dyDescent="0.25">
      <c r="A1074" t="s">
        <v>817</v>
      </c>
      <c r="B1074">
        <v>856032866</v>
      </c>
      <c r="C1074" t="s">
        <v>818</v>
      </c>
      <c r="D1074" t="s">
        <v>818</v>
      </c>
      <c r="E1074" t="s">
        <v>99</v>
      </c>
      <c r="F1074" t="s">
        <v>111</v>
      </c>
      <c r="I1074" t="s">
        <v>39</v>
      </c>
      <c r="J1074" t="s">
        <v>40</v>
      </c>
      <c r="K1074" t="s">
        <v>41</v>
      </c>
      <c r="L1074" t="s">
        <v>118</v>
      </c>
      <c r="N1074" t="s">
        <v>43</v>
      </c>
      <c r="O1074" t="s">
        <v>139</v>
      </c>
      <c r="P1074">
        <v>137</v>
      </c>
      <c r="Q1074">
        <v>137</v>
      </c>
      <c r="S1074" t="s">
        <v>39</v>
      </c>
      <c r="V1074" t="s">
        <v>39</v>
      </c>
      <c r="X1074">
        <v>15001</v>
      </c>
      <c r="Y1074" t="s">
        <v>47</v>
      </c>
      <c r="Z1074">
        <v>15</v>
      </c>
      <c r="AA1074">
        <v>180</v>
      </c>
      <c r="AB1074" t="s">
        <v>47</v>
      </c>
      <c r="AC1074">
        <v>0.17899999999999999</v>
      </c>
      <c r="AD1074">
        <v>299</v>
      </c>
      <c r="AE1074" t="s">
        <v>56</v>
      </c>
      <c r="AF1074">
        <v>0.29799999999999999</v>
      </c>
      <c r="AG1074">
        <v>233</v>
      </c>
      <c r="AH1074" t="s">
        <v>57</v>
      </c>
      <c r="AI1074">
        <v>0.23200000000000001</v>
      </c>
      <c r="AJ1074" t="s">
        <v>1155</v>
      </c>
    </row>
    <row r="1075" spans="1:36" x14ac:dyDescent="0.25">
      <c r="A1075" t="s">
        <v>817</v>
      </c>
      <c r="B1075">
        <v>856032866</v>
      </c>
      <c r="C1075" t="s">
        <v>818</v>
      </c>
      <c r="D1075" t="s">
        <v>818</v>
      </c>
      <c r="E1075" t="s">
        <v>99</v>
      </c>
      <c r="F1075" t="s">
        <v>111</v>
      </c>
      <c r="I1075" t="s">
        <v>39</v>
      </c>
      <c r="J1075" t="s">
        <v>40</v>
      </c>
      <c r="K1075" t="s">
        <v>41</v>
      </c>
      <c r="L1075" t="s">
        <v>118</v>
      </c>
      <c r="N1075" t="s">
        <v>43</v>
      </c>
      <c r="O1075" t="s">
        <v>139</v>
      </c>
      <c r="P1075">
        <v>137</v>
      </c>
      <c r="Q1075">
        <v>137</v>
      </c>
      <c r="S1075" t="s">
        <v>39</v>
      </c>
      <c r="V1075" t="s">
        <v>39</v>
      </c>
      <c r="X1075">
        <v>15001</v>
      </c>
      <c r="Y1075" t="s">
        <v>47</v>
      </c>
      <c r="Z1075">
        <v>15</v>
      </c>
      <c r="AA1075">
        <v>180</v>
      </c>
      <c r="AB1075" t="s">
        <v>47</v>
      </c>
      <c r="AC1075">
        <v>0.17899999999999999</v>
      </c>
      <c r="AD1075">
        <v>299</v>
      </c>
      <c r="AE1075" t="s">
        <v>56</v>
      </c>
      <c r="AF1075">
        <v>0.29799999999999999</v>
      </c>
      <c r="AG1075">
        <v>233</v>
      </c>
      <c r="AH1075" t="s">
        <v>57</v>
      </c>
      <c r="AI1075">
        <v>0.23200000000000001</v>
      </c>
      <c r="AJ1075" t="s">
        <v>1156</v>
      </c>
    </row>
    <row r="1076" spans="1:36" x14ac:dyDescent="0.25">
      <c r="A1076" t="s">
        <v>814</v>
      </c>
      <c r="B1076">
        <v>851831228</v>
      </c>
      <c r="C1076" t="s">
        <v>815</v>
      </c>
      <c r="D1076" t="s">
        <v>815</v>
      </c>
      <c r="E1076" t="s">
        <v>60</v>
      </c>
      <c r="F1076" t="s">
        <v>88</v>
      </c>
      <c r="I1076" t="s">
        <v>39</v>
      </c>
      <c r="J1076" t="s">
        <v>40</v>
      </c>
      <c r="K1076" t="s">
        <v>41</v>
      </c>
      <c r="L1076" t="s">
        <v>281</v>
      </c>
      <c r="M1076" t="s">
        <v>816</v>
      </c>
      <c r="N1076" t="s">
        <v>43</v>
      </c>
      <c r="O1076" t="s">
        <v>409</v>
      </c>
      <c r="P1076">
        <v>139</v>
      </c>
      <c r="Q1076">
        <v>139</v>
      </c>
      <c r="R1076">
        <v>71</v>
      </c>
      <c r="S1076" t="s">
        <v>56</v>
      </c>
      <c r="T1076">
        <v>7.0000000000000007E-2</v>
      </c>
      <c r="U1076">
        <v>899</v>
      </c>
      <c r="V1076" t="s">
        <v>113</v>
      </c>
      <c r="W1076">
        <v>0.89800000000000002</v>
      </c>
      <c r="X1076">
        <v>22001</v>
      </c>
      <c r="Y1076" t="s">
        <v>47</v>
      </c>
      <c r="Z1076">
        <v>22</v>
      </c>
      <c r="AA1076">
        <v>670</v>
      </c>
      <c r="AB1076" t="s">
        <v>75</v>
      </c>
      <c r="AC1076">
        <v>0.66900000000000004</v>
      </c>
      <c r="AD1076">
        <v>738</v>
      </c>
      <c r="AE1076" t="s">
        <v>48</v>
      </c>
      <c r="AF1076">
        <v>0.73699999999999999</v>
      </c>
      <c r="AG1076">
        <v>825</v>
      </c>
      <c r="AH1076" t="s">
        <v>49</v>
      </c>
      <c r="AI1076">
        <v>0.82399999999999995</v>
      </c>
      <c r="AJ1076" t="s">
        <v>50</v>
      </c>
    </row>
    <row r="1077" spans="1:36" x14ac:dyDescent="0.25">
      <c r="A1077" t="s">
        <v>814</v>
      </c>
      <c r="B1077">
        <v>851831228</v>
      </c>
      <c r="C1077" t="s">
        <v>815</v>
      </c>
      <c r="D1077" t="s">
        <v>815</v>
      </c>
      <c r="E1077" t="s">
        <v>60</v>
      </c>
      <c r="F1077" t="s">
        <v>88</v>
      </c>
      <c r="I1077" t="s">
        <v>39</v>
      </c>
      <c r="J1077" t="s">
        <v>40</v>
      </c>
      <c r="K1077" t="s">
        <v>41</v>
      </c>
      <c r="L1077" t="s">
        <v>281</v>
      </c>
      <c r="M1077" t="s">
        <v>816</v>
      </c>
      <c r="N1077" t="s">
        <v>43</v>
      </c>
      <c r="O1077" t="s">
        <v>409</v>
      </c>
      <c r="P1077">
        <v>139</v>
      </c>
      <c r="Q1077">
        <v>139</v>
      </c>
      <c r="R1077">
        <v>131</v>
      </c>
      <c r="S1077" t="s">
        <v>56</v>
      </c>
      <c r="T1077">
        <v>0.13</v>
      </c>
      <c r="U1077">
        <v>454</v>
      </c>
      <c r="V1077" t="s">
        <v>113</v>
      </c>
      <c r="W1077">
        <v>0.45300000000000001</v>
      </c>
      <c r="X1077">
        <v>22001</v>
      </c>
      <c r="Y1077" t="s">
        <v>47</v>
      </c>
      <c r="Z1077">
        <v>22</v>
      </c>
      <c r="AA1077">
        <v>670</v>
      </c>
      <c r="AB1077" t="s">
        <v>75</v>
      </c>
      <c r="AC1077">
        <v>0.66900000000000004</v>
      </c>
      <c r="AD1077">
        <v>738</v>
      </c>
      <c r="AE1077" t="s">
        <v>48</v>
      </c>
      <c r="AF1077">
        <v>0.73699999999999999</v>
      </c>
      <c r="AG1077">
        <v>825</v>
      </c>
      <c r="AH1077" t="s">
        <v>49</v>
      </c>
      <c r="AI1077">
        <v>0.82399999999999995</v>
      </c>
      <c r="AJ1077" t="s">
        <v>1141</v>
      </c>
    </row>
    <row r="1078" spans="1:36" x14ac:dyDescent="0.25">
      <c r="A1078" t="s">
        <v>814</v>
      </c>
      <c r="B1078">
        <v>851831228</v>
      </c>
      <c r="C1078" t="s">
        <v>815</v>
      </c>
      <c r="D1078" t="s">
        <v>815</v>
      </c>
      <c r="E1078" t="s">
        <v>60</v>
      </c>
      <c r="F1078" t="s">
        <v>88</v>
      </c>
      <c r="I1078" t="s">
        <v>39</v>
      </c>
      <c r="J1078" t="s">
        <v>40</v>
      </c>
      <c r="K1078" t="s">
        <v>41</v>
      </c>
      <c r="L1078" t="s">
        <v>281</v>
      </c>
      <c r="M1078" t="s">
        <v>816</v>
      </c>
      <c r="N1078" t="s">
        <v>43</v>
      </c>
      <c r="O1078" t="s">
        <v>409</v>
      </c>
      <c r="P1078">
        <v>139</v>
      </c>
      <c r="Q1078">
        <v>139</v>
      </c>
      <c r="R1078">
        <v>71</v>
      </c>
      <c r="S1078" t="s">
        <v>56</v>
      </c>
      <c r="T1078">
        <v>7.0000000000000007E-2</v>
      </c>
      <c r="U1078">
        <v>899</v>
      </c>
      <c r="V1078" t="s">
        <v>113</v>
      </c>
      <c r="W1078">
        <v>0.89800000000000002</v>
      </c>
      <c r="X1078">
        <v>22001</v>
      </c>
      <c r="Y1078" t="s">
        <v>47</v>
      </c>
      <c r="Z1078">
        <v>22</v>
      </c>
      <c r="AA1078">
        <v>670</v>
      </c>
      <c r="AB1078" t="s">
        <v>75</v>
      </c>
      <c r="AC1078">
        <v>0.66900000000000004</v>
      </c>
      <c r="AD1078">
        <v>738</v>
      </c>
      <c r="AE1078" t="s">
        <v>48</v>
      </c>
      <c r="AF1078">
        <v>0.73699999999999999</v>
      </c>
      <c r="AG1078">
        <v>825</v>
      </c>
      <c r="AH1078" t="s">
        <v>49</v>
      </c>
      <c r="AI1078">
        <v>0.82399999999999995</v>
      </c>
      <c r="AJ1078" t="s">
        <v>1153</v>
      </c>
    </row>
    <row r="1079" spans="1:36" x14ac:dyDescent="0.25">
      <c r="A1079" t="s">
        <v>814</v>
      </c>
      <c r="B1079">
        <v>851831228</v>
      </c>
      <c r="C1079" t="s">
        <v>815</v>
      </c>
      <c r="D1079" t="s">
        <v>815</v>
      </c>
      <c r="E1079" t="s">
        <v>60</v>
      </c>
      <c r="F1079" t="s">
        <v>88</v>
      </c>
      <c r="I1079" t="s">
        <v>39</v>
      </c>
      <c r="J1079" t="s">
        <v>40</v>
      </c>
      <c r="K1079" t="s">
        <v>41</v>
      </c>
      <c r="L1079" t="s">
        <v>281</v>
      </c>
      <c r="M1079" t="s">
        <v>816</v>
      </c>
      <c r="N1079" t="s">
        <v>43</v>
      </c>
      <c r="O1079" t="s">
        <v>409</v>
      </c>
      <c r="P1079">
        <v>139</v>
      </c>
      <c r="Q1079">
        <v>139</v>
      </c>
      <c r="R1079">
        <v>71</v>
      </c>
      <c r="S1079" t="s">
        <v>56</v>
      </c>
      <c r="T1079">
        <v>7.0000000000000007E-2</v>
      </c>
      <c r="U1079">
        <v>899</v>
      </c>
      <c r="V1079" t="s">
        <v>113</v>
      </c>
      <c r="W1079">
        <v>0.89800000000000002</v>
      </c>
      <c r="X1079">
        <v>22001</v>
      </c>
      <c r="Y1079" t="s">
        <v>47</v>
      </c>
      <c r="Z1079">
        <v>22</v>
      </c>
      <c r="AA1079">
        <v>670</v>
      </c>
      <c r="AB1079" t="s">
        <v>75</v>
      </c>
      <c r="AC1079">
        <v>0.66900000000000004</v>
      </c>
      <c r="AD1079">
        <v>738</v>
      </c>
      <c r="AE1079" t="s">
        <v>48</v>
      </c>
      <c r="AF1079">
        <v>0.73699999999999999</v>
      </c>
      <c r="AG1079">
        <v>825</v>
      </c>
      <c r="AH1079" t="s">
        <v>49</v>
      </c>
      <c r="AI1079">
        <v>0.82399999999999995</v>
      </c>
      <c r="AJ1079" t="s">
        <v>1154</v>
      </c>
    </row>
    <row r="1080" spans="1:36" x14ac:dyDescent="0.25">
      <c r="A1080" t="s">
        <v>814</v>
      </c>
      <c r="B1080">
        <v>851831228</v>
      </c>
      <c r="C1080" t="s">
        <v>815</v>
      </c>
      <c r="D1080" t="s">
        <v>815</v>
      </c>
      <c r="E1080" t="s">
        <v>60</v>
      </c>
      <c r="F1080" t="s">
        <v>88</v>
      </c>
      <c r="I1080" t="s">
        <v>39</v>
      </c>
      <c r="J1080" t="s">
        <v>40</v>
      </c>
      <c r="K1080" t="s">
        <v>41</v>
      </c>
      <c r="L1080" t="s">
        <v>281</v>
      </c>
      <c r="M1080" t="s">
        <v>816</v>
      </c>
      <c r="N1080" t="s">
        <v>43</v>
      </c>
      <c r="O1080" t="s">
        <v>409</v>
      </c>
      <c r="P1080">
        <v>139</v>
      </c>
      <c r="Q1080">
        <v>139</v>
      </c>
      <c r="S1080" t="s">
        <v>39</v>
      </c>
      <c r="V1080" t="s">
        <v>39</v>
      </c>
      <c r="X1080">
        <v>22001</v>
      </c>
      <c r="Y1080" t="s">
        <v>47</v>
      </c>
      <c r="Z1080">
        <v>22</v>
      </c>
      <c r="AA1080">
        <v>670</v>
      </c>
      <c r="AB1080" t="s">
        <v>75</v>
      </c>
      <c r="AC1080">
        <v>0.66900000000000004</v>
      </c>
      <c r="AD1080">
        <v>738</v>
      </c>
      <c r="AE1080" t="s">
        <v>48</v>
      </c>
      <c r="AF1080">
        <v>0.73699999999999999</v>
      </c>
      <c r="AG1080">
        <v>825</v>
      </c>
      <c r="AH1080" t="s">
        <v>49</v>
      </c>
      <c r="AI1080">
        <v>0.82399999999999995</v>
      </c>
      <c r="AJ1080" t="s">
        <v>1155</v>
      </c>
    </row>
    <row r="1081" spans="1:36" x14ac:dyDescent="0.25">
      <c r="A1081" t="s">
        <v>814</v>
      </c>
      <c r="B1081">
        <v>851831228</v>
      </c>
      <c r="C1081" t="s">
        <v>815</v>
      </c>
      <c r="D1081" t="s">
        <v>815</v>
      </c>
      <c r="E1081" t="s">
        <v>60</v>
      </c>
      <c r="F1081" t="s">
        <v>88</v>
      </c>
      <c r="I1081" t="s">
        <v>39</v>
      </c>
      <c r="J1081" t="s">
        <v>40</v>
      </c>
      <c r="K1081" t="s">
        <v>41</v>
      </c>
      <c r="L1081" t="s">
        <v>281</v>
      </c>
      <c r="M1081" t="s">
        <v>816</v>
      </c>
      <c r="N1081" t="s">
        <v>43</v>
      </c>
      <c r="O1081" t="s">
        <v>409</v>
      </c>
      <c r="P1081">
        <v>139</v>
      </c>
      <c r="Q1081">
        <v>139</v>
      </c>
      <c r="S1081" t="s">
        <v>39</v>
      </c>
      <c r="V1081" t="s">
        <v>39</v>
      </c>
      <c r="X1081">
        <v>22001</v>
      </c>
      <c r="Y1081" t="s">
        <v>47</v>
      </c>
      <c r="Z1081">
        <v>22</v>
      </c>
      <c r="AA1081">
        <v>670</v>
      </c>
      <c r="AB1081" t="s">
        <v>75</v>
      </c>
      <c r="AC1081">
        <v>0.66900000000000004</v>
      </c>
      <c r="AD1081">
        <v>738</v>
      </c>
      <c r="AE1081" t="s">
        <v>48</v>
      </c>
      <c r="AF1081">
        <v>0.73699999999999999</v>
      </c>
      <c r="AG1081">
        <v>825</v>
      </c>
      <c r="AH1081" t="s">
        <v>49</v>
      </c>
      <c r="AI1081">
        <v>0.82399999999999995</v>
      </c>
      <c r="AJ1081" t="s">
        <v>1156</v>
      </c>
    </row>
    <row r="1082" spans="1:36" x14ac:dyDescent="0.25">
      <c r="A1082" t="s">
        <v>812</v>
      </c>
      <c r="B1082">
        <v>855689220</v>
      </c>
      <c r="C1082" t="s">
        <v>813</v>
      </c>
      <c r="D1082" t="s">
        <v>813</v>
      </c>
      <c r="E1082" t="s">
        <v>37</v>
      </c>
      <c r="F1082" t="s">
        <v>291</v>
      </c>
      <c r="I1082" t="s">
        <v>39</v>
      </c>
      <c r="J1082" t="s">
        <v>40</v>
      </c>
      <c r="K1082" t="s">
        <v>41</v>
      </c>
      <c r="L1082" t="s">
        <v>53</v>
      </c>
      <c r="N1082" t="s">
        <v>43</v>
      </c>
      <c r="O1082" t="s">
        <v>378</v>
      </c>
      <c r="P1082">
        <v>139</v>
      </c>
      <c r="Q1082">
        <v>139</v>
      </c>
      <c r="R1082">
        <v>1</v>
      </c>
      <c r="S1082" t="s">
        <v>45</v>
      </c>
      <c r="T1082">
        <v>0</v>
      </c>
      <c r="U1082">
        <v>995</v>
      </c>
      <c r="V1082" t="s">
        <v>46</v>
      </c>
      <c r="W1082">
        <v>0.99399999999999999</v>
      </c>
      <c r="X1082">
        <v>22001</v>
      </c>
      <c r="Y1082" t="s">
        <v>47</v>
      </c>
      <c r="Z1082">
        <v>22</v>
      </c>
      <c r="AA1082">
        <v>747</v>
      </c>
      <c r="AB1082" t="s">
        <v>75</v>
      </c>
      <c r="AC1082">
        <v>0.746</v>
      </c>
      <c r="AD1082">
        <v>759</v>
      </c>
      <c r="AE1082" t="s">
        <v>48</v>
      </c>
      <c r="AF1082">
        <v>0.75800000000000001</v>
      </c>
      <c r="AG1082">
        <v>713</v>
      </c>
      <c r="AH1082" t="s">
        <v>49</v>
      </c>
      <c r="AI1082">
        <v>0.71199999999999997</v>
      </c>
      <c r="AJ1082" t="s">
        <v>50</v>
      </c>
    </row>
    <row r="1083" spans="1:36" x14ac:dyDescent="0.25">
      <c r="A1083" t="s">
        <v>812</v>
      </c>
      <c r="B1083">
        <v>855689220</v>
      </c>
      <c r="C1083" t="s">
        <v>813</v>
      </c>
      <c r="D1083" t="s">
        <v>813</v>
      </c>
      <c r="E1083" t="s">
        <v>65</v>
      </c>
      <c r="F1083" t="s">
        <v>291</v>
      </c>
      <c r="I1083" t="s">
        <v>39</v>
      </c>
      <c r="J1083" t="s">
        <v>40</v>
      </c>
      <c r="K1083" t="s">
        <v>41</v>
      </c>
      <c r="L1083" t="s">
        <v>53</v>
      </c>
      <c r="N1083" t="s">
        <v>43</v>
      </c>
      <c r="O1083" t="s">
        <v>71</v>
      </c>
      <c r="P1083">
        <v>139</v>
      </c>
      <c r="Q1083">
        <v>139</v>
      </c>
      <c r="R1083">
        <v>21</v>
      </c>
      <c r="S1083" t="s">
        <v>45</v>
      </c>
      <c r="T1083">
        <v>0.02</v>
      </c>
      <c r="U1083">
        <v>868</v>
      </c>
      <c r="V1083" t="s">
        <v>113</v>
      </c>
      <c r="W1083">
        <v>0.86699999999999999</v>
      </c>
      <c r="X1083">
        <v>22001</v>
      </c>
      <c r="Y1083" t="s">
        <v>47</v>
      </c>
      <c r="Z1083">
        <v>22</v>
      </c>
      <c r="AA1083">
        <v>625</v>
      </c>
      <c r="AB1083" t="s">
        <v>75</v>
      </c>
      <c r="AC1083">
        <v>0.624</v>
      </c>
      <c r="AD1083">
        <v>563</v>
      </c>
      <c r="AE1083" t="s">
        <v>48</v>
      </c>
      <c r="AF1083">
        <v>0.56200000000000006</v>
      </c>
      <c r="AG1083">
        <v>306</v>
      </c>
      <c r="AH1083" t="s">
        <v>57</v>
      </c>
      <c r="AI1083">
        <v>0.30499999999999999</v>
      </c>
      <c r="AJ1083" t="s">
        <v>50</v>
      </c>
    </row>
    <row r="1084" spans="1:36" x14ac:dyDescent="0.25">
      <c r="A1084" t="s">
        <v>812</v>
      </c>
      <c r="B1084">
        <v>855689220</v>
      </c>
      <c r="C1084" t="s">
        <v>813</v>
      </c>
      <c r="D1084" t="s">
        <v>813</v>
      </c>
      <c r="E1084" t="s">
        <v>60</v>
      </c>
      <c r="F1084" t="s">
        <v>291</v>
      </c>
      <c r="I1084" t="s">
        <v>39</v>
      </c>
      <c r="J1084" t="s">
        <v>40</v>
      </c>
      <c r="K1084" t="s">
        <v>41</v>
      </c>
      <c r="L1084" t="s">
        <v>53</v>
      </c>
      <c r="N1084" t="s">
        <v>43</v>
      </c>
      <c r="O1084" t="s">
        <v>547</v>
      </c>
      <c r="P1084">
        <v>139</v>
      </c>
      <c r="Q1084">
        <v>139</v>
      </c>
      <c r="R1084">
        <v>1</v>
      </c>
      <c r="S1084" t="s">
        <v>45</v>
      </c>
      <c r="T1084">
        <v>0</v>
      </c>
      <c r="U1084">
        <v>881</v>
      </c>
      <c r="V1084" t="s">
        <v>113</v>
      </c>
      <c r="W1084">
        <v>0.88</v>
      </c>
      <c r="X1084">
        <v>23001</v>
      </c>
      <c r="Y1084" t="s">
        <v>47</v>
      </c>
      <c r="Z1084">
        <v>23</v>
      </c>
      <c r="AA1084">
        <v>814</v>
      </c>
      <c r="AB1084" t="s">
        <v>75</v>
      </c>
      <c r="AC1084">
        <v>0.81299999999999994</v>
      </c>
      <c r="AD1084">
        <v>807</v>
      </c>
      <c r="AE1084" t="s">
        <v>48</v>
      </c>
      <c r="AF1084">
        <v>0.80600000000000005</v>
      </c>
      <c r="AG1084">
        <v>941</v>
      </c>
      <c r="AH1084" t="s">
        <v>80</v>
      </c>
      <c r="AI1084">
        <v>0.94</v>
      </c>
      <c r="AJ1084" t="s">
        <v>50</v>
      </c>
    </row>
    <row r="1085" spans="1:36" x14ac:dyDescent="0.25">
      <c r="A1085" t="s">
        <v>812</v>
      </c>
      <c r="B1085">
        <v>855689220</v>
      </c>
      <c r="C1085" t="s">
        <v>813</v>
      </c>
      <c r="D1085" t="s">
        <v>813</v>
      </c>
      <c r="E1085" t="s">
        <v>37</v>
      </c>
      <c r="F1085" t="s">
        <v>291</v>
      </c>
      <c r="I1085" t="s">
        <v>39</v>
      </c>
      <c r="J1085" t="s">
        <v>40</v>
      </c>
      <c r="K1085" t="s">
        <v>41</v>
      </c>
      <c r="L1085" t="s">
        <v>53</v>
      </c>
      <c r="N1085" t="s">
        <v>43</v>
      </c>
      <c r="O1085" t="s">
        <v>378</v>
      </c>
      <c r="P1085">
        <v>139</v>
      </c>
      <c r="Q1085">
        <v>139</v>
      </c>
      <c r="R1085">
        <v>1</v>
      </c>
      <c r="S1085" t="s">
        <v>45</v>
      </c>
      <c r="T1085">
        <v>0</v>
      </c>
      <c r="U1085">
        <v>696</v>
      </c>
      <c r="V1085" t="s">
        <v>113</v>
      </c>
      <c r="W1085">
        <v>0.69499999999999995</v>
      </c>
      <c r="X1085">
        <v>22001</v>
      </c>
      <c r="Y1085" t="s">
        <v>47</v>
      </c>
      <c r="Z1085">
        <v>22</v>
      </c>
      <c r="AA1085">
        <v>747</v>
      </c>
      <c r="AB1085" t="s">
        <v>75</v>
      </c>
      <c r="AC1085">
        <v>0.746</v>
      </c>
      <c r="AD1085">
        <v>759</v>
      </c>
      <c r="AE1085" t="s">
        <v>48</v>
      </c>
      <c r="AF1085">
        <v>0.75800000000000001</v>
      </c>
      <c r="AG1085">
        <v>713</v>
      </c>
      <c r="AH1085" t="s">
        <v>49</v>
      </c>
      <c r="AI1085">
        <v>0.71199999999999997</v>
      </c>
      <c r="AJ1085" t="s">
        <v>1141</v>
      </c>
    </row>
    <row r="1086" spans="1:36" x14ac:dyDescent="0.25">
      <c r="A1086" t="s">
        <v>812</v>
      </c>
      <c r="B1086">
        <v>855689220</v>
      </c>
      <c r="C1086" t="s">
        <v>813</v>
      </c>
      <c r="D1086" t="s">
        <v>813</v>
      </c>
      <c r="E1086" t="s">
        <v>65</v>
      </c>
      <c r="F1086" t="s">
        <v>291</v>
      </c>
      <c r="I1086" t="s">
        <v>39</v>
      </c>
      <c r="J1086" t="s">
        <v>40</v>
      </c>
      <c r="K1086" t="s">
        <v>41</v>
      </c>
      <c r="L1086" t="s">
        <v>53</v>
      </c>
      <c r="N1086" t="s">
        <v>43</v>
      </c>
      <c r="O1086" t="s">
        <v>71</v>
      </c>
      <c r="P1086">
        <v>139</v>
      </c>
      <c r="Q1086">
        <v>139</v>
      </c>
      <c r="R1086">
        <v>21</v>
      </c>
      <c r="S1086" t="s">
        <v>45</v>
      </c>
      <c r="T1086">
        <v>0.02</v>
      </c>
      <c r="U1086">
        <v>213</v>
      </c>
      <c r="V1086" t="s">
        <v>55</v>
      </c>
      <c r="W1086">
        <v>0.21199999999999999</v>
      </c>
      <c r="X1086">
        <v>22001</v>
      </c>
      <c r="Y1086" t="s">
        <v>47</v>
      </c>
      <c r="Z1086">
        <v>22</v>
      </c>
      <c r="AA1086">
        <v>625</v>
      </c>
      <c r="AB1086" t="s">
        <v>75</v>
      </c>
      <c r="AC1086">
        <v>0.624</v>
      </c>
      <c r="AD1086">
        <v>563</v>
      </c>
      <c r="AE1086" t="s">
        <v>48</v>
      </c>
      <c r="AF1086">
        <v>0.56200000000000006</v>
      </c>
      <c r="AG1086">
        <v>306</v>
      </c>
      <c r="AH1086" t="s">
        <v>57</v>
      </c>
      <c r="AI1086">
        <v>0.30499999999999999</v>
      </c>
      <c r="AJ1086" t="s">
        <v>1141</v>
      </c>
    </row>
    <row r="1087" spans="1:36" x14ac:dyDescent="0.25">
      <c r="A1087" t="s">
        <v>812</v>
      </c>
      <c r="B1087">
        <v>855689220</v>
      </c>
      <c r="C1087" t="s">
        <v>813</v>
      </c>
      <c r="D1087" t="s">
        <v>813</v>
      </c>
      <c r="E1087" t="s">
        <v>60</v>
      </c>
      <c r="F1087" t="s">
        <v>291</v>
      </c>
      <c r="I1087" t="s">
        <v>39</v>
      </c>
      <c r="J1087" t="s">
        <v>40</v>
      </c>
      <c r="K1087" t="s">
        <v>41</v>
      </c>
      <c r="L1087" t="s">
        <v>53</v>
      </c>
      <c r="N1087" t="s">
        <v>43</v>
      </c>
      <c r="O1087" t="s">
        <v>547</v>
      </c>
      <c r="P1087">
        <v>139</v>
      </c>
      <c r="Q1087">
        <v>139</v>
      </c>
      <c r="R1087">
        <v>31</v>
      </c>
      <c r="S1087" t="s">
        <v>45</v>
      </c>
      <c r="T1087">
        <v>0.03</v>
      </c>
      <c r="U1087">
        <v>529</v>
      </c>
      <c r="V1087" t="s">
        <v>113</v>
      </c>
      <c r="W1087">
        <v>0.52800000000000002</v>
      </c>
      <c r="X1087">
        <v>23001</v>
      </c>
      <c r="Y1087" t="s">
        <v>47</v>
      </c>
      <c r="Z1087">
        <v>23</v>
      </c>
      <c r="AA1087">
        <v>814</v>
      </c>
      <c r="AB1087" t="s">
        <v>75</v>
      </c>
      <c r="AC1087">
        <v>0.81299999999999994</v>
      </c>
      <c r="AD1087">
        <v>807</v>
      </c>
      <c r="AE1087" t="s">
        <v>48</v>
      </c>
      <c r="AF1087">
        <v>0.80600000000000005</v>
      </c>
      <c r="AG1087">
        <v>941</v>
      </c>
      <c r="AH1087" t="s">
        <v>80</v>
      </c>
      <c r="AI1087">
        <v>0.94</v>
      </c>
      <c r="AJ1087" t="s">
        <v>1141</v>
      </c>
    </row>
    <row r="1088" spans="1:36" x14ac:dyDescent="0.25">
      <c r="A1088" t="s">
        <v>812</v>
      </c>
      <c r="B1088">
        <v>855689220</v>
      </c>
      <c r="C1088" t="s">
        <v>813</v>
      </c>
      <c r="D1088" t="s">
        <v>813</v>
      </c>
      <c r="E1088" t="s">
        <v>37</v>
      </c>
      <c r="F1088" t="s">
        <v>291</v>
      </c>
      <c r="I1088" t="s">
        <v>39</v>
      </c>
      <c r="J1088" t="s">
        <v>40</v>
      </c>
      <c r="K1088" t="s">
        <v>41</v>
      </c>
      <c r="L1088" t="s">
        <v>53</v>
      </c>
      <c r="N1088" t="s">
        <v>43</v>
      </c>
      <c r="O1088" t="s">
        <v>378</v>
      </c>
      <c r="P1088">
        <v>139</v>
      </c>
      <c r="Q1088">
        <v>139</v>
      </c>
      <c r="R1088">
        <v>1</v>
      </c>
      <c r="S1088" t="s">
        <v>45</v>
      </c>
      <c r="T1088">
        <v>0</v>
      </c>
      <c r="U1088">
        <v>995</v>
      </c>
      <c r="V1088" t="s">
        <v>46</v>
      </c>
      <c r="W1088">
        <v>0.99399999999999999</v>
      </c>
      <c r="X1088">
        <v>22001</v>
      </c>
      <c r="Y1088" t="s">
        <v>47</v>
      </c>
      <c r="Z1088">
        <v>22</v>
      </c>
      <c r="AA1088">
        <v>747</v>
      </c>
      <c r="AB1088" t="s">
        <v>75</v>
      </c>
      <c r="AC1088">
        <v>0.746</v>
      </c>
      <c r="AD1088">
        <v>759</v>
      </c>
      <c r="AE1088" t="s">
        <v>48</v>
      </c>
      <c r="AF1088">
        <v>0.75800000000000001</v>
      </c>
      <c r="AG1088">
        <v>713</v>
      </c>
      <c r="AH1088" t="s">
        <v>49</v>
      </c>
      <c r="AI1088">
        <v>0.71199999999999997</v>
      </c>
      <c r="AJ1088" t="s">
        <v>1153</v>
      </c>
    </row>
    <row r="1089" spans="1:36" x14ac:dyDescent="0.25">
      <c r="A1089" t="s">
        <v>812</v>
      </c>
      <c r="B1089">
        <v>855689220</v>
      </c>
      <c r="C1089" t="s">
        <v>813</v>
      </c>
      <c r="D1089" t="s">
        <v>813</v>
      </c>
      <c r="E1089" t="s">
        <v>65</v>
      </c>
      <c r="F1089" t="s">
        <v>291</v>
      </c>
      <c r="I1089" t="s">
        <v>39</v>
      </c>
      <c r="J1089" t="s">
        <v>40</v>
      </c>
      <c r="K1089" t="s">
        <v>41</v>
      </c>
      <c r="L1089" t="s">
        <v>53</v>
      </c>
      <c r="N1089" t="s">
        <v>43</v>
      </c>
      <c r="O1089" t="s">
        <v>71</v>
      </c>
      <c r="P1089">
        <v>139</v>
      </c>
      <c r="Q1089">
        <v>139</v>
      </c>
      <c r="R1089">
        <v>21</v>
      </c>
      <c r="S1089" t="s">
        <v>45</v>
      </c>
      <c r="T1089">
        <v>0.02</v>
      </c>
      <c r="U1089">
        <v>868</v>
      </c>
      <c r="V1089" t="s">
        <v>113</v>
      </c>
      <c r="W1089">
        <v>0.86699999999999999</v>
      </c>
      <c r="X1089">
        <v>22001</v>
      </c>
      <c r="Y1089" t="s">
        <v>47</v>
      </c>
      <c r="Z1089">
        <v>22</v>
      </c>
      <c r="AA1089">
        <v>625</v>
      </c>
      <c r="AB1089" t="s">
        <v>75</v>
      </c>
      <c r="AC1089">
        <v>0.624</v>
      </c>
      <c r="AD1089">
        <v>563</v>
      </c>
      <c r="AE1089" t="s">
        <v>48</v>
      </c>
      <c r="AF1089">
        <v>0.56200000000000006</v>
      </c>
      <c r="AG1089">
        <v>306</v>
      </c>
      <c r="AH1089" t="s">
        <v>57</v>
      </c>
      <c r="AI1089">
        <v>0.30499999999999999</v>
      </c>
      <c r="AJ1089" t="s">
        <v>1153</v>
      </c>
    </row>
    <row r="1090" spans="1:36" x14ac:dyDescent="0.25">
      <c r="A1090" t="s">
        <v>812</v>
      </c>
      <c r="B1090">
        <v>855689220</v>
      </c>
      <c r="C1090" t="s">
        <v>813</v>
      </c>
      <c r="D1090" t="s">
        <v>813</v>
      </c>
      <c r="E1090" t="s">
        <v>60</v>
      </c>
      <c r="F1090" t="s">
        <v>291</v>
      </c>
      <c r="I1090" t="s">
        <v>39</v>
      </c>
      <c r="J1090" t="s">
        <v>40</v>
      </c>
      <c r="K1090" t="s">
        <v>41</v>
      </c>
      <c r="L1090" t="s">
        <v>53</v>
      </c>
      <c r="N1090" t="s">
        <v>43</v>
      </c>
      <c r="O1090" t="s">
        <v>547</v>
      </c>
      <c r="P1090">
        <v>139</v>
      </c>
      <c r="Q1090">
        <v>139</v>
      </c>
      <c r="R1090">
        <v>1</v>
      </c>
      <c r="S1090" t="s">
        <v>45</v>
      </c>
      <c r="T1090">
        <v>0</v>
      </c>
      <c r="U1090">
        <v>881</v>
      </c>
      <c r="V1090" t="s">
        <v>113</v>
      </c>
      <c r="W1090">
        <v>0.88</v>
      </c>
      <c r="X1090">
        <v>23001</v>
      </c>
      <c r="Y1090" t="s">
        <v>47</v>
      </c>
      <c r="Z1090">
        <v>23</v>
      </c>
      <c r="AA1090">
        <v>814</v>
      </c>
      <c r="AB1090" t="s">
        <v>75</v>
      </c>
      <c r="AC1090">
        <v>0.81299999999999994</v>
      </c>
      <c r="AD1090">
        <v>807</v>
      </c>
      <c r="AE1090" t="s">
        <v>48</v>
      </c>
      <c r="AF1090">
        <v>0.80600000000000005</v>
      </c>
      <c r="AG1090">
        <v>941</v>
      </c>
      <c r="AH1090" t="s">
        <v>80</v>
      </c>
      <c r="AI1090">
        <v>0.94</v>
      </c>
      <c r="AJ1090" t="s">
        <v>1153</v>
      </c>
    </row>
    <row r="1091" spans="1:36" x14ac:dyDescent="0.25">
      <c r="A1091" t="s">
        <v>812</v>
      </c>
      <c r="B1091">
        <v>855689220</v>
      </c>
      <c r="C1091" t="s">
        <v>813</v>
      </c>
      <c r="D1091" t="s">
        <v>813</v>
      </c>
      <c r="E1091" t="s">
        <v>37</v>
      </c>
      <c r="F1091" t="s">
        <v>291</v>
      </c>
      <c r="I1091" t="s">
        <v>39</v>
      </c>
      <c r="J1091" t="s">
        <v>40</v>
      </c>
      <c r="K1091" t="s">
        <v>41</v>
      </c>
      <c r="L1091" t="s">
        <v>53</v>
      </c>
      <c r="N1091" t="s">
        <v>43</v>
      </c>
      <c r="O1091" t="s">
        <v>378</v>
      </c>
      <c r="P1091">
        <v>139</v>
      </c>
      <c r="Q1091">
        <v>139</v>
      </c>
      <c r="R1091">
        <v>1</v>
      </c>
      <c r="S1091" t="s">
        <v>45</v>
      </c>
      <c r="T1091">
        <v>0</v>
      </c>
      <c r="U1091">
        <v>995</v>
      </c>
      <c r="V1091" t="s">
        <v>46</v>
      </c>
      <c r="W1091">
        <v>0.99399999999999999</v>
      </c>
      <c r="X1091">
        <v>22001</v>
      </c>
      <c r="Y1091" t="s">
        <v>47</v>
      </c>
      <c r="Z1091">
        <v>22</v>
      </c>
      <c r="AA1091">
        <v>747</v>
      </c>
      <c r="AB1091" t="s">
        <v>75</v>
      </c>
      <c r="AC1091">
        <v>0.746</v>
      </c>
      <c r="AD1091">
        <v>759</v>
      </c>
      <c r="AE1091" t="s">
        <v>48</v>
      </c>
      <c r="AF1091">
        <v>0.75800000000000001</v>
      </c>
      <c r="AG1091">
        <v>713</v>
      </c>
      <c r="AH1091" t="s">
        <v>49</v>
      </c>
      <c r="AI1091">
        <v>0.71199999999999997</v>
      </c>
      <c r="AJ1091" t="s">
        <v>1154</v>
      </c>
    </row>
    <row r="1092" spans="1:36" x14ac:dyDescent="0.25">
      <c r="A1092" t="s">
        <v>812</v>
      </c>
      <c r="B1092">
        <v>855689220</v>
      </c>
      <c r="C1092" t="s">
        <v>813</v>
      </c>
      <c r="D1092" t="s">
        <v>813</v>
      </c>
      <c r="E1092" t="s">
        <v>65</v>
      </c>
      <c r="F1092" t="s">
        <v>291</v>
      </c>
      <c r="I1092" t="s">
        <v>39</v>
      </c>
      <c r="J1092" t="s">
        <v>40</v>
      </c>
      <c r="K1092" t="s">
        <v>41</v>
      </c>
      <c r="L1092" t="s">
        <v>53</v>
      </c>
      <c r="N1092" t="s">
        <v>43</v>
      </c>
      <c r="O1092" t="s">
        <v>71</v>
      </c>
      <c r="P1092">
        <v>139</v>
      </c>
      <c r="Q1092">
        <v>139</v>
      </c>
      <c r="R1092">
        <v>21</v>
      </c>
      <c r="S1092" t="s">
        <v>45</v>
      </c>
      <c r="T1092">
        <v>0.02</v>
      </c>
      <c r="U1092">
        <v>868</v>
      </c>
      <c r="V1092" t="s">
        <v>113</v>
      </c>
      <c r="W1092">
        <v>0.86699999999999999</v>
      </c>
      <c r="X1092">
        <v>22001</v>
      </c>
      <c r="Y1092" t="s">
        <v>47</v>
      </c>
      <c r="Z1092">
        <v>22</v>
      </c>
      <c r="AA1092">
        <v>625</v>
      </c>
      <c r="AB1092" t="s">
        <v>75</v>
      </c>
      <c r="AC1092">
        <v>0.624</v>
      </c>
      <c r="AD1092">
        <v>563</v>
      </c>
      <c r="AE1092" t="s">
        <v>48</v>
      </c>
      <c r="AF1092">
        <v>0.56200000000000006</v>
      </c>
      <c r="AG1092">
        <v>306</v>
      </c>
      <c r="AH1092" t="s">
        <v>57</v>
      </c>
      <c r="AI1092">
        <v>0.30499999999999999</v>
      </c>
      <c r="AJ1092" t="s">
        <v>1154</v>
      </c>
    </row>
    <row r="1093" spans="1:36" x14ac:dyDescent="0.25">
      <c r="A1093" t="s">
        <v>812</v>
      </c>
      <c r="B1093">
        <v>855689220</v>
      </c>
      <c r="C1093" t="s">
        <v>813</v>
      </c>
      <c r="D1093" t="s">
        <v>813</v>
      </c>
      <c r="E1093" t="s">
        <v>60</v>
      </c>
      <c r="F1093" t="s">
        <v>291</v>
      </c>
      <c r="I1093" t="s">
        <v>39</v>
      </c>
      <c r="J1093" t="s">
        <v>40</v>
      </c>
      <c r="K1093" t="s">
        <v>41</v>
      </c>
      <c r="L1093" t="s">
        <v>53</v>
      </c>
      <c r="N1093" t="s">
        <v>43</v>
      </c>
      <c r="O1093" t="s">
        <v>547</v>
      </c>
      <c r="P1093">
        <v>139</v>
      </c>
      <c r="Q1093">
        <v>139</v>
      </c>
      <c r="R1093">
        <v>1</v>
      </c>
      <c r="S1093" t="s">
        <v>45</v>
      </c>
      <c r="T1093">
        <v>0</v>
      </c>
      <c r="U1093">
        <v>881</v>
      </c>
      <c r="V1093" t="s">
        <v>113</v>
      </c>
      <c r="W1093">
        <v>0.88</v>
      </c>
      <c r="X1093">
        <v>23001</v>
      </c>
      <c r="Y1093" t="s">
        <v>47</v>
      </c>
      <c r="Z1093">
        <v>23</v>
      </c>
      <c r="AA1093">
        <v>814</v>
      </c>
      <c r="AB1093" t="s">
        <v>75</v>
      </c>
      <c r="AC1093">
        <v>0.81299999999999994</v>
      </c>
      <c r="AD1093">
        <v>807</v>
      </c>
      <c r="AE1093" t="s">
        <v>48</v>
      </c>
      <c r="AF1093">
        <v>0.80600000000000005</v>
      </c>
      <c r="AG1093">
        <v>941</v>
      </c>
      <c r="AH1093" t="s">
        <v>80</v>
      </c>
      <c r="AI1093">
        <v>0.94</v>
      </c>
      <c r="AJ1093" t="s">
        <v>1154</v>
      </c>
    </row>
    <row r="1094" spans="1:36" x14ac:dyDescent="0.25">
      <c r="A1094" t="s">
        <v>812</v>
      </c>
      <c r="B1094">
        <v>855689220</v>
      </c>
      <c r="C1094" t="s">
        <v>813</v>
      </c>
      <c r="D1094" t="s">
        <v>813</v>
      </c>
      <c r="E1094" t="s">
        <v>37</v>
      </c>
      <c r="F1094" t="s">
        <v>291</v>
      </c>
      <c r="I1094" t="s">
        <v>39</v>
      </c>
      <c r="J1094" t="s">
        <v>40</v>
      </c>
      <c r="K1094" t="s">
        <v>41</v>
      </c>
      <c r="L1094" t="s">
        <v>53</v>
      </c>
      <c r="N1094" t="s">
        <v>43</v>
      </c>
      <c r="O1094" t="s">
        <v>378</v>
      </c>
      <c r="P1094">
        <v>139</v>
      </c>
      <c r="Q1094">
        <v>139</v>
      </c>
      <c r="S1094" t="s">
        <v>39</v>
      </c>
      <c r="V1094" t="s">
        <v>39</v>
      </c>
      <c r="X1094">
        <v>22001</v>
      </c>
      <c r="Y1094" t="s">
        <v>47</v>
      </c>
      <c r="Z1094">
        <v>22</v>
      </c>
      <c r="AA1094">
        <v>747</v>
      </c>
      <c r="AB1094" t="s">
        <v>75</v>
      </c>
      <c r="AC1094">
        <v>0.746</v>
      </c>
      <c r="AD1094">
        <v>759</v>
      </c>
      <c r="AE1094" t="s">
        <v>48</v>
      </c>
      <c r="AF1094">
        <v>0.75800000000000001</v>
      </c>
      <c r="AG1094">
        <v>713</v>
      </c>
      <c r="AH1094" t="s">
        <v>49</v>
      </c>
      <c r="AI1094">
        <v>0.71199999999999997</v>
      </c>
      <c r="AJ1094" t="s">
        <v>1155</v>
      </c>
    </row>
    <row r="1095" spans="1:36" x14ac:dyDescent="0.25">
      <c r="A1095" t="s">
        <v>812</v>
      </c>
      <c r="B1095">
        <v>855689220</v>
      </c>
      <c r="C1095" t="s">
        <v>813</v>
      </c>
      <c r="D1095" t="s">
        <v>813</v>
      </c>
      <c r="E1095" t="s">
        <v>65</v>
      </c>
      <c r="F1095" t="s">
        <v>291</v>
      </c>
      <c r="I1095" t="s">
        <v>39</v>
      </c>
      <c r="J1095" t="s">
        <v>40</v>
      </c>
      <c r="K1095" t="s">
        <v>41</v>
      </c>
      <c r="L1095" t="s">
        <v>53</v>
      </c>
      <c r="N1095" t="s">
        <v>43</v>
      </c>
      <c r="O1095" t="s">
        <v>71</v>
      </c>
      <c r="P1095">
        <v>139</v>
      </c>
      <c r="Q1095">
        <v>139</v>
      </c>
      <c r="S1095" t="s">
        <v>39</v>
      </c>
      <c r="V1095" t="s">
        <v>39</v>
      </c>
      <c r="X1095">
        <v>22001</v>
      </c>
      <c r="Y1095" t="s">
        <v>47</v>
      </c>
      <c r="Z1095">
        <v>22</v>
      </c>
      <c r="AA1095">
        <v>625</v>
      </c>
      <c r="AB1095" t="s">
        <v>75</v>
      </c>
      <c r="AC1095">
        <v>0.624</v>
      </c>
      <c r="AD1095">
        <v>563</v>
      </c>
      <c r="AE1095" t="s">
        <v>48</v>
      </c>
      <c r="AF1095">
        <v>0.56200000000000006</v>
      </c>
      <c r="AG1095">
        <v>306</v>
      </c>
      <c r="AH1095" t="s">
        <v>57</v>
      </c>
      <c r="AI1095">
        <v>0.30499999999999999</v>
      </c>
      <c r="AJ1095" t="s">
        <v>1155</v>
      </c>
    </row>
    <row r="1096" spans="1:36" x14ac:dyDescent="0.25">
      <c r="A1096" t="s">
        <v>812</v>
      </c>
      <c r="B1096">
        <v>855689220</v>
      </c>
      <c r="C1096" t="s">
        <v>813</v>
      </c>
      <c r="D1096" t="s">
        <v>813</v>
      </c>
      <c r="E1096" t="s">
        <v>60</v>
      </c>
      <c r="F1096" t="s">
        <v>291</v>
      </c>
      <c r="I1096" t="s">
        <v>39</v>
      </c>
      <c r="J1096" t="s">
        <v>40</v>
      </c>
      <c r="K1096" t="s">
        <v>41</v>
      </c>
      <c r="L1096" t="s">
        <v>53</v>
      </c>
      <c r="N1096" t="s">
        <v>43</v>
      </c>
      <c r="O1096" t="s">
        <v>547</v>
      </c>
      <c r="P1096">
        <v>139</v>
      </c>
      <c r="Q1096">
        <v>139</v>
      </c>
      <c r="S1096" t="s">
        <v>39</v>
      </c>
      <c r="V1096" t="s">
        <v>39</v>
      </c>
      <c r="X1096">
        <v>23001</v>
      </c>
      <c r="Y1096" t="s">
        <v>47</v>
      </c>
      <c r="Z1096">
        <v>23</v>
      </c>
      <c r="AA1096">
        <v>814</v>
      </c>
      <c r="AB1096" t="s">
        <v>75</v>
      </c>
      <c r="AC1096">
        <v>0.81299999999999994</v>
      </c>
      <c r="AD1096">
        <v>807</v>
      </c>
      <c r="AE1096" t="s">
        <v>48</v>
      </c>
      <c r="AF1096">
        <v>0.80600000000000005</v>
      </c>
      <c r="AG1096">
        <v>941</v>
      </c>
      <c r="AH1096" t="s">
        <v>80</v>
      </c>
      <c r="AI1096">
        <v>0.94</v>
      </c>
      <c r="AJ1096" t="s">
        <v>1155</v>
      </c>
    </row>
    <row r="1097" spans="1:36" x14ac:dyDescent="0.25">
      <c r="A1097" t="s">
        <v>812</v>
      </c>
      <c r="B1097">
        <v>855689220</v>
      </c>
      <c r="C1097" t="s">
        <v>813</v>
      </c>
      <c r="D1097" t="s">
        <v>813</v>
      </c>
      <c r="E1097" t="s">
        <v>37</v>
      </c>
      <c r="F1097" t="s">
        <v>291</v>
      </c>
      <c r="I1097" t="s">
        <v>39</v>
      </c>
      <c r="J1097" t="s">
        <v>40</v>
      </c>
      <c r="K1097" t="s">
        <v>41</v>
      </c>
      <c r="L1097" t="s">
        <v>53</v>
      </c>
      <c r="N1097" t="s">
        <v>43</v>
      </c>
      <c r="O1097" t="s">
        <v>378</v>
      </c>
      <c r="P1097">
        <v>139</v>
      </c>
      <c r="Q1097">
        <v>139</v>
      </c>
      <c r="S1097" t="s">
        <v>39</v>
      </c>
      <c r="V1097" t="s">
        <v>39</v>
      </c>
      <c r="X1097">
        <v>22001</v>
      </c>
      <c r="Y1097" t="s">
        <v>47</v>
      </c>
      <c r="Z1097">
        <v>22</v>
      </c>
      <c r="AA1097">
        <v>747</v>
      </c>
      <c r="AB1097" t="s">
        <v>75</v>
      </c>
      <c r="AC1097">
        <v>0.746</v>
      </c>
      <c r="AD1097">
        <v>759</v>
      </c>
      <c r="AE1097" t="s">
        <v>48</v>
      </c>
      <c r="AF1097">
        <v>0.75800000000000001</v>
      </c>
      <c r="AG1097">
        <v>713</v>
      </c>
      <c r="AH1097" t="s">
        <v>49</v>
      </c>
      <c r="AI1097">
        <v>0.71199999999999997</v>
      </c>
      <c r="AJ1097" t="s">
        <v>1156</v>
      </c>
    </row>
    <row r="1098" spans="1:36" x14ac:dyDescent="0.25">
      <c r="A1098" t="s">
        <v>812</v>
      </c>
      <c r="B1098">
        <v>855689220</v>
      </c>
      <c r="C1098" t="s">
        <v>813</v>
      </c>
      <c r="D1098" t="s">
        <v>813</v>
      </c>
      <c r="E1098" t="s">
        <v>65</v>
      </c>
      <c r="F1098" t="s">
        <v>291</v>
      </c>
      <c r="I1098" t="s">
        <v>39</v>
      </c>
      <c r="J1098" t="s">
        <v>40</v>
      </c>
      <c r="K1098" t="s">
        <v>41</v>
      </c>
      <c r="L1098" t="s">
        <v>53</v>
      </c>
      <c r="N1098" t="s">
        <v>43</v>
      </c>
      <c r="O1098" t="s">
        <v>71</v>
      </c>
      <c r="P1098">
        <v>139</v>
      </c>
      <c r="Q1098">
        <v>139</v>
      </c>
      <c r="S1098" t="s">
        <v>39</v>
      </c>
      <c r="V1098" t="s">
        <v>39</v>
      </c>
      <c r="X1098">
        <v>22001</v>
      </c>
      <c r="Y1098" t="s">
        <v>47</v>
      </c>
      <c r="Z1098">
        <v>22</v>
      </c>
      <c r="AA1098">
        <v>625</v>
      </c>
      <c r="AB1098" t="s">
        <v>75</v>
      </c>
      <c r="AC1098">
        <v>0.624</v>
      </c>
      <c r="AD1098">
        <v>563</v>
      </c>
      <c r="AE1098" t="s">
        <v>48</v>
      </c>
      <c r="AF1098">
        <v>0.56200000000000006</v>
      </c>
      <c r="AG1098">
        <v>306</v>
      </c>
      <c r="AH1098" t="s">
        <v>57</v>
      </c>
      <c r="AI1098">
        <v>0.30499999999999999</v>
      </c>
      <c r="AJ1098" t="s">
        <v>1156</v>
      </c>
    </row>
    <row r="1099" spans="1:36" x14ac:dyDescent="0.25">
      <c r="A1099" t="s">
        <v>812</v>
      </c>
      <c r="B1099">
        <v>855689220</v>
      </c>
      <c r="C1099" t="s">
        <v>813</v>
      </c>
      <c r="D1099" t="s">
        <v>813</v>
      </c>
      <c r="E1099" t="s">
        <v>60</v>
      </c>
      <c r="F1099" t="s">
        <v>291</v>
      </c>
      <c r="I1099" t="s">
        <v>39</v>
      </c>
      <c r="J1099" t="s">
        <v>40</v>
      </c>
      <c r="K1099" t="s">
        <v>41</v>
      </c>
      <c r="L1099" t="s">
        <v>53</v>
      </c>
      <c r="N1099" t="s">
        <v>43</v>
      </c>
      <c r="O1099" t="s">
        <v>547</v>
      </c>
      <c r="P1099">
        <v>139</v>
      </c>
      <c r="Q1099">
        <v>139</v>
      </c>
      <c r="S1099" t="s">
        <v>39</v>
      </c>
      <c r="V1099" t="s">
        <v>39</v>
      </c>
      <c r="X1099">
        <v>23001</v>
      </c>
      <c r="Y1099" t="s">
        <v>47</v>
      </c>
      <c r="Z1099">
        <v>23</v>
      </c>
      <c r="AA1099">
        <v>814</v>
      </c>
      <c r="AB1099" t="s">
        <v>75</v>
      </c>
      <c r="AC1099">
        <v>0.81299999999999994</v>
      </c>
      <c r="AD1099">
        <v>807</v>
      </c>
      <c r="AE1099" t="s">
        <v>48</v>
      </c>
      <c r="AF1099">
        <v>0.80600000000000005</v>
      </c>
      <c r="AG1099">
        <v>941</v>
      </c>
      <c r="AH1099" t="s">
        <v>80</v>
      </c>
      <c r="AI1099">
        <v>0.94</v>
      </c>
      <c r="AJ1099" t="s">
        <v>1156</v>
      </c>
    </row>
    <row r="1100" spans="1:36" x14ac:dyDescent="0.25">
      <c r="A1100" t="s">
        <v>810</v>
      </c>
      <c r="B1100">
        <v>864355294</v>
      </c>
      <c r="C1100" t="s">
        <v>811</v>
      </c>
      <c r="D1100" t="s">
        <v>811</v>
      </c>
      <c r="E1100" t="s">
        <v>60</v>
      </c>
      <c r="F1100" t="s">
        <v>229</v>
      </c>
      <c r="I1100" t="s">
        <v>39</v>
      </c>
      <c r="J1100" t="s">
        <v>40</v>
      </c>
      <c r="K1100" t="s">
        <v>41</v>
      </c>
      <c r="L1100" t="s">
        <v>78</v>
      </c>
      <c r="N1100" t="s">
        <v>43</v>
      </c>
      <c r="O1100" t="s">
        <v>697</v>
      </c>
      <c r="P1100">
        <v>143</v>
      </c>
      <c r="Q1100">
        <v>143</v>
      </c>
      <c r="R1100">
        <v>1</v>
      </c>
      <c r="S1100" t="s">
        <v>45</v>
      </c>
      <c r="T1100">
        <v>0</v>
      </c>
      <c r="U1100">
        <v>999</v>
      </c>
      <c r="V1100" t="s">
        <v>46</v>
      </c>
      <c r="W1100">
        <v>0.998</v>
      </c>
      <c r="X1100">
        <v>22001</v>
      </c>
      <c r="Y1100" t="s">
        <v>47</v>
      </c>
      <c r="Z1100">
        <v>22</v>
      </c>
      <c r="AA1100">
        <v>515</v>
      </c>
      <c r="AB1100" t="s">
        <v>75</v>
      </c>
      <c r="AC1100">
        <v>0.51400000000000001</v>
      </c>
      <c r="AD1100">
        <v>716</v>
      </c>
      <c r="AE1100" t="s">
        <v>48</v>
      </c>
      <c r="AF1100">
        <v>0.71499999999999997</v>
      </c>
      <c r="AG1100">
        <v>502</v>
      </c>
      <c r="AH1100" t="s">
        <v>57</v>
      </c>
      <c r="AI1100">
        <v>0.501</v>
      </c>
      <c r="AJ1100" t="s">
        <v>50</v>
      </c>
    </row>
    <row r="1101" spans="1:36" x14ac:dyDescent="0.25">
      <c r="A1101" t="s">
        <v>810</v>
      </c>
      <c r="B1101">
        <v>864355294</v>
      </c>
      <c r="C1101" t="s">
        <v>811</v>
      </c>
      <c r="D1101" t="s">
        <v>811</v>
      </c>
      <c r="E1101" t="s">
        <v>60</v>
      </c>
      <c r="F1101" t="s">
        <v>229</v>
      </c>
      <c r="I1101" t="s">
        <v>39</v>
      </c>
      <c r="J1101" t="s">
        <v>40</v>
      </c>
      <c r="K1101" t="s">
        <v>41</v>
      </c>
      <c r="L1101" t="s">
        <v>78</v>
      </c>
      <c r="N1101" t="s">
        <v>43</v>
      </c>
      <c r="O1101" t="s">
        <v>697</v>
      </c>
      <c r="P1101">
        <v>143</v>
      </c>
      <c r="Q1101">
        <v>143</v>
      </c>
      <c r="R1101">
        <v>1</v>
      </c>
      <c r="S1101" t="s">
        <v>45</v>
      </c>
      <c r="T1101">
        <v>0</v>
      </c>
      <c r="U1101">
        <v>627</v>
      </c>
      <c r="V1101" t="s">
        <v>113</v>
      </c>
      <c r="W1101">
        <v>0.626</v>
      </c>
      <c r="X1101">
        <v>22001</v>
      </c>
      <c r="Y1101" t="s">
        <v>47</v>
      </c>
      <c r="Z1101">
        <v>22</v>
      </c>
      <c r="AA1101">
        <v>515</v>
      </c>
      <c r="AB1101" t="s">
        <v>75</v>
      </c>
      <c r="AC1101">
        <v>0.51400000000000001</v>
      </c>
      <c r="AD1101">
        <v>716</v>
      </c>
      <c r="AE1101" t="s">
        <v>48</v>
      </c>
      <c r="AF1101">
        <v>0.71499999999999997</v>
      </c>
      <c r="AG1101">
        <v>502</v>
      </c>
      <c r="AH1101" t="s">
        <v>57</v>
      </c>
      <c r="AI1101">
        <v>0.501</v>
      </c>
      <c r="AJ1101" t="s">
        <v>1141</v>
      </c>
    </row>
    <row r="1102" spans="1:36" x14ac:dyDescent="0.25">
      <c r="A1102" t="s">
        <v>810</v>
      </c>
      <c r="B1102">
        <v>864355294</v>
      </c>
      <c r="C1102" t="s">
        <v>811</v>
      </c>
      <c r="D1102" t="s">
        <v>811</v>
      </c>
      <c r="E1102" t="s">
        <v>60</v>
      </c>
      <c r="F1102" t="s">
        <v>229</v>
      </c>
      <c r="I1102" t="s">
        <v>39</v>
      </c>
      <c r="J1102" t="s">
        <v>40</v>
      </c>
      <c r="K1102" t="s">
        <v>41</v>
      </c>
      <c r="L1102" t="s">
        <v>78</v>
      </c>
      <c r="N1102" t="s">
        <v>43</v>
      </c>
      <c r="O1102" t="s">
        <v>697</v>
      </c>
      <c r="P1102">
        <v>143</v>
      </c>
      <c r="Q1102">
        <v>143</v>
      </c>
      <c r="R1102">
        <v>1</v>
      </c>
      <c r="S1102" t="s">
        <v>45</v>
      </c>
      <c r="T1102">
        <v>0</v>
      </c>
      <c r="U1102">
        <v>999</v>
      </c>
      <c r="V1102" t="s">
        <v>46</v>
      </c>
      <c r="W1102">
        <v>0.998</v>
      </c>
      <c r="X1102">
        <v>22001</v>
      </c>
      <c r="Y1102" t="s">
        <v>47</v>
      </c>
      <c r="Z1102">
        <v>22</v>
      </c>
      <c r="AA1102">
        <v>515</v>
      </c>
      <c r="AB1102" t="s">
        <v>75</v>
      </c>
      <c r="AC1102">
        <v>0.51400000000000001</v>
      </c>
      <c r="AD1102">
        <v>716</v>
      </c>
      <c r="AE1102" t="s">
        <v>48</v>
      </c>
      <c r="AF1102">
        <v>0.71499999999999997</v>
      </c>
      <c r="AG1102">
        <v>502</v>
      </c>
      <c r="AH1102" t="s">
        <v>57</v>
      </c>
      <c r="AI1102">
        <v>0.501</v>
      </c>
      <c r="AJ1102" t="s">
        <v>1153</v>
      </c>
    </row>
    <row r="1103" spans="1:36" x14ac:dyDescent="0.25">
      <c r="A1103" t="s">
        <v>810</v>
      </c>
      <c r="B1103">
        <v>864355294</v>
      </c>
      <c r="C1103" t="s">
        <v>811</v>
      </c>
      <c r="D1103" t="s">
        <v>811</v>
      </c>
      <c r="E1103" t="s">
        <v>60</v>
      </c>
      <c r="F1103" t="s">
        <v>229</v>
      </c>
      <c r="I1103" t="s">
        <v>39</v>
      </c>
      <c r="J1103" t="s">
        <v>40</v>
      </c>
      <c r="K1103" t="s">
        <v>41</v>
      </c>
      <c r="L1103" t="s">
        <v>78</v>
      </c>
      <c r="N1103" t="s">
        <v>43</v>
      </c>
      <c r="O1103" t="s">
        <v>697</v>
      </c>
      <c r="P1103">
        <v>143</v>
      </c>
      <c r="Q1103">
        <v>143</v>
      </c>
      <c r="R1103">
        <v>1</v>
      </c>
      <c r="S1103" t="s">
        <v>45</v>
      </c>
      <c r="T1103">
        <v>0</v>
      </c>
      <c r="U1103">
        <v>999</v>
      </c>
      <c r="V1103" t="s">
        <v>46</v>
      </c>
      <c r="W1103">
        <v>0.998</v>
      </c>
      <c r="X1103">
        <v>22001</v>
      </c>
      <c r="Y1103" t="s">
        <v>47</v>
      </c>
      <c r="Z1103">
        <v>22</v>
      </c>
      <c r="AA1103">
        <v>515</v>
      </c>
      <c r="AB1103" t="s">
        <v>75</v>
      </c>
      <c r="AC1103">
        <v>0.51400000000000001</v>
      </c>
      <c r="AD1103">
        <v>716</v>
      </c>
      <c r="AE1103" t="s">
        <v>48</v>
      </c>
      <c r="AF1103">
        <v>0.71499999999999997</v>
      </c>
      <c r="AG1103">
        <v>502</v>
      </c>
      <c r="AH1103" t="s">
        <v>57</v>
      </c>
      <c r="AI1103">
        <v>0.501</v>
      </c>
      <c r="AJ1103" t="s">
        <v>1154</v>
      </c>
    </row>
    <row r="1104" spans="1:36" x14ac:dyDescent="0.25">
      <c r="A1104" t="s">
        <v>810</v>
      </c>
      <c r="B1104">
        <v>864355294</v>
      </c>
      <c r="C1104" t="s">
        <v>811</v>
      </c>
      <c r="D1104" t="s">
        <v>811</v>
      </c>
      <c r="E1104" t="s">
        <v>60</v>
      </c>
      <c r="F1104" t="s">
        <v>229</v>
      </c>
      <c r="I1104" t="s">
        <v>39</v>
      </c>
      <c r="J1104" t="s">
        <v>40</v>
      </c>
      <c r="K1104" t="s">
        <v>41</v>
      </c>
      <c r="L1104" t="s">
        <v>78</v>
      </c>
      <c r="N1104" t="s">
        <v>43</v>
      </c>
      <c r="O1104" t="s">
        <v>697</v>
      </c>
      <c r="P1104">
        <v>143</v>
      </c>
      <c r="Q1104">
        <v>143</v>
      </c>
      <c r="S1104" t="s">
        <v>39</v>
      </c>
      <c r="V1104" t="s">
        <v>39</v>
      </c>
      <c r="X1104">
        <v>22001</v>
      </c>
      <c r="Y1104" t="s">
        <v>47</v>
      </c>
      <c r="Z1104">
        <v>22</v>
      </c>
      <c r="AA1104">
        <v>515</v>
      </c>
      <c r="AB1104" t="s">
        <v>75</v>
      </c>
      <c r="AC1104">
        <v>0.51400000000000001</v>
      </c>
      <c r="AD1104">
        <v>716</v>
      </c>
      <c r="AE1104" t="s">
        <v>48</v>
      </c>
      <c r="AF1104">
        <v>0.71499999999999997</v>
      </c>
      <c r="AG1104">
        <v>502</v>
      </c>
      <c r="AH1104" t="s">
        <v>57</v>
      </c>
      <c r="AI1104">
        <v>0.501</v>
      </c>
      <c r="AJ1104" t="s">
        <v>1155</v>
      </c>
    </row>
    <row r="1105" spans="1:36" x14ac:dyDescent="0.25">
      <c r="A1105" t="s">
        <v>810</v>
      </c>
      <c r="B1105">
        <v>864355294</v>
      </c>
      <c r="C1105" t="s">
        <v>811</v>
      </c>
      <c r="D1105" t="s">
        <v>811</v>
      </c>
      <c r="E1105" t="s">
        <v>60</v>
      </c>
      <c r="F1105" t="s">
        <v>229</v>
      </c>
      <c r="I1105" t="s">
        <v>39</v>
      </c>
      <c r="J1105" t="s">
        <v>40</v>
      </c>
      <c r="K1105" t="s">
        <v>41</v>
      </c>
      <c r="L1105" t="s">
        <v>78</v>
      </c>
      <c r="N1105" t="s">
        <v>43</v>
      </c>
      <c r="O1105" t="s">
        <v>697</v>
      </c>
      <c r="P1105">
        <v>143</v>
      </c>
      <c r="Q1105">
        <v>143</v>
      </c>
      <c r="S1105" t="s">
        <v>39</v>
      </c>
      <c r="V1105" t="s">
        <v>39</v>
      </c>
      <c r="X1105">
        <v>22001</v>
      </c>
      <c r="Y1105" t="s">
        <v>47</v>
      </c>
      <c r="Z1105">
        <v>22</v>
      </c>
      <c r="AA1105">
        <v>515</v>
      </c>
      <c r="AB1105" t="s">
        <v>75</v>
      </c>
      <c r="AC1105">
        <v>0.51400000000000001</v>
      </c>
      <c r="AD1105">
        <v>716</v>
      </c>
      <c r="AE1105" t="s">
        <v>48</v>
      </c>
      <c r="AF1105">
        <v>0.71499999999999997</v>
      </c>
      <c r="AG1105">
        <v>502</v>
      </c>
      <c r="AH1105" t="s">
        <v>57</v>
      </c>
      <c r="AI1105">
        <v>0.501</v>
      </c>
      <c r="AJ1105" t="s">
        <v>1156</v>
      </c>
    </row>
    <row r="1106" spans="1:36" x14ac:dyDescent="0.25">
      <c r="A1106" t="s">
        <v>808</v>
      </c>
      <c r="B1106">
        <v>855544342</v>
      </c>
      <c r="C1106" t="s">
        <v>809</v>
      </c>
      <c r="D1106" t="s">
        <v>809</v>
      </c>
      <c r="E1106" t="s">
        <v>99</v>
      </c>
      <c r="F1106" t="s">
        <v>280</v>
      </c>
      <c r="I1106" t="s">
        <v>39</v>
      </c>
      <c r="J1106" t="s">
        <v>40</v>
      </c>
      <c r="K1106" t="s">
        <v>41</v>
      </c>
      <c r="L1106" t="s">
        <v>53</v>
      </c>
      <c r="N1106" t="s">
        <v>43</v>
      </c>
      <c r="O1106" t="s">
        <v>483</v>
      </c>
      <c r="P1106">
        <v>143</v>
      </c>
      <c r="Q1106">
        <v>143</v>
      </c>
      <c r="R1106">
        <v>21</v>
      </c>
      <c r="S1106" t="s">
        <v>45</v>
      </c>
      <c r="T1106">
        <v>0.02</v>
      </c>
      <c r="U1106">
        <v>945</v>
      </c>
      <c r="V1106" t="s">
        <v>46</v>
      </c>
      <c r="W1106">
        <v>0.94399999999999995</v>
      </c>
      <c r="X1106">
        <v>22001</v>
      </c>
      <c r="Y1106" t="s">
        <v>47</v>
      </c>
      <c r="Z1106">
        <v>22</v>
      </c>
      <c r="AA1106">
        <v>649</v>
      </c>
      <c r="AB1106" t="s">
        <v>75</v>
      </c>
      <c r="AC1106">
        <v>0.64800000000000002</v>
      </c>
      <c r="AD1106">
        <v>808</v>
      </c>
      <c r="AE1106" t="s">
        <v>48</v>
      </c>
      <c r="AF1106">
        <v>0.80700000000000005</v>
      </c>
      <c r="AG1106">
        <v>966</v>
      </c>
      <c r="AH1106" t="s">
        <v>80</v>
      </c>
      <c r="AI1106">
        <v>0.96499999999999997</v>
      </c>
      <c r="AJ1106" t="s">
        <v>50</v>
      </c>
    </row>
    <row r="1107" spans="1:36" x14ac:dyDescent="0.25">
      <c r="A1107" t="s">
        <v>808</v>
      </c>
      <c r="B1107">
        <v>855544342</v>
      </c>
      <c r="C1107" t="s">
        <v>809</v>
      </c>
      <c r="D1107" t="s">
        <v>809</v>
      </c>
      <c r="E1107" t="s">
        <v>99</v>
      </c>
      <c r="F1107" t="s">
        <v>280</v>
      </c>
      <c r="I1107" t="s">
        <v>39</v>
      </c>
      <c r="J1107" t="s">
        <v>40</v>
      </c>
      <c r="K1107" t="s">
        <v>41</v>
      </c>
      <c r="L1107" t="s">
        <v>53</v>
      </c>
      <c r="N1107" t="s">
        <v>43</v>
      </c>
      <c r="O1107" t="s">
        <v>483</v>
      </c>
      <c r="P1107">
        <v>143</v>
      </c>
      <c r="Q1107">
        <v>143</v>
      </c>
      <c r="R1107">
        <v>31</v>
      </c>
      <c r="S1107" t="s">
        <v>45</v>
      </c>
      <c r="T1107">
        <v>0.03</v>
      </c>
      <c r="U1107">
        <v>663</v>
      </c>
      <c r="V1107" t="s">
        <v>113</v>
      </c>
      <c r="W1107">
        <v>0.66200000000000003</v>
      </c>
      <c r="X1107">
        <v>22001</v>
      </c>
      <c r="Y1107" t="s">
        <v>47</v>
      </c>
      <c r="Z1107">
        <v>22</v>
      </c>
      <c r="AA1107">
        <v>649</v>
      </c>
      <c r="AB1107" t="s">
        <v>75</v>
      </c>
      <c r="AC1107">
        <v>0.64800000000000002</v>
      </c>
      <c r="AD1107">
        <v>808</v>
      </c>
      <c r="AE1107" t="s">
        <v>48</v>
      </c>
      <c r="AF1107">
        <v>0.80700000000000005</v>
      </c>
      <c r="AG1107">
        <v>966</v>
      </c>
      <c r="AH1107" t="s">
        <v>80</v>
      </c>
      <c r="AI1107">
        <v>0.96499999999999997</v>
      </c>
      <c r="AJ1107" t="s">
        <v>1141</v>
      </c>
    </row>
    <row r="1108" spans="1:36" x14ac:dyDescent="0.25">
      <c r="A1108" t="s">
        <v>808</v>
      </c>
      <c r="B1108">
        <v>855544342</v>
      </c>
      <c r="C1108" t="s">
        <v>809</v>
      </c>
      <c r="D1108" t="s">
        <v>809</v>
      </c>
      <c r="E1108" t="s">
        <v>99</v>
      </c>
      <c r="F1108" t="s">
        <v>280</v>
      </c>
      <c r="I1108" t="s">
        <v>39</v>
      </c>
      <c r="J1108" t="s">
        <v>40</v>
      </c>
      <c r="K1108" t="s">
        <v>41</v>
      </c>
      <c r="L1108" t="s">
        <v>53</v>
      </c>
      <c r="N1108" t="s">
        <v>43</v>
      </c>
      <c r="O1108" t="s">
        <v>483</v>
      </c>
      <c r="P1108">
        <v>143</v>
      </c>
      <c r="Q1108">
        <v>143</v>
      </c>
      <c r="R1108">
        <v>21</v>
      </c>
      <c r="S1108" t="s">
        <v>45</v>
      </c>
      <c r="T1108">
        <v>0.02</v>
      </c>
      <c r="U1108">
        <v>945</v>
      </c>
      <c r="V1108" t="s">
        <v>46</v>
      </c>
      <c r="W1108">
        <v>0.94399999999999995</v>
      </c>
      <c r="X1108">
        <v>22001</v>
      </c>
      <c r="Y1108" t="s">
        <v>47</v>
      </c>
      <c r="Z1108">
        <v>22</v>
      </c>
      <c r="AA1108">
        <v>649</v>
      </c>
      <c r="AB1108" t="s">
        <v>75</v>
      </c>
      <c r="AC1108">
        <v>0.64800000000000002</v>
      </c>
      <c r="AD1108">
        <v>808</v>
      </c>
      <c r="AE1108" t="s">
        <v>48</v>
      </c>
      <c r="AF1108">
        <v>0.80700000000000005</v>
      </c>
      <c r="AG1108">
        <v>966</v>
      </c>
      <c r="AH1108" t="s">
        <v>80</v>
      </c>
      <c r="AI1108">
        <v>0.96499999999999997</v>
      </c>
      <c r="AJ1108" t="s">
        <v>1153</v>
      </c>
    </row>
    <row r="1109" spans="1:36" x14ac:dyDescent="0.25">
      <c r="A1109" t="s">
        <v>808</v>
      </c>
      <c r="B1109">
        <v>855544342</v>
      </c>
      <c r="C1109" t="s">
        <v>809</v>
      </c>
      <c r="D1109" t="s">
        <v>809</v>
      </c>
      <c r="E1109" t="s">
        <v>99</v>
      </c>
      <c r="F1109" t="s">
        <v>280</v>
      </c>
      <c r="I1109" t="s">
        <v>39</v>
      </c>
      <c r="J1109" t="s">
        <v>40</v>
      </c>
      <c r="K1109" t="s">
        <v>41</v>
      </c>
      <c r="L1109" t="s">
        <v>53</v>
      </c>
      <c r="N1109" t="s">
        <v>43</v>
      </c>
      <c r="O1109" t="s">
        <v>483</v>
      </c>
      <c r="P1109">
        <v>143</v>
      </c>
      <c r="Q1109">
        <v>143</v>
      </c>
      <c r="R1109">
        <v>21</v>
      </c>
      <c r="S1109" t="s">
        <v>45</v>
      </c>
      <c r="T1109">
        <v>0.02</v>
      </c>
      <c r="U1109">
        <v>945</v>
      </c>
      <c r="V1109" t="s">
        <v>46</v>
      </c>
      <c r="W1109">
        <v>0.94399999999999995</v>
      </c>
      <c r="X1109">
        <v>22001</v>
      </c>
      <c r="Y1109" t="s">
        <v>47</v>
      </c>
      <c r="Z1109">
        <v>22</v>
      </c>
      <c r="AA1109">
        <v>649</v>
      </c>
      <c r="AB1109" t="s">
        <v>75</v>
      </c>
      <c r="AC1109">
        <v>0.64800000000000002</v>
      </c>
      <c r="AD1109">
        <v>808</v>
      </c>
      <c r="AE1109" t="s">
        <v>48</v>
      </c>
      <c r="AF1109">
        <v>0.80700000000000005</v>
      </c>
      <c r="AG1109">
        <v>966</v>
      </c>
      <c r="AH1109" t="s">
        <v>80</v>
      </c>
      <c r="AI1109">
        <v>0.96499999999999997</v>
      </c>
      <c r="AJ1109" t="s">
        <v>1154</v>
      </c>
    </row>
    <row r="1110" spans="1:36" x14ac:dyDescent="0.25">
      <c r="A1110" t="s">
        <v>808</v>
      </c>
      <c r="B1110">
        <v>855544342</v>
      </c>
      <c r="C1110" t="s">
        <v>809</v>
      </c>
      <c r="D1110" t="s">
        <v>809</v>
      </c>
      <c r="E1110" t="s">
        <v>99</v>
      </c>
      <c r="F1110" t="s">
        <v>280</v>
      </c>
      <c r="I1110" t="s">
        <v>39</v>
      </c>
      <c r="J1110" t="s">
        <v>40</v>
      </c>
      <c r="K1110" t="s">
        <v>41</v>
      </c>
      <c r="L1110" t="s">
        <v>53</v>
      </c>
      <c r="N1110" t="s">
        <v>43</v>
      </c>
      <c r="O1110" t="s">
        <v>483</v>
      </c>
      <c r="P1110">
        <v>143</v>
      </c>
      <c r="Q1110">
        <v>143</v>
      </c>
      <c r="S1110" t="s">
        <v>39</v>
      </c>
      <c r="V1110" t="s">
        <v>39</v>
      </c>
      <c r="X1110">
        <v>22001</v>
      </c>
      <c r="Y1110" t="s">
        <v>47</v>
      </c>
      <c r="Z1110">
        <v>22</v>
      </c>
      <c r="AA1110">
        <v>649</v>
      </c>
      <c r="AB1110" t="s">
        <v>75</v>
      </c>
      <c r="AC1110">
        <v>0.64800000000000002</v>
      </c>
      <c r="AD1110">
        <v>808</v>
      </c>
      <c r="AE1110" t="s">
        <v>48</v>
      </c>
      <c r="AF1110">
        <v>0.80700000000000005</v>
      </c>
      <c r="AG1110">
        <v>966</v>
      </c>
      <c r="AH1110" t="s">
        <v>80</v>
      </c>
      <c r="AI1110">
        <v>0.96499999999999997</v>
      </c>
      <c r="AJ1110" t="s">
        <v>1155</v>
      </c>
    </row>
    <row r="1111" spans="1:36" x14ac:dyDescent="0.25">
      <c r="A1111" t="s">
        <v>808</v>
      </c>
      <c r="B1111">
        <v>855544342</v>
      </c>
      <c r="C1111" t="s">
        <v>809</v>
      </c>
      <c r="D1111" t="s">
        <v>809</v>
      </c>
      <c r="E1111" t="s">
        <v>99</v>
      </c>
      <c r="F1111" t="s">
        <v>280</v>
      </c>
      <c r="I1111" t="s">
        <v>39</v>
      </c>
      <c r="J1111" t="s">
        <v>40</v>
      </c>
      <c r="K1111" t="s">
        <v>41</v>
      </c>
      <c r="L1111" t="s">
        <v>53</v>
      </c>
      <c r="N1111" t="s">
        <v>43</v>
      </c>
      <c r="O1111" t="s">
        <v>483</v>
      </c>
      <c r="P1111">
        <v>143</v>
      </c>
      <c r="Q1111">
        <v>143</v>
      </c>
      <c r="S1111" t="s">
        <v>39</v>
      </c>
      <c r="V1111" t="s">
        <v>39</v>
      </c>
      <c r="X1111">
        <v>22001</v>
      </c>
      <c r="Y1111" t="s">
        <v>47</v>
      </c>
      <c r="Z1111">
        <v>22</v>
      </c>
      <c r="AA1111">
        <v>649</v>
      </c>
      <c r="AB1111" t="s">
        <v>75</v>
      </c>
      <c r="AC1111">
        <v>0.64800000000000002</v>
      </c>
      <c r="AD1111">
        <v>808</v>
      </c>
      <c r="AE1111" t="s">
        <v>48</v>
      </c>
      <c r="AF1111">
        <v>0.80700000000000005</v>
      </c>
      <c r="AG1111">
        <v>966</v>
      </c>
      <c r="AH1111" t="s">
        <v>80</v>
      </c>
      <c r="AI1111">
        <v>0.96499999999999997</v>
      </c>
      <c r="AJ1111" t="s">
        <v>1156</v>
      </c>
    </row>
    <row r="1112" spans="1:36" x14ac:dyDescent="0.25">
      <c r="A1112" t="s">
        <v>806</v>
      </c>
      <c r="B1112">
        <v>853462869</v>
      </c>
      <c r="C1112" t="s">
        <v>807</v>
      </c>
      <c r="D1112" t="s">
        <v>807</v>
      </c>
      <c r="E1112" t="s">
        <v>37</v>
      </c>
      <c r="F1112" t="s">
        <v>71</v>
      </c>
      <c r="I1112" t="s">
        <v>39</v>
      </c>
      <c r="J1112" t="s">
        <v>40</v>
      </c>
      <c r="K1112" t="s">
        <v>41</v>
      </c>
      <c r="L1112" t="s">
        <v>211</v>
      </c>
      <c r="N1112" t="s">
        <v>43</v>
      </c>
      <c r="O1112" t="s">
        <v>236</v>
      </c>
      <c r="P1112">
        <v>144</v>
      </c>
      <c r="Q1112">
        <v>144</v>
      </c>
      <c r="R1112">
        <v>11</v>
      </c>
      <c r="S1112" t="s">
        <v>45</v>
      </c>
      <c r="T1112">
        <v>0.01</v>
      </c>
      <c r="U1112">
        <v>550</v>
      </c>
      <c r="V1112" t="s">
        <v>113</v>
      </c>
      <c r="W1112">
        <v>0.54900000000000004</v>
      </c>
      <c r="X1112">
        <v>11001</v>
      </c>
      <c r="Y1112" t="s">
        <v>47</v>
      </c>
      <c r="Z1112">
        <v>11</v>
      </c>
      <c r="AA1112">
        <v>406</v>
      </c>
      <c r="AB1112" t="s">
        <v>47</v>
      </c>
      <c r="AC1112">
        <v>0.40500000000000003</v>
      </c>
      <c r="AD1112">
        <v>479</v>
      </c>
      <c r="AE1112" t="s">
        <v>56</v>
      </c>
      <c r="AF1112">
        <v>0.47799999999999998</v>
      </c>
      <c r="AG1112">
        <v>500</v>
      </c>
      <c r="AH1112" t="s">
        <v>57</v>
      </c>
      <c r="AI1112">
        <v>0.499</v>
      </c>
      <c r="AJ1112" t="s">
        <v>50</v>
      </c>
    </row>
    <row r="1113" spans="1:36" x14ac:dyDescent="0.25">
      <c r="A1113" t="s">
        <v>806</v>
      </c>
      <c r="B1113">
        <v>853462869</v>
      </c>
      <c r="C1113" t="s">
        <v>807</v>
      </c>
      <c r="D1113" t="s">
        <v>807</v>
      </c>
      <c r="E1113" t="s">
        <v>37</v>
      </c>
      <c r="F1113" t="s">
        <v>71</v>
      </c>
      <c r="I1113" t="s">
        <v>39</v>
      </c>
      <c r="J1113" t="s">
        <v>40</v>
      </c>
      <c r="K1113" t="s">
        <v>41</v>
      </c>
      <c r="L1113" t="s">
        <v>211</v>
      </c>
      <c r="N1113" t="s">
        <v>43</v>
      </c>
      <c r="O1113" t="s">
        <v>236</v>
      </c>
      <c r="P1113">
        <v>144</v>
      </c>
      <c r="Q1113">
        <v>144</v>
      </c>
      <c r="R1113">
        <v>11</v>
      </c>
      <c r="S1113" t="s">
        <v>45</v>
      </c>
      <c r="T1113">
        <v>0.01</v>
      </c>
      <c r="U1113">
        <v>210</v>
      </c>
      <c r="V1113" t="s">
        <v>55</v>
      </c>
      <c r="W1113">
        <v>0.20899999999999999</v>
      </c>
      <c r="X1113">
        <v>11001</v>
      </c>
      <c r="Y1113" t="s">
        <v>47</v>
      </c>
      <c r="Z1113">
        <v>11</v>
      </c>
      <c r="AA1113">
        <v>406</v>
      </c>
      <c r="AB1113" t="s">
        <v>47</v>
      </c>
      <c r="AC1113">
        <v>0.40500000000000003</v>
      </c>
      <c r="AD1113">
        <v>479</v>
      </c>
      <c r="AE1113" t="s">
        <v>56</v>
      </c>
      <c r="AF1113">
        <v>0.47799999999999998</v>
      </c>
      <c r="AG1113">
        <v>500</v>
      </c>
      <c r="AH1113" t="s">
        <v>57</v>
      </c>
      <c r="AI1113">
        <v>0.499</v>
      </c>
      <c r="AJ1113" t="s">
        <v>1141</v>
      </c>
    </row>
    <row r="1114" spans="1:36" x14ac:dyDescent="0.25">
      <c r="A1114" t="s">
        <v>806</v>
      </c>
      <c r="B1114">
        <v>853462869</v>
      </c>
      <c r="C1114" t="s">
        <v>807</v>
      </c>
      <c r="D1114" t="s">
        <v>807</v>
      </c>
      <c r="E1114" t="s">
        <v>37</v>
      </c>
      <c r="F1114" t="s">
        <v>71</v>
      </c>
      <c r="I1114" t="s">
        <v>39</v>
      </c>
      <c r="J1114" t="s">
        <v>40</v>
      </c>
      <c r="K1114" t="s">
        <v>41</v>
      </c>
      <c r="L1114" t="s">
        <v>211</v>
      </c>
      <c r="N1114" t="s">
        <v>43</v>
      </c>
      <c r="O1114" t="s">
        <v>236</v>
      </c>
      <c r="P1114">
        <v>144</v>
      </c>
      <c r="Q1114">
        <v>144</v>
      </c>
      <c r="R1114">
        <v>11</v>
      </c>
      <c r="S1114" t="s">
        <v>45</v>
      </c>
      <c r="T1114">
        <v>0.01</v>
      </c>
      <c r="U1114">
        <v>550</v>
      </c>
      <c r="V1114" t="s">
        <v>113</v>
      </c>
      <c r="W1114">
        <v>0.54900000000000004</v>
      </c>
      <c r="X1114">
        <v>11001</v>
      </c>
      <c r="Y1114" t="s">
        <v>47</v>
      </c>
      <c r="Z1114">
        <v>11</v>
      </c>
      <c r="AA1114">
        <v>406</v>
      </c>
      <c r="AB1114" t="s">
        <v>47</v>
      </c>
      <c r="AC1114">
        <v>0.40500000000000003</v>
      </c>
      <c r="AD1114">
        <v>479</v>
      </c>
      <c r="AE1114" t="s">
        <v>56</v>
      </c>
      <c r="AF1114">
        <v>0.47799999999999998</v>
      </c>
      <c r="AG1114">
        <v>500</v>
      </c>
      <c r="AH1114" t="s">
        <v>57</v>
      </c>
      <c r="AI1114">
        <v>0.499</v>
      </c>
      <c r="AJ1114" t="s">
        <v>1153</v>
      </c>
    </row>
    <row r="1115" spans="1:36" x14ac:dyDescent="0.25">
      <c r="A1115" t="s">
        <v>806</v>
      </c>
      <c r="B1115">
        <v>853462869</v>
      </c>
      <c r="C1115" t="s">
        <v>807</v>
      </c>
      <c r="D1115" t="s">
        <v>807</v>
      </c>
      <c r="E1115" t="s">
        <v>37</v>
      </c>
      <c r="F1115" t="s">
        <v>71</v>
      </c>
      <c r="I1115" t="s">
        <v>39</v>
      </c>
      <c r="J1115" t="s">
        <v>40</v>
      </c>
      <c r="K1115" t="s">
        <v>41</v>
      </c>
      <c r="L1115" t="s">
        <v>211</v>
      </c>
      <c r="N1115" t="s">
        <v>43</v>
      </c>
      <c r="O1115" t="s">
        <v>236</v>
      </c>
      <c r="P1115">
        <v>144</v>
      </c>
      <c r="Q1115">
        <v>144</v>
      </c>
      <c r="R1115">
        <v>11</v>
      </c>
      <c r="S1115" t="s">
        <v>45</v>
      </c>
      <c r="T1115">
        <v>0.01</v>
      </c>
      <c r="U1115">
        <v>550</v>
      </c>
      <c r="V1115" t="s">
        <v>113</v>
      </c>
      <c r="W1115">
        <v>0.54900000000000004</v>
      </c>
      <c r="X1115">
        <v>11001</v>
      </c>
      <c r="Y1115" t="s">
        <v>47</v>
      </c>
      <c r="Z1115">
        <v>11</v>
      </c>
      <c r="AA1115">
        <v>406</v>
      </c>
      <c r="AB1115" t="s">
        <v>47</v>
      </c>
      <c r="AC1115">
        <v>0.40500000000000003</v>
      </c>
      <c r="AD1115">
        <v>479</v>
      </c>
      <c r="AE1115" t="s">
        <v>56</v>
      </c>
      <c r="AF1115">
        <v>0.47799999999999998</v>
      </c>
      <c r="AG1115">
        <v>500</v>
      </c>
      <c r="AH1115" t="s">
        <v>57</v>
      </c>
      <c r="AI1115">
        <v>0.499</v>
      </c>
      <c r="AJ1115" t="s">
        <v>1154</v>
      </c>
    </row>
    <row r="1116" spans="1:36" x14ac:dyDescent="0.25">
      <c r="A1116" t="s">
        <v>806</v>
      </c>
      <c r="B1116">
        <v>853462869</v>
      </c>
      <c r="C1116" t="s">
        <v>807</v>
      </c>
      <c r="D1116" t="s">
        <v>807</v>
      </c>
      <c r="E1116" t="s">
        <v>37</v>
      </c>
      <c r="F1116" t="s">
        <v>71</v>
      </c>
      <c r="I1116" t="s">
        <v>39</v>
      </c>
      <c r="J1116" t="s">
        <v>40</v>
      </c>
      <c r="K1116" t="s">
        <v>41</v>
      </c>
      <c r="L1116" t="s">
        <v>211</v>
      </c>
      <c r="N1116" t="s">
        <v>43</v>
      </c>
      <c r="O1116" t="s">
        <v>236</v>
      </c>
      <c r="P1116">
        <v>144</v>
      </c>
      <c r="Q1116">
        <v>144</v>
      </c>
      <c r="S1116" t="s">
        <v>39</v>
      </c>
      <c r="V1116" t="s">
        <v>39</v>
      </c>
      <c r="X1116">
        <v>11001</v>
      </c>
      <c r="Y1116" t="s">
        <v>47</v>
      </c>
      <c r="Z1116">
        <v>11</v>
      </c>
      <c r="AA1116">
        <v>406</v>
      </c>
      <c r="AB1116" t="s">
        <v>47</v>
      </c>
      <c r="AC1116">
        <v>0.40500000000000003</v>
      </c>
      <c r="AD1116">
        <v>479</v>
      </c>
      <c r="AE1116" t="s">
        <v>56</v>
      </c>
      <c r="AF1116">
        <v>0.47799999999999998</v>
      </c>
      <c r="AG1116">
        <v>500</v>
      </c>
      <c r="AH1116" t="s">
        <v>57</v>
      </c>
      <c r="AI1116">
        <v>0.499</v>
      </c>
      <c r="AJ1116" t="s">
        <v>1155</v>
      </c>
    </row>
    <row r="1117" spans="1:36" x14ac:dyDescent="0.25">
      <c r="A1117" t="s">
        <v>806</v>
      </c>
      <c r="B1117">
        <v>853462869</v>
      </c>
      <c r="C1117" t="s">
        <v>807</v>
      </c>
      <c r="D1117" t="s">
        <v>807</v>
      </c>
      <c r="E1117" t="s">
        <v>37</v>
      </c>
      <c r="F1117" t="s">
        <v>71</v>
      </c>
      <c r="I1117" t="s">
        <v>39</v>
      </c>
      <c r="J1117" t="s">
        <v>40</v>
      </c>
      <c r="K1117" t="s">
        <v>41</v>
      </c>
      <c r="L1117" t="s">
        <v>211</v>
      </c>
      <c r="N1117" t="s">
        <v>43</v>
      </c>
      <c r="O1117" t="s">
        <v>236</v>
      </c>
      <c r="P1117">
        <v>144</v>
      </c>
      <c r="Q1117">
        <v>144</v>
      </c>
      <c r="S1117" t="s">
        <v>39</v>
      </c>
      <c r="V1117" t="s">
        <v>39</v>
      </c>
      <c r="X1117">
        <v>11001</v>
      </c>
      <c r="Y1117" t="s">
        <v>47</v>
      </c>
      <c r="Z1117">
        <v>11</v>
      </c>
      <c r="AA1117">
        <v>406</v>
      </c>
      <c r="AB1117" t="s">
        <v>47</v>
      </c>
      <c r="AC1117">
        <v>0.40500000000000003</v>
      </c>
      <c r="AD1117">
        <v>479</v>
      </c>
      <c r="AE1117" t="s">
        <v>56</v>
      </c>
      <c r="AF1117">
        <v>0.47799999999999998</v>
      </c>
      <c r="AG1117">
        <v>500</v>
      </c>
      <c r="AH1117" t="s">
        <v>57</v>
      </c>
      <c r="AI1117">
        <v>0.499</v>
      </c>
      <c r="AJ1117" t="s">
        <v>1156</v>
      </c>
    </row>
    <row r="1118" spans="1:36" x14ac:dyDescent="0.25">
      <c r="A1118" t="s">
        <v>802</v>
      </c>
      <c r="B1118">
        <v>851831232</v>
      </c>
      <c r="C1118" t="s">
        <v>803</v>
      </c>
      <c r="D1118" t="s">
        <v>803</v>
      </c>
      <c r="E1118" t="s">
        <v>60</v>
      </c>
      <c r="F1118" t="s">
        <v>122</v>
      </c>
      <c r="I1118" t="s">
        <v>39</v>
      </c>
      <c r="J1118" t="s">
        <v>40</v>
      </c>
      <c r="K1118" t="s">
        <v>41</v>
      </c>
      <c r="L1118" t="s">
        <v>197</v>
      </c>
      <c r="M1118" t="s">
        <v>47</v>
      </c>
      <c r="N1118" t="s">
        <v>43</v>
      </c>
      <c r="O1118" t="s">
        <v>420</v>
      </c>
      <c r="P1118">
        <v>145</v>
      </c>
      <c r="Q1118">
        <v>145</v>
      </c>
      <c r="R1118">
        <v>41</v>
      </c>
      <c r="S1118" t="s">
        <v>45</v>
      </c>
      <c r="T1118">
        <v>0.04</v>
      </c>
      <c r="U1118">
        <v>8</v>
      </c>
      <c r="V1118" t="s">
        <v>55</v>
      </c>
      <c r="W1118">
        <v>7.0000000000000001E-3</v>
      </c>
      <c r="X1118">
        <v>1</v>
      </c>
      <c r="Y1118" t="s">
        <v>47</v>
      </c>
      <c r="Z1118">
        <v>0</v>
      </c>
      <c r="AA1118">
        <v>354</v>
      </c>
      <c r="AB1118" t="s">
        <v>47</v>
      </c>
      <c r="AC1118">
        <v>0.35299999999999998</v>
      </c>
      <c r="AD1118">
        <v>372</v>
      </c>
      <c r="AE1118" t="s">
        <v>56</v>
      </c>
      <c r="AF1118">
        <v>0.371</v>
      </c>
      <c r="AG1118">
        <v>195</v>
      </c>
      <c r="AH1118" t="s">
        <v>103</v>
      </c>
      <c r="AI1118">
        <v>0.19400000000000001</v>
      </c>
      <c r="AJ1118" t="s">
        <v>50</v>
      </c>
    </row>
    <row r="1119" spans="1:36" x14ac:dyDescent="0.25">
      <c r="A1119" t="s">
        <v>802</v>
      </c>
      <c r="B1119">
        <v>851831232</v>
      </c>
      <c r="C1119" t="s">
        <v>803</v>
      </c>
      <c r="D1119" t="s">
        <v>803</v>
      </c>
      <c r="E1119" t="s">
        <v>60</v>
      </c>
      <c r="F1119" t="s">
        <v>122</v>
      </c>
      <c r="I1119" t="s">
        <v>39</v>
      </c>
      <c r="J1119" t="s">
        <v>40</v>
      </c>
      <c r="K1119" t="s">
        <v>41</v>
      </c>
      <c r="L1119" t="s">
        <v>197</v>
      </c>
      <c r="M1119" t="s">
        <v>47</v>
      </c>
      <c r="N1119" t="s">
        <v>43</v>
      </c>
      <c r="O1119" t="s">
        <v>420</v>
      </c>
      <c r="P1119">
        <v>145</v>
      </c>
      <c r="Q1119">
        <v>145</v>
      </c>
      <c r="R1119">
        <v>51</v>
      </c>
      <c r="S1119" t="s">
        <v>56</v>
      </c>
      <c r="T1119">
        <v>0.05</v>
      </c>
      <c r="U1119">
        <v>84</v>
      </c>
      <c r="V1119" t="s">
        <v>55</v>
      </c>
      <c r="W1119">
        <v>8.3000000000000004E-2</v>
      </c>
      <c r="X1119">
        <v>1</v>
      </c>
      <c r="Y1119" t="s">
        <v>47</v>
      </c>
      <c r="Z1119">
        <v>0</v>
      </c>
      <c r="AA1119">
        <v>354</v>
      </c>
      <c r="AB1119" t="s">
        <v>47</v>
      </c>
      <c r="AC1119">
        <v>0.35299999999999998</v>
      </c>
      <c r="AD1119">
        <v>372</v>
      </c>
      <c r="AE1119" t="s">
        <v>56</v>
      </c>
      <c r="AF1119">
        <v>0.371</v>
      </c>
      <c r="AG1119">
        <v>195</v>
      </c>
      <c r="AH1119" t="s">
        <v>103</v>
      </c>
      <c r="AI1119">
        <v>0.19400000000000001</v>
      </c>
      <c r="AJ1119" t="s">
        <v>1141</v>
      </c>
    </row>
    <row r="1120" spans="1:36" x14ac:dyDescent="0.25">
      <c r="A1120" t="s">
        <v>802</v>
      </c>
      <c r="B1120">
        <v>851831232</v>
      </c>
      <c r="C1120" t="s">
        <v>803</v>
      </c>
      <c r="D1120" t="s">
        <v>803</v>
      </c>
      <c r="E1120" t="s">
        <v>60</v>
      </c>
      <c r="F1120" t="s">
        <v>122</v>
      </c>
      <c r="I1120" t="s">
        <v>39</v>
      </c>
      <c r="J1120" t="s">
        <v>40</v>
      </c>
      <c r="K1120" t="s">
        <v>41</v>
      </c>
      <c r="L1120" t="s">
        <v>197</v>
      </c>
      <c r="M1120" t="s">
        <v>47</v>
      </c>
      <c r="N1120" t="s">
        <v>43</v>
      </c>
      <c r="O1120" t="s">
        <v>420</v>
      </c>
      <c r="P1120">
        <v>145</v>
      </c>
      <c r="Q1120">
        <v>145</v>
      </c>
      <c r="R1120">
        <v>41</v>
      </c>
      <c r="S1120" t="s">
        <v>45</v>
      </c>
      <c r="T1120">
        <v>0.04</v>
      </c>
      <c r="U1120">
        <v>8</v>
      </c>
      <c r="V1120" t="s">
        <v>55</v>
      </c>
      <c r="W1120">
        <v>7.0000000000000001E-3</v>
      </c>
      <c r="X1120">
        <v>1</v>
      </c>
      <c r="Y1120" t="s">
        <v>47</v>
      </c>
      <c r="Z1120">
        <v>0</v>
      </c>
      <c r="AA1120">
        <v>354</v>
      </c>
      <c r="AB1120" t="s">
        <v>47</v>
      </c>
      <c r="AC1120">
        <v>0.35299999999999998</v>
      </c>
      <c r="AD1120">
        <v>372</v>
      </c>
      <c r="AE1120" t="s">
        <v>56</v>
      </c>
      <c r="AF1120">
        <v>0.371</v>
      </c>
      <c r="AG1120">
        <v>195</v>
      </c>
      <c r="AH1120" t="s">
        <v>103</v>
      </c>
      <c r="AI1120">
        <v>0.19400000000000001</v>
      </c>
      <c r="AJ1120" t="s">
        <v>1153</v>
      </c>
    </row>
    <row r="1121" spans="1:36" x14ac:dyDescent="0.25">
      <c r="A1121" t="s">
        <v>802</v>
      </c>
      <c r="B1121">
        <v>851831232</v>
      </c>
      <c r="C1121" t="s">
        <v>803</v>
      </c>
      <c r="D1121" t="s">
        <v>803</v>
      </c>
      <c r="E1121" t="s">
        <v>60</v>
      </c>
      <c r="F1121" t="s">
        <v>122</v>
      </c>
      <c r="I1121" t="s">
        <v>39</v>
      </c>
      <c r="J1121" t="s">
        <v>40</v>
      </c>
      <c r="K1121" t="s">
        <v>41</v>
      </c>
      <c r="L1121" t="s">
        <v>197</v>
      </c>
      <c r="M1121" t="s">
        <v>47</v>
      </c>
      <c r="N1121" t="s">
        <v>43</v>
      </c>
      <c r="O1121" t="s">
        <v>420</v>
      </c>
      <c r="P1121">
        <v>145</v>
      </c>
      <c r="Q1121">
        <v>145</v>
      </c>
      <c r="R1121">
        <v>41</v>
      </c>
      <c r="S1121" t="s">
        <v>45</v>
      </c>
      <c r="T1121">
        <v>0.04</v>
      </c>
      <c r="U1121">
        <v>8</v>
      </c>
      <c r="V1121" t="s">
        <v>55</v>
      </c>
      <c r="W1121">
        <v>7.0000000000000001E-3</v>
      </c>
      <c r="X1121">
        <v>1</v>
      </c>
      <c r="Y1121" t="s">
        <v>47</v>
      </c>
      <c r="Z1121">
        <v>0</v>
      </c>
      <c r="AA1121">
        <v>354</v>
      </c>
      <c r="AB1121" t="s">
        <v>47</v>
      </c>
      <c r="AC1121">
        <v>0.35299999999999998</v>
      </c>
      <c r="AD1121">
        <v>372</v>
      </c>
      <c r="AE1121" t="s">
        <v>56</v>
      </c>
      <c r="AF1121">
        <v>0.371</v>
      </c>
      <c r="AG1121">
        <v>195</v>
      </c>
      <c r="AH1121" t="s">
        <v>103</v>
      </c>
      <c r="AI1121">
        <v>0.19400000000000001</v>
      </c>
      <c r="AJ1121" t="s">
        <v>1154</v>
      </c>
    </row>
    <row r="1122" spans="1:36" x14ac:dyDescent="0.25">
      <c r="A1122" t="s">
        <v>802</v>
      </c>
      <c r="B1122">
        <v>851831232</v>
      </c>
      <c r="C1122" t="s">
        <v>803</v>
      </c>
      <c r="D1122" t="s">
        <v>803</v>
      </c>
      <c r="E1122" t="s">
        <v>60</v>
      </c>
      <c r="F1122" t="s">
        <v>122</v>
      </c>
      <c r="I1122" t="s">
        <v>39</v>
      </c>
      <c r="J1122" t="s">
        <v>40</v>
      </c>
      <c r="K1122" t="s">
        <v>41</v>
      </c>
      <c r="L1122" t="s">
        <v>197</v>
      </c>
      <c r="M1122" t="s">
        <v>47</v>
      </c>
      <c r="N1122" t="s">
        <v>43</v>
      </c>
      <c r="O1122" t="s">
        <v>420</v>
      </c>
      <c r="P1122">
        <v>145</v>
      </c>
      <c r="Q1122">
        <v>145</v>
      </c>
      <c r="S1122" t="s">
        <v>39</v>
      </c>
      <c r="V1122" t="s">
        <v>39</v>
      </c>
      <c r="X1122">
        <v>1</v>
      </c>
      <c r="Y1122" t="s">
        <v>47</v>
      </c>
      <c r="Z1122">
        <v>0</v>
      </c>
      <c r="AA1122">
        <v>354</v>
      </c>
      <c r="AB1122" t="s">
        <v>47</v>
      </c>
      <c r="AC1122">
        <v>0.35299999999999998</v>
      </c>
      <c r="AD1122">
        <v>372</v>
      </c>
      <c r="AE1122" t="s">
        <v>56</v>
      </c>
      <c r="AF1122">
        <v>0.371</v>
      </c>
      <c r="AG1122">
        <v>195</v>
      </c>
      <c r="AH1122" t="s">
        <v>103</v>
      </c>
      <c r="AI1122">
        <v>0.19400000000000001</v>
      </c>
      <c r="AJ1122" t="s">
        <v>1155</v>
      </c>
    </row>
    <row r="1123" spans="1:36" x14ac:dyDescent="0.25">
      <c r="A1123" t="s">
        <v>802</v>
      </c>
      <c r="B1123">
        <v>851831232</v>
      </c>
      <c r="C1123" t="s">
        <v>803</v>
      </c>
      <c r="D1123" t="s">
        <v>803</v>
      </c>
      <c r="E1123" t="s">
        <v>60</v>
      </c>
      <c r="F1123" t="s">
        <v>122</v>
      </c>
      <c r="I1123" t="s">
        <v>39</v>
      </c>
      <c r="J1123" t="s">
        <v>40</v>
      </c>
      <c r="K1123" t="s">
        <v>41</v>
      </c>
      <c r="L1123" t="s">
        <v>197</v>
      </c>
      <c r="M1123" t="s">
        <v>47</v>
      </c>
      <c r="N1123" t="s">
        <v>43</v>
      </c>
      <c r="O1123" t="s">
        <v>420</v>
      </c>
      <c r="P1123">
        <v>145</v>
      </c>
      <c r="Q1123">
        <v>145</v>
      </c>
      <c r="S1123" t="s">
        <v>39</v>
      </c>
      <c r="V1123" t="s">
        <v>39</v>
      </c>
      <c r="X1123">
        <v>1</v>
      </c>
      <c r="Y1123" t="s">
        <v>47</v>
      </c>
      <c r="Z1123">
        <v>0</v>
      </c>
      <c r="AA1123">
        <v>354</v>
      </c>
      <c r="AB1123" t="s">
        <v>47</v>
      </c>
      <c r="AC1123">
        <v>0.35299999999999998</v>
      </c>
      <c r="AD1123">
        <v>372</v>
      </c>
      <c r="AE1123" t="s">
        <v>56</v>
      </c>
      <c r="AF1123">
        <v>0.371</v>
      </c>
      <c r="AG1123">
        <v>195</v>
      </c>
      <c r="AH1123" t="s">
        <v>103</v>
      </c>
      <c r="AI1123">
        <v>0.19400000000000001</v>
      </c>
      <c r="AJ1123" t="s">
        <v>1156</v>
      </c>
    </row>
    <row r="1124" spans="1:36" x14ac:dyDescent="0.25">
      <c r="A1124" t="s">
        <v>804</v>
      </c>
      <c r="B1124">
        <v>881527270</v>
      </c>
      <c r="C1124" t="s">
        <v>805</v>
      </c>
      <c r="D1124" t="s">
        <v>805</v>
      </c>
      <c r="E1124" t="s">
        <v>60</v>
      </c>
      <c r="F1124" t="s">
        <v>88</v>
      </c>
      <c r="I1124" t="s">
        <v>39</v>
      </c>
      <c r="J1124" t="s">
        <v>40</v>
      </c>
      <c r="K1124" t="s">
        <v>41</v>
      </c>
      <c r="L1124" t="s">
        <v>42</v>
      </c>
      <c r="N1124" t="s">
        <v>43</v>
      </c>
      <c r="O1124" t="s">
        <v>462</v>
      </c>
      <c r="P1124">
        <v>145</v>
      </c>
      <c r="Q1124">
        <v>145</v>
      </c>
      <c r="R1124">
        <v>411</v>
      </c>
      <c r="S1124" t="s">
        <v>56</v>
      </c>
      <c r="T1124">
        <v>0.41</v>
      </c>
      <c r="U1124">
        <v>1</v>
      </c>
      <c r="V1124" t="s">
        <v>55</v>
      </c>
      <c r="W1124">
        <v>0</v>
      </c>
      <c r="X1124">
        <v>1</v>
      </c>
      <c r="Y1124" t="s">
        <v>47</v>
      </c>
      <c r="Z1124">
        <v>0</v>
      </c>
      <c r="AA1124">
        <v>168</v>
      </c>
      <c r="AB1124" t="s">
        <v>47</v>
      </c>
      <c r="AC1124">
        <v>0.16700000000000001</v>
      </c>
      <c r="AD1124">
        <v>288</v>
      </c>
      <c r="AE1124" t="s">
        <v>56</v>
      </c>
      <c r="AF1124">
        <v>0.28699999999999998</v>
      </c>
      <c r="AG1124">
        <v>50</v>
      </c>
      <c r="AH1124" t="s">
        <v>103</v>
      </c>
      <c r="AI1124">
        <v>4.9000000000000002E-2</v>
      </c>
      <c r="AJ1124" t="s">
        <v>50</v>
      </c>
    </row>
    <row r="1125" spans="1:36" x14ac:dyDescent="0.25">
      <c r="A1125" t="s">
        <v>804</v>
      </c>
      <c r="B1125">
        <v>881527270</v>
      </c>
      <c r="C1125" t="s">
        <v>805</v>
      </c>
      <c r="D1125" t="s">
        <v>805</v>
      </c>
      <c r="E1125" t="s">
        <v>60</v>
      </c>
      <c r="F1125" t="s">
        <v>88</v>
      </c>
      <c r="I1125" t="s">
        <v>39</v>
      </c>
      <c r="J1125" t="s">
        <v>40</v>
      </c>
      <c r="K1125" t="s">
        <v>41</v>
      </c>
      <c r="L1125" t="s">
        <v>42</v>
      </c>
      <c r="N1125" t="s">
        <v>43</v>
      </c>
      <c r="O1125" t="s">
        <v>462</v>
      </c>
      <c r="P1125">
        <v>145</v>
      </c>
      <c r="Q1125">
        <v>145</v>
      </c>
      <c r="R1125">
        <v>681</v>
      </c>
      <c r="S1125" t="s">
        <v>56</v>
      </c>
      <c r="T1125">
        <v>0.68</v>
      </c>
      <c r="U1125">
        <v>1</v>
      </c>
      <c r="V1125" t="s">
        <v>55</v>
      </c>
      <c r="W1125">
        <v>0</v>
      </c>
      <c r="X1125">
        <v>1</v>
      </c>
      <c r="Y1125" t="s">
        <v>47</v>
      </c>
      <c r="Z1125">
        <v>0</v>
      </c>
      <c r="AA1125">
        <v>168</v>
      </c>
      <c r="AB1125" t="s">
        <v>47</v>
      </c>
      <c r="AC1125">
        <v>0.16700000000000001</v>
      </c>
      <c r="AD1125">
        <v>288</v>
      </c>
      <c r="AE1125" t="s">
        <v>56</v>
      </c>
      <c r="AF1125">
        <v>0.28699999999999998</v>
      </c>
      <c r="AG1125">
        <v>50</v>
      </c>
      <c r="AH1125" t="s">
        <v>103</v>
      </c>
      <c r="AI1125">
        <v>4.9000000000000002E-2</v>
      </c>
      <c r="AJ1125" t="s">
        <v>1141</v>
      </c>
    </row>
    <row r="1126" spans="1:36" x14ac:dyDescent="0.25">
      <c r="A1126" t="s">
        <v>804</v>
      </c>
      <c r="B1126">
        <v>881527270</v>
      </c>
      <c r="C1126" t="s">
        <v>805</v>
      </c>
      <c r="D1126" t="s">
        <v>805</v>
      </c>
      <c r="E1126" t="s">
        <v>60</v>
      </c>
      <c r="F1126" t="s">
        <v>88</v>
      </c>
      <c r="I1126" t="s">
        <v>39</v>
      </c>
      <c r="J1126" t="s">
        <v>40</v>
      </c>
      <c r="K1126" t="s">
        <v>41</v>
      </c>
      <c r="L1126" t="s">
        <v>42</v>
      </c>
      <c r="N1126" t="s">
        <v>43</v>
      </c>
      <c r="O1126" t="s">
        <v>462</v>
      </c>
      <c r="P1126">
        <v>145</v>
      </c>
      <c r="Q1126">
        <v>145</v>
      </c>
      <c r="R1126">
        <v>411</v>
      </c>
      <c r="S1126" t="s">
        <v>56</v>
      </c>
      <c r="T1126">
        <v>0.41</v>
      </c>
      <c r="U1126">
        <v>1</v>
      </c>
      <c r="V1126" t="s">
        <v>55</v>
      </c>
      <c r="W1126">
        <v>0</v>
      </c>
      <c r="X1126">
        <v>1</v>
      </c>
      <c r="Y1126" t="s">
        <v>47</v>
      </c>
      <c r="Z1126">
        <v>0</v>
      </c>
      <c r="AA1126">
        <v>168</v>
      </c>
      <c r="AB1126" t="s">
        <v>47</v>
      </c>
      <c r="AC1126">
        <v>0.16700000000000001</v>
      </c>
      <c r="AD1126">
        <v>288</v>
      </c>
      <c r="AE1126" t="s">
        <v>56</v>
      </c>
      <c r="AF1126">
        <v>0.28699999999999998</v>
      </c>
      <c r="AG1126">
        <v>50</v>
      </c>
      <c r="AH1126" t="s">
        <v>103</v>
      </c>
      <c r="AI1126">
        <v>4.9000000000000002E-2</v>
      </c>
      <c r="AJ1126" t="s">
        <v>1153</v>
      </c>
    </row>
    <row r="1127" spans="1:36" x14ac:dyDescent="0.25">
      <c r="A1127" t="s">
        <v>804</v>
      </c>
      <c r="B1127">
        <v>881527270</v>
      </c>
      <c r="C1127" t="s">
        <v>805</v>
      </c>
      <c r="D1127" t="s">
        <v>805</v>
      </c>
      <c r="E1127" t="s">
        <v>60</v>
      </c>
      <c r="F1127" t="s">
        <v>88</v>
      </c>
      <c r="I1127" t="s">
        <v>39</v>
      </c>
      <c r="J1127" t="s">
        <v>40</v>
      </c>
      <c r="K1127" t="s">
        <v>41</v>
      </c>
      <c r="L1127" t="s">
        <v>42</v>
      </c>
      <c r="N1127" t="s">
        <v>43</v>
      </c>
      <c r="O1127" t="s">
        <v>462</v>
      </c>
      <c r="P1127">
        <v>145</v>
      </c>
      <c r="Q1127">
        <v>145</v>
      </c>
      <c r="R1127">
        <v>411</v>
      </c>
      <c r="S1127" t="s">
        <v>56</v>
      </c>
      <c r="T1127">
        <v>0.41</v>
      </c>
      <c r="U1127">
        <v>1</v>
      </c>
      <c r="V1127" t="s">
        <v>55</v>
      </c>
      <c r="W1127">
        <v>0</v>
      </c>
      <c r="X1127">
        <v>1</v>
      </c>
      <c r="Y1127" t="s">
        <v>47</v>
      </c>
      <c r="Z1127">
        <v>0</v>
      </c>
      <c r="AA1127">
        <v>168</v>
      </c>
      <c r="AB1127" t="s">
        <v>47</v>
      </c>
      <c r="AC1127">
        <v>0.16700000000000001</v>
      </c>
      <c r="AD1127">
        <v>288</v>
      </c>
      <c r="AE1127" t="s">
        <v>56</v>
      </c>
      <c r="AF1127">
        <v>0.28699999999999998</v>
      </c>
      <c r="AG1127">
        <v>50</v>
      </c>
      <c r="AH1127" t="s">
        <v>103</v>
      </c>
      <c r="AI1127">
        <v>4.9000000000000002E-2</v>
      </c>
      <c r="AJ1127" t="s">
        <v>1154</v>
      </c>
    </row>
    <row r="1128" spans="1:36" x14ac:dyDescent="0.25">
      <c r="A1128" t="s">
        <v>804</v>
      </c>
      <c r="B1128">
        <v>881527270</v>
      </c>
      <c r="C1128" t="s">
        <v>805</v>
      </c>
      <c r="D1128" t="s">
        <v>805</v>
      </c>
      <c r="E1128" t="s">
        <v>60</v>
      </c>
      <c r="F1128" t="s">
        <v>88</v>
      </c>
      <c r="I1128" t="s">
        <v>39</v>
      </c>
      <c r="J1128" t="s">
        <v>40</v>
      </c>
      <c r="K1128" t="s">
        <v>41</v>
      </c>
      <c r="L1128" t="s">
        <v>42</v>
      </c>
      <c r="N1128" t="s">
        <v>43</v>
      </c>
      <c r="O1128" t="s">
        <v>462</v>
      </c>
      <c r="P1128">
        <v>145</v>
      </c>
      <c r="Q1128">
        <v>145</v>
      </c>
      <c r="S1128" t="s">
        <v>39</v>
      </c>
      <c r="V1128" t="s">
        <v>39</v>
      </c>
      <c r="X1128">
        <v>1</v>
      </c>
      <c r="Y1128" t="s">
        <v>47</v>
      </c>
      <c r="Z1128">
        <v>0</v>
      </c>
      <c r="AA1128">
        <v>168</v>
      </c>
      <c r="AB1128" t="s">
        <v>47</v>
      </c>
      <c r="AC1128">
        <v>0.16700000000000001</v>
      </c>
      <c r="AD1128">
        <v>288</v>
      </c>
      <c r="AE1128" t="s">
        <v>56</v>
      </c>
      <c r="AF1128">
        <v>0.28699999999999998</v>
      </c>
      <c r="AG1128">
        <v>50</v>
      </c>
      <c r="AH1128" t="s">
        <v>103</v>
      </c>
      <c r="AI1128">
        <v>4.9000000000000002E-2</v>
      </c>
      <c r="AJ1128" t="s">
        <v>1155</v>
      </c>
    </row>
    <row r="1129" spans="1:36" x14ac:dyDescent="0.25">
      <c r="A1129" t="s">
        <v>804</v>
      </c>
      <c r="B1129">
        <v>881527270</v>
      </c>
      <c r="C1129" t="s">
        <v>805</v>
      </c>
      <c r="D1129" t="s">
        <v>805</v>
      </c>
      <c r="E1129" t="s">
        <v>60</v>
      </c>
      <c r="F1129" t="s">
        <v>88</v>
      </c>
      <c r="I1129" t="s">
        <v>39</v>
      </c>
      <c r="J1129" t="s">
        <v>40</v>
      </c>
      <c r="K1129" t="s">
        <v>41</v>
      </c>
      <c r="L1129" t="s">
        <v>42</v>
      </c>
      <c r="N1129" t="s">
        <v>43</v>
      </c>
      <c r="O1129" t="s">
        <v>462</v>
      </c>
      <c r="P1129">
        <v>145</v>
      </c>
      <c r="Q1129">
        <v>145</v>
      </c>
      <c r="S1129" t="s">
        <v>39</v>
      </c>
      <c r="V1129" t="s">
        <v>39</v>
      </c>
      <c r="X1129">
        <v>1</v>
      </c>
      <c r="Y1129" t="s">
        <v>47</v>
      </c>
      <c r="Z1129">
        <v>0</v>
      </c>
      <c r="AA1129">
        <v>168</v>
      </c>
      <c r="AB1129" t="s">
        <v>47</v>
      </c>
      <c r="AC1129">
        <v>0.16700000000000001</v>
      </c>
      <c r="AD1129">
        <v>288</v>
      </c>
      <c r="AE1129" t="s">
        <v>56</v>
      </c>
      <c r="AF1129">
        <v>0.28699999999999998</v>
      </c>
      <c r="AG1129">
        <v>50</v>
      </c>
      <c r="AH1129" t="s">
        <v>103</v>
      </c>
      <c r="AI1129">
        <v>4.9000000000000002E-2</v>
      </c>
      <c r="AJ1129" t="s">
        <v>1156</v>
      </c>
    </row>
    <row r="1130" spans="1:36" x14ac:dyDescent="0.25">
      <c r="A1130" t="s">
        <v>800</v>
      </c>
      <c r="B1130">
        <v>853910714</v>
      </c>
      <c r="C1130" t="s">
        <v>801</v>
      </c>
      <c r="D1130" t="s">
        <v>801</v>
      </c>
      <c r="E1130" t="s">
        <v>60</v>
      </c>
      <c r="F1130" t="s">
        <v>88</v>
      </c>
      <c r="I1130" t="s">
        <v>39</v>
      </c>
      <c r="J1130" t="s">
        <v>40</v>
      </c>
      <c r="K1130" t="s">
        <v>41</v>
      </c>
      <c r="L1130" t="s">
        <v>281</v>
      </c>
      <c r="M1130" t="s">
        <v>73</v>
      </c>
      <c r="N1130" t="s">
        <v>43</v>
      </c>
      <c r="O1130" t="s">
        <v>194</v>
      </c>
      <c r="P1130">
        <v>146</v>
      </c>
      <c r="Q1130">
        <v>146</v>
      </c>
      <c r="R1130">
        <v>521</v>
      </c>
      <c r="S1130" t="s">
        <v>56</v>
      </c>
      <c r="T1130">
        <v>0.52</v>
      </c>
      <c r="U1130">
        <v>1</v>
      </c>
      <c r="V1130" t="s">
        <v>55</v>
      </c>
      <c r="W1130">
        <v>0</v>
      </c>
      <c r="X1130">
        <v>1</v>
      </c>
      <c r="Y1130" t="s">
        <v>47</v>
      </c>
      <c r="Z1130">
        <v>0</v>
      </c>
      <c r="AA1130">
        <v>367</v>
      </c>
      <c r="AB1130" t="s">
        <v>47</v>
      </c>
      <c r="AC1130">
        <v>0.36599999999999999</v>
      </c>
      <c r="AD1130">
        <v>310</v>
      </c>
      <c r="AE1130" t="s">
        <v>56</v>
      </c>
      <c r="AF1130">
        <v>0.309</v>
      </c>
      <c r="AG1130">
        <v>80</v>
      </c>
      <c r="AH1130" t="s">
        <v>103</v>
      </c>
      <c r="AI1130">
        <v>7.9000000000000001E-2</v>
      </c>
      <c r="AJ1130" t="s">
        <v>50</v>
      </c>
    </row>
    <row r="1131" spans="1:36" x14ac:dyDescent="0.25">
      <c r="A1131" t="s">
        <v>800</v>
      </c>
      <c r="B1131">
        <v>853910714</v>
      </c>
      <c r="C1131" t="s">
        <v>801</v>
      </c>
      <c r="D1131" t="s">
        <v>801</v>
      </c>
      <c r="E1131" t="s">
        <v>60</v>
      </c>
      <c r="F1131" t="s">
        <v>88</v>
      </c>
      <c r="I1131" t="s">
        <v>39</v>
      </c>
      <c r="J1131" t="s">
        <v>40</v>
      </c>
      <c r="K1131" t="s">
        <v>41</v>
      </c>
      <c r="L1131" t="s">
        <v>281</v>
      </c>
      <c r="M1131" t="s">
        <v>73</v>
      </c>
      <c r="N1131" t="s">
        <v>43</v>
      </c>
      <c r="O1131" t="s">
        <v>194</v>
      </c>
      <c r="P1131">
        <v>146</v>
      </c>
      <c r="Q1131">
        <v>146</v>
      </c>
      <c r="R1131">
        <v>581</v>
      </c>
      <c r="S1131" t="s">
        <v>56</v>
      </c>
      <c r="T1131">
        <v>0.57999999999999996</v>
      </c>
      <c r="U1131">
        <v>1</v>
      </c>
      <c r="V1131" t="s">
        <v>55</v>
      </c>
      <c r="W1131">
        <v>0</v>
      </c>
      <c r="X1131">
        <v>1</v>
      </c>
      <c r="Y1131" t="s">
        <v>47</v>
      </c>
      <c r="Z1131">
        <v>0</v>
      </c>
      <c r="AA1131">
        <v>367</v>
      </c>
      <c r="AB1131" t="s">
        <v>47</v>
      </c>
      <c r="AC1131">
        <v>0.36599999999999999</v>
      </c>
      <c r="AD1131">
        <v>310</v>
      </c>
      <c r="AE1131" t="s">
        <v>56</v>
      </c>
      <c r="AF1131">
        <v>0.309</v>
      </c>
      <c r="AG1131">
        <v>80</v>
      </c>
      <c r="AH1131" t="s">
        <v>103</v>
      </c>
      <c r="AI1131">
        <v>7.9000000000000001E-2</v>
      </c>
      <c r="AJ1131" t="s">
        <v>1141</v>
      </c>
    </row>
    <row r="1132" spans="1:36" x14ac:dyDescent="0.25">
      <c r="A1132" t="s">
        <v>800</v>
      </c>
      <c r="B1132">
        <v>853910714</v>
      </c>
      <c r="C1132" t="s">
        <v>801</v>
      </c>
      <c r="D1132" t="s">
        <v>801</v>
      </c>
      <c r="E1132" t="s">
        <v>60</v>
      </c>
      <c r="F1132" t="s">
        <v>88</v>
      </c>
      <c r="I1132" t="s">
        <v>39</v>
      </c>
      <c r="J1132" t="s">
        <v>40</v>
      </c>
      <c r="K1132" t="s">
        <v>41</v>
      </c>
      <c r="L1132" t="s">
        <v>281</v>
      </c>
      <c r="M1132" t="s">
        <v>73</v>
      </c>
      <c r="N1132" t="s">
        <v>43</v>
      </c>
      <c r="O1132" t="s">
        <v>194</v>
      </c>
      <c r="P1132">
        <v>146</v>
      </c>
      <c r="Q1132">
        <v>146</v>
      </c>
      <c r="R1132">
        <v>521</v>
      </c>
      <c r="S1132" t="s">
        <v>56</v>
      </c>
      <c r="T1132">
        <v>0.52</v>
      </c>
      <c r="U1132">
        <v>1</v>
      </c>
      <c r="V1132" t="s">
        <v>55</v>
      </c>
      <c r="W1132">
        <v>0</v>
      </c>
      <c r="X1132">
        <v>1</v>
      </c>
      <c r="Y1132" t="s">
        <v>47</v>
      </c>
      <c r="Z1132">
        <v>0</v>
      </c>
      <c r="AA1132">
        <v>367</v>
      </c>
      <c r="AB1132" t="s">
        <v>47</v>
      </c>
      <c r="AC1132">
        <v>0.36599999999999999</v>
      </c>
      <c r="AD1132">
        <v>310</v>
      </c>
      <c r="AE1132" t="s">
        <v>56</v>
      </c>
      <c r="AF1132">
        <v>0.309</v>
      </c>
      <c r="AG1132">
        <v>80</v>
      </c>
      <c r="AH1132" t="s">
        <v>103</v>
      </c>
      <c r="AI1132">
        <v>7.9000000000000001E-2</v>
      </c>
      <c r="AJ1132" t="s">
        <v>1153</v>
      </c>
    </row>
    <row r="1133" spans="1:36" x14ac:dyDescent="0.25">
      <c r="A1133" t="s">
        <v>800</v>
      </c>
      <c r="B1133">
        <v>853910714</v>
      </c>
      <c r="C1133" t="s">
        <v>801</v>
      </c>
      <c r="D1133" t="s">
        <v>801</v>
      </c>
      <c r="E1133" t="s">
        <v>60</v>
      </c>
      <c r="F1133" t="s">
        <v>88</v>
      </c>
      <c r="I1133" t="s">
        <v>39</v>
      </c>
      <c r="J1133" t="s">
        <v>40</v>
      </c>
      <c r="K1133" t="s">
        <v>41</v>
      </c>
      <c r="L1133" t="s">
        <v>281</v>
      </c>
      <c r="M1133" t="s">
        <v>73</v>
      </c>
      <c r="N1133" t="s">
        <v>43</v>
      </c>
      <c r="O1133" t="s">
        <v>194</v>
      </c>
      <c r="P1133">
        <v>146</v>
      </c>
      <c r="Q1133">
        <v>146</v>
      </c>
      <c r="R1133">
        <v>521</v>
      </c>
      <c r="S1133" t="s">
        <v>56</v>
      </c>
      <c r="T1133">
        <v>0.52</v>
      </c>
      <c r="U1133">
        <v>1</v>
      </c>
      <c r="V1133" t="s">
        <v>55</v>
      </c>
      <c r="W1133">
        <v>0</v>
      </c>
      <c r="X1133">
        <v>1</v>
      </c>
      <c r="Y1133" t="s">
        <v>47</v>
      </c>
      <c r="Z1133">
        <v>0</v>
      </c>
      <c r="AA1133">
        <v>367</v>
      </c>
      <c r="AB1133" t="s">
        <v>47</v>
      </c>
      <c r="AC1133">
        <v>0.36599999999999999</v>
      </c>
      <c r="AD1133">
        <v>310</v>
      </c>
      <c r="AE1133" t="s">
        <v>56</v>
      </c>
      <c r="AF1133">
        <v>0.309</v>
      </c>
      <c r="AG1133">
        <v>80</v>
      </c>
      <c r="AH1133" t="s">
        <v>103</v>
      </c>
      <c r="AI1133">
        <v>7.9000000000000001E-2</v>
      </c>
      <c r="AJ1133" t="s">
        <v>1154</v>
      </c>
    </row>
    <row r="1134" spans="1:36" x14ac:dyDescent="0.25">
      <c r="A1134" t="s">
        <v>800</v>
      </c>
      <c r="B1134">
        <v>853910714</v>
      </c>
      <c r="C1134" t="s">
        <v>801</v>
      </c>
      <c r="D1134" t="s">
        <v>801</v>
      </c>
      <c r="E1134" t="s">
        <v>60</v>
      </c>
      <c r="F1134" t="s">
        <v>88</v>
      </c>
      <c r="I1134" t="s">
        <v>39</v>
      </c>
      <c r="J1134" t="s">
        <v>40</v>
      </c>
      <c r="K1134" t="s">
        <v>41</v>
      </c>
      <c r="L1134" t="s">
        <v>281</v>
      </c>
      <c r="M1134" t="s">
        <v>73</v>
      </c>
      <c r="N1134" t="s">
        <v>43</v>
      </c>
      <c r="O1134" t="s">
        <v>194</v>
      </c>
      <c r="P1134">
        <v>146</v>
      </c>
      <c r="Q1134">
        <v>146</v>
      </c>
      <c r="S1134" t="s">
        <v>39</v>
      </c>
      <c r="V1134" t="s">
        <v>39</v>
      </c>
      <c r="X1134">
        <v>1</v>
      </c>
      <c r="Y1134" t="s">
        <v>47</v>
      </c>
      <c r="Z1134">
        <v>0</v>
      </c>
      <c r="AA1134">
        <v>367</v>
      </c>
      <c r="AB1134" t="s">
        <v>47</v>
      </c>
      <c r="AC1134">
        <v>0.36599999999999999</v>
      </c>
      <c r="AD1134">
        <v>310</v>
      </c>
      <c r="AE1134" t="s">
        <v>56</v>
      </c>
      <c r="AF1134">
        <v>0.309</v>
      </c>
      <c r="AG1134">
        <v>80</v>
      </c>
      <c r="AH1134" t="s">
        <v>103</v>
      </c>
      <c r="AI1134">
        <v>7.9000000000000001E-2</v>
      </c>
      <c r="AJ1134" t="s">
        <v>1155</v>
      </c>
    </row>
    <row r="1135" spans="1:36" x14ac:dyDescent="0.25">
      <c r="A1135" t="s">
        <v>800</v>
      </c>
      <c r="B1135">
        <v>853910714</v>
      </c>
      <c r="C1135" t="s">
        <v>801</v>
      </c>
      <c r="D1135" t="s">
        <v>801</v>
      </c>
      <c r="E1135" t="s">
        <v>60</v>
      </c>
      <c r="F1135" t="s">
        <v>88</v>
      </c>
      <c r="I1135" t="s">
        <v>39</v>
      </c>
      <c r="J1135" t="s">
        <v>40</v>
      </c>
      <c r="K1135" t="s">
        <v>41</v>
      </c>
      <c r="L1135" t="s">
        <v>281</v>
      </c>
      <c r="M1135" t="s">
        <v>73</v>
      </c>
      <c r="N1135" t="s">
        <v>43</v>
      </c>
      <c r="O1135" t="s">
        <v>194</v>
      </c>
      <c r="P1135">
        <v>146</v>
      </c>
      <c r="Q1135">
        <v>146</v>
      </c>
      <c r="S1135" t="s">
        <v>39</v>
      </c>
      <c r="V1135" t="s">
        <v>39</v>
      </c>
      <c r="X1135">
        <v>1</v>
      </c>
      <c r="Y1135" t="s">
        <v>47</v>
      </c>
      <c r="Z1135">
        <v>0</v>
      </c>
      <c r="AA1135">
        <v>367</v>
      </c>
      <c r="AB1135" t="s">
        <v>47</v>
      </c>
      <c r="AC1135">
        <v>0.36599999999999999</v>
      </c>
      <c r="AD1135">
        <v>310</v>
      </c>
      <c r="AE1135" t="s">
        <v>56</v>
      </c>
      <c r="AF1135">
        <v>0.309</v>
      </c>
      <c r="AG1135">
        <v>80</v>
      </c>
      <c r="AH1135" t="s">
        <v>103</v>
      </c>
      <c r="AI1135">
        <v>7.9000000000000001E-2</v>
      </c>
      <c r="AJ1135" t="s">
        <v>1156</v>
      </c>
    </row>
    <row r="1136" spans="1:36" x14ac:dyDescent="0.25">
      <c r="A1136" t="s">
        <v>798</v>
      </c>
      <c r="B1136">
        <v>871842377</v>
      </c>
      <c r="C1136" t="s">
        <v>799</v>
      </c>
      <c r="D1136" t="s">
        <v>799</v>
      </c>
      <c r="E1136" t="s">
        <v>65</v>
      </c>
      <c r="F1136" t="s">
        <v>93</v>
      </c>
      <c r="I1136" t="s">
        <v>39</v>
      </c>
      <c r="J1136" t="s">
        <v>40</v>
      </c>
      <c r="K1136" t="s">
        <v>41</v>
      </c>
      <c r="L1136" t="s">
        <v>173</v>
      </c>
      <c r="N1136" t="s">
        <v>43</v>
      </c>
      <c r="O1136" t="s">
        <v>307</v>
      </c>
      <c r="P1136">
        <v>150</v>
      </c>
      <c r="Q1136">
        <v>150</v>
      </c>
      <c r="R1136">
        <v>271</v>
      </c>
      <c r="S1136" t="s">
        <v>56</v>
      </c>
      <c r="T1136">
        <v>0.27</v>
      </c>
      <c r="U1136">
        <v>152</v>
      </c>
      <c r="V1136" t="s">
        <v>55</v>
      </c>
      <c r="W1136">
        <v>0.151</v>
      </c>
      <c r="X1136">
        <v>13001</v>
      </c>
      <c r="Y1136" t="s">
        <v>47</v>
      </c>
      <c r="Z1136">
        <v>13</v>
      </c>
      <c r="AA1136">
        <v>499</v>
      </c>
      <c r="AB1136" t="s">
        <v>47</v>
      </c>
      <c r="AC1136">
        <v>0.498</v>
      </c>
      <c r="AD1136">
        <v>546</v>
      </c>
      <c r="AE1136" t="s">
        <v>48</v>
      </c>
      <c r="AF1136">
        <v>0.54500000000000004</v>
      </c>
      <c r="AG1136">
        <v>348</v>
      </c>
      <c r="AH1136" t="s">
        <v>57</v>
      </c>
      <c r="AI1136">
        <v>0.34699999999999998</v>
      </c>
      <c r="AJ1136" t="s">
        <v>50</v>
      </c>
    </row>
    <row r="1137" spans="1:36" x14ac:dyDescent="0.25">
      <c r="A1137" t="s">
        <v>798</v>
      </c>
      <c r="B1137">
        <v>871842377</v>
      </c>
      <c r="C1137" t="s">
        <v>799</v>
      </c>
      <c r="D1137" t="s">
        <v>799</v>
      </c>
      <c r="E1137" t="s">
        <v>65</v>
      </c>
      <c r="F1137" t="s">
        <v>93</v>
      </c>
      <c r="I1137" t="s">
        <v>39</v>
      </c>
      <c r="J1137" t="s">
        <v>40</v>
      </c>
      <c r="K1137" t="s">
        <v>41</v>
      </c>
      <c r="L1137" t="s">
        <v>173</v>
      </c>
      <c r="N1137" t="s">
        <v>43</v>
      </c>
      <c r="O1137" t="s">
        <v>307</v>
      </c>
      <c r="P1137">
        <v>150</v>
      </c>
      <c r="Q1137">
        <v>150</v>
      </c>
      <c r="R1137">
        <v>81</v>
      </c>
      <c r="S1137" t="s">
        <v>56</v>
      </c>
      <c r="T1137">
        <v>0.08</v>
      </c>
      <c r="U1137">
        <v>376</v>
      </c>
      <c r="V1137" t="s">
        <v>55</v>
      </c>
      <c r="W1137">
        <v>0.375</v>
      </c>
      <c r="X1137">
        <v>13001</v>
      </c>
      <c r="Y1137" t="s">
        <v>47</v>
      </c>
      <c r="Z1137">
        <v>13</v>
      </c>
      <c r="AA1137">
        <v>499</v>
      </c>
      <c r="AB1137" t="s">
        <v>47</v>
      </c>
      <c r="AC1137">
        <v>0.498</v>
      </c>
      <c r="AD1137">
        <v>546</v>
      </c>
      <c r="AE1137" t="s">
        <v>48</v>
      </c>
      <c r="AF1137">
        <v>0.54500000000000004</v>
      </c>
      <c r="AG1137">
        <v>348</v>
      </c>
      <c r="AH1137" t="s">
        <v>57</v>
      </c>
      <c r="AI1137">
        <v>0.34699999999999998</v>
      </c>
      <c r="AJ1137" t="s">
        <v>1141</v>
      </c>
    </row>
    <row r="1138" spans="1:36" x14ac:dyDescent="0.25">
      <c r="A1138" t="s">
        <v>798</v>
      </c>
      <c r="B1138">
        <v>871842377</v>
      </c>
      <c r="C1138" t="s">
        <v>799</v>
      </c>
      <c r="D1138" t="s">
        <v>799</v>
      </c>
      <c r="E1138" t="s">
        <v>65</v>
      </c>
      <c r="F1138" t="s">
        <v>93</v>
      </c>
      <c r="I1138" t="s">
        <v>39</v>
      </c>
      <c r="J1138" t="s">
        <v>40</v>
      </c>
      <c r="K1138" t="s">
        <v>41</v>
      </c>
      <c r="L1138" t="s">
        <v>173</v>
      </c>
      <c r="N1138" t="s">
        <v>43</v>
      </c>
      <c r="O1138" t="s">
        <v>307</v>
      </c>
      <c r="P1138">
        <v>150</v>
      </c>
      <c r="Q1138">
        <v>150</v>
      </c>
      <c r="R1138">
        <v>271</v>
      </c>
      <c r="S1138" t="s">
        <v>56</v>
      </c>
      <c r="T1138">
        <v>0.27</v>
      </c>
      <c r="U1138">
        <v>152</v>
      </c>
      <c r="V1138" t="s">
        <v>55</v>
      </c>
      <c r="W1138">
        <v>0.151</v>
      </c>
      <c r="X1138">
        <v>13001</v>
      </c>
      <c r="Y1138" t="s">
        <v>47</v>
      </c>
      <c r="Z1138">
        <v>13</v>
      </c>
      <c r="AA1138">
        <v>499</v>
      </c>
      <c r="AB1138" t="s">
        <v>47</v>
      </c>
      <c r="AC1138">
        <v>0.498</v>
      </c>
      <c r="AD1138">
        <v>546</v>
      </c>
      <c r="AE1138" t="s">
        <v>48</v>
      </c>
      <c r="AF1138">
        <v>0.54500000000000004</v>
      </c>
      <c r="AG1138">
        <v>348</v>
      </c>
      <c r="AH1138" t="s">
        <v>57</v>
      </c>
      <c r="AI1138">
        <v>0.34699999999999998</v>
      </c>
      <c r="AJ1138" t="s">
        <v>1153</v>
      </c>
    </row>
    <row r="1139" spans="1:36" x14ac:dyDescent="0.25">
      <c r="A1139" t="s">
        <v>798</v>
      </c>
      <c r="B1139">
        <v>871842377</v>
      </c>
      <c r="C1139" t="s">
        <v>799</v>
      </c>
      <c r="D1139" t="s">
        <v>799</v>
      </c>
      <c r="E1139" t="s">
        <v>65</v>
      </c>
      <c r="F1139" t="s">
        <v>93</v>
      </c>
      <c r="I1139" t="s">
        <v>39</v>
      </c>
      <c r="J1139" t="s">
        <v>40</v>
      </c>
      <c r="K1139" t="s">
        <v>41</v>
      </c>
      <c r="L1139" t="s">
        <v>173</v>
      </c>
      <c r="N1139" t="s">
        <v>43</v>
      </c>
      <c r="O1139" t="s">
        <v>307</v>
      </c>
      <c r="P1139">
        <v>150</v>
      </c>
      <c r="Q1139">
        <v>150</v>
      </c>
      <c r="R1139">
        <v>271</v>
      </c>
      <c r="S1139" t="s">
        <v>56</v>
      </c>
      <c r="T1139">
        <v>0.27</v>
      </c>
      <c r="U1139">
        <v>152</v>
      </c>
      <c r="V1139" t="s">
        <v>55</v>
      </c>
      <c r="W1139">
        <v>0.151</v>
      </c>
      <c r="X1139">
        <v>13001</v>
      </c>
      <c r="Y1139" t="s">
        <v>47</v>
      </c>
      <c r="Z1139">
        <v>13</v>
      </c>
      <c r="AA1139">
        <v>499</v>
      </c>
      <c r="AB1139" t="s">
        <v>47</v>
      </c>
      <c r="AC1139">
        <v>0.498</v>
      </c>
      <c r="AD1139">
        <v>546</v>
      </c>
      <c r="AE1139" t="s">
        <v>48</v>
      </c>
      <c r="AF1139">
        <v>0.54500000000000004</v>
      </c>
      <c r="AG1139">
        <v>348</v>
      </c>
      <c r="AH1139" t="s">
        <v>57</v>
      </c>
      <c r="AI1139">
        <v>0.34699999999999998</v>
      </c>
      <c r="AJ1139" t="s">
        <v>1154</v>
      </c>
    </row>
    <row r="1140" spans="1:36" x14ac:dyDescent="0.25">
      <c r="A1140" t="s">
        <v>798</v>
      </c>
      <c r="B1140">
        <v>871842377</v>
      </c>
      <c r="C1140" t="s">
        <v>799</v>
      </c>
      <c r="D1140" t="s">
        <v>799</v>
      </c>
      <c r="E1140" t="s">
        <v>65</v>
      </c>
      <c r="F1140" t="s">
        <v>93</v>
      </c>
      <c r="I1140" t="s">
        <v>39</v>
      </c>
      <c r="J1140" t="s">
        <v>40</v>
      </c>
      <c r="K1140" t="s">
        <v>41</v>
      </c>
      <c r="L1140" t="s">
        <v>173</v>
      </c>
      <c r="N1140" t="s">
        <v>43</v>
      </c>
      <c r="O1140" t="s">
        <v>307</v>
      </c>
      <c r="P1140">
        <v>150</v>
      </c>
      <c r="Q1140">
        <v>150</v>
      </c>
      <c r="S1140" t="s">
        <v>39</v>
      </c>
      <c r="V1140" t="s">
        <v>39</v>
      </c>
      <c r="X1140">
        <v>13001</v>
      </c>
      <c r="Y1140" t="s">
        <v>47</v>
      </c>
      <c r="Z1140">
        <v>13</v>
      </c>
      <c r="AA1140">
        <v>499</v>
      </c>
      <c r="AB1140" t="s">
        <v>47</v>
      </c>
      <c r="AC1140">
        <v>0.498</v>
      </c>
      <c r="AD1140">
        <v>546</v>
      </c>
      <c r="AE1140" t="s">
        <v>48</v>
      </c>
      <c r="AF1140">
        <v>0.54500000000000004</v>
      </c>
      <c r="AG1140">
        <v>348</v>
      </c>
      <c r="AH1140" t="s">
        <v>57</v>
      </c>
      <c r="AI1140">
        <v>0.34699999999999998</v>
      </c>
      <c r="AJ1140" t="s">
        <v>1155</v>
      </c>
    </row>
    <row r="1141" spans="1:36" x14ac:dyDescent="0.25">
      <c r="A1141" t="s">
        <v>798</v>
      </c>
      <c r="B1141">
        <v>871842377</v>
      </c>
      <c r="C1141" t="s">
        <v>799</v>
      </c>
      <c r="D1141" t="s">
        <v>799</v>
      </c>
      <c r="E1141" t="s">
        <v>65</v>
      </c>
      <c r="F1141" t="s">
        <v>93</v>
      </c>
      <c r="I1141" t="s">
        <v>39</v>
      </c>
      <c r="J1141" t="s">
        <v>40</v>
      </c>
      <c r="K1141" t="s">
        <v>41</v>
      </c>
      <c r="L1141" t="s">
        <v>173</v>
      </c>
      <c r="N1141" t="s">
        <v>43</v>
      </c>
      <c r="O1141" t="s">
        <v>307</v>
      </c>
      <c r="P1141">
        <v>150</v>
      </c>
      <c r="Q1141">
        <v>150</v>
      </c>
      <c r="S1141" t="s">
        <v>39</v>
      </c>
      <c r="V1141" t="s">
        <v>39</v>
      </c>
      <c r="X1141">
        <v>13001</v>
      </c>
      <c r="Y1141" t="s">
        <v>47</v>
      </c>
      <c r="Z1141">
        <v>13</v>
      </c>
      <c r="AA1141">
        <v>499</v>
      </c>
      <c r="AB1141" t="s">
        <v>47</v>
      </c>
      <c r="AC1141">
        <v>0.498</v>
      </c>
      <c r="AD1141">
        <v>546</v>
      </c>
      <c r="AE1141" t="s">
        <v>48</v>
      </c>
      <c r="AF1141">
        <v>0.54500000000000004</v>
      </c>
      <c r="AG1141">
        <v>348</v>
      </c>
      <c r="AH1141" t="s">
        <v>57</v>
      </c>
      <c r="AI1141">
        <v>0.34699999999999998</v>
      </c>
      <c r="AJ1141" t="s">
        <v>1156</v>
      </c>
    </row>
    <row r="1142" spans="1:36" x14ac:dyDescent="0.25">
      <c r="A1142" t="s">
        <v>796</v>
      </c>
      <c r="B1142">
        <v>855771868</v>
      </c>
      <c r="C1142" t="s">
        <v>797</v>
      </c>
      <c r="D1142" t="s">
        <v>797</v>
      </c>
      <c r="E1142" t="s">
        <v>65</v>
      </c>
      <c r="F1142" t="s">
        <v>83</v>
      </c>
      <c r="I1142" t="s">
        <v>39</v>
      </c>
      <c r="J1142" t="s">
        <v>40</v>
      </c>
      <c r="K1142" t="s">
        <v>41</v>
      </c>
      <c r="L1142" t="s">
        <v>53</v>
      </c>
      <c r="N1142" t="s">
        <v>43</v>
      </c>
      <c r="O1142" t="s">
        <v>84</v>
      </c>
      <c r="P1142">
        <v>151</v>
      </c>
      <c r="Q1142">
        <v>151</v>
      </c>
      <c r="R1142">
        <v>1001</v>
      </c>
      <c r="S1142" t="s">
        <v>56</v>
      </c>
      <c r="T1142">
        <v>1</v>
      </c>
      <c r="U1142">
        <v>4</v>
      </c>
      <c r="V1142" t="s">
        <v>55</v>
      </c>
      <c r="W1142">
        <v>3.0000000000000001E-3</v>
      </c>
      <c r="X1142">
        <v>1</v>
      </c>
      <c r="Y1142" t="s">
        <v>47</v>
      </c>
      <c r="Z1142">
        <v>0</v>
      </c>
      <c r="AA1142">
        <v>266</v>
      </c>
      <c r="AB1142" t="s">
        <v>47</v>
      </c>
      <c r="AC1142">
        <v>0.26500000000000001</v>
      </c>
      <c r="AD1142">
        <v>192</v>
      </c>
      <c r="AE1142" t="s">
        <v>56</v>
      </c>
      <c r="AF1142">
        <v>0.191</v>
      </c>
      <c r="AG1142">
        <v>9</v>
      </c>
      <c r="AH1142" t="s">
        <v>103</v>
      </c>
      <c r="AI1142">
        <v>8.0000000000000002E-3</v>
      </c>
      <c r="AJ1142" t="s">
        <v>50</v>
      </c>
    </row>
    <row r="1143" spans="1:36" x14ac:dyDescent="0.25">
      <c r="A1143" t="s">
        <v>796</v>
      </c>
      <c r="B1143">
        <v>855771868</v>
      </c>
      <c r="C1143" t="s">
        <v>797</v>
      </c>
      <c r="D1143" t="s">
        <v>797</v>
      </c>
      <c r="E1143" t="s">
        <v>60</v>
      </c>
      <c r="F1143" t="s">
        <v>83</v>
      </c>
      <c r="I1143" t="s">
        <v>39</v>
      </c>
      <c r="J1143" t="s">
        <v>40</v>
      </c>
      <c r="K1143" t="s">
        <v>41</v>
      </c>
      <c r="L1143" t="s">
        <v>53</v>
      </c>
      <c r="N1143" t="s">
        <v>43</v>
      </c>
      <c r="O1143" t="s">
        <v>85</v>
      </c>
      <c r="P1143">
        <v>151</v>
      </c>
      <c r="Q1143">
        <v>151</v>
      </c>
      <c r="R1143">
        <v>51</v>
      </c>
      <c r="S1143" t="s">
        <v>45</v>
      </c>
      <c r="T1143">
        <v>0.05</v>
      </c>
      <c r="U1143">
        <v>271</v>
      </c>
      <c r="V1143" t="s">
        <v>55</v>
      </c>
      <c r="W1143">
        <v>0.27</v>
      </c>
      <c r="X1143">
        <v>5001</v>
      </c>
      <c r="Y1143" t="s">
        <v>47</v>
      </c>
      <c r="Z1143">
        <v>5</v>
      </c>
      <c r="AA1143">
        <v>456</v>
      </c>
      <c r="AB1143" t="s">
        <v>47</v>
      </c>
      <c r="AC1143">
        <v>0.45500000000000002</v>
      </c>
      <c r="AD1143">
        <v>650</v>
      </c>
      <c r="AE1143" t="s">
        <v>48</v>
      </c>
      <c r="AF1143">
        <v>0.64900000000000002</v>
      </c>
      <c r="AG1143">
        <v>594</v>
      </c>
      <c r="AH1143" t="s">
        <v>49</v>
      </c>
      <c r="AI1143">
        <v>0.59299999999999997</v>
      </c>
      <c r="AJ1143" t="s">
        <v>50</v>
      </c>
    </row>
    <row r="1144" spans="1:36" x14ac:dyDescent="0.25">
      <c r="A1144" t="s">
        <v>796</v>
      </c>
      <c r="B1144">
        <v>855771868</v>
      </c>
      <c r="C1144" t="s">
        <v>797</v>
      </c>
      <c r="D1144" t="s">
        <v>797</v>
      </c>
      <c r="E1144" t="s">
        <v>65</v>
      </c>
      <c r="F1144" t="s">
        <v>83</v>
      </c>
      <c r="I1144" t="s">
        <v>39</v>
      </c>
      <c r="J1144" t="s">
        <v>40</v>
      </c>
      <c r="K1144" t="s">
        <v>41</v>
      </c>
      <c r="L1144" t="s">
        <v>53</v>
      </c>
      <c r="N1144" t="s">
        <v>43</v>
      </c>
      <c r="O1144" t="s">
        <v>84</v>
      </c>
      <c r="P1144">
        <v>151</v>
      </c>
      <c r="Q1144">
        <v>151</v>
      </c>
      <c r="R1144">
        <v>861</v>
      </c>
      <c r="S1144" t="s">
        <v>56</v>
      </c>
      <c r="T1144">
        <v>0.86</v>
      </c>
      <c r="U1144">
        <v>1</v>
      </c>
      <c r="V1144" t="s">
        <v>55</v>
      </c>
      <c r="W1144">
        <v>0</v>
      </c>
      <c r="X1144">
        <v>1</v>
      </c>
      <c r="Y1144" t="s">
        <v>47</v>
      </c>
      <c r="Z1144">
        <v>0</v>
      </c>
      <c r="AA1144">
        <v>266</v>
      </c>
      <c r="AB1144" t="s">
        <v>47</v>
      </c>
      <c r="AC1144">
        <v>0.26500000000000001</v>
      </c>
      <c r="AD1144">
        <v>192</v>
      </c>
      <c r="AE1144" t="s">
        <v>56</v>
      </c>
      <c r="AF1144">
        <v>0.191</v>
      </c>
      <c r="AG1144">
        <v>9</v>
      </c>
      <c r="AH1144" t="s">
        <v>103</v>
      </c>
      <c r="AI1144">
        <v>8.0000000000000002E-3</v>
      </c>
      <c r="AJ1144" t="s">
        <v>1141</v>
      </c>
    </row>
    <row r="1145" spans="1:36" x14ac:dyDescent="0.25">
      <c r="A1145" t="s">
        <v>796</v>
      </c>
      <c r="B1145">
        <v>855771868</v>
      </c>
      <c r="C1145" t="s">
        <v>797</v>
      </c>
      <c r="D1145" t="s">
        <v>797</v>
      </c>
      <c r="E1145" t="s">
        <v>60</v>
      </c>
      <c r="F1145" t="s">
        <v>83</v>
      </c>
      <c r="I1145" t="s">
        <v>39</v>
      </c>
      <c r="J1145" t="s">
        <v>40</v>
      </c>
      <c r="K1145" t="s">
        <v>41</v>
      </c>
      <c r="L1145" t="s">
        <v>53</v>
      </c>
      <c r="N1145" t="s">
        <v>43</v>
      </c>
      <c r="O1145" t="s">
        <v>85</v>
      </c>
      <c r="P1145">
        <v>151</v>
      </c>
      <c r="Q1145">
        <v>151</v>
      </c>
      <c r="R1145">
        <v>141</v>
      </c>
      <c r="S1145" t="s">
        <v>56</v>
      </c>
      <c r="T1145">
        <v>0.14000000000000001</v>
      </c>
      <c r="U1145">
        <v>247</v>
      </c>
      <c r="V1145" t="s">
        <v>55</v>
      </c>
      <c r="W1145">
        <v>0.246</v>
      </c>
      <c r="X1145">
        <v>5001</v>
      </c>
      <c r="Y1145" t="s">
        <v>47</v>
      </c>
      <c r="Z1145">
        <v>5</v>
      </c>
      <c r="AA1145">
        <v>456</v>
      </c>
      <c r="AB1145" t="s">
        <v>47</v>
      </c>
      <c r="AC1145">
        <v>0.45500000000000002</v>
      </c>
      <c r="AD1145">
        <v>650</v>
      </c>
      <c r="AE1145" t="s">
        <v>48</v>
      </c>
      <c r="AF1145">
        <v>0.64900000000000002</v>
      </c>
      <c r="AG1145">
        <v>594</v>
      </c>
      <c r="AH1145" t="s">
        <v>49</v>
      </c>
      <c r="AI1145">
        <v>0.59299999999999997</v>
      </c>
      <c r="AJ1145" t="s">
        <v>1141</v>
      </c>
    </row>
    <row r="1146" spans="1:36" x14ac:dyDescent="0.25">
      <c r="A1146" t="s">
        <v>796</v>
      </c>
      <c r="B1146">
        <v>855771868</v>
      </c>
      <c r="C1146" t="s">
        <v>797</v>
      </c>
      <c r="D1146" t="s">
        <v>797</v>
      </c>
      <c r="E1146" t="s">
        <v>65</v>
      </c>
      <c r="F1146" t="s">
        <v>83</v>
      </c>
      <c r="I1146" t="s">
        <v>39</v>
      </c>
      <c r="J1146" t="s">
        <v>40</v>
      </c>
      <c r="K1146" t="s">
        <v>41</v>
      </c>
      <c r="L1146" t="s">
        <v>53</v>
      </c>
      <c r="N1146" t="s">
        <v>43</v>
      </c>
      <c r="O1146" t="s">
        <v>84</v>
      </c>
      <c r="P1146">
        <v>151</v>
      </c>
      <c r="Q1146">
        <v>151</v>
      </c>
      <c r="R1146">
        <v>1001</v>
      </c>
      <c r="S1146" t="s">
        <v>56</v>
      </c>
      <c r="T1146">
        <v>1</v>
      </c>
      <c r="U1146">
        <v>4</v>
      </c>
      <c r="V1146" t="s">
        <v>55</v>
      </c>
      <c r="W1146">
        <v>3.0000000000000001E-3</v>
      </c>
      <c r="X1146">
        <v>1</v>
      </c>
      <c r="Y1146" t="s">
        <v>47</v>
      </c>
      <c r="Z1146">
        <v>0</v>
      </c>
      <c r="AA1146">
        <v>266</v>
      </c>
      <c r="AB1146" t="s">
        <v>47</v>
      </c>
      <c r="AC1146">
        <v>0.26500000000000001</v>
      </c>
      <c r="AD1146">
        <v>192</v>
      </c>
      <c r="AE1146" t="s">
        <v>56</v>
      </c>
      <c r="AF1146">
        <v>0.191</v>
      </c>
      <c r="AG1146">
        <v>9</v>
      </c>
      <c r="AH1146" t="s">
        <v>103</v>
      </c>
      <c r="AI1146">
        <v>8.0000000000000002E-3</v>
      </c>
      <c r="AJ1146" t="s">
        <v>1153</v>
      </c>
    </row>
    <row r="1147" spans="1:36" x14ac:dyDescent="0.25">
      <c r="A1147" t="s">
        <v>796</v>
      </c>
      <c r="B1147">
        <v>855771868</v>
      </c>
      <c r="C1147" t="s">
        <v>797</v>
      </c>
      <c r="D1147" t="s">
        <v>797</v>
      </c>
      <c r="E1147" t="s">
        <v>60</v>
      </c>
      <c r="F1147" t="s">
        <v>83</v>
      </c>
      <c r="I1147" t="s">
        <v>39</v>
      </c>
      <c r="J1147" t="s">
        <v>40</v>
      </c>
      <c r="K1147" t="s">
        <v>41</v>
      </c>
      <c r="L1147" t="s">
        <v>53</v>
      </c>
      <c r="N1147" t="s">
        <v>43</v>
      </c>
      <c r="O1147" t="s">
        <v>85</v>
      </c>
      <c r="P1147">
        <v>151</v>
      </c>
      <c r="Q1147">
        <v>151</v>
      </c>
      <c r="R1147">
        <v>51</v>
      </c>
      <c r="S1147" t="s">
        <v>45</v>
      </c>
      <c r="T1147">
        <v>0.05</v>
      </c>
      <c r="U1147">
        <v>271</v>
      </c>
      <c r="V1147" t="s">
        <v>55</v>
      </c>
      <c r="W1147">
        <v>0.27</v>
      </c>
      <c r="X1147">
        <v>5001</v>
      </c>
      <c r="Y1147" t="s">
        <v>47</v>
      </c>
      <c r="Z1147">
        <v>5</v>
      </c>
      <c r="AA1147">
        <v>456</v>
      </c>
      <c r="AB1147" t="s">
        <v>47</v>
      </c>
      <c r="AC1147">
        <v>0.45500000000000002</v>
      </c>
      <c r="AD1147">
        <v>650</v>
      </c>
      <c r="AE1147" t="s">
        <v>48</v>
      </c>
      <c r="AF1147">
        <v>0.64900000000000002</v>
      </c>
      <c r="AG1147">
        <v>594</v>
      </c>
      <c r="AH1147" t="s">
        <v>49</v>
      </c>
      <c r="AI1147">
        <v>0.59299999999999997</v>
      </c>
      <c r="AJ1147" t="s">
        <v>1153</v>
      </c>
    </row>
    <row r="1148" spans="1:36" x14ac:dyDescent="0.25">
      <c r="A1148" t="s">
        <v>796</v>
      </c>
      <c r="B1148">
        <v>855771868</v>
      </c>
      <c r="C1148" t="s">
        <v>797</v>
      </c>
      <c r="D1148" t="s">
        <v>797</v>
      </c>
      <c r="E1148" t="s">
        <v>65</v>
      </c>
      <c r="F1148" t="s">
        <v>83</v>
      </c>
      <c r="I1148" t="s">
        <v>39</v>
      </c>
      <c r="J1148" t="s">
        <v>40</v>
      </c>
      <c r="K1148" t="s">
        <v>41</v>
      </c>
      <c r="L1148" t="s">
        <v>53</v>
      </c>
      <c r="N1148" t="s">
        <v>43</v>
      </c>
      <c r="O1148" t="s">
        <v>84</v>
      </c>
      <c r="P1148">
        <v>151</v>
      </c>
      <c r="Q1148">
        <v>151</v>
      </c>
      <c r="R1148">
        <v>1001</v>
      </c>
      <c r="S1148" t="s">
        <v>56</v>
      </c>
      <c r="T1148">
        <v>1</v>
      </c>
      <c r="U1148">
        <v>4</v>
      </c>
      <c r="V1148" t="s">
        <v>55</v>
      </c>
      <c r="W1148">
        <v>3.0000000000000001E-3</v>
      </c>
      <c r="X1148">
        <v>1</v>
      </c>
      <c r="Y1148" t="s">
        <v>47</v>
      </c>
      <c r="Z1148">
        <v>0</v>
      </c>
      <c r="AA1148">
        <v>266</v>
      </c>
      <c r="AB1148" t="s">
        <v>47</v>
      </c>
      <c r="AC1148">
        <v>0.26500000000000001</v>
      </c>
      <c r="AD1148">
        <v>192</v>
      </c>
      <c r="AE1148" t="s">
        <v>56</v>
      </c>
      <c r="AF1148">
        <v>0.191</v>
      </c>
      <c r="AG1148">
        <v>9</v>
      </c>
      <c r="AH1148" t="s">
        <v>103</v>
      </c>
      <c r="AI1148">
        <v>8.0000000000000002E-3</v>
      </c>
      <c r="AJ1148" t="s">
        <v>1154</v>
      </c>
    </row>
    <row r="1149" spans="1:36" x14ac:dyDescent="0.25">
      <c r="A1149" t="s">
        <v>796</v>
      </c>
      <c r="B1149">
        <v>855771868</v>
      </c>
      <c r="C1149" t="s">
        <v>797</v>
      </c>
      <c r="D1149" t="s">
        <v>797</v>
      </c>
      <c r="E1149" t="s">
        <v>60</v>
      </c>
      <c r="F1149" t="s">
        <v>83</v>
      </c>
      <c r="I1149" t="s">
        <v>39</v>
      </c>
      <c r="J1149" t="s">
        <v>40</v>
      </c>
      <c r="K1149" t="s">
        <v>41</v>
      </c>
      <c r="L1149" t="s">
        <v>53</v>
      </c>
      <c r="N1149" t="s">
        <v>43</v>
      </c>
      <c r="O1149" t="s">
        <v>85</v>
      </c>
      <c r="P1149">
        <v>151</v>
      </c>
      <c r="Q1149">
        <v>151</v>
      </c>
      <c r="R1149">
        <v>51</v>
      </c>
      <c r="S1149" t="s">
        <v>45</v>
      </c>
      <c r="T1149">
        <v>0.05</v>
      </c>
      <c r="U1149">
        <v>271</v>
      </c>
      <c r="V1149" t="s">
        <v>55</v>
      </c>
      <c r="W1149">
        <v>0.27</v>
      </c>
      <c r="X1149">
        <v>5001</v>
      </c>
      <c r="Y1149" t="s">
        <v>47</v>
      </c>
      <c r="Z1149">
        <v>5</v>
      </c>
      <c r="AA1149">
        <v>456</v>
      </c>
      <c r="AB1149" t="s">
        <v>47</v>
      </c>
      <c r="AC1149">
        <v>0.45500000000000002</v>
      </c>
      <c r="AD1149">
        <v>650</v>
      </c>
      <c r="AE1149" t="s">
        <v>48</v>
      </c>
      <c r="AF1149">
        <v>0.64900000000000002</v>
      </c>
      <c r="AG1149">
        <v>594</v>
      </c>
      <c r="AH1149" t="s">
        <v>49</v>
      </c>
      <c r="AI1149">
        <v>0.59299999999999997</v>
      </c>
      <c r="AJ1149" t="s">
        <v>1154</v>
      </c>
    </row>
    <row r="1150" spans="1:36" x14ac:dyDescent="0.25">
      <c r="A1150" t="s">
        <v>796</v>
      </c>
      <c r="B1150">
        <v>855771868</v>
      </c>
      <c r="C1150" t="s">
        <v>797</v>
      </c>
      <c r="D1150" t="s">
        <v>797</v>
      </c>
      <c r="E1150" t="s">
        <v>65</v>
      </c>
      <c r="F1150" t="s">
        <v>83</v>
      </c>
      <c r="I1150" t="s">
        <v>39</v>
      </c>
      <c r="J1150" t="s">
        <v>40</v>
      </c>
      <c r="K1150" t="s">
        <v>41</v>
      </c>
      <c r="L1150" t="s">
        <v>53</v>
      </c>
      <c r="N1150" t="s">
        <v>43</v>
      </c>
      <c r="O1150" t="s">
        <v>84</v>
      </c>
      <c r="P1150">
        <v>151</v>
      </c>
      <c r="Q1150">
        <v>151</v>
      </c>
      <c r="S1150" t="s">
        <v>39</v>
      </c>
      <c r="V1150" t="s">
        <v>39</v>
      </c>
      <c r="X1150">
        <v>1</v>
      </c>
      <c r="Y1150" t="s">
        <v>47</v>
      </c>
      <c r="Z1150">
        <v>0</v>
      </c>
      <c r="AA1150">
        <v>266</v>
      </c>
      <c r="AB1150" t="s">
        <v>47</v>
      </c>
      <c r="AC1150">
        <v>0.26500000000000001</v>
      </c>
      <c r="AD1150">
        <v>192</v>
      </c>
      <c r="AE1150" t="s">
        <v>56</v>
      </c>
      <c r="AF1150">
        <v>0.191</v>
      </c>
      <c r="AG1150">
        <v>9</v>
      </c>
      <c r="AH1150" t="s">
        <v>103</v>
      </c>
      <c r="AI1150">
        <v>8.0000000000000002E-3</v>
      </c>
      <c r="AJ1150" t="s">
        <v>1155</v>
      </c>
    </row>
    <row r="1151" spans="1:36" x14ac:dyDescent="0.25">
      <c r="A1151" t="s">
        <v>796</v>
      </c>
      <c r="B1151">
        <v>855771868</v>
      </c>
      <c r="C1151" t="s">
        <v>797</v>
      </c>
      <c r="D1151" t="s">
        <v>797</v>
      </c>
      <c r="E1151" t="s">
        <v>60</v>
      </c>
      <c r="F1151" t="s">
        <v>83</v>
      </c>
      <c r="I1151" t="s">
        <v>39</v>
      </c>
      <c r="J1151" t="s">
        <v>40</v>
      </c>
      <c r="K1151" t="s">
        <v>41</v>
      </c>
      <c r="L1151" t="s">
        <v>53</v>
      </c>
      <c r="N1151" t="s">
        <v>43</v>
      </c>
      <c r="O1151" t="s">
        <v>85</v>
      </c>
      <c r="P1151">
        <v>151</v>
      </c>
      <c r="Q1151">
        <v>151</v>
      </c>
      <c r="S1151" t="s">
        <v>39</v>
      </c>
      <c r="V1151" t="s">
        <v>39</v>
      </c>
      <c r="X1151">
        <v>5001</v>
      </c>
      <c r="Y1151" t="s">
        <v>47</v>
      </c>
      <c r="Z1151">
        <v>5</v>
      </c>
      <c r="AA1151">
        <v>456</v>
      </c>
      <c r="AB1151" t="s">
        <v>47</v>
      </c>
      <c r="AC1151">
        <v>0.45500000000000002</v>
      </c>
      <c r="AD1151">
        <v>650</v>
      </c>
      <c r="AE1151" t="s">
        <v>48</v>
      </c>
      <c r="AF1151">
        <v>0.64900000000000002</v>
      </c>
      <c r="AG1151">
        <v>594</v>
      </c>
      <c r="AH1151" t="s">
        <v>49</v>
      </c>
      <c r="AI1151">
        <v>0.59299999999999997</v>
      </c>
      <c r="AJ1151" t="s">
        <v>1155</v>
      </c>
    </row>
    <row r="1152" spans="1:36" x14ac:dyDescent="0.25">
      <c r="A1152" t="s">
        <v>796</v>
      </c>
      <c r="B1152">
        <v>855771868</v>
      </c>
      <c r="C1152" t="s">
        <v>797</v>
      </c>
      <c r="D1152" t="s">
        <v>797</v>
      </c>
      <c r="E1152" t="s">
        <v>65</v>
      </c>
      <c r="F1152" t="s">
        <v>83</v>
      </c>
      <c r="I1152" t="s">
        <v>39</v>
      </c>
      <c r="J1152" t="s">
        <v>40</v>
      </c>
      <c r="K1152" t="s">
        <v>41</v>
      </c>
      <c r="L1152" t="s">
        <v>53</v>
      </c>
      <c r="N1152" t="s">
        <v>43</v>
      </c>
      <c r="O1152" t="s">
        <v>84</v>
      </c>
      <c r="P1152">
        <v>151</v>
      </c>
      <c r="Q1152">
        <v>151</v>
      </c>
      <c r="S1152" t="s">
        <v>39</v>
      </c>
      <c r="V1152" t="s">
        <v>39</v>
      </c>
      <c r="X1152">
        <v>1</v>
      </c>
      <c r="Y1152" t="s">
        <v>47</v>
      </c>
      <c r="Z1152">
        <v>0</v>
      </c>
      <c r="AA1152">
        <v>266</v>
      </c>
      <c r="AB1152" t="s">
        <v>47</v>
      </c>
      <c r="AC1152">
        <v>0.26500000000000001</v>
      </c>
      <c r="AD1152">
        <v>192</v>
      </c>
      <c r="AE1152" t="s">
        <v>56</v>
      </c>
      <c r="AF1152">
        <v>0.191</v>
      </c>
      <c r="AG1152">
        <v>9</v>
      </c>
      <c r="AH1152" t="s">
        <v>103</v>
      </c>
      <c r="AI1152">
        <v>8.0000000000000002E-3</v>
      </c>
      <c r="AJ1152" t="s">
        <v>1156</v>
      </c>
    </row>
    <row r="1153" spans="1:36" x14ac:dyDescent="0.25">
      <c r="A1153" t="s">
        <v>796</v>
      </c>
      <c r="B1153">
        <v>855771868</v>
      </c>
      <c r="C1153" t="s">
        <v>797</v>
      </c>
      <c r="D1153" t="s">
        <v>797</v>
      </c>
      <c r="E1153" t="s">
        <v>60</v>
      </c>
      <c r="F1153" t="s">
        <v>83</v>
      </c>
      <c r="I1153" t="s">
        <v>39</v>
      </c>
      <c r="J1153" t="s">
        <v>40</v>
      </c>
      <c r="K1153" t="s">
        <v>41</v>
      </c>
      <c r="L1153" t="s">
        <v>53</v>
      </c>
      <c r="N1153" t="s">
        <v>43</v>
      </c>
      <c r="O1153" t="s">
        <v>85</v>
      </c>
      <c r="P1153">
        <v>151</v>
      </c>
      <c r="Q1153">
        <v>151</v>
      </c>
      <c r="S1153" t="s">
        <v>39</v>
      </c>
      <c r="V1153" t="s">
        <v>39</v>
      </c>
      <c r="X1153">
        <v>5001</v>
      </c>
      <c r="Y1153" t="s">
        <v>47</v>
      </c>
      <c r="Z1153">
        <v>5</v>
      </c>
      <c r="AA1153">
        <v>456</v>
      </c>
      <c r="AB1153" t="s">
        <v>47</v>
      </c>
      <c r="AC1153">
        <v>0.45500000000000002</v>
      </c>
      <c r="AD1153">
        <v>650</v>
      </c>
      <c r="AE1153" t="s">
        <v>48</v>
      </c>
      <c r="AF1153">
        <v>0.64900000000000002</v>
      </c>
      <c r="AG1153">
        <v>594</v>
      </c>
      <c r="AH1153" t="s">
        <v>49</v>
      </c>
      <c r="AI1153">
        <v>0.59299999999999997</v>
      </c>
      <c r="AJ1153" t="s">
        <v>1156</v>
      </c>
    </row>
    <row r="1154" spans="1:36" x14ac:dyDescent="0.25">
      <c r="A1154" t="s">
        <v>794</v>
      </c>
      <c r="B1154">
        <v>856173711</v>
      </c>
      <c r="C1154" t="s">
        <v>795</v>
      </c>
      <c r="D1154" t="s">
        <v>795</v>
      </c>
      <c r="E1154" t="s">
        <v>99</v>
      </c>
      <c r="F1154" t="s">
        <v>143</v>
      </c>
      <c r="I1154" t="s">
        <v>39</v>
      </c>
      <c r="J1154" t="s">
        <v>40</v>
      </c>
      <c r="K1154" t="s">
        <v>41</v>
      </c>
      <c r="L1154" t="s">
        <v>137</v>
      </c>
      <c r="M1154" t="s">
        <v>73</v>
      </c>
      <c r="N1154" t="s">
        <v>43</v>
      </c>
      <c r="O1154" t="s">
        <v>288</v>
      </c>
      <c r="P1154">
        <v>152</v>
      </c>
      <c r="Q1154">
        <v>152</v>
      </c>
      <c r="R1154">
        <v>101</v>
      </c>
      <c r="S1154" t="s">
        <v>56</v>
      </c>
      <c r="T1154">
        <v>0.1</v>
      </c>
      <c r="U1154">
        <v>106</v>
      </c>
      <c r="V1154" t="s">
        <v>55</v>
      </c>
      <c r="W1154">
        <v>0.105</v>
      </c>
      <c r="X1154">
        <v>14001</v>
      </c>
      <c r="Y1154" t="s">
        <v>47</v>
      </c>
      <c r="Z1154">
        <v>14</v>
      </c>
      <c r="AA1154">
        <v>499</v>
      </c>
      <c r="AB1154" t="s">
        <v>47</v>
      </c>
      <c r="AC1154">
        <v>0.498</v>
      </c>
      <c r="AD1154">
        <v>624</v>
      </c>
      <c r="AE1154" t="s">
        <v>48</v>
      </c>
      <c r="AF1154">
        <v>0.623</v>
      </c>
      <c r="AG1154">
        <v>828</v>
      </c>
      <c r="AH1154" t="s">
        <v>49</v>
      </c>
      <c r="AI1154">
        <v>0.82699999999999996</v>
      </c>
      <c r="AJ1154" t="s">
        <v>50</v>
      </c>
    </row>
    <row r="1155" spans="1:36" x14ac:dyDescent="0.25">
      <c r="A1155" t="s">
        <v>794</v>
      </c>
      <c r="B1155">
        <v>856173711</v>
      </c>
      <c r="C1155" t="s">
        <v>795</v>
      </c>
      <c r="D1155" t="s">
        <v>795</v>
      </c>
      <c r="E1155" t="s">
        <v>99</v>
      </c>
      <c r="F1155" t="s">
        <v>143</v>
      </c>
      <c r="I1155" t="s">
        <v>39</v>
      </c>
      <c r="J1155" t="s">
        <v>40</v>
      </c>
      <c r="K1155" t="s">
        <v>41</v>
      </c>
      <c r="L1155" t="s">
        <v>137</v>
      </c>
      <c r="M1155" t="s">
        <v>73</v>
      </c>
      <c r="N1155" t="s">
        <v>43</v>
      </c>
      <c r="O1155" t="s">
        <v>288</v>
      </c>
      <c r="P1155">
        <v>152</v>
      </c>
      <c r="Q1155">
        <v>152</v>
      </c>
      <c r="R1155">
        <v>81</v>
      </c>
      <c r="S1155" t="s">
        <v>56</v>
      </c>
      <c r="T1155">
        <v>0.08</v>
      </c>
      <c r="U1155">
        <v>140</v>
      </c>
      <c r="V1155" t="s">
        <v>55</v>
      </c>
      <c r="W1155">
        <v>0.13900000000000001</v>
      </c>
      <c r="X1155">
        <v>14001</v>
      </c>
      <c r="Y1155" t="s">
        <v>47</v>
      </c>
      <c r="Z1155">
        <v>14</v>
      </c>
      <c r="AA1155">
        <v>499</v>
      </c>
      <c r="AB1155" t="s">
        <v>47</v>
      </c>
      <c r="AC1155">
        <v>0.498</v>
      </c>
      <c r="AD1155">
        <v>624</v>
      </c>
      <c r="AE1155" t="s">
        <v>48</v>
      </c>
      <c r="AF1155">
        <v>0.623</v>
      </c>
      <c r="AG1155">
        <v>828</v>
      </c>
      <c r="AH1155" t="s">
        <v>49</v>
      </c>
      <c r="AI1155">
        <v>0.82699999999999996</v>
      </c>
      <c r="AJ1155" t="s">
        <v>1141</v>
      </c>
    </row>
    <row r="1156" spans="1:36" x14ac:dyDescent="0.25">
      <c r="A1156" t="s">
        <v>794</v>
      </c>
      <c r="B1156">
        <v>856173711</v>
      </c>
      <c r="C1156" t="s">
        <v>795</v>
      </c>
      <c r="D1156" t="s">
        <v>795</v>
      </c>
      <c r="E1156" t="s">
        <v>99</v>
      </c>
      <c r="F1156" t="s">
        <v>143</v>
      </c>
      <c r="I1156" t="s">
        <v>39</v>
      </c>
      <c r="J1156" t="s">
        <v>40</v>
      </c>
      <c r="K1156" t="s">
        <v>41</v>
      </c>
      <c r="L1156" t="s">
        <v>137</v>
      </c>
      <c r="M1156" t="s">
        <v>73</v>
      </c>
      <c r="N1156" t="s">
        <v>43</v>
      </c>
      <c r="O1156" t="s">
        <v>288</v>
      </c>
      <c r="P1156">
        <v>152</v>
      </c>
      <c r="Q1156">
        <v>152</v>
      </c>
      <c r="R1156">
        <v>101</v>
      </c>
      <c r="S1156" t="s">
        <v>56</v>
      </c>
      <c r="T1156">
        <v>0.1</v>
      </c>
      <c r="U1156">
        <v>106</v>
      </c>
      <c r="V1156" t="s">
        <v>55</v>
      </c>
      <c r="W1156">
        <v>0.105</v>
      </c>
      <c r="X1156">
        <v>14001</v>
      </c>
      <c r="Y1156" t="s">
        <v>47</v>
      </c>
      <c r="Z1156">
        <v>14</v>
      </c>
      <c r="AA1156">
        <v>499</v>
      </c>
      <c r="AB1156" t="s">
        <v>47</v>
      </c>
      <c r="AC1156">
        <v>0.498</v>
      </c>
      <c r="AD1156">
        <v>624</v>
      </c>
      <c r="AE1156" t="s">
        <v>48</v>
      </c>
      <c r="AF1156">
        <v>0.623</v>
      </c>
      <c r="AG1156">
        <v>828</v>
      </c>
      <c r="AH1156" t="s">
        <v>49</v>
      </c>
      <c r="AI1156">
        <v>0.82699999999999996</v>
      </c>
      <c r="AJ1156" t="s">
        <v>1153</v>
      </c>
    </row>
    <row r="1157" spans="1:36" x14ac:dyDescent="0.25">
      <c r="A1157" t="s">
        <v>794</v>
      </c>
      <c r="B1157">
        <v>856173711</v>
      </c>
      <c r="C1157" t="s">
        <v>795</v>
      </c>
      <c r="D1157" t="s">
        <v>795</v>
      </c>
      <c r="E1157" t="s">
        <v>99</v>
      </c>
      <c r="F1157" t="s">
        <v>143</v>
      </c>
      <c r="I1157" t="s">
        <v>39</v>
      </c>
      <c r="J1157" t="s">
        <v>40</v>
      </c>
      <c r="K1157" t="s">
        <v>41</v>
      </c>
      <c r="L1157" t="s">
        <v>137</v>
      </c>
      <c r="M1157" t="s">
        <v>73</v>
      </c>
      <c r="N1157" t="s">
        <v>43</v>
      </c>
      <c r="O1157" t="s">
        <v>288</v>
      </c>
      <c r="P1157">
        <v>152</v>
      </c>
      <c r="Q1157">
        <v>152</v>
      </c>
      <c r="R1157">
        <v>101</v>
      </c>
      <c r="S1157" t="s">
        <v>56</v>
      </c>
      <c r="T1157">
        <v>0.1</v>
      </c>
      <c r="U1157">
        <v>106</v>
      </c>
      <c r="V1157" t="s">
        <v>55</v>
      </c>
      <c r="W1157">
        <v>0.105</v>
      </c>
      <c r="X1157">
        <v>14001</v>
      </c>
      <c r="Y1157" t="s">
        <v>47</v>
      </c>
      <c r="Z1157">
        <v>14</v>
      </c>
      <c r="AA1157">
        <v>499</v>
      </c>
      <c r="AB1157" t="s">
        <v>47</v>
      </c>
      <c r="AC1157">
        <v>0.498</v>
      </c>
      <c r="AD1157">
        <v>624</v>
      </c>
      <c r="AE1157" t="s">
        <v>48</v>
      </c>
      <c r="AF1157">
        <v>0.623</v>
      </c>
      <c r="AG1157">
        <v>828</v>
      </c>
      <c r="AH1157" t="s">
        <v>49</v>
      </c>
      <c r="AI1157">
        <v>0.82699999999999996</v>
      </c>
      <c r="AJ1157" t="s">
        <v>1154</v>
      </c>
    </row>
    <row r="1158" spans="1:36" x14ac:dyDescent="0.25">
      <c r="A1158" t="s">
        <v>794</v>
      </c>
      <c r="B1158">
        <v>856173711</v>
      </c>
      <c r="C1158" t="s">
        <v>795</v>
      </c>
      <c r="D1158" t="s">
        <v>795</v>
      </c>
      <c r="E1158" t="s">
        <v>99</v>
      </c>
      <c r="F1158" t="s">
        <v>143</v>
      </c>
      <c r="I1158" t="s">
        <v>39</v>
      </c>
      <c r="J1158" t="s">
        <v>40</v>
      </c>
      <c r="K1158" t="s">
        <v>41</v>
      </c>
      <c r="L1158" t="s">
        <v>137</v>
      </c>
      <c r="M1158" t="s">
        <v>73</v>
      </c>
      <c r="N1158" t="s">
        <v>43</v>
      </c>
      <c r="O1158" t="s">
        <v>288</v>
      </c>
      <c r="P1158">
        <v>152</v>
      </c>
      <c r="Q1158">
        <v>152</v>
      </c>
      <c r="S1158" t="s">
        <v>39</v>
      </c>
      <c r="V1158" t="s">
        <v>39</v>
      </c>
      <c r="X1158">
        <v>14001</v>
      </c>
      <c r="Y1158" t="s">
        <v>47</v>
      </c>
      <c r="Z1158">
        <v>14</v>
      </c>
      <c r="AA1158">
        <v>499</v>
      </c>
      <c r="AB1158" t="s">
        <v>47</v>
      </c>
      <c r="AC1158">
        <v>0.498</v>
      </c>
      <c r="AD1158">
        <v>624</v>
      </c>
      <c r="AE1158" t="s">
        <v>48</v>
      </c>
      <c r="AF1158">
        <v>0.623</v>
      </c>
      <c r="AG1158">
        <v>828</v>
      </c>
      <c r="AH1158" t="s">
        <v>49</v>
      </c>
      <c r="AI1158">
        <v>0.82699999999999996</v>
      </c>
      <c r="AJ1158" t="s">
        <v>1155</v>
      </c>
    </row>
    <row r="1159" spans="1:36" x14ac:dyDescent="0.25">
      <c r="A1159" t="s">
        <v>794</v>
      </c>
      <c r="B1159">
        <v>856173711</v>
      </c>
      <c r="C1159" t="s">
        <v>795</v>
      </c>
      <c r="D1159" t="s">
        <v>795</v>
      </c>
      <c r="E1159" t="s">
        <v>99</v>
      </c>
      <c r="F1159" t="s">
        <v>143</v>
      </c>
      <c r="I1159" t="s">
        <v>39</v>
      </c>
      <c r="J1159" t="s">
        <v>40</v>
      </c>
      <c r="K1159" t="s">
        <v>41</v>
      </c>
      <c r="L1159" t="s">
        <v>137</v>
      </c>
      <c r="M1159" t="s">
        <v>73</v>
      </c>
      <c r="N1159" t="s">
        <v>43</v>
      </c>
      <c r="O1159" t="s">
        <v>288</v>
      </c>
      <c r="P1159">
        <v>152</v>
      </c>
      <c r="Q1159">
        <v>152</v>
      </c>
      <c r="S1159" t="s">
        <v>39</v>
      </c>
      <c r="V1159" t="s">
        <v>39</v>
      </c>
      <c r="X1159">
        <v>14001</v>
      </c>
      <c r="Y1159" t="s">
        <v>47</v>
      </c>
      <c r="Z1159">
        <v>14</v>
      </c>
      <c r="AA1159">
        <v>499</v>
      </c>
      <c r="AB1159" t="s">
        <v>47</v>
      </c>
      <c r="AC1159">
        <v>0.498</v>
      </c>
      <c r="AD1159">
        <v>624</v>
      </c>
      <c r="AE1159" t="s">
        <v>48</v>
      </c>
      <c r="AF1159">
        <v>0.623</v>
      </c>
      <c r="AG1159">
        <v>828</v>
      </c>
      <c r="AH1159" t="s">
        <v>49</v>
      </c>
      <c r="AI1159">
        <v>0.82699999999999996</v>
      </c>
      <c r="AJ1159" t="s">
        <v>1156</v>
      </c>
    </row>
    <row r="1160" spans="1:36" x14ac:dyDescent="0.25">
      <c r="A1160" t="s">
        <v>792</v>
      </c>
      <c r="B1160">
        <v>853315524</v>
      </c>
      <c r="C1160" t="s">
        <v>793</v>
      </c>
      <c r="D1160" t="s">
        <v>793</v>
      </c>
      <c r="E1160" t="s">
        <v>99</v>
      </c>
      <c r="F1160" t="s">
        <v>143</v>
      </c>
      <c r="I1160" t="s">
        <v>39</v>
      </c>
      <c r="J1160" t="s">
        <v>40</v>
      </c>
      <c r="K1160" t="s">
        <v>41</v>
      </c>
      <c r="L1160" t="s">
        <v>101</v>
      </c>
      <c r="M1160" t="s">
        <v>73</v>
      </c>
      <c r="N1160" t="s">
        <v>43</v>
      </c>
      <c r="O1160" t="s">
        <v>332</v>
      </c>
      <c r="P1160">
        <v>153</v>
      </c>
      <c r="Q1160">
        <v>153</v>
      </c>
      <c r="R1160">
        <v>21</v>
      </c>
      <c r="S1160" t="s">
        <v>45</v>
      </c>
      <c r="T1160">
        <v>0.02</v>
      </c>
      <c r="U1160">
        <v>705</v>
      </c>
      <c r="V1160" t="s">
        <v>113</v>
      </c>
      <c r="W1160">
        <v>0.70399999999999996</v>
      </c>
      <c r="X1160">
        <v>18001</v>
      </c>
      <c r="Y1160" t="s">
        <v>47</v>
      </c>
      <c r="Z1160">
        <v>18</v>
      </c>
      <c r="AA1160">
        <v>150</v>
      </c>
      <c r="AB1160" t="s">
        <v>47</v>
      </c>
      <c r="AC1160">
        <v>0.14899999999999999</v>
      </c>
      <c r="AD1160">
        <v>551</v>
      </c>
      <c r="AE1160" t="s">
        <v>48</v>
      </c>
      <c r="AF1160">
        <v>0.55000000000000004</v>
      </c>
      <c r="AG1160">
        <v>348</v>
      </c>
      <c r="AH1160" t="s">
        <v>57</v>
      </c>
      <c r="AI1160">
        <v>0.34699999999999998</v>
      </c>
      <c r="AJ1160" t="s">
        <v>50</v>
      </c>
    </row>
    <row r="1161" spans="1:36" x14ac:dyDescent="0.25">
      <c r="A1161" t="s">
        <v>792</v>
      </c>
      <c r="B1161">
        <v>853315524</v>
      </c>
      <c r="C1161" t="s">
        <v>793</v>
      </c>
      <c r="D1161" t="s">
        <v>793</v>
      </c>
      <c r="E1161" t="s">
        <v>99</v>
      </c>
      <c r="F1161" t="s">
        <v>143</v>
      </c>
      <c r="I1161" t="s">
        <v>39</v>
      </c>
      <c r="J1161" t="s">
        <v>40</v>
      </c>
      <c r="K1161" t="s">
        <v>41</v>
      </c>
      <c r="L1161" t="s">
        <v>101</v>
      </c>
      <c r="M1161" t="s">
        <v>73</v>
      </c>
      <c r="N1161" t="s">
        <v>43</v>
      </c>
      <c r="O1161" t="s">
        <v>332</v>
      </c>
      <c r="P1161">
        <v>153</v>
      </c>
      <c r="Q1161">
        <v>153</v>
      </c>
      <c r="R1161">
        <v>51</v>
      </c>
      <c r="S1161" t="s">
        <v>45</v>
      </c>
      <c r="T1161">
        <v>0.05</v>
      </c>
      <c r="U1161">
        <v>56</v>
      </c>
      <c r="V1161" t="s">
        <v>55</v>
      </c>
      <c r="W1161">
        <v>5.5E-2</v>
      </c>
      <c r="X1161">
        <v>18001</v>
      </c>
      <c r="Y1161" t="s">
        <v>47</v>
      </c>
      <c r="Z1161">
        <v>18</v>
      </c>
      <c r="AA1161">
        <v>150</v>
      </c>
      <c r="AB1161" t="s">
        <v>47</v>
      </c>
      <c r="AC1161">
        <v>0.14899999999999999</v>
      </c>
      <c r="AD1161">
        <v>551</v>
      </c>
      <c r="AE1161" t="s">
        <v>48</v>
      </c>
      <c r="AF1161">
        <v>0.55000000000000004</v>
      </c>
      <c r="AG1161">
        <v>348</v>
      </c>
      <c r="AH1161" t="s">
        <v>57</v>
      </c>
      <c r="AI1161">
        <v>0.34699999999999998</v>
      </c>
      <c r="AJ1161" t="s">
        <v>1141</v>
      </c>
    </row>
    <row r="1162" spans="1:36" x14ac:dyDescent="0.25">
      <c r="A1162" t="s">
        <v>792</v>
      </c>
      <c r="B1162">
        <v>853315524</v>
      </c>
      <c r="C1162" t="s">
        <v>793</v>
      </c>
      <c r="D1162" t="s">
        <v>793</v>
      </c>
      <c r="E1162" t="s">
        <v>99</v>
      </c>
      <c r="F1162" t="s">
        <v>143</v>
      </c>
      <c r="I1162" t="s">
        <v>39</v>
      </c>
      <c r="J1162" t="s">
        <v>40</v>
      </c>
      <c r="K1162" t="s">
        <v>41</v>
      </c>
      <c r="L1162" t="s">
        <v>101</v>
      </c>
      <c r="M1162" t="s">
        <v>73</v>
      </c>
      <c r="N1162" t="s">
        <v>43</v>
      </c>
      <c r="O1162" t="s">
        <v>332</v>
      </c>
      <c r="P1162">
        <v>153</v>
      </c>
      <c r="Q1162">
        <v>153</v>
      </c>
      <c r="R1162">
        <v>21</v>
      </c>
      <c r="S1162" t="s">
        <v>45</v>
      </c>
      <c r="T1162">
        <v>0.02</v>
      </c>
      <c r="U1162">
        <v>705</v>
      </c>
      <c r="V1162" t="s">
        <v>113</v>
      </c>
      <c r="W1162">
        <v>0.70399999999999996</v>
      </c>
      <c r="X1162">
        <v>18001</v>
      </c>
      <c r="Y1162" t="s">
        <v>47</v>
      </c>
      <c r="Z1162">
        <v>18</v>
      </c>
      <c r="AA1162">
        <v>150</v>
      </c>
      <c r="AB1162" t="s">
        <v>47</v>
      </c>
      <c r="AC1162">
        <v>0.14899999999999999</v>
      </c>
      <c r="AD1162">
        <v>551</v>
      </c>
      <c r="AE1162" t="s">
        <v>48</v>
      </c>
      <c r="AF1162">
        <v>0.55000000000000004</v>
      </c>
      <c r="AG1162">
        <v>348</v>
      </c>
      <c r="AH1162" t="s">
        <v>57</v>
      </c>
      <c r="AI1162">
        <v>0.34699999999999998</v>
      </c>
      <c r="AJ1162" t="s">
        <v>1153</v>
      </c>
    </row>
    <row r="1163" spans="1:36" x14ac:dyDescent="0.25">
      <c r="A1163" t="s">
        <v>792</v>
      </c>
      <c r="B1163">
        <v>853315524</v>
      </c>
      <c r="C1163" t="s">
        <v>793</v>
      </c>
      <c r="D1163" t="s">
        <v>793</v>
      </c>
      <c r="E1163" t="s">
        <v>99</v>
      </c>
      <c r="F1163" t="s">
        <v>143</v>
      </c>
      <c r="I1163" t="s">
        <v>39</v>
      </c>
      <c r="J1163" t="s">
        <v>40</v>
      </c>
      <c r="K1163" t="s">
        <v>41</v>
      </c>
      <c r="L1163" t="s">
        <v>101</v>
      </c>
      <c r="M1163" t="s">
        <v>73</v>
      </c>
      <c r="N1163" t="s">
        <v>43</v>
      </c>
      <c r="O1163" t="s">
        <v>332</v>
      </c>
      <c r="P1163">
        <v>153</v>
      </c>
      <c r="Q1163">
        <v>153</v>
      </c>
      <c r="R1163">
        <v>21</v>
      </c>
      <c r="S1163" t="s">
        <v>45</v>
      </c>
      <c r="T1163">
        <v>0.02</v>
      </c>
      <c r="U1163">
        <v>705</v>
      </c>
      <c r="V1163" t="s">
        <v>113</v>
      </c>
      <c r="W1163">
        <v>0.70399999999999996</v>
      </c>
      <c r="X1163">
        <v>18001</v>
      </c>
      <c r="Y1163" t="s">
        <v>47</v>
      </c>
      <c r="Z1163">
        <v>18</v>
      </c>
      <c r="AA1163">
        <v>150</v>
      </c>
      <c r="AB1163" t="s">
        <v>47</v>
      </c>
      <c r="AC1163">
        <v>0.14899999999999999</v>
      </c>
      <c r="AD1163">
        <v>551</v>
      </c>
      <c r="AE1163" t="s">
        <v>48</v>
      </c>
      <c r="AF1163">
        <v>0.55000000000000004</v>
      </c>
      <c r="AG1163">
        <v>348</v>
      </c>
      <c r="AH1163" t="s">
        <v>57</v>
      </c>
      <c r="AI1163">
        <v>0.34699999999999998</v>
      </c>
      <c r="AJ1163" t="s">
        <v>1154</v>
      </c>
    </row>
    <row r="1164" spans="1:36" x14ac:dyDescent="0.25">
      <c r="A1164" t="s">
        <v>792</v>
      </c>
      <c r="B1164">
        <v>853315524</v>
      </c>
      <c r="C1164" t="s">
        <v>793</v>
      </c>
      <c r="D1164" t="s">
        <v>793</v>
      </c>
      <c r="E1164" t="s">
        <v>99</v>
      </c>
      <c r="F1164" t="s">
        <v>143</v>
      </c>
      <c r="I1164" t="s">
        <v>39</v>
      </c>
      <c r="J1164" t="s">
        <v>40</v>
      </c>
      <c r="K1164" t="s">
        <v>41</v>
      </c>
      <c r="L1164" t="s">
        <v>101</v>
      </c>
      <c r="M1164" t="s">
        <v>73</v>
      </c>
      <c r="N1164" t="s">
        <v>43</v>
      </c>
      <c r="O1164" t="s">
        <v>332</v>
      </c>
      <c r="P1164">
        <v>153</v>
      </c>
      <c r="Q1164">
        <v>153</v>
      </c>
      <c r="S1164" t="s">
        <v>39</v>
      </c>
      <c r="V1164" t="s">
        <v>39</v>
      </c>
      <c r="X1164">
        <v>18001</v>
      </c>
      <c r="Y1164" t="s">
        <v>47</v>
      </c>
      <c r="Z1164">
        <v>18</v>
      </c>
      <c r="AA1164">
        <v>150</v>
      </c>
      <c r="AB1164" t="s">
        <v>47</v>
      </c>
      <c r="AC1164">
        <v>0.14899999999999999</v>
      </c>
      <c r="AD1164">
        <v>551</v>
      </c>
      <c r="AE1164" t="s">
        <v>48</v>
      </c>
      <c r="AF1164">
        <v>0.55000000000000004</v>
      </c>
      <c r="AG1164">
        <v>348</v>
      </c>
      <c r="AH1164" t="s">
        <v>57</v>
      </c>
      <c r="AI1164">
        <v>0.34699999999999998</v>
      </c>
      <c r="AJ1164" t="s">
        <v>1155</v>
      </c>
    </row>
    <row r="1165" spans="1:36" x14ac:dyDescent="0.25">
      <c r="A1165" t="s">
        <v>792</v>
      </c>
      <c r="B1165">
        <v>853315524</v>
      </c>
      <c r="C1165" t="s">
        <v>793</v>
      </c>
      <c r="D1165" t="s">
        <v>793</v>
      </c>
      <c r="E1165" t="s">
        <v>99</v>
      </c>
      <c r="F1165" t="s">
        <v>143</v>
      </c>
      <c r="I1165" t="s">
        <v>39</v>
      </c>
      <c r="J1165" t="s">
        <v>40</v>
      </c>
      <c r="K1165" t="s">
        <v>41</v>
      </c>
      <c r="L1165" t="s">
        <v>101</v>
      </c>
      <c r="M1165" t="s">
        <v>73</v>
      </c>
      <c r="N1165" t="s">
        <v>43</v>
      </c>
      <c r="O1165" t="s">
        <v>332</v>
      </c>
      <c r="P1165">
        <v>153</v>
      </c>
      <c r="Q1165">
        <v>153</v>
      </c>
      <c r="S1165" t="s">
        <v>39</v>
      </c>
      <c r="V1165" t="s">
        <v>39</v>
      </c>
      <c r="X1165">
        <v>18001</v>
      </c>
      <c r="Y1165" t="s">
        <v>47</v>
      </c>
      <c r="Z1165">
        <v>18</v>
      </c>
      <c r="AA1165">
        <v>150</v>
      </c>
      <c r="AB1165" t="s">
        <v>47</v>
      </c>
      <c r="AC1165">
        <v>0.14899999999999999</v>
      </c>
      <c r="AD1165">
        <v>551</v>
      </c>
      <c r="AE1165" t="s">
        <v>48</v>
      </c>
      <c r="AF1165">
        <v>0.55000000000000004</v>
      </c>
      <c r="AG1165">
        <v>348</v>
      </c>
      <c r="AH1165" t="s">
        <v>57</v>
      </c>
      <c r="AI1165">
        <v>0.34699999999999998</v>
      </c>
      <c r="AJ1165" t="s">
        <v>1156</v>
      </c>
    </row>
    <row r="1166" spans="1:36" x14ac:dyDescent="0.25">
      <c r="A1166" t="s">
        <v>790</v>
      </c>
      <c r="B1166">
        <v>855223373</v>
      </c>
      <c r="C1166" t="s">
        <v>791</v>
      </c>
      <c r="D1166" t="s">
        <v>791</v>
      </c>
      <c r="E1166" t="s">
        <v>65</v>
      </c>
      <c r="F1166" t="s">
        <v>93</v>
      </c>
      <c r="G1166" t="s">
        <v>65</v>
      </c>
      <c r="H1166">
        <v>1.9623199999999999E-4</v>
      </c>
      <c r="I1166" t="s">
        <v>268</v>
      </c>
      <c r="J1166" t="s">
        <v>40</v>
      </c>
      <c r="K1166" t="s">
        <v>41</v>
      </c>
      <c r="L1166" t="s">
        <v>269</v>
      </c>
      <c r="N1166" t="s">
        <v>43</v>
      </c>
      <c r="O1166" t="s">
        <v>483</v>
      </c>
      <c r="P1166">
        <v>154</v>
      </c>
      <c r="Q1166">
        <v>154</v>
      </c>
      <c r="R1166">
        <v>1</v>
      </c>
      <c r="S1166" t="s">
        <v>45</v>
      </c>
      <c r="T1166">
        <v>0</v>
      </c>
      <c r="U1166">
        <v>1001</v>
      </c>
      <c r="V1166" t="s">
        <v>46</v>
      </c>
      <c r="W1166">
        <v>1</v>
      </c>
      <c r="X1166">
        <v>23001</v>
      </c>
      <c r="Y1166" t="s">
        <v>47</v>
      </c>
      <c r="Z1166">
        <v>23</v>
      </c>
      <c r="AA1166">
        <v>875</v>
      </c>
      <c r="AB1166" t="s">
        <v>75</v>
      </c>
      <c r="AC1166">
        <v>0.874</v>
      </c>
      <c r="AD1166">
        <v>931</v>
      </c>
      <c r="AE1166" t="s">
        <v>48</v>
      </c>
      <c r="AF1166">
        <v>0.93</v>
      </c>
      <c r="AG1166">
        <v>971</v>
      </c>
      <c r="AH1166" t="s">
        <v>80</v>
      </c>
      <c r="AI1166">
        <v>0.97</v>
      </c>
      <c r="AJ1166" t="s">
        <v>50</v>
      </c>
    </row>
    <row r="1167" spans="1:36" x14ac:dyDescent="0.25">
      <c r="A1167" t="s">
        <v>790</v>
      </c>
      <c r="B1167">
        <v>855223373</v>
      </c>
      <c r="C1167" t="s">
        <v>791</v>
      </c>
      <c r="D1167" t="s">
        <v>791</v>
      </c>
      <c r="E1167" t="s">
        <v>65</v>
      </c>
      <c r="F1167" t="s">
        <v>93</v>
      </c>
      <c r="G1167" t="s">
        <v>65</v>
      </c>
      <c r="H1167">
        <v>1.9623199999999999E-4</v>
      </c>
      <c r="I1167" t="s">
        <v>268</v>
      </c>
      <c r="J1167" t="s">
        <v>40</v>
      </c>
      <c r="K1167" t="s">
        <v>41</v>
      </c>
      <c r="L1167" t="s">
        <v>269</v>
      </c>
      <c r="N1167" t="s">
        <v>43</v>
      </c>
      <c r="O1167" t="s">
        <v>483</v>
      </c>
      <c r="P1167">
        <v>154</v>
      </c>
      <c r="Q1167">
        <v>154</v>
      </c>
      <c r="R1167">
        <v>1</v>
      </c>
      <c r="S1167" t="s">
        <v>45</v>
      </c>
      <c r="T1167">
        <v>0</v>
      </c>
      <c r="U1167">
        <v>1000</v>
      </c>
      <c r="V1167" t="s">
        <v>46</v>
      </c>
      <c r="W1167">
        <v>0.999</v>
      </c>
      <c r="X1167">
        <v>23001</v>
      </c>
      <c r="Y1167" t="s">
        <v>47</v>
      </c>
      <c r="Z1167">
        <v>23</v>
      </c>
      <c r="AA1167">
        <v>875</v>
      </c>
      <c r="AB1167" t="s">
        <v>75</v>
      </c>
      <c r="AC1167">
        <v>0.874</v>
      </c>
      <c r="AD1167">
        <v>931</v>
      </c>
      <c r="AE1167" t="s">
        <v>48</v>
      </c>
      <c r="AF1167">
        <v>0.93</v>
      </c>
      <c r="AG1167">
        <v>971</v>
      </c>
      <c r="AH1167" t="s">
        <v>80</v>
      </c>
      <c r="AI1167">
        <v>0.97</v>
      </c>
      <c r="AJ1167" t="s">
        <v>1141</v>
      </c>
    </row>
    <row r="1168" spans="1:36" x14ac:dyDescent="0.25">
      <c r="A1168" t="s">
        <v>790</v>
      </c>
      <c r="B1168">
        <v>855223373</v>
      </c>
      <c r="C1168" t="s">
        <v>791</v>
      </c>
      <c r="D1168" t="s">
        <v>791</v>
      </c>
      <c r="E1168" t="s">
        <v>65</v>
      </c>
      <c r="F1168" t="s">
        <v>93</v>
      </c>
      <c r="G1168" t="s">
        <v>65</v>
      </c>
      <c r="H1168">
        <v>1.9623199999999999E-4</v>
      </c>
      <c r="I1168" t="s">
        <v>268</v>
      </c>
      <c r="J1168" t="s">
        <v>40</v>
      </c>
      <c r="K1168" t="s">
        <v>41</v>
      </c>
      <c r="L1168" t="s">
        <v>269</v>
      </c>
      <c r="N1168" t="s">
        <v>43</v>
      </c>
      <c r="O1168" t="s">
        <v>483</v>
      </c>
      <c r="P1168">
        <v>154</v>
      </c>
      <c r="Q1168">
        <v>154</v>
      </c>
      <c r="R1168">
        <v>1</v>
      </c>
      <c r="S1168" t="s">
        <v>45</v>
      </c>
      <c r="T1168">
        <v>0</v>
      </c>
      <c r="U1168">
        <v>1001</v>
      </c>
      <c r="V1168" t="s">
        <v>46</v>
      </c>
      <c r="W1168">
        <v>1</v>
      </c>
      <c r="X1168">
        <v>23001</v>
      </c>
      <c r="Y1168" t="s">
        <v>47</v>
      </c>
      <c r="Z1168">
        <v>23</v>
      </c>
      <c r="AA1168">
        <v>875</v>
      </c>
      <c r="AB1168" t="s">
        <v>75</v>
      </c>
      <c r="AC1168">
        <v>0.874</v>
      </c>
      <c r="AD1168">
        <v>931</v>
      </c>
      <c r="AE1168" t="s">
        <v>48</v>
      </c>
      <c r="AF1168">
        <v>0.93</v>
      </c>
      <c r="AG1168">
        <v>971</v>
      </c>
      <c r="AH1168" t="s">
        <v>80</v>
      </c>
      <c r="AI1168">
        <v>0.97</v>
      </c>
      <c r="AJ1168" t="s">
        <v>1153</v>
      </c>
    </row>
    <row r="1169" spans="1:36" x14ac:dyDescent="0.25">
      <c r="A1169" t="s">
        <v>790</v>
      </c>
      <c r="B1169">
        <v>855223373</v>
      </c>
      <c r="C1169" t="s">
        <v>791</v>
      </c>
      <c r="D1169" t="s">
        <v>791</v>
      </c>
      <c r="E1169" t="s">
        <v>65</v>
      </c>
      <c r="F1169" t="s">
        <v>93</v>
      </c>
      <c r="G1169" t="s">
        <v>65</v>
      </c>
      <c r="H1169">
        <v>1.9623199999999999E-4</v>
      </c>
      <c r="I1169" t="s">
        <v>268</v>
      </c>
      <c r="J1169" t="s">
        <v>40</v>
      </c>
      <c r="K1169" t="s">
        <v>41</v>
      </c>
      <c r="L1169" t="s">
        <v>269</v>
      </c>
      <c r="N1169" t="s">
        <v>43</v>
      </c>
      <c r="O1169" t="s">
        <v>483</v>
      </c>
      <c r="P1169">
        <v>154</v>
      </c>
      <c r="Q1169">
        <v>154</v>
      </c>
      <c r="R1169">
        <v>1</v>
      </c>
      <c r="S1169" t="s">
        <v>45</v>
      </c>
      <c r="T1169">
        <v>0</v>
      </c>
      <c r="U1169">
        <v>1001</v>
      </c>
      <c r="V1169" t="s">
        <v>46</v>
      </c>
      <c r="W1169">
        <v>1</v>
      </c>
      <c r="X1169">
        <v>23001</v>
      </c>
      <c r="Y1169" t="s">
        <v>47</v>
      </c>
      <c r="Z1169">
        <v>23</v>
      </c>
      <c r="AA1169">
        <v>875</v>
      </c>
      <c r="AB1169" t="s">
        <v>75</v>
      </c>
      <c r="AC1169">
        <v>0.874</v>
      </c>
      <c r="AD1169">
        <v>931</v>
      </c>
      <c r="AE1169" t="s">
        <v>48</v>
      </c>
      <c r="AF1169">
        <v>0.93</v>
      </c>
      <c r="AG1169">
        <v>971</v>
      </c>
      <c r="AH1169" t="s">
        <v>80</v>
      </c>
      <c r="AI1169">
        <v>0.97</v>
      </c>
      <c r="AJ1169" t="s">
        <v>1154</v>
      </c>
    </row>
    <row r="1170" spans="1:36" x14ac:dyDescent="0.25">
      <c r="A1170" t="s">
        <v>790</v>
      </c>
      <c r="B1170">
        <v>855223373</v>
      </c>
      <c r="C1170" t="s">
        <v>791</v>
      </c>
      <c r="D1170" t="s">
        <v>791</v>
      </c>
      <c r="E1170" t="s">
        <v>65</v>
      </c>
      <c r="F1170" t="s">
        <v>93</v>
      </c>
      <c r="G1170" t="s">
        <v>65</v>
      </c>
      <c r="H1170">
        <v>1.9623199999999999E-4</v>
      </c>
      <c r="I1170" t="s">
        <v>268</v>
      </c>
      <c r="J1170" t="s">
        <v>40</v>
      </c>
      <c r="K1170" t="s">
        <v>41</v>
      </c>
      <c r="L1170" t="s">
        <v>269</v>
      </c>
      <c r="N1170" t="s">
        <v>43</v>
      </c>
      <c r="O1170" t="s">
        <v>483</v>
      </c>
      <c r="P1170">
        <v>154</v>
      </c>
      <c r="Q1170">
        <v>154</v>
      </c>
      <c r="S1170" t="s">
        <v>39</v>
      </c>
      <c r="V1170" t="s">
        <v>39</v>
      </c>
      <c r="X1170">
        <v>23001</v>
      </c>
      <c r="Y1170" t="s">
        <v>47</v>
      </c>
      <c r="Z1170">
        <v>23</v>
      </c>
      <c r="AA1170">
        <v>875</v>
      </c>
      <c r="AB1170" t="s">
        <v>75</v>
      </c>
      <c r="AC1170">
        <v>0.874</v>
      </c>
      <c r="AD1170">
        <v>931</v>
      </c>
      <c r="AE1170" t="s">
        <v>48</v>
      </c>
      <c r="AF1170">
        <v>0.93</v>
      </c>
      <c r="AG1170">
        <v>971</v>
      </c>
      <c r="AH1170" t="s">
        <v>80</v>
      </c>
      <c r="AI1170">
        <v>0.97</v>
      </c>
      <c r="AJ1170" t="s">
        <v>1155</v>
      </c>
    </row>
    <row r="1171" spans="1:36" x14ac:dyDescent="0.25">
      <c r="A1171" t="s">
        <v>790</v>
      </c>
      <c r="B1171">
        <v>855223373</v>
      </c>
      <c r="C1171" t="s">
        <v>791</v>
      </c>
      <c r="D1171" t="s">
        <v>791</v>
      </c>
      <c r="E1171" t="s">
        <v>65</v>
      </c>
      <c r="F1171" t="s">
        <v>93</v>
      </c>
      <c r="G1171" t="s">
        <v>65</v>
      </c>
      <c r="H1171">
        <v>1.9623199999999999E-4</v>
      </c>
      <c r="I1171" t="s">
        <v>268</v>
      </c>
      <c r="J1171" t="s">
        <v>40</v>
      </c>
      <c r="K1171" t="s">
        <v>41</v>
      </c>
      <c r="L1171" t="s">
        <v>269</v>
      </c>
      <c r="N1171" t="s">
        <v>43</v>
      </c>
      <c r="O1171" t="s">
        <v>483</v>
      </c>
      <c r="P1171">
        <v>154</v>
      </c>
      <c r="Q1171">
        <v>154</v>
      </c>
      <c r="S1171" t="s">
        <v>39</v>
      </c>
      <c r="V1171" t="s">
        <v>39</v>
      </c>
      <c r="X1171">
        <v>23001</v>
      </c>
      <c r="Y1171" t="s">
        <v>47</v>
      </c>
      <c r="Z1171">
        <v>23</v>
      </c>
      <c r="AA1171">
        <v>875</v>
      </c>
      <c r="AB1171" t="s">
        <v>75</v>
      </c>
      <c r="AC1171">
        <v>0.874</v>
      </c>
      <c r="AD1171">
        <v>931</v>
      </c>
      <c r="AE1171" t="s">
        <v>48</v>
      </c>
      <c r="AF1171">
        <v>0.93</v>
      </c>
      <c r="AG1171">
        <v>971</v>
      </c>
      <c r="AH1171" t="s">
        <v>80</v>
      </c>
      <c r="AI1171">
        <v>0.97</v>
      </c>
      <c r="AJ1171" t="s">
        <v>1156</v>
      </c>
    </row>
    <row r="1172" spans="1:36" x14ac:dyDescent="0.25">
      <c r="A1172" t="s">
        <v>788</v>
      </c>
      <c r="B1172">
        <v>852198349</v>
      </c>
      <c r="C1172" t="s">
        <v>789</v>
      </c>
      <c r="D1172" t="s">
        <v>789</v>
      </c>
      <c r="E1172" t="s">
        <v>60</v>
      </c>
      <c r="F1172" t="s">
        <v>191</v>
      </c>
      <c r="I1172" t="s">
        <v>39</v>
      </c>
      <c r="J1172" t="s">
        <v>40</v>
      </c>
      <c r="K1172" t="s">
        <v>41</v>
      </c>
      <c r="L1172" t="s">
        <v>53</v>
      </c>
      <c r="N1172" t="s">
        <v>43</v>
      </c>
      <c r="O1172" t="s">
        <v>194</v>
      </c>
      <c r="P1172">
        <v>156</v>
      </c>
      <c r="Q1172">
        <v>156</v>
      </c>
      <c r="R1172">
        <v>221</v>
      </c>
      <c r="S1172" t="s">
        <v>56</v>
      </c>
      <c r="T1172">
        <v>0.22</v>
      </c>
      <c r="U1172">
        <v>94</v>
      </c>
      <c r="V1172" t="s">
        <v>55</v>
      </c>
      <c r="W1172">
        <v>9.2999999999999999E-2</v>
      </c>
      <c r="X1172">
        <v>11001</v>
      </c>
      <c r="Y1172" t="s">
        <v>47</v>
      </c>
      <c r="Z1172">
        <v>11</v>
      </c>
      <c r="AA1172">
        <v>305</v>
      </c>
      <c r="AB1172" t="s">
        <v>47</v>
      </c>
      <c r="AC1172">
        <v>0.30399999999999999</v>
      </c>
      <c r="AD1172">
        <v>591</v>
      </c>
      <c r="AE1172" t="s">
        <v>48</v>
      </c>
      <c r="AF1172">
        <v>0.59</v>
      </c>
      <c r="AG1172">
        <v>599</v>
      </c>
      <c r="AH1172" t="s">
        <v>49</v>
      </c>
      <c r="AI1172">
        <v>0.59799999999999998</v>
      </c>
      <c r="AJ1172" t="s">
        <v>50</v>
      </c>
    </row>
    <row r="1173" spans="1:36" x14ac:dyDescent="0.25">
      <c r="A1173" t="s">
        <v>788</v>
      </c>
      <c r="B1173">
        <v>852198349</v>
      </c>
      <c r="C1173" t="s">
        <v>789</v>
      </c>
      <c r="D1173" t="s">
        <v>789</v>
      </c>
      <c r="E1173" t="s">
        <v>60</v>
      </c>
      <c r="F1173" t="s">
        <v>191</v>
      </c>
      <c r="I1173" t="s">
        <v>39</v>
      </c>
      <c r="J1173" t="s">
        <v>40</v>
      </c>
      <c r="K1173" t="s">
        <v>41</v>
      </c>
      <c r="L1173" t="s">
        <v>53</v>
      </c>
      <c r="N1173" t="s">
        <v>43</v>
      </c>
      <c r="O1173" t="s">
        <v>194</v>
      </c>
      <c r="P1173">
        <v>156</v>
      </c>
      <c r="Q1173">
        <v>156</v>
      </c>
      <c r="R1173">
        <v>31</v>
      </c>
      <c r="S1173" t="s">
        <v>45</v>
      </c>
      <c r="T1173">
        <v>0.03</v>
      </c>
      <c r="U1173">
        <v>24</v>
      </c>
      <c r="V1173" t="s">
        <v>55</v>
      </c>
      <c r="W1173">
        <v>2.3E-2</v>
      </c>
      <c r="X1173">
        <v>11001</v>
      </c>
      <c r="Y1173" t="s">
        <v>47</v>
      </c>
      <c r="Z1173">
        <v>11</v>
      </c>
      <c r="AA1173">
        <v>305</v>
      </c>
      <c r="AB1173" t="s">
        <v>47</v>
      </c>
      <c r="AC1173">
        <v>0.30399999999999999</v>
      </c>
      <c r="AD1173">
        <v>591</v>
      </c>
      <c r="AE1173" t="s">
        <v>48</v>
      </c>
      <c r="AF1173">
        <v>0.59</v>
      </c>
      <c r="AG1173">
        <v>599</v>
      </c>
      <c r="AH1173" t="s">
        <v>49</v>
      </c>
      <c r="AI1173">
        <v>0.59799999999999998</v>
      </c>
      <c r="AJ1173" t="s">
        <v>1141</v>
      </c>
    </row>
    <row r="1174" spans="1:36" x14ac:dyDescent="0.25">
      <c r="A1174" t="s">
        <v>788</v>
      </c>
      <c r="B1174">
        <v>852198349</v>
      </c>
      <c r="C1174" t="s">
        <v>789</v>
      </c>
      <c r="D1174" t="s">
        <v>789</v>
      </c>
      <c r="E1174" t="s">
        <v>60</v>
      </c>
      <c r="F1174" t="s">
        <v>191</v>
      </c>
      <c r="I1174" t="s">
        <v>39</v>
      </c>
      <c r="J1174" t="s">
        <v>40</v>
      </c>
      <c r="K1174" t="s">
        <v>41</v>
      </c>
      <c r="L1174" t="s">
        <v>53</v>
      </c>
      <c r="N1174" t="s">
        <v>43</v>
      </c>
      <c r="O1174" t="s">
        <v>194</v>
      </c>
      <c r="P1174">
        <v>156</v>
      </c>
      <c r="Q1174">
        <v>156</v>
      </c>
      <c r="R1174">
        <v>221</v>
      </c>
      <c r="S1174" t="s">
        <v>56</v>
      </c>
      <c r="T1174">
        <v>0.22</v>
      </c>
      <c r="U1174">
        <v>94</v>
      </c>
      <c r="V1174" t="s">
        <v>55</v>
      </c>
      <c r="W1174">
        <v>9.2999999999999999E-2</v>
      </c>
      <c r="X1174">
        <v>11001</v>
      </c>
      <c r="Y1174" t="s">
        <v>47</v>
      </c>
      <c r="Z1174">
        <v>11</v>
      </c>
      <c r="AA1174">
        <v>305</v>
      </c>
      <c r="AB1174" t="s">
        <v>47</v>
      </c>
      <c r="AC1174">
        <v>0.30399999999999999</v>
      </c>
      <c r="AD1174">
        <v>591</v>
      </c>
      <c r="AE1174" t="s">
        <v>48</v>
      </c>
      <c r="AF1174">
        <v>0.59</v>
      </c>
      <c r="AG1174">
        <v>599</v>
      </c>
      <c r="AH1174" t="s">
        <v>49</v>
      </c>
      <c r="AI1174">
        <v>0.59799999999999998</v>
      </c>
      <c r="AJ1174" t="s">
        <v>1153</v>
      </c>
    </row>
    <row r="1175" spans="1:36" x14ac:dyDescent="0.25">
      <c r="A1175" t="s">
        <v>788</v>
      </c>
      <c r="B1175">
        <v>852198349</v>
      </c>
      <c r="C1175" t="s">
        <v>789</v>
      </c>
      <c r="D1175" t="s">
        <v>789</v>
      </c>
      <c r="E1175" t="s">
        <v>60</v>
      </c>
      <c r="F1175" t="s">
        <v>191</v>
      </c>
      <c r="I1175" t="s">
        <v>39</v>
      </c>
      <c r="J1175" t="s">
        <v>40</v>
      </c>
      <c r="K1175" t="s">
        <v>41</v>
      </c>
      <c r="L1175" t="s">
        <v>53</v>
      </c>
      <c r="N1175" t="s">
        <v>43</v>
      </c>
      <c r="O1175" t="s">
        <v>194</v>
      </c>
      <c r="P1175">
        <v>156</v>
      </c>
      <c r="Q1175">
        <v>156</v>
      </c>
      <c r="R1175">
        <v>221</v>
      </c>
      <c r="S1175" t="s">
        <v>56</v>
      </c>
      <c r="T1175">
        <v>0.22</v>
      </c>
      <c r="U1175">
        <v>94</v>
      </c>
      <c r="V1175" t="s">
        <v>55</v>
      </c>
      <c r="W1175">
        <v>9.2999999999999999E-2</v>
      </c>
      <c r="X1175">
        <v>11001</v>
      </c>
      <c r="Y1175" t="s">
        <v>47</v>
      </c>
      <c r="Z1175">
        <v>11</v>
      </c>
      <c r="AA1175">
        <v>305</v>
      </c>
      <c r="AB1175" t="s">
        <v>47</v>
      </c>
      <c r="AC1175">
        <v>0.30399999999999999</v>
      </c>
      <c r="AD1175">
        <v>591</v>
      </c>
      <c r="AE1175" t="s">
        <v>48</v>
      </c>
      <c r="AF1175">
        <v>0.59</v>
      </c>
      <c r="AG1175">
        <v>599</v>
      </c>
      <c r="AH1175" t="s">
        <v>49</v>
      </c>
      <c r="AI1175">
        <v>0.59799999999999998</v>
      </c>
      <c r="AJ1175" t="s">
        <v>1154</v>
      </c>
    </row>
    <row r="1176" spans="1:36" x14ac:dyDescent="0.25">
      <c r="A1176" t="s">
        <v>788</v>
      </c>
      <c r="B1176">
        <v>852198349</v>
      </c>
      <c r="C1176" t="s">
        <v>789</v>
      </c>
      <c r="D1176" t="s">
        <v>789</v>
      </c>
      <c r="E1176" t="s">
        <v>60</v>
      </c>
      <c r="F1176" t="s">
        <v>191</v>
      </c>
      <c r="I1176" t="s">
        <v>39</v>
      </c>
      <c r="J1176" t="s">
        <v>40</v>
      </c>
      <c r="K1176" t="s">
        <v>41</v>
      </c>
      <c r="L1176" t="s">
        <v>53</v>
      </c>
      <c r="N1176" t="s">
        <v>43</v>
      </c>
      <c r="O1176" t="s">
        <v>194</v>
      </c>
      <c r="P1176">
        <v>156</v>
      </c>
      <c r="Q1176">
        <v>156</v>
      </c>
      <c r="S1176" t="s">
        <v>39</v>
      </c>
      <c r="V1176" t="s">
        <v>39</v>
      </c>
      <c r="X1176">
        <v>11001</v>
      </c>
      <c r="Y1176" t="s">
        <v>47</v>
      </c>
      <c r="Z1176">
        <v>11</v>
      </c>
      <c r="AA1176">
        <v>305</v>
      </c>
      <c r="AB1176" t="s">
        <v>47</v>
      </c>
      <c r="AC1176">
        <v>0.30399999999999999</v>
      </c>
      <c r="AD1176">
        <v>591</v>
      </c>
      <c r="AE1176" t="s">
        <v>48</v>
      </c>
      <c r="AF1176">
        <v>0.59</v>
      </c>
      <c r="AG1176">
        <v>599</v>
      </c>
      <c r="AH1176" t="s">
        <v>49</v>
      </c>
      <c r="AI1176">
        <v>0.59799999999999998</v>
      </c>
      <c r="AJ1176" t="s">
        <v>1155</v>
      </c>
    </row>
    <row r="1177" spans="1:36" x14ac:dyDescent="0.25">
      <c r="A1177" t="s">
        <v>788</v>
      </c>
      <c r="B1177">
        <v>852198349</v>
      </c>
      <c r="C1177" t="s">
        <v>789</v>
      </c>
      <c r="D1177" t="s">
        <v>789</v>
      </c>
      <c r="E1177" t="s">
        <v>60</v>
      </c>
      <c r="F1177" t="s">
        <v>191</v>
      </c>
      <c r="I1177" t="s">
        <v>39</v>
      </c>
      <c r="J1177" t="s">
        <v>40</v>
      </c>
      <c r="K1177" t="s">
        <v>41</v>
      </c>
      <c r="L1177" t="s">
        <v>53</v>
      </c>
      <c r="N1177" t="s">
        <v>43</v>
      </c>
      <c r="O1177" t="s">
        <v>194</v>
      </c>
      <c r="P1177">
        <v>156</v>
      </c>
      <c r="Q1177">
        <v>156</v>
      </c>
      <c r="S1177" t="s">
        <v>39</v>
      </c>
      <c r="V1177" t="s">
        <v>39</v>
      </c>
      <c r="X1177">
        <v>11001</v>
      </c>
      <c r="Y1177" t="s">
        <v>47</v>
      </c>
      <c r="Z1177">
        <v>11</v>
      </c>
      <c r="AA1177">
        <v>305</v>
      </c>
      <c r="AB1177" t="s">
        <v>47</v>
      </c>
      <c r="AC1177">
        <v>0.30399999999999999</v>
      </c>
      <c r="AD1177">
        <v>591</v>
      </c>
      <c r="AE1177" t="s">
        <v>48</v>
      </c>
      <c r="AF1177">
        <v>0.59</v>
      </c>
      <c r="AG1177">
        <v>599</v>
      </c>
      <c r="AH1177" t="s">
        <v>49</v>
      </c>
      <c r="AI1177">
        <v>0.59799999999999998</v>
      </c>
      <c r="AJ1177" t="s">
        <v>1156</v>
      </c>
    </row>
    <row r="1178" spans="1:36" x14ac:dyDescent="0.25">
      <c r="A1178" t="s">
        <v>786</v>
      </c>
      <c r="B1178">
        <v>874102228</v>
      </c>
      <c r="C1178" t="s">
        <v>787</v>
      </c>
      <c r="D1178" t="s">
        <v>787</v>
      </c>
      <c r="E1178" t="s">
        <v>60</v>
      </c>
      <c r="F1178" t="s">
        <v>88</v>
      </c>
      <c r="I1178" t="s">
        <v>39</v>
      </c>
      <c r="J1178" t="s">
        <v>40</v>
      </c>
      <c r="K1178" t="s">
        <v>41</v>
      </c>
      <c r="L1178" t="s">
        <v>72</v>
      </c>
      <c r="M1178" t="s">
        <v>47</v>
      </c>
      <c r="N1178" t="s">
        <v>43</v>
      </c>
      <c r="O1178" t="s">
        <v>295</v>
      </c>
      <c r="P1178">
        <v>157</v>
      </c>
      <c r="Q1178">
        <v>157</v>
      </c>
      <c r="R1178">
        <v>41</v>
      </c>
      <c r="S1178" t="s">
        <v>45</v>
      </c>
      <c r="T1178">
        <v>0.04</v>
      </c>
      <c r="U1178">
        <v>70</v>
      </c>
      <c r="V1178" t="s">
        <v>55</v>
      </c>
      <c r="W1178">
        <v>6.9000000000000006E-2</v>
      </c>
      <c r="X1178">
        <v>20001</v>
      </c>
      <c r="Y1178" t="s">
        <v>47</v>
      </c>
      <c r="Z1178">
        <v>20</v>
      </c>
      <c r="AA1178">
        <v>277</v>
      </c>
      <c r="AB1178" t="s">
        <v>47</v>
      </c>
      <c r="AC1178">
        <v>0.27600000000000002</v>
      </c>
      <c r="AD1178">
        <v>608</v>
      </c>
      <c r="AE1178" t="s">
        <v>48</v>
      </c>
      <c r="AF1178">
        <v>0.60699999999999998</v>
      </c>
      <c r="AG1178">
        <v>474</v>
      </c>
      <c r="AH1178" t="s">
        <v>57</v>
      </c>
      <c r="AI1178">
        <v>0.47299999999999998</v>
      </c>
      <c r="AJ1178" t="s">
        <v>50</v>
      </c>
    </row>
    <row r="1179" spans="1:36" x14ac:dyDescent="0.25">
      <c r="A1179" t="s">
        <v>786</v>
      </c>
      <c r="B1179">
        <v>874102228</v>
      </c>
      <c r="C1179" t="s">
        <v>787</v>
      </c>
      <c r="D1179" t="s">
        <v>787</v>
      </c>
      <c r="E1179" t="s">
        <v>60</v>
      </c>
      <c r="F1179" t="s">
        <v>88</v>
      </c>
      <c r="I1179" t="s">
        <v>39</v>
      </c>
      <c r="J1179" t="s">
        <v>40</v>
      </c>
      <c r="K1179" t="s">
        <v>41</v>
      </c>
      <c r="L1179" t="s">
        <v>72</v>
      </c>
      <c r="M1179" t="s">
        <v>47</v>
      </c>
      <c r="N1179" t="s">
        <v>43</v>
      </c>
      <c r="O1179" t="s">
        <v>295</v>
      </c>
      <c r="P1179">
        <v>157</v>
      </c>
      <c r="Q1179">
        <v>157</v>
      </c>
      <c r="R1179">
        <v>61</v>
      </c>
      <c r="S1179" t="s">
        <v>56</v>
      </c>
      <c r="T1179">
        <v>0.06</v>
      </c>
      <c r="U1179">
        <v>12</v>
      </c>
      <c r="V1179" t="s">
        <v>55</v>
      </c>
      <c r="W1179">
        <v>1.0999999999999999E-2</v>
      </c>
      <c r="X1179">
        <v>20001</v>
      </c>
      <c r="Y1179" t="s">
        <v>47</v>
      </c>
      <c r="Z1179">
        <v>20</v>
      </c>
      <c r="AA1179">
        <v>277</v>
      </c>
      <c r="AB1179" t="s">
        <v>47</v>
      </c>
      <c r="AC1179">
        <v>0.27600000000000002</v>
      </c>
      <c r="AD1179">
        <v>608</v>
      </c>
      <c r="AE1179" t="s">
        <v>48</v>
      </c>
      <c r="AF1179">
        <v>0.60699999999999998</v>
      </c>
      <c r="AG1179">
        <v>474</v>
      </c>
      <c r="AH1179" t="s">
        <v>57</v>
      </c>
      <c r="AI1179">
        <v>0.47299999999999998</v>
      </c>
      <c r="AJ1179" t="s">
        <v>1141</v>
      </c>
    </row>
    <row r="1180" spans="1:36" x14ac:dyDescent="0.25">
      <c r="A1180" t="s">
        <v>786</v>
      </c>
      <c r="B1180">
        <v>874102228</v>
      </c>
      <c r="C1180" t="s">
        <v>787</v>
      </c>
      <c r="D1180" t="s">
        <v>787</v>
      </c>
      <c r="E1180" t="s">
        <v>60</v>
      </c>
      <c r="F1180" t="s">
        <v>88</v>
      </c>
      <c r="I1180" t="s">
        <v>39</v>
      </c>
      <c r="J1180" t="s">
        <v>40</v>
      </c>
      <c r="K1180" t="s">
        <v>41</v>
      </c>
      <c r="L1180" t="s">
        <v>72</v>
      </c>
      <c r="M1180" t="s">
        <v>47</v>
      </c>
      <c r="N1180" t="s">
        <v>43</v>
      </c>
      <c r="O1180" t="s">
        <v>295</v>
      </c>
      <c r="P1180">
        <v>157</v>
      </c>
      <c r="Q1180">
        <v>157</v>
      </c>
      <c r="R1180">
        <v>41</v>
      </c>
      <c r="S1180" t="s">
        <v>45</v>
      </c>
      <c r="T1180">
        <v>0.04</v>
      </c>
      <c r="U1180">
        <v>70</v>
      </c>
      <c r="V1180" t="s">
        <v>55</v>
      </c>
      <c r="W1180">
        <v>6.9000000000000006E-2</v>
      </c>
      <c r="X1180">
        <v>20001</v>
      </c>
      <c r="Y1180" t="s">
        <v>47</v>
      </c>
      <c r="Z1180">
        <v>20</v>
      </c>
      <c r="AA1180">
        <v>277</v>
      </c>
      <c r="AB1180" t="s">
        <v>47</v>
      </c>
      <c r="AC1180">
        <v>0.27600000000000002</v>
      </c>
      <c r="AD1180">
        <v>608</v>
      </c>
      <c r="AE1180" t="s">
        <v>48</v>
      </c>
      <c r="AF1180">
        <v>0.60699999999999998</v>
      </c>
      <c r="AG1180">
        <v>474</v>
      </c>
      <c r="AH1180" t="s">
        <v>57</v>
      </c>
      <c r="AI1180">
        <v>0.47299999999999998</v>
      </c>
      <c r="AJ1180" t="s">
        <v>1153</v>
      </c>
    </row>
    <row r="1181" spans="1:36" x14ac:dyDescent="0.25">
      <c r="A1181" t="s">
        <v>786</v>
      </c>
      <c r="B1181">
        <v>874102228</v>
      </c>
      <c r="C1181" t="s">
        <v>787</v>
      </c>
      <c r="D1181" t="s">
        <v>787</v>
      </c>
      <c r="E1181" t="s">
        <v>60</v>
      </c>
      <c r="F1181" t="s">
        <v>88</v>
      </c>
      <c r="I1181" t="s">
        <v>39</v>
      </c>
      <c r="J1181" t="s">
        <v>40</v>
      </c>
      <c r="K1181" t="s">
        <v>41</v>
      </c>
      <c r="L1181" t="s">
        <v>72</v>
      </c>
      <c r="M1181" t="s">
        <v>47</v>
      </c>
      <c r="N1181" t="s">
        <v>43</v>
      </c>
      <c r="O1181" t="s">
        <v>295</v>
      </c>
      <c r="P1181">
        <v>157</v>
      </c>
      <c r="Q1181">
        <v>157</v>
      </c>
      <c r="R1181">
        <v>41</v>
      </c>
      <c r="S1181" t="s">
        <v>45</v>
      </c>
      <c r="T1181">
        <v>0.04</v>
      </c>
      <c r="U1181">
        <v>70</v>
      </c>
      <c r="V1181" t="s">
        <v>55</v>
      </c>
      <c r="W1181">
        <v>6.9000000000000006E-2</v>
      </c>
      <c r="X1181">
        <v>20001</v>
      </c>
      <c r="Y1181" t="s">
        <v>47</v>
      </c>
      <c r="Z1181">
        <v>20</v>
      </c>
      <c r="AA1181">
        <v>277</v>
      </c>
      <c r="AB1181" t="s">
        <v>47</v>
      </c>
      <c r="AC1181">
        <v>0.27600000000000002</v>
      </c>
      <c r="AD1181">
        <v>608</v>
      </c>
      <c r="AE1181" t="s">
        <v>48</v>
      </c>
      <c r="AF1181">
        <v>0.60699999999999998</v>
      </c>
      <c r="AG1181">
        <v>474</v>
      </c>
      <c r="AH1181" t="s">
        <v>57</v>
      </c>
      <c r="AI1181">
        <v>0.47299999999999998</v>
      </c>
      <c r="AJ1181" t="s">
        <v>1154</v>
      </c>
    </row>
    <row r="1182" spans="1:36" x14ac:dyDescent="0.25">
      <c r="A1182" t="s">
        <v>786</v>
      </c>
      <c r="B1182">
        <v>874102228</v>
      </c>
      <c r="C1182" t="s">
        <v>787</v>
      </c>
      <c r="D1182" t="s">
        <v>787</v>
      </c>
      <c r="E1182" t="s">
        <v>60</v>
      </c>
      <c r="F1182" t="s">
        <v>88</v>
      </c>
      <c r="I1182" t="s">
        <v>39</v>
      </c>
      <c r="J1182" t="s">
        <v>40</v>
      </c>
      <c r="K1182" t="s">
        <v>41</v>
      </c>
      <c r="L1182" t="s">
        <v>72</v>
      </c>
      <c r="M1182" t="s">
        <v>47</v>
      </c>
      <c r="N1182" t="s">
        <v>43</v>
      </c>
      <c r="O1182" t="s">
        <v>295</v>
      </c>
      <c r="P1182">
        <v>157</v>
      </c>
      <c r="Q1182">
        <v>157</v>
      </c>
      <c r="S1182" t="s">
        <v>39</v>
      </c>
      <c r="V1182" t="s">
        <v>39</v>
      </c>
      <c r="X1182">
        <v>20001</v>
      </c>
      <c r="Y1182" t="s">
        <v>47</v>
      </c>
      <c r="Z1182">
        <v>20</v>
      </c>
      <c r="AA1182">
        <v>277</v>
      </c>
      <c r="AB1182" t="s">
        <v>47</v>
      </c>
      <c r="AC1182">
        <v>0.27600000000000002</v>
      </c>
      <c r="AD1182">
        <v>608</v>
      </c>
      <c r="AE1182" t="s">
        <v>48</v>
      </c>
      <c r="AF1182">
        <v>0.60699999999999998</v>
      </c>
      <c r="AG1182">
        <v>474</v>
      </c>
      <c r="AH1182" t="s">
        <v>57</v>
      </c>
      <c r="AI1182">
        <v>0.47299999999999998</v>
      </c>
      <c r="AJ1182" t="s">
        <v>1155</v>
      </c>
    </row>
    <row r="1183" spans="1:36" x14ac:dyDescent="0.25">
      <c r="A1183" t="s">
        <v>786</v>
      </c>
      <c r="B1183">
        <v>874102228</v>
      </c>
      <c r="C1183" t="s">
        <v>787</v>
      </c>
      <c r="D1183" t="s">
        <v>787</v>
      </c>
      <c r="E1183" t="s">
        <v>60</v>
      </c>
      <c r="F1183" t="s">
        <v>88</v>
      </c>
      <c r="I1183" t="s">
        <v>39</v>
      </c>
      <c r="J1183" t="s">
        <v>40</v>
      </c>
      <c r="K1183" t="s">
        <v>41</v>
      </c>
      <c r="L1183" t="s">
        <v>72</v>
      </c>
      <c r="M1183" t="s">
        <v>47</v>
      </c>
      <c r="N1183" t="s">
        <v>43</v>
      </c>
      <c r="O1183" t="s">
        <v>295</v>
      </c>
      <c r="P1183">
        <v>157</v>
      </c>
      <c r="Q1183">
        <v>157</v>
      </c>
      <c r="S1183" t="s">
        <v>39</v>
      </c>
      <c r="V1183" t="s">
        <v>39</v>
      </c>
      <c r="X1183">
        <v>20001</v>
      </c>
      <c r="Y1183" t="s">
        <v>47</v>
      </c>
      <c r="Z1183">
        <v>20</v>
      </c>
      <c r="AA1183">
        <v>277</v>
      </c>
      <c r="AB1183" t="s">
        <v>47</v>
      </c>
      <c r="AC1183">
        <v>0.27600000000000002</v>
      </c>
      <c r="AD1183">
        <v>608</v>
      </c>
      <c r="AE1183" t="s">
        <v>48</v>
      </c>
      <c r="AF1183">
        <v>0.60699999999999998</v>
      </c>
      <c r="AG1183">
        <v>474</v>
      </c>
      <c r="AH1183" t="s">
        <v>57</v>
      </c>
      <c r="AI1183">
        <v>0.47299999999999998</v>
      </c>
      <c r="AJ1183" t="s">
        <v>1156</v>
      </c>
    </row>
    <row r="1184" spans="1:36" x14ac:dyDescent="0.25">
      <c r="A1184" t="s">
        <v>782</v>
      </c>
      <c r="B1184">
        <v>881526594</v>
      </c>
      <c r="C1184" t="s">
        <v>783</v>
      </c>
      <c r="D1184" t="s">
        <v>783</v>
      </c>
      <c r="E1184" t="s">
        <v>60</v>
      </c>
      <c r="F1184" t="s">
        <v>229</v>
      </c>
      <c r="I1184" t="s">
        <v>39</v>
      </c>
      <c r="J1184" t="s">
        <v>40</v>
      </c>
      <c r="K1184" t="s">
        <v>41</v>
      </c>
      <c r="L1184" t="s">
        <v>78</v>
      </c>
      <c r="N1184" t="s">
        <v>43</v>
      </c>
      <c r="O1184" t="s">
        <v>283</v>
      </c>
      <c r="P1184">
        <v>157</v>
      </c>
      <c r="Q1184">
        <v>157</v>
      </c>
      <c r="R1184">
        <v>81</v>
      </c>
      <c r="S1184" t="s">
        <v>56</v>
      </c>
      <c r="T1184">
        <v>0.08</v>
      </c>
      <c r="U1184">
        <v>25</v>
      </c>
      <c r="V1184" t="s">
        <v>55</v>
      </c>
      <c r="W1184">
        <v>2.4E-2</v>
      </c>
      <c r="X1184">
        <v>1</v>
      </c>
      <c r="Y1184" t="s">
        <v>47</v>
      </c>
      <c r="Z1184">
        <v>0</v>
      </c>
      <c r="AA1184">
        <v>254</v>
      </c>
      <c r="AB1184" t="s">
        <v>47</v>
      </c>
      <c r="AC1184">
        <v>0.253</v>
      </c>
      <c r="AD1184">
        <v>446</v>
      </c>
      <c r="AE1184" t="s">
        <v>56</v>
      </c>
      <c r="AF1184">
        <v>0.44500000000000001</v>
      </c>
      <c r="AG1184">
        <v>630</v>
      </c>
      <c r="AH1184" t="s">
        <v>49</v>
      </c>
      <c r="AI1184">
        <v>0.629</v>
      </c>
      <c r="AJ1184" t="s">
        <v>50</v>
      </c>
    </row>
    <row r="1185" spans="1:36" x14ac:dyDescent="0.25">
      <c r="A1185" t="s">
        <v>782</v>
      </c>
      <c r="B1185">
        <v>881526594</v>
      </c>
      <c r="C1185" t="s">
        <v>783</v>
      </c>
      <c r="D1185" t="s">
        <v>783</v>
      </c>
      <c r="E1185" t="s">
        <v>60</v>
      </c>
      <c r="F1185" t="s">
        <v>229</v>
      </c>
      <c r="I1185" t="s">
        <v>39</v>
      </c>
      <c r="J1185" t="s">
        <v>40</v>
      </c>
      <c r="K1185" t="s">
        <v>41</v>
      </c>
      <c r="L1185" t="s">
        <v>78</v>
      </c>
      <c r="N1185" t="s">
        <v>43</v>
      </c>
      <c r="O1185" t="s">
        <v>283</v>
      </c>
      <c r="P1185">
        <v>157</v>
      </c>
      <c r="Q1185">
        <v>157</v>
      </c>
      <c r="R1185">
        <v>101</v>
      </c>
      <c r="S1185" t="s">
        <v>56</v>
      </c>
      <c r="T1185">
        <v>0.1</v>
      </c>
      <c r="U1185">
        <v>1</v>
      </c>
      <c r="V1185" t="s">
        <v>55</v>
      </c>
      <c r="W1185">
        <v>0</v>
      </c>
      <c r="X1185">
        <v>1</v>
      </c>
      <c r="Y1185" t="s">
        <v>47</v>
      </c>
      <c r="Z1185">
        <v>0</v>
      </c>
      <c r="AA1185">
        <v>254</v>
      </c>
      <c r="AB1185" t="s">
        <v>47</v>
      </c>
      <c r="AC1185">
        <v>0.253</v>
      </c>
      <c r="AD1185">
        <v>446</v>
      </c>
      <c r="AE1185" t="s">
        <v>56</v>
      </c>
      <c r="AF1185">
        <v>0.44500000000000001</v>
      </c>
      <c r="AG1185">
        <v>630</v>
      </c>
      <c r="AH1185" t="s">
        <v>49</v>
      </c>
      <c r="AI1185">
        <v>0.629</v>
      </c>
      <c r="AJ1185" t="s">
        <v>1141</v>
      </c>
    </row>
    <row r="1186" spans="1:36" x14ac:dyDescent="0.25">
      <c r="A1186" t="s">
        <v>782</v>
      </c>
      <c r="B1186">
        <v>881526594</v>
      </c>
      <c r="C1186" t="s">
        <v>783</v>
      </c>
      <c r="D1186" t="s">
        <v>783</v>
      </c>
      <c r="E1186" t="s">
        <v>60</v>
      </c>
      <c r="F1186" t="s">
        <v>229</v>
      </c>
      <c r="I1186" t="s">
        <v>39</v>
      </c>
      <c r="J1186" t="s">
        <v>40</v>
      </c>
      <c r="K1186" t="s">
        <v>41</v>
      </c>
      <c r="L1186" t="s">
        <v>78</v>
      </c>
      <c r="N1186" t="s">
        <v>43</v>
      </c>
      <c r="O1186" t="s">
        <v>283</v>
      </c>
      <c r="P1186">
        <v>157</v>
      </c>
      <c r="Q1186">
        <v>157</v>
      </c>
      <c r="R1186">
        <v>81</v>
      </c>
      <c r="S1186" t="s">
        <v>56</v>
      </c>
      <c r="T1186">
        <v>0.08</v>
      </c>
      <c r="U1186">
        <v>25</v>
      </c>
      <c r="V1186" t="s">
        <v>55</v>
      </c>
      <c r="W1186">
        <v>2.4E-2</v>
      </c>
      <c r="X1186">
        <v>1</v>
      </c>
      <c r="Y1186" t="s">
        <v>47</v>
      </c>
      <c r="Z1186">
        <v>0</v>
      </c>
      <c r="AA1186">
        <v>254</v>
      </c>
      <c r="AB1186" t="s">
        <v>47</v>
      </c>
      <c r="AC1186">
        <v>0.253</v>
      </c>
      <c r="AD1186">
        <v>446</v>
      </c>
      <c r="AE1186" t="s">
        <v>56</v>
      </c>
      <c r="AF1186">
        <v>0.44500000000000001</v>
      </c>
      <c r="AG1186">
        <v>630</v>
      </c>
      <c r="AH1186" t="s">
        <v>49</v>
      </c>
      <c r="AI1186">
        <v>0.629</v>
      </c>
      <c r="AJ1186" t="s">
        <v>1153</v>
      </c>
    </row>
    <row r="1187" spans="1:36" x14ac:dyDescent="0.25">
      <c r="A1187" t="s">
        <v>782</v>
      </c>
      <c r="B1187">
        <v>881526594</v>
      </c>
      <c r="C1187" t="s">
        <v>783</v>
      </c>
      <c r="D1187" t="s">
        <v>783</v>
      </c>
      <c r="E1187" t="s">
        <v>60</v>
      </c>
      <c r="F1187" t="s">
        <v>229</v>
      </c>
      <c r="I1187" t="s">
        <v>39</v>
      </c>
      <c r="J1187" t="s">
        <v>40</v>
      </c>
      <c r="K1187" t="s">
        <v>41</v>
      </c>
      <c r="L1187" t="s">
        <v>78</v>
      </c>
      <c r="N1187" t="s">
        <v>43</v>
      </c>
      <c r="O1187" t="s">
        <v>283</v>
      </c>
      <c r="P1187">
        <v>157</v>
      </c>
      <c r="Q1187">
        <v>157</v>
      </c>
      <c r="R1187">
        <v>81</v>
      </c>
      <c r="S1187" t="s">
        <v>56</v>
      </c>
      <c r="T1187">
        <v>0.08</v>
      </c>
      <c r="U1187">
        <v>25</v>
      </c>
      <c r="V1187" t="s">
        <v>55</v>
      </c>
      <c r="W1187">
        <v>2.4E-2</v>
      </c>
      <c r="X1187">
        <v>1</v>
      </c>
      <c r="Y1187" t="s">
        <v>47</v>
      </c>
      <c r="Z1187">
        <v>0</v>
      </c>
      <c r="AA1187">
        <v>254</v>
      </c>
      <c r="AB1187" t="s">
        <v>47</v>
      </c>
      <c r="AC1187">
        <v>0.253</v>
      </c>
      <c r="AD1187">
        <v>446</v>
      </c>
      <c r="AE1187" t="s">
        <v>56</v>
      </c>
      <c r="AF1187">
        <v>0.44500000000000001</v>
      </c>
      <c r="AG1187">
        <v>630</v>
      </c>
      <c r="AH1187" t="s">
        <v>49</v>
      </c>
      <c r="AI1187">
        <v>0.629</v>
      </c>
      <c r="AJ1187" t="s">
        <v>1154</v>
      </c>
    </row>
    <row r="1188" spans="1:36" x14ac:dyDescent="0.25">
      <c r="A1188" t="s">
        <v>782</v>
      </c>
      <c r="B1188">
        <v>881526594</v>
      </c>
      <c r="C1188" t="s">
        <v>783</v>
      </c>
      <c r="D1188" t="s">
        <v>783</v>
      </c>
      <c r="E1188" t="s">
        <v>60</v>
      </c>
      <c r="F1188" t="s">
        <v>229</v>
      </c>
      <c r="I1188" t="s">
        <v>39</v>
      </c>
      <c r="J1188" t="s">
        <v>40</v>
      </c>
      <c r="K1188" t="s">
        <v>41</v>
      </c>
      <c r="L1188" t="s">
        <v>78</v>
      </c>
      <c r="N1188" t="s">
        <v>43</v>
      </c>
      <c r="O1188" t="s">
        <v>283</v>
      </c>
      <c r="P1188">
        <v>157</v>
      </c>
      <c r="Q1188">
        <v>157</v>
      </c>
      <c r="S1188" t="s">
        <v>39</v>
      </c>
      <c r="V1188" t="s">
        <v>39</v>
      </c>
      <c r="X1188">
        <v>1</v>
      </c>
      <c r="Y1188" t="s">
        <v>47</v>
      </c>
      <c r="Z1188">
        <v>0</v>
      </c>
      <c r="AA1188">
        <v>254</v>
      </c>
      <c r="AB1188" t="s">
        <v>47</v>
      </c>
      <c r="AC1188">
        <v>0.253</v>
      </c>
      <c r="AD1188">
        <v>446</v>
      </c>
      <c r="AE1188" t="s">
        <v>56</v>
      </c>
      <c r="AF1188">
        <v>0.44500000000000001</v>
      </c>
      <c r="AG1188">
        <v>630</v>
      </c>
      <c r="AH1188" t="s">
        <v>49</v>
      </c>
      <c r="AI1188">
        <v>0.629</v>
      </c>
      <c r="AJ1188" t="s">
        <v>1155</v>
      </c>
    </row>
    <row r="1189" spans="1:36" x14ac:dyDescent="0.25">
      <c r="A1189" t="s">
        <v>782</v>
      </c>
      <c r="B1189">
        <v>881526594</v>
      </c>
      <c r="C1189" t="s">
        <v>783</v>
      </c>
      <c r="D1189" t="s">
        <v>783</v>
      </c>
      <c r="E1189" t="s">
        <v>60</v>
      </c>
      <c r="F1189" t="s">
        <v>229</v>
      </c>
      <c r="I1189" t="s">
        <v>39</v>
      </c>
      <c r="J1189" t="s">
        <v>40</v>
      </c>
      <c r="K1189" t="s">
        <v>41</v>
      </c>
      <c r="L1189" t="s">
        <v>78</v>
      </c>
      <c r="N1189" t="s">
        <v>43</v>
      </c>
      <c r="O1189" t="s">
        <v>283</v>
      </c>
      <c r="P1189">
        <v>157</v>
      </c>
      <c r="Q1189">
        <v>157</v>
      </c>
      <c r="S1189" t="s">
        <v>39</v>
      </c>
      <c r="V1189" t="s">
        <v>39</v>
      </c>
      <c r="X1189">
        <v>1</v>
      </c>
      <c r="Y1189" t="s">
        <v>47</v>
      </c>
      <c r="Z1189">
        <v>0</v>
      </c>
      <c r="AA1189">
        <v>254</v>
      </c>
      <c r="AB1189" t="s">
        <v>47</v>
      </c>
      <c r="AC1189">
        <v>0.253</v>
      </c>
      <c r="AD1189">
        <v>446</v>
      </c>
      <c r="AE1189" t="s">
        <v>56</v>
      </c>
      <c r="AF1189">
        <v>0.44500000000000001</v>
      </c>
      <c r="AG1189">
        <v>630</v>
      </c>
      <c r="AH1189" t="s">
        <v>49</v>
      </c>
      <c r="AI1189">
        <v>0.629</v>
      </c>
      <c r="AJ1189" t="s">
        <v>1156</v>
      </c>
    </row>
    <row r="1190" spans="1:36" x14ac:dyDescent="0.25">
      <c r="A1190" t="s">
        <v>784</v>
      </c>
      <c r="B1190">
        <v>855421938</v>
      </c>
      <c r="C1190" t="s">
        <v>785</v>
      </c>
      <c r="D1190" t="s">
        <v>785</v>
      </c>
      <c r="E1190" t="s">
        <v>37</v>
      </c>
      <c r="F1190" t="s">
        <v>220</v>
      </c>
      <c r="I1190" t="s">
        <v>39</v>
      </c>
      <c r="J1190" t="s">
        <v>40</v>
      </c>
      <c r="K1190" t="s">
        <v>41</v>
      </c>
      <c r="L1190" t="s">
        <v>248</v>
      </c>
      <c r="M1190" t="s">
        <v>282</v>
      </c>
      <c r="N1190" t="s">
        <v>43</v>
      </c>
      <c r="O1190" t="s">
        <v>287</v>
      </c>
      <c r="P1190">
        <v>157</v>
      </c>
      <c r="Q1190">
        <v>157</v>
      </c>
      <c r="R1190">
        <v>1</v>
      </c>
      <c r="S1190" t="s">
        <v>45</v>
      </c>
      <c r="T1190">
        <v>0</v>
      </c>
      <c r="U1190">
        <v>472</v>
      </c>
      <c r="V1190" t="s">
        <v>113</v>
      </c>
      <c r="W1190">
        <v>0.47099999999999997</v>
      </c>
      <c r="X1190">
        <v>22001</v>
      </c>
      <c r="Y1190" t="s">
        <v>47</v>
      </c>
      <c r="Z1190">
        <v>22</v>
      </c>
      <c r="AA1190">
        <v>481</v>
      </c>
      <c r="AB1190" t="s">
        <v>47</v>
      </c>
      <c r="AC1190">
        <v>0.48</v>
      </c>
      <c r="AD1190">
        <v>693</v>
      </c>
      <c r="AE1190" t="s">
        <v>48</v>
      </c>
      <c r="AF1190">
        <v>0.69199999999999995</v>
      </c>
      <c r="AG1190">
        <v>724</v>
      </c>
      <c r="AH1190" t="s">
        <v>49</v>
      </c>
      <c r="AI1190">
        <v>0.72299999999999998</v>
      </c>
      <c r="AJ1190" t="s">
        <v>50</v>
      </c>
    </row>
    <row r="1191" spans="1:36" x14ac:dyDescent="0.25">
      <c r="A1191" t="s">
        <v>784</v>
      </c>
      <c r="B1191">
        <v>855421938</v>
      </c>
      <c r="C1191" t="s">
        <v>785</v>
      </c>
      <c r="D1191" t="s">
        <v>785</v>
      </c>
      <c r="E1191" t="s">
        <v>99</v>
      </c>
      <c r="F1191" t="s">
        <v>220</v>
      </c>
      <c r="I1191" t="s">
        <v>39</v>
      </c>
      <c r="J1191" t="s">
        <v>40</v>
      </c>
      <c r="K1191" t="s">
        <v>41</v>
      </c>
      <c r="L1191" t="s">
        <v>248</v>
      </c>
      <c r="M1191" t="s">
        <v>282</v>
      </c>
      <c r="N1191" t="s">
        <v>43</v>
      </c>
      <c r="O1191" t="s">
        <v>288</v>
      </c>
      <c r="P1191">
        <v>157</v>
      </c>
      <c r="Q1191">
        <v>157</v>
      </c>
      <c r="R1191">
        <v>21</v>
      </c>
      <c r="S1191" t="s">
        <v>45</v>
      </c>
      <c r="T1191">
        <v>0.02</v>
      </c>
      <c r="U1191">
        <v>391</v>
      </c>
      <c r="V1191" t="s">
        <v>55</v>
      </c>
      <c r="W1191">
        <v>0.39</v>
      </c>
      <c r="X1191">
        <v>21001</v>
      </c>
      <c r="Y1191" t="s">
        <v>47</v>
      </c>
      <c r="Z1191">
        <v>21</v>
      </c>
      <c r="AA1191">
        <v>385</v>
      </c>
      <c r="AB1191" t="s">
        <v>47</v>
      </c>
      <c r="AC1191">
        <v>0.38400000000000001</v>
      </c>
      <c r="AD1191">
        <v>665</v>
      </c>
      <c r="AE1191" t="s">
        <v>48</v>
      </c>
      <c r="AF1191">
        <v>0.66400000000000003</v>
      </c>
      <c r="AG1191">
        <v>628</v>
      </c>
      <c r="AH1191" t="s">
        <v>49</v>
      </c>
      <c r="AI1191">
        <v>0.627</v>
      </c>
      <c r="AJ1191" t="s">
        <v>50</v>
      </c>
    </row>
    <row r="1192" spans="1:36" x14ac:dyDescent="0.25">
      <c r="A1192" t="s">
        <v>784</v>
      </c>
      <c r="B1192">
        <v>855421938</v>
      </c>
      <c r="C1192" t="s">
        <v>785</v>
      </c>
      <c r="D1192" t="s">
        <v>785</v>
      </c>
      <c r="E1192" t="s">
        <v>37</v>
      </c>
      <c r="F1192" t="s">
        <v>220</v>
      </c>
      <c r="I1192" t="s">
        <v>39</v>
      </c>
      <c r="J1192" t="s">
        <v>40</v>
      </c>
      <c r="K1192" t="s">
        <v>41</v>
      </c>
      <c r="L1192" t="s">
        <v>248</v>
      </c>
      <c r="M1192" t="s">
        <v>282</v>
      </c>
      <c r="N1192" t="s">
        <v>43</v>
      </c>
      <c r="O1192" t="s">
        <v>287</v>
      </c>
      <c r="P1192">
        <v>157</v>
      </c>
      <c r="Q1192">
        <v>157</v>
      </c>
      <c r="R1192">
        <v>1</v>
      </c>
      <c r="S1192" t="s">
        <v>45</v>
      </c>
      <c r="T1192">
        <v>0</v>
      </c>
      <c r="U1192">
        <v>115</v>
      </c>
      <c r="V1192" t="s">
        <v>55</v>
      </c>
      <c r="W1192">
        <v>0.114</v>
      </c>
      <c r="X1192">
        <v>22001</v>
      </c>
      <c r="Y1192" t="s">
        <v>47</v>
      </c>
      <c r="Z1192">
        <v>22</v>
      </c>
      <c r="AA1192">
        <v>481</v>
      </c>
      <c r="AB1192" t="s">
        <v>47</v>
      </c>
      <c r="AC1192">
        <v>0.48</v>
      </c>
      <c r="AD1192">
        <v>693</v>
      </c>
      <c r="AE1192" t="s">
        <v>48</v>
      </c>
      <c r="AF1192">
        <v>0.69199999999999995</v>
      </c>
      <c r="AG1192">
        <v>724</v>
      </c>
      <c r="AH1192" t="s">
        <v>49</v>
      </c>
      <c r="AI1192">
        <v>0.72299999999999998</v>
      </c>
      <c r="AJ1192" t="s">
        <v>1141</v>
      </c>
    </row>
    <row r="1193" spans="1:36" x14ac:dyDescent="0.25">
      <c r="A1193" t="s">
        <v>784</v>
      </c>
      <c r="B1193">
        <v>855421938</v>
      </c>
      <c r="C1193" t="s">
        <v>785</v>
      </c>
      <c r="D1193" t="s">
        <v>785</v>
      </c>
      <c r="E1193" t="s">
        <v>99</v>
      </c>
      <c r="F1193" t="s">
        <v>220</v>
      </c>
      <c r="I1193" t="s">
        <v>39</v>
      </c>
      <c r="J1193" t="s">
        <v>40</v>
      </c>
      <c r="K1193" t="s">
        <v>41</v>
      </c>
      <c r="L1193" t="s">
        <v>248</v>
      </c>
      <c r="M1193" t="s">
        <v>282</v>
      </c>
      <c r="N1193" t="s">
        <v>43</v>
      </c>
      <c r="O1193" t="s">
        <v>288</v>
      </c>
      <c r="P1193">
        <v>157</v>
      </c>
      <c r="Q1193">
        <v>157</v>
      </c>
      <c r="R1193">
        <v>21</v>
      </c>
      <c r="S1193" t="s">
        <v>45</v>
      </c>
      <c r="T1193">
        <v>0.02</v>
      </c>
      <c r="U1193">
        <v>53</v>
      </c>
      <c r="V1193" t="s">
        <v>55</v>
      </c>
      <c r="W1193">
        <v>5.1999999999999998E-2</v>
      </c>
      <c r="X1193">
        <v>21001</v>
      </c>
      <c r="Y1193" t="s">
        <v>47</v>
      </c>
      <c r="Z1193">
        <v>21</v>
      </c>
      <c r="AA1193">
        <v>385</v>
      </c>
      <c r="AB1193" t="s">
        <v>47</v>
      </c>
      <c r="AC1193">
        <v>0.38400000000000001</v>
      </c>
      <c r="AD1193">
        <v>665</v>
      </c>
      <c r="AE1193" t="s">
        <v>48</v>
      </c>
      <c r="AF1193">
        <v>0.66400000000000003</v>
      </c>
      <c r="AG1193">
        <v>628</v>
      </c>
      <c r="AH1193" t="s">
        <v>49</v>
      </c>
      <c r="AI1193">
        <v>0.627</v>
      </c>
      <c r="AJ1193" t="s">
        <v>1141</v>
      </c>
    </row>
    <row r="1194" spans="1:36" x14ac:dyDescent="0.25">
      <c r="A1194" t="s">
        <v>784</v>
      </c>
      <c r="B1194">
        <v>855421938</v>
      </c>
      <c r="C1194" t="s">
        <v>785</v>
      </c>
      <c r="D1194" t="s">
        <v>785</v>
      </c>
      <c r="E1194" t="s">
        <v>37</v>
      </c>
      <c r="F1194" t="s">
        <v>220</v>
      </c>
      <c r="I1194" t="s">
        <v>39</v>
      </c>
      <c r="J1194" t="s">
        <v>40</v>
      </c>
      <c r="K1194" t="s">
        <v>41</v>
      </c>
      <c r="L1194" t="s">
        <v>248</v>
      </c>
      <c r="M1194" t="s">
        <v>282</v>
      </c>
      <c r="N1194" t="s">
        <v>43</v>
      </c>
      <c r="O1194" t="s">
        <v>287</v>
      </c>
      <c r="P1194">
        <v>157</v>
      </c>
      <c r="Q1194">
        <v>157</v>
      </c>
      <c r="R1194">
        <v>1</v>
      </c>
      <c r="S1194" t="s">
        <v>45</v>
      </c>
      <c r="T1194">
        <v>0</v>
      </c>
      <c r="U1194">
        <v>472</v>
      </c>
      <c r="V1194" t="s">
        <v>113</v>
      </c>
      <c r="W1194">
        <v>0.47099999999999997</v>
      </c>
      <c r="X1194">
        <v>22001</v>
      </c>
      <c r="Y1194" t="s">
        <v>47</v>
      </c>
      <c r="Z1194">
        <v>22</v>
      </c>
      <c r="AA1194">
        <v>481</v>
      </c>
      <c r="AB1194" t="s">
        <v>47</v>
      </c>
      <c r="AC1194">
        <v>0.48</v>
      </c>
      <c r="AD1194">
        <v>693</v>
      </c>
      <c r="AE1194" t="s">
        <v>48</v>
      </c>
      <c r="AF1194">
        <v>0.69199999999999995</v>
      </c>
      <c r="AG1194">
        <v>724</v>
      </c>
      <c r="AH1194" t="s">
        <v>49</v>
      </c>
      <c r="AI1194">
        <v>0.72299999999999998</v>
      </c>
      <c r="AJ1194" t="s">
        <v>1153</v>
      </c>
    </row>
    <row r="1195" spans="1:36" x14ac:dyDescent="0.25">
      <c r="A1195" t="s">
        <v>784</v>
      </c>
      <c r="B1195">
        <v>855421938</v>
      </c>
      <c r="C1195" t="s">
        <v>785</v>
      </c>
      <c r="D1195" t="s">
        <v>785</v>
      </c>
      <c r="E1195" t="s">
        <v>99</v>
      </c>
      <c r="F1195" t="s">
        <v>220</v>
      </c>
      <c r="I1195" t="s">
        <v>39</v>
      </c>
      <c r="J1195" t="s">
        <v>40</v>
      </c>
      <c r="K1195" t="s">
        <v>41</v>
      </c>
      <c r="L1195" t="s">
        <v>248</v>
      </c>
      <c r="M1195" t="s">
        <v>282</v>
      </c>
      <c r="N1195" t="s">
        <v>43</v>
      </c>
      <c r="O1195" t="s">
        <v>288</v>
      </c>
      <c r="P1195">
        <v>157</v>
      </c>
      <c r="Q1195">
        <v>157</v>
      </c>
      <c r="R1195">
        <v>21</v>
      </c>
      <c r="S1195" t="s">
        <v>45</v>
      </c>
      <c r="T1195">
        <v>0.02</v>
      </c>
      <c r="U1195">
        <v>391</v>
      </c>
      <c r="V1195" t="s">
        <v>55</v>
      </c>
      <c r="W1195">
        <v>0.39</v>
      </c>
      <c r="X1195">
        <v>21001</v>
      </c>
      <c r="Y1195" t="s">
        <v>47</v>
      </c>
      <c r="Z1195">
        <v>21</v>
      </c>
      <c r="AA1195">
        <v>385</v>
      </c>
      <c r="AB1195" t="s">
        <v>47</v>
      </c>
      <c r="AC1195">
        <v>0.38400000000000001</v>
      </c>
      <c r="AD1195">
        <v>665</v>
      </c>
      <c r="AE1195" t="s">
        <v>48</v>
      </c>
      <c r="AF1195">
        <v>0.66400000000000003</v>
      </c>
      <c r="AG1195">
        <v>628</v>
      </c>
      <c r="AH1195" t="s">
        <v>49</v>
      </c>
      <c r="AI1195">
        <v>0.627</v>
      </c>
      <c r="AJ1195" t="s">
        <v>1153</v>
      </c>
    </row>
    <row r="1196" spans="1:36" x14ac:dyDescent="0.25">
      <c r="A1196" t="s">
        <v>784</v>
      </c>
      <c r="B1196">
        <v>855421938</v>
      </c>
      <c r="C1196" t="s">
        <v>785</v>
      </c>
      <c r="D1196" t="s">
        <v>785</v>
      </c>
      <c r="E1196" t="s">
        <v>37</v>
      </c>
      <c r="F1196" t="s">
        <v>220</v>
      </c>
      <c r="I1196" t="s">
        <v>39</v>
      </c>
      <c r="J1196" t="s">
        <v>40</v>
      </c>
      <c r="K1196" t="s">
        <v>41</v>
      </c>
      <c r="L1196" t="s">
        <v>248</v>
      </c>
      <c r="M1196" t="s">
        <v>282</v>
      </c>
      <c r="N1196" t="s">
        <v>43</v>
      </c>
      <c r="O1196" t="s">
        <v>287</v>
      </c>
      <c r="P1196">
        <v>157</v>
      </c>
      <c r="Q1196">
        <v>157</v>
      </c>
      <c r="R1196">
        <v>1</v>
      </c>
      <c r="S1196" t="s">
        <v>45</v>
      </c>
      <c r="T1196">
        <v>0</v>
      </c>
      <c r="U1196">
        <v>472</v>
      </c>
      <c r="V1196" t="s">
        <v>113</v>
      </c>
      <c r="W1196">
        <v>0.47099999999999997</v>
      </c>
      <c r="X1196">
        <v>22001</v>
      </c>
      <c r="Y1196" t="s">
        <v>47</v>
      </c>
      <c r="Z1196">
        <v>22</v>
      </c>
      <c r="AA1196">
        <v>481</v>
      </c>
      <c r="AB1196" t="s">
        <v>47</v>
      </c>
      <c r="AC1196">
        <v>0.48</v>
      </c>
      <c r="AD1196">
        <v>693</v>
      </c>
      <c r="AE1196" t="s">
        <v>48</v>
      </c>
      <c r="AF1196">
        <v>0.69199999999999995</v>
      </c>
      <c r="AG1196">
        <v>724</v>
      </c>
      <c r="AH1196" t="s">
        <v>49</v>
      </c>
      <c r="AI1196">
        <v>0.72299999999999998</v>
      </c>
      <c r="AJ1196" t="s">
        <v>1154</v>
      </c>
    </row>
    <row r="1197" spans="1:36" x14ac:dyDescent="0.25">
      <c r="A1197" t="s">
        <v>784</v>
      </c>
      <c r="B1197">
        <v>855421938</v>
      </c>
      <c r="C1197" t="s">
        <v>785</v>
      </c>
      <c r="D1197" t="s">
        <v>785</v>
      </c>
      <c r="E1197" t="s">
        <v>99</v>
      </c>
      <c r="F1197" t="s">
        <v>220</v>
      </c>
      <c r="I1197" t="s">
        <v>39</v>
      </c>
      <c r="J1197" t="s">
        <v>40</v>
      </c>
      <c r="K1197" t="s">
        <v>41</v>
      </c>
      <c r="L1197" t="s">
        <v>248</v>
      </c>
      <c r="M1197" t="s">
        <v>282</v>
      </c>
      <c r="N1197" t="s">
        <v>43</v>
      </c>
      <c r="O1197" t="s">
        <v>288</v>
      </c>
      <c r="P1197">
        <v>157</v>
      </c>
      <c r="Q1197">
        <v>157</v>
      </c>
      <c r="R1197">
        <v>21</v>
      </c>
      <c r="S1197" t="s">
        <v>45</v>
      </c>
      <c r="T1197">
        <v>0.02</v>
      </c>
      <c r="U1197">
        <v>391</v>
      </c>
      <c r="V1197" t="s">
        <v>55</v>
      </c>
      <c r="W1197">
        <v>0.39</v>
      </c>
      <c r="X1197">
        <v>21001</v>
      </c>
      <c r="Y1197" t="s">
        <v>47</v>
      </c>
      <c r="Z1197">
        <v>21</v>
      </c>
      <c r="AA1197">
        <v>385</v>
      </c>
      <c r="AB1197" t="s">
        <v>47</v>
      </c>
      <c r="AC1197">
        <v>0.38400000000000001</v>
      </c>
      <c r="AD1197">
        <v>665</v>
      </c>
      <c r="AE1197" t="s">
        <v>48</v>
      </c>
      <c r="AF1197">
        <v>0.66400000000000003</v>
      </c>
      <c r="AG1197">
        <v>628</v>
      </c>
      <c r="AH1197" t="s">
        <v>49</v>
      </c>
      <c r="AI1197">
        <v>0.627</v>
      </c>
      <c r="AJ1197" t="s">
        <v>1154</v>
      </c>
    </row>
    <row r="1198" spans="1:36" x14ac:dyDescent="0.25">
      <c r="A1198" t="s">
        <v>784</v>
      </c>
      <c r="B1198">
        <v>855421938</v>
      </c>
      <c r="C1198" t="s">
        <v>785</v>
      </c>
      <c r="D1198" t="s">
        <v>785</v>
      </c>
      <c r="E1198" t="s">
        <v>37</v>
      </c>
      <c r="F1198" t="s">
        <v>220</v>
      </c>
      <c r="I1198" t="s">
        <v>39</v>
      </c>
      <c r="J1198" t="s">
        <v>40</v>
      </c>
      <c r="K1198" t="s">
        <v>41</v>
      </c>
      <c r="L1198" t="s">
        <v>248</v>
      </c>
      <c r="M1198" t="s">
        <v>282</v>
      </c>
      <c r="N1198" t="s">
        <v>43</v>
      </c>
      <c r="O1198" t="s">
        <v>287</v>
      </c>
      <c r="P1198">
        <v>157</v>
      </c>
      <c r="Q1198">
        <v>157</v>
      </c>
      <c r="S1198" t="s">
        <v>39</v>
      </c>
      <c r="V1198" t="s">
        <v>39</v>
      </c>
      <c r="X1198">
        <v>22001</v>
      </c>
      <c r="Y1198" t="s">
        <v>47</v>
      </c>
      <c r="Z1198">
        <v>22</v>
      </c>
      <c r="AA1198">
        <v>481</v>
      </c>
      <c r="AB1198" t="s">
        <v>47</v>
      </c>
      <c r="AC1198">
        <v>0.48</v>
      </c>
      <c r="AD1198">
        <v>693</v>
      </c>
      <c r="AE1198" t="s">
        <v>48</v>
      </c>
      <c r="AF1198">
        <v>0.69199999999999995</v>
      </c>
      <c r="AG1198">
        <v>724</v>
      </c>
      <c r="AH1198" t="s">
        <v>49</v>
      </c>
      <c r="AI1198">
        <v>0.72299999999999998</v>
      </c>
      <c r="AJ1198" t="s">
        <v>1155</v>
      </c>
    </row>
    <row r="1199" spans="1:36" x14ac:dyDescent="0.25">
      <c r="A1199" t="s">
        <v>784</v>
      </c>
      <c r="B1199">
        <v>855421938</v>
      </c>
      <c r="C1199" t="s">
        <v>785</v>
      </c>
      <c r="D1199" t="s">
        <v>785</v>
      </c>
      <c r="E1199" t="s">
        <v>99</v>
      </c>
      <c r="F1199" t="s">
        <v>220</v>
      </c>
      <c r="I1199" t="s">
        <v>39</v>
      </c>
      <c r="J1199" t="s">
        <v>40</v>
      </c>
      <c r="K1199" t="s">
        <v>41</v>
      </c>
      <c r="L1199" t="s">
        <v>248</v>
      </c>
      <c r="M1199" t="s">
        <v>282</v>
      </c>
      <c r="N1199" t="s">
        <v>43</v>
      </c>
      <c r="O1199" t="s">
        <v>288</v>
      </c>
      <c r="P1199">
        <v>157</v>
      </c>
      <c r="Q1199">
        <v>157</v>
      </c>
      <c r="S1199" t="s">
        <v>39</v>
      </c>
      <c r="V1199" t="s">
        <v>39</v>
      </c>
      <c r="X1199">
        <v>21001</v>
      </c>
      <c r="Y1199" t="s">
        <v>47</v>
      </c>
      <c r="Z1199">
        <v>21</v>
      </c>
      <c r="AA1199">
        <v>385</v>
      </c>
      <c r="AB1199" t="s">
        <v>47</v>
      </c>
      <c r="AC1199">
        <v>0.38400000000000001</v>
      </c>
      <c r="AD1199">
        <v>665</v>
      </c>
      <c r="AE1199" t="s">
        <v>48</v>
      </c>
      <c r="AF1199">
        <v>0.66400000000000003</v>
      </c>
      <c r="AG1199">
        <v>628</v>
      </c>
      <c r="AH1199" t="s">
        <v>49</v>
      </c>
      <c r="AI1199">
        <v>0.627</v>
      </c>
      <c r="AJ1199" t="s">
        <v>1155</v>
      </c>
    </row>
    <row r="1200" spans="1:36" x14ac:dyDescent="0.25">
      <c r="A1200" t="s">
        <v>784</v>
      </c>
      <c r="B1200">
        <v>855421938</v>
      </c>
      <c r="C1200" t="s">
        <v>785</v>
      </c>
      <c r="D1200" t="s">
        <v>785</v>
      </c>
      <c r="E1200" t="s">
        <v>37</v>
      </c>
      <c r="F1200" t="s">
        <v>220</v>
      </c>
      <c r="I1200" t="s">
        <v>39</v>
      </c>
      <c r="J1200" t="s">
        <v>40</v>
      </c>
      <c r="K1200" t="s">
        <v>41</v>
      </c>
      <c r="L1200" t="s">
        <v>248</v>
      </c>
      <c r="M1200" t="s">
        <v>282</v>
      </c>
      <c r="N1200" t="s">
        <v>43</v>
      </c>
      <c r="O1200" t="s">
        <v>287</v>
      </c>
      <c r="P1200">
        <v>157</v>
      </c>
      <c r="Q1200">
        <v>157</v>
      </c>
      <c r="S1200" t="s">
        <v>39</v>
      </c>
      <c r="V1200" t="s">
        <v>39</v>
      </c>
      <c r="X1200">
        <v>22001</v>
      </c>
      <c r="Y1200" t="s">
        <v>47</v>
      </c>
      <c r="Z1200">
        <v>22</v>
      </c>
      <c r="AA1200">
        <v>481</v>
      </c>
      <c r="AB1200" t="s">
        <v>47</v>
      </c>
      <c r="AC1200">
        <v>0.48</v>
      </c>
      <c r="AD1200">
        <v>693</v>
      </c>
      <c r="AE1200" t="s">
        <v>48</v>
      </c>
      <c r="AF1200">
        <v>0.69199999999999995</v>
      </c>
      <c r="AG1200">
        <v>724</v>
      </c>
      <c r="AH1200" t="s">
        <v>49</v>
      </c>
      <c r="AI1200">
        <v>0.72299999999999998</v>
      </c>
      <c r="AJ1200" t="s">
        <v>1156</v>
      </c>
    </row>
    <row r="1201" spans="1:36" x14ac:dyDescent="0.25">
      <c r="A1201" t="s">
        <v>784</v>
      </c>
      <c r="B1201">
        <v>855421938</v>
      </c>
      <c r="C1201" t="s">
        <v>785</v>
      </c>
      <c r="D1201" t="s">
        <v>785</v>
      </c>
      <c r="E1201" t="s">
        <v>99</v>
      </c>
      <c r="F1201" t="s">
        <v>220</v>
      </c>
      <c r="I1201" t="s">
        <v>39</v>
      </c>
      <c r="J1201" t="s">
        <v>40</v>
      </c>
      <c r="K1201" t="s">
        <v>41</v>
      </c>
      <c r="L1201" t="s">
        <v>248</v>
      </c>
      <c r="M1201" t="s">
        <v>282</v>
      </c>
      <c r="N1201" t="s">
        <v>43</v>
      </c>
      <c r="O1201" t="s">
        <v>288</v>
      </c>
      <c r="P1201">
        <v>157</v>
      </c>
      <c r="Q1201">
        <v>157</v>
      </c>
      <c r="S1201" t="s">
        <v>39</v>
      </c>
      <c r="V1201" t="s">
        <v>39</v>
      </c>
      <c r="X1201">
        <v>21001</v>
      </c>
      <c r="Y1201" t="s">
        <v>47</v>
      </c>
      <c r="Z1201">
        <v>21</v>
      </c>
      <c r="AA1201">
        <v>385</v>
      </c>
      <c r="AB1201" t="s">
        <v>47</v>
      </c>
      <c r="AC1201">
        <v>0.38400000000000001</v>
      </c>
      <c r="AD1201">
        <v>665</v>
      </c>
      <c r="AE1201" t="s">
        <v>48</v>
      </c>
      <c r="AF1201">
        <v>0.66400000000000003</v>
      </c>
      <c r="AG1201">
        <v>628</v>
      </c>
      <c r="AH1201" t="s">
        <v>49</v>
      </c>
      <c r="AI1201">
        <v>0.627</v>
      </c>
      <c r="AJ1201" t="s">
        <v>1156</v>
      </c>
    </row>
    <row r="1202" spans="1:36" x14ac:dyDescent="0.25">
      <c r="A1202" t="s">
        <v>780</v>
      </c>
      <c r="B1202">
        <v>856257261</v>
      </c>
      <c r="C1202" t="s">
        <v>781</v>
      </c>
      <c r="D1202" t="s">
        <v>781</v>
      </c>
      <c r="E1202" t="s">
        <v>37</v>
      </c>
      <c r="F1202" t="s">
        <v>127</v>
      </c>
      <c r="I1202" t="s">
        <v>39</v>
      </c>
      <c r="J1202" t="s">
        <v>40</v>
      </c>
      <c r="K1202" t="s">
        <v>41</v>
      </c>
      <c r="L1202" t="s">
        <v>53</v>
      </c>
      <c r="N1202" t="s">
        <v>43</v>
      </c>
      <c r="O1202" t="s">
        <v>174</v>
      </c>
      <c r="P1202">
        <v>158</v>
      </c>
      <c r="Q1202">
        <v>158</v>
      </c>
      <c r="R1202">
        <v>1</v>
      </c>
      <c r="S1202" t="s">
        <v>45</v>
      </c>
      <c r="T1202">
        <v>0</v>
      </c>
      <c r="U1202">
        <v>901</v>
      </c>
      <c r="V1202" t="s">
        <v>113</v>
      </c>
      <c r="W1202">
        <v>0.9</v>
      </c>
      <c r="X1202">
        <v>17001</v>
      </c>
      <c r="Y1202" t="s">
        <v>47</v>
      </c>
      <c r="Z1202">
        <v>17</v>
      </c>
      <c r="AA1202">
        <v>555</v>
      </c>
      <c r="AB1202" t="s">
        <v>75</v>
      </c>
      <c r="AC1202">
        <v>0.55400000000000005</v>
      </c>
      <c r="AD1202">
        <v>702</v>
      </c>
      <c r="AE1202" t="s">
        <v>48</v>
      </c>
      <c r="AF1202">
        <v>0.70099999999999996</v>
      </c>
      <c r="AG1202">
        <v>780</v>
      </c>
      <c r="AH1202" t="s">
        <v>49</v>
      </c>
      <c r="AI1202">
        <v>0.77900000000000003</v>
      </c>
      <c r="AJ1202" t="s">
        <v>50</v>
      </c>
    </row>
    <row r="1203" spans="1:36" x14ac:dyDescent="0.25">
      <c r="A1203" t="s">
        <v>780</v>
      </c>
      <c r="B1203">
        <v>856257261</v>
      </c>
      <c r="C1203" t="s">
        <v>781</v>
      </c>
      <c r="D1203" t="s">
        <v>781</v>
      </c>
      <c r="E1203" t="s">
        <v>37</v>
      </c>
      <c r="F1203" t="s">
        <v>127</v>
      </c>
      <c r="I1203" t="s">
        <v>39</v>
      </c>
      <c r="J1203" t="s">
        <v>40</v>
      </c>
      <c r="K1203" t="s">
        <v>41</v>
      </c>
      <c r="L1203" t="s">
        <v>53</v>
      </c>
      <c r="N1203" t="s">
        <v>43</v>
      </c>
      <c r="O1203" t="s">
        <v>174</v>
      </c>
      <c r="P1203">
        <v>158</v>
      </c>
      <c r="Q1203">
        <v>158</v>
      </c>
      <c r="R1203">
        <v>1</v>
      </c>
      <c r="S1203" t="s">
        <v>45</v>
      </c>
      <c r="T1203">
        <v>0</v>
      </c>
      <c r="U1203">
        <v>313</v>
      </c>
      <c r="V1203" t="s">
        <v>55</v>
      </c>
      <c r="W1203">
        <v>0.312</v>
      </c>
      <c r="X1203">
        <v>17001</v>
      </c>
      <c r="Y1203" t="s">
        <v>47</v>
      </c>
      <c r="Z1203">
        <v>17</v>
      </c>
      <c r="AA1203">
        <v>555</v>
      </c>
      <c r="AB1203" t="s">
        <v>75</v>
      </c>
      <c r="AC1203">
        <v>0.55400000000000005</v>
      </c>
      <c r="AD1203">
        <v>702</v>
      </c>
      <c r="AE1203" t="s">
        <v>48</v>
      </c>
      <c r="AF1203">
        <v>0.70099999999999996</v>
      </c>
      <c r="AG1203">
        <v>780</v>
      </c>
      <c r="AH1203" t="s">
        <v>49</v>
      </c>
      <c r="AI1203">
        <v>0.77900000000000003</v>
      </c>
      <c r="AJ1203" t="s">
        <v>1141</v>
      </c>
    </row>
    <row r="1204" spans="1:36" x14ac:dyDescent="0.25">
      <c r="A1204" t="s">
        <v>780</v>
      </c>
      <c r="B1204">
        <v>856257261</v>
      </c>
      <c r="C1204" t="s">
        <v>781</v>
      </c>
      <c r="D1204" t="s">
        <v>781</v>
      </c>
      <c r="E1204" t="s">
        <v>37</v>
      </c>
      <c r="F1204" t="s">
        <v>127</v>
      </c>
      <c r="I1204" t="s">
        <v>39</v>
      </c>
      <c r="J1204" t="s">
        <v>40</v>
      </c>
      <c r="K1204" t="s">
        <v>41</v>
      </c>
      <c r="L1204" t="s">
        <v>53</v>
      </c>
      <c r="N1204" t="s">
        <v>43</v>
      </c>
      <c r="O1204" t="s">
        <v>174</v>
      </c>
      <c r="P1204">
        <v>158</v>
      </c>
      <c r="Q1204">
        <v>158</v>
      </c>
      <c r="R1204">
        <v>1</v>
      </c>
      <c r="S1204" t="s">
        <v>45</v>
      </c>
      <c r="T1204">
        <v>0</v>
      </c>
      <c r="U1204">
        <v>901</v>
      </c>
      <c r="V1204" t="s">
        <v>113</v>
      </c>
      <c r="W1204">
        <v>0.9</v>
      </c>
      <c r="X1204">
        <v>17001</v>
      </c>
      <c r="Y1204" t="s">
        <v>47</v>
      </c>
      <c r="Z1204">
        <v>17</v>
      </c>
      <c r="AA1204">
        <v>555</v>
      </c>
      <c r="AB1204" t="s">
        <v>75</v>
      </c>
      <c r="AC1204">
        <v>0.55400000000000005</v>
      </c>
      <c r="AD1204">
        <v>702</v>
      </c>
      <c r="AE1204" t="s">
        <v>48</v>
      </c>
      <c r="AF1204">
        <v>0.70099999999999996</v>
      </c>
      <c r="AG1204">
        <v>780</v>
      </c>
      <c r="AH1204" t="s">
        <v>49</v>
      </c>
      <c r="AI1204">
        <v>0.77900000000000003</v>
      </c>
      <c r="AJ1204" t="s">
        <v>1153</v>
      </c>
    </row>
    <row r="1205" spans="1:36" x14ac:dyDescent="0.25">
      <c r="A1205" t="s">
        <v>780</v>
      </c>
      <c r="B1205">
        <v>856257261</v>
      </c>
      <c r="C1205" t="s">
        <v>781</v>
      </c>
      <c r="D1205" t="s">
        <v>781</v>
      </c>
      <c r="E1205" t="s">
        <v>37</v>
      </c>
      <c r="F1205" t="s">
        <v>127</v>
      </c>
      <c r="I1205" t="s">
        <v>39</v>
      </c>
      <c r="J1205" t="s">
        <v>40</v>
      </c>
      <c r="K1205" t="s">
        <v>41</v>
      </c>
      <c r="L1205" t="s">
        <v>53</v>
      </c>
      <c r="N1205" t="s">
        <v>43</v>
      </c>
      <c r="O1205" t="s">
        <v>174</v>
      </c>
      <c r="P1205">
        <v>158</v>
      </c>
      <c r="Q1205">
        <v>158</v>
      </c>
      <c r="R1205">
        <v>1</v>
      </c>
      <c r="S1205" t="s">
        <v>45</v>
      </c>
      <c r="T1205">
        <v>0</v>
      </c>
      <c r="U1205">
        <v>901</v>
      </c>
      <c r="V1205" t="s">
        <v>113</v>
      </c>
      <c r="W1205">
        <v>0.9</v>
      </c>
      <c r="X1205">
        <v>17001</v>
      </c>
      <c r="Y1205" t="s">
        <v>47</v>
      </c>
      <c r="Z1205">
        <v>17</v>
      </c>
      <c r="AA1205">
        <v>555</v>
      </c>
      <c r="AB1205" t="s">
        <v>75</v>
      </c>
      <c r="AC1205">
        <v>0.55400000000000005</v>
      </c>
      <c r="AD1205">
        <v>702</v>
      </c>
      <c r="AE1205" t="s">
        <v>48</v>
      </c>
      <c r="AF1205">
        <v>0.70099999999999996</v>
      </c>
      <c r="AG1205">
        <v>780</v>
      </c>
      <c r="AH1205" t="s">
        <v>49</v>
      </c>
      <c r="AI1205">
        <v>0.77900000000000003</v>
      </c>
      <c r="AJ1205" t="s">
        <v>1154</v>
      </c>
    </row>
    <row r="1206" spans="1:36" x14ac:dyDescent="0.25">
      <c r="A1206" t="s">
        <v>780</v>
      </c>
      <c r="B1206">
        <v>856257261</v>
      </c>
      <c r="C1206" t="s">
        <v>781</v>
      </c>
      <c r="D1206" t="s">
        <v>781</v>
      </c>
      <c r="E1206" t="s">
        <v>37</v>
      </c>
      <c r="F1206" t="s">
        <v>127</v>
      </c>
      <c r="I1206" t="s">
        <v>39</v>
      </c>
      <c r="J1206" t="s">
        <v>40</v>
      </c>
      <c r="K1206" t="s">
        <v>41</v>
      </c>
      <c r="L1206" t="s">
        <v>53</v>
      </c>
      <c r="N1206" t="s">
        <v>43</v>
      </c>
      <c r="O1206" t="s">
        <v>174</v>
      </c>
      <c r="P1206">
        <v>158</v>
      </c>
      <c r="Q1206">
        <v>158</v>
      </c>
      <c r="S1206" t="s">
        <v>39</v>
      </c>
      <c r="V1206" t="s">
        <v>39</v>
      </c>
      <c r="X1206">
        <v>17001</v>
      </c>
      <c r="Y1206" t="s">
        <v>47</v>
      </c>
      <c r="Z1206">
        <v>17</v>
      </c>
      <c r="AA1206">
        <v>555</v>
      </c>
      <c r="AB1206" t="s">
        <v>75</v>
      </c>
      <c r="AC1206">
        <v>0.55400000000000005</v>
      </c>
      <c r="AD1206">
        <v>702</v>
      </c>
      <c r="AE1206" t="s">
        <v>48</v>
      </c>
      <c r="AF1206">
        <v>0.70099999999999996</v>
      </c>
      <c r="AG1206">
        <v>780</v>
      </c>
      <c r="AH1206" t="s">
        <v>49</v>
      </c>
      <c r="AI1206">
        <v>0.77900000000000003</v>
      </c>
      <c r="AJ1206" t="s">
        <v>1155</v>
      </c>
    </row>
    <row r="1207" spans="1:36" x14ac:dyDescent="0.25">
      <c r="A1207" t="s">
        <v>780</v>
      </c>
      <c r="B1207">
        <v>856257261</v>
      </c>
      <c r="C1207" t="s">
        <v>781</v>
      </c>
      <c r="D1207" t="s">
        <v>781</v>
      </c>
      <c r="E1207" t="s">
        <v>37</v>
      </c>
      <c r="F1207" t="s">
        <v>127</v>
      </c>
      <c r="I1207" t="s">
        <v>39</v>
      </c>
      <c r="J1207" t="s">
        <v>40</v>
      </c>
      <c r="K1207" t="s">
        <v>41</v>
      </c>
      <c r="L1207" t="s">
        <v>53</v>
      </c>
      <c r="N1207" t="s">
        <v>43</v>
      </c>
      <c r="O1207" t="s">
        <v>174</v>
      </c>
      <c r="P1207">
        <v>158</v>
      </c>
      <c r="Q1207">
        <v>158</v>
      </c>
      <c r="S1207" t="s">
        <v>39</v>
      </c>
      <c r="V1207" t="s">
        <v>39</v>
      </c>
      <c r="X1207">
        <v>17001</v>
      </c>
      <c r="Y1207" t="s">
        <v>47</v>
      </c>
      <c r="Z1207">
        <v>17</v>
      </c>
      <c r="AA1207">
        <v>555</v>
      </c>
      <c r="AB1207" t="s">
        <v>75</v>
      </c>
      <c r="AC1207">
        <v>0.55400000000000005</v>
      </c>
      <c r="AD1207">
        <v>702</v>
      </c>
      <c r="AE1207" t="s">
        <v>48</v>
      </c>
      <c r="AF1207">
        <v>0.70099999999999996</v>
      </c>
      <c r="AG1207">
        <v>780</v>
      </c>
      <c r="AH1207" t="s">
        <v>49</v>
      </c>
      <c r="AI1207">
        <v>0.77900000000000003</v>
      </c>
      <c r="AJ1207" t="s">
        <v>1156</v>
      </c>
    </row>
    <row r="1208" spans="1:36" x14ac:dyDescent="0.25">
      <c r="A1208" t="s">
        <v>776</v>
      </c>
      <c r="B1208">
        <v>881526479</v>
      </c>
      <c r="C1208" t="s">
        <v>777</v>
      </c>
      <c r="D1208" t="s">
        <v>777</v>
      </c>
      <c r="E1208" t="s">
        <v>65</v>
      </c>
      <c r="F1208" t="s">
        <v>66</v>
      </c>
      <c r="I1208" t="s">
        <v>39</v>
      </c>
      <c r="J1208" t="s">
        <v>40</v>
      </c>
      <c r="K1208" t="s">
        <v>41</v>
      </c>
      <c r="L1208" t="s">
        <v>42</v>
      </c>
      <c r="N1208" t="s">
        <v>43</v>
      </c>
      <c r="O1208" t="s">
        <v>133</v>
      </c>
      <c r="P1208">
        <v>160</v>
      </c>
      <c r="Q1208">
        <v>160</v>
      </c>
      <c r="R1208">
        <v>131</v>
      </c>
      <c r="S1208" t="s">
        <v>56</v>
      </c>
      <c r="T1208">
        <v>0.13</v>
      </c>
      <c r="U1208">
        <v>143</v>
      </c>
      <c r="V1208" t="s">
        <v>55</v>
      </c>
      <c r="W1208">
        <v>0.14199999999999999</v>
      </c>
      <c r="X1208">
        <v>8001</v>
      </c>
      <c r="Y1208" t="s">
        <v>47</v>
      </c>
      <c r="Z1208">
        <v>8</v>
      </c>
      <c r="AA1208">
        <v>194</v>
      </c>
      <c r="AB1208" t="s">
        <v>47</v>
      </c>
      <c r="AC1208">
        <v>0.193</v>
      </c>
      <c r="AD1208">
        <v>405</v>
      </c>
      <c r="AE1208" t="s">
        <v>56</v>
      </c>
      <c r="AF1208">
        <v>0.40400000000000003</v>
      </c>
      <c r="AG1208">
        <v>387</v>
      </c>
      <c r="AH1208" t="s">
        <v>57</v>
      </c>
      <c r="AI1208">
        <v>0.38600000000000001</v>
      </c>
      <c r="AJ1208" t="s">
        <v>50</v>
      </c>
    </row>
    <row r="1209" spans="1:36" x14ac:dyDescent="0.25">
      <c r="A1209" t="s">
        <v>776</v>
      </c>
      <c r="B1209">
        <v>881526479</v>
      </c>
      <c r="C1209" t="s">
        <v>777</v>
      </c>
      <c r="D1209" t="s">
        <v>777</v>
      </c>
      <c r="E1209" t="s">
        <v>65</v>
      </c>
      <c r="F1209" t="s">
        <v>66</v>
      </c>
      <c r="I1209" t="s">
        <v>39</v>
      </c>
      <c r="J1209" t="s">
        <v>40</v>
      </c>
      <c r="K1209" t="s">
        <v>41</v>
      </c>
      <c r="L1209" t="s">
        <v>42</v>
      </c>
      <c r="N1209" t="s">
        <v>43</v>
      </c>
      <c r="O1209" t="s">
        <v>133</v>
      </c>
      <c r="P1209">
        <v>160</v>
      </c>
      <c r="Q1209">
        <v>160</v>
      </c>
      <c r="R1209">
        <v>281</v>
      </c>
      <c r="S1209" t="s">
        <v>56</v>
      </c>
      <c r="T1209">
        <v>0.28000000000000003</v>
      </c>
      <c r="U1209">
        <v>285</v>
      </c>
      <c r="V1209" t="s">
        <v>55</v>
      </c>
      <c r="W1209">
        <v>0.28399999999999997</v>
      </c>
      <c r="X1209">
        <v>8001</v>
      </c>
      <c r="Y1209" t="s">
        <v>47</v>
      </c>
      <c r="Z1209">
        <v>8</v>
      </c>
      <c r="AA1209">
        <v>194</v>
      </c>
      <c r="AB1209" t="s">
        <v>47</v>
      </c>
      <c r="AC1209">
        <v>0.193</v>
      </c>
      <c r="AD1209">
        <v>405</v>
      </c>
      <c r="AE1209" t="s">
        <v>56</v>
      </c>
      <c r="AF1209">
        <v>0.40400000000000003</v>
      </c>
      <c r="AG1209">
        <v>387</v>
      </c>
      <c r="AH1209" t="s">
        <v>57</v>
      </c>
      <c r="AI1209">
        <v>0.38600000000000001</v>
      </c>
      <c r="AJ1209" t="s">
        <v>1141</v>
      </c>
    </row>
    <row r="1210" spans="1:36" x14ac:dyDescent="0.25">
      <c r="A1210" t="s">
        <v>776</v>
      </c>
      <c r="B1210">
        <v>881526479</v>
      </c>
      <c r="C1210" t="s">
        <v>777</v>
      </c>
      <c r="D1210" t="s">
        <v>777</v>
      </c>
      <c r="E1210" t="s">
        <v>65</v>
      </c>
      <c r="F1210" t="s">
        <v>66</v>
      </c>
      <c r="I1210" t="s">
        <v>39</v>
      </c>
      <c r="J1210" t="s">
        <v>40</v>
      </c>
      <c r="K1210" t="s">
        <v>41</v>
      </c>
      <c r="L1210" t="s">
        <v>42</v>
      </c>
      <c r="N1210" t="s">
        <v>43</v>
      </c>
      <c r="O1210" t="s">
        <v>133</v>
      </c>
      <c r="P1210">
        <v>160</v>
      </c>
      <c r="Q1210">
        <v>160</v>
      </c>
      <c r="R1210">
        <v>131</v>
      </c>
      <c r="S1210" t="s">
        <v>56</v>
      </c>
      <c r="T1210">
        <v>0.13</v>
      </c>
      <c r="U1210">
        <v>143</v>
      </c>
      <c r="V1210" t="s">
        <v>55</v>
      </c>
      <c r="W1210">
        <v>0.14199999999999999</v>
      </c>
      <c r="X1210">
        <v>8001</v>
      </c>
      <c r="Y1210" t="s">
        <v>47</v>
      </c>
      <c r="Z1210">
        <v>8</v>
      </c>
      <c r="AA1210">
        <v>194</v>
      </c>
      <c r="AB1210" t="s">
        <v>47</v>
      </c>
      <c r="AC1210">
        <v>0.193</v>
      </c>
      <c r="AD1210">
        <v>405</v>
      </c>
      <c r="AE1210" t="s">
        <v>56</v>
      </c>
      <c r="AF1210">
        <v>0.40400000000000003</v>
      </c>
      <c r="AG1210">
        <v>387</v>
      </c>
      <c r="AH1210" t="s">
        <v>57</v>
      </c>
      <c r="AI1210">
        <v>0.38600000000000001</v>
      </c>
      <c r="AJ1210" t="s">
        <v>1153</v>
      </c>
    </row>
    <row r="1211" spans="1:36" x14ac:dyDescent="0.25">
      <c r="A1211" t="s">
        <v>776</v>
      </c>
      <c r="B1211">
        <v>881526479</v>
      </c>
      <c r="C1211" t="s">
        <v>777</v>
      </c>
      <c r="D1211" t="s">
        <v>777</v>
      </c>
      <c r="E1211" t="s">
        <v>65</v>
      </c>
      <c r="F1211" t="s">
        <v>66</v>
      </c>
      <c r="I1211" t="s">
        <v>39</v>
      </c>
      <c r="J1211" t="s">
        <v>40</v>
      </c>
      <c r="K1211" t="s">
        <v>41</v>
      </c>
      <c r="L1211" t="s">
        <v>42</v>
      </c>
      <c r="N1211" t="s">
        <v>43</v>
      </c>
      <c r="O1211" t="s">
        <v>133</v>
      </c>
      <c r="P1211">
        <v>160</v>
      </c>
      <c r="Q1211">
        <v>160</v>
      </c>
      <c r="R1211">
        <v>131</v>
      </c>
      <c r="S1211" t="s">
        <v>56</v>
      </c>
      <c r="T1211">
        <v>0.13</v>
      </c>
      <c r="U1211">
        <v>143</v>
      </c>
      <c r="V1211" t="s">
        <v>55</v>
      </c>
      <c r="W1211">
        <v>0.14199999999999999</v>
      </c>
      <c r="X1211">
        <v>8001</v>
      </c>
      <c r="Y1211" t="s">
        <v>47</v>
      </c>
      <c r="Z1211">
        <v>8</v>
      </c>
      <c r="AA1211">
        <v>194</v>
      </c>
      <c r="AB1211" t="s">
        <v>47</v>
      </c>
      <c r="AC1211">
        <v>0.193</v>
      </c>
      <c r="AD1211">
        <v>405</v>
      </c>
      <c r="AE1211" t="s">
        <v>56</v>
      </c>
      <c r="AF1211">
        <v>0.40400000000000003</v>
      </c>
      <c r="AG1211">
        <v>387</v>
      </c>
      <c r="AH1211" t="s">
        <v>57</v>
      </c>
      <c r="AI1211">
        <v>0.38600000000000001</v>
      </c>
      <c r="AJ1211" t="s">
        <v>1154</v>
      </c>
    </row>
    <row r="1212" spans="1:36" x14ac:dyDescent="0.25">
      <c r="A1212" t="s">
        <v>776</v>
      </c>
      <c r="B1212">
        <v>881526479</v>
      </c>
      <c r="C1212" t="s">
        <v>777</v>
      </c>
      <c r="D1212" t="s">
        <v>777</v>
      </c>
      <c r="E1212" t="s">
        <v>65</v>
      </c>
      <c r="F1212" t="s">
        <v>66</v>
      </c>
      <c r="I1212" t="s">
        <v>39</v>
      </c>
      <c r="J1212" t="s">
        <v>40</v>
      </c>
      <c r="K1212" t="s">
        <v>41</v>
      </c>
      <c r="L1212" t="s">
        <v>42</v>
      </c>
      <c r="N1212" t="s">
        <v>43</v>
      </c>
      <c r="O1212" t="s">
        <v>133</v>
      </c>
      <c r="P1212">
        <v>160</v>
      </c>
      <c r="Q1212">
        <v>160</v>
      </c>
      <c r="S1212" t="s">
        <v>39</v>
      </c>
      <c r="V1212" t="s">
        <v>39</v>
      </c>
      <c r="X1212">
        <v>8001</v>
      </c>
      <c r="Y1212" t="s">
        <v>47</v>
      </c>
      <c r="Z1212">
        <v>8</v>
      </c>
      <c r="AA1212">
        <v>194</v>
      </c>
      <c r="AB1212" t="s">
        <v>47</v>
      </c>
      <c r="AC1212">
        <v>0.193</v>
      </c>
      <c r="AD1212">
        <v>405</v>
      </c>
      <c r="AE1212" t="s">
        <v>56</v>
      </c>
      <c r="AF1212">
        <v>0.40400000000000003</v>
      </c>
      <c r="AG1212">
        <v>387</v>
      </c>
      <c r="AH1212" t="s">
        <v>57</v>
      </c>
      <c r="AI1212">
        <v>0.38600000000000001</v>
      </c>
      <c r="AJ1212" t="s">
        <v>1155</v>
      </c>
    </row>
    <row r="1213" spans="1:36" x14ac:dyDescent="0.25">
      <c r="A1213" t="s">
        <v>776</v>
      </c>
      <c r="B1213">
        <v>881526479</v>
      </c>
      <c r="C1213" t="s">
        <v>777</v>
      </c>
      <c r="D1213" t="s">
        <v>777</v>
      </c>
      <c r="E1213" t="s">
        <v>65</v>
      </c>
      <c r="F1213" t="s">
        <v>66</v>
      </c>
      <c r="I1213" t="s">
        <v>39</v>
      </c>
      <c r="J1213" t="s">
        <v>40</v>
      </c>
      <c r="K1213" t="s">
        <v>41</v>
      </c>
      <c r="L1213" t="s">
        <v>42</v>
      </c>
      <c r="N1213" t="s">
        <v>43</v>
      </c>
      <c r="O1213" t="s">
        <v>133</v>
      </c>
      <c r="P1213">
        <v>160</v>
      </c>
      <c r="Q1213">
        <v>160</v>
      </c>
      <c r="S1213" t="s">
        <v>39</v>
      </c>
      <c r="V1213" t="s">
        <v>39</v>
      </c>
      <c r="X1213">
        <v>8001</v>
      </c>
      <c r="Y1213" t="s">
        <v>47</v>
      </c>
      <c r="Z1213">
        <v>8</v>
      </c>
      <c r="AA1213">
        <v>194</v>
      </c>
      <c r="AB1213" t="s">
        <v>47</v>
      </c>
      <c r="AC1213">
        <v>0.193</v>
      </c>
      <c r="AD1213">
        <v>405</v>
      </c>
      <c r="AE1213" t="s">
        <v>56</v>
      </c>
      <c r="AF1213">
        <v>0.40400000000000003</v>
      </c>
      <c r="AG1213">
        <v>387</v>
      </c>
      <c r="AH1213" t="s">
        <v>57</v>
      </c>
      <c r="AI1213">
        <v>0.38600000000000001</v>
      </c>
      <c r="AJ1213" t="s">
        <v>1156</v>
      </c>
    </row>
    <row r="1214" spans="1:36" x14ac:dyDescent="0.25">
      <c r="A1214" t="s">
        <v>778</v>
      </c>
      <c r="B1214">
        <v>881526506</v>
      </c>
      <c r="C1214" t="s">
        <v>779</v>
      </c>
      <c r="D1214" t="s">
        <v>779</v>
      </c>
      <c r="E1214" t="s">
        <v>65</v>
      </c>
      <c r="F1214" t="s">
        <v>66</v>
      </c>
      <c r="I1214" t="s">
        <v>39</v>
      </c>
      <c r="J1214" t="s">
        <v>40</v>
      </c>
      <c r="K1214" t="s">
        <v>41</v>
      </c>
      <c r="L1214" t="s">
        <v>42</v>
      </c>
      <c r="N1214" t="s">
        <v>43</v>
      </c>
      <c r="O1214" t="s">
        <v>451</v>
      </c>
      <c r="P1214">
        <v>160</v>
      </c>
      <c r="Q1214">
        <v>160</v>
      </c>
      <c r="R1214">
        <v>51</v>
      </c>
      <c r="S1214" t="s">
        <v>45</v>
      </c>
      <c r="T1214">
        <v>0.05</v>
      </c>
      <c r="U1214">
        <v>48</v>
      </c>
      <c r="V1214" t="s">
        <v>55</v>
      </c>
      <c r="W1214">
        <v>4.7E-2</v>
      </c>
      <c r="X1214">
        <v>13001</v>
      </c>
      <c r="Y1214" t="s">
        <v>47</v>
      </c>
      <c r="Z1214">
        <v>13</v>
      </c>
      <c r="AA1214">
        <v>270</v>
      </c>
      <c r="AB1214" t="s">
        <v>47</v>
      </c>
      <c r="AC1214">
        <v>0.26900000000000002</v>
      </c>
      <c r="AD1214">
        <v>498</v>
      </c>
      <c r="AE1214" t="s">
        <v>56</v>
      </c>
      <c r="AF1214">
        <v>0.497</v>
      </c>
      <c r="AG1214">
        <v>383</v>
      </c>
      <c r="AH1214" t="s">
        <v>57</v>
      </c>
      <c r="AI1214">
        <v>0.38200000000000001</v>
      </c>
      <c r="AJ1214" t="s">
        <v>50</v>
      </c>
    </row>
    <row r="1215" spans="1:36" x14ac:dyDescent="0.25">
      <c r="A1215" t="s">
        <v>778</v>
      </c>
      <c r="B1215">
        <v>881526506</v>
      </c>
      <c r="C1215" t="s">
        <v>779</v>
      </c>
      <c r="D1215" t="s">
        <v>779</v>
      </c>
      <c r="E1215" t="s">
        <v>65</v>
      </c>
      <c r="F1215" t="s">
        <v>66</v>
      </c>
      <c r="I1215" t="s">
        <v>39</v>
      </c>
      <c r="J1215" t="s">
        <v>40</v>
      </c>
      <c r="K1215" t="s">
        <v>41</v>
      </c>
      <c r="L1215" t="s">
        <v>42</v>
      </c>
      <c r="N1215" t="s">
        <v>43</v>
      </c>
      <c r="O1215" t="s">
        <v>451</v>
      </c>
      <c r="P1215">
        <v>160</v>
      </c>
      <c r="Q1215">
        <v>160</v>
      </c>
      <c r="R1215">
        <v>141</v>
      </c>
      <c r="S1215" t="s">
        <v>56</v>
      </c>
      <c r="T1215">
        <v>0.14000000000000001</v>
      </c>
      <c r="U1215">
        <v>120</v>
      </c>
      <c r="V1215" t="s">
        <v>55</v>
      </c>
      <c r="W1215">
        <v>0.11899999999999999</v>
      </c>
      <c r="X1215">
        <v>13001</v>
      </c>
      <c r="Y1215" t="s">
        <v>47</v>
      </c>
      <c r="Z1215">
        <v>13</v>
      </c>
      <c r="AA1215">
        <v>270</v>
      </c>
      <c r="AB1215" t="s">
        <v>47</v>
      </c>
      <c r="AC1215">
        <v>0.26900000000000002</v>
      </c>
      <c r="AD1215">
        <v>498</v>
      </c>
      <c r="AE1215" t="s">
        <v>56</v>
      </c>
      <c r="AF1215">
        <v>0.497</v>
      </c>
      <c r="AG1215">
        <v>383</v>
      </c>
      <c r="AH1215" t="s">
        <v>57</v>
      </c>
      <c r="AI1215">
        <v>0.38200000000000001</v>
      </c>
      <c r="AJ1215" t="s">
        <v>1141</v>
      </c>
    </row>
    <row r="1216" spans="1:36" x14ac:dyDescent="0.25">
      <c r="A1216" t="s">
        <v>778</v>
      </c>
      <c r="B1216">
        <v>881526506</v>
      </c>
      <c r="C1216" t="s">
        <v>779</v>
      </c>
      <c r="D1216" t="s">
        <v>779</v>
      </c>
      <c r="E1216" t="s">
        <v>65</v>
      </c>
      <c r="F1216" t="s">
        <v>66</v>
      </c>
      <c r="I1216" t="s">
        <v>39</v>
      </c>
      <c r="J1216" t="s">
        <v>40</v>
      </c>
      <c r="K1216" t="s">
        <v>41</v>
      </c>
      <c r="L1216" t="s">
        <v>42</v>
      </c>
      <c r="N1216" t="s">
        <v>43</v>
      </c>
      <c r="O1216" t="s">
        <v>451</v>
      </c>
      <c r="P1216">
        <v>160</v>
      </c>
      <c r="Q1216">
        <v>160</v>
      </c>
      <c r="R1216">
        <v>51</v>
      </c>
      <c r="S1216" t="s">
        <v>45</v>
      </c>
      <c r="T1216">
        <v>0.05</v>
      </c>
      <c r="U1216">
        <v>48</v>
      </c>
      <c r="V1216" t="s">
        <v>55</v>
      </c>
      <c r="W1216">
        <v>4.7E-2</v>
      </c>
      <c r="X1216">
        <v>13001</v>
      </c>
      <c r="Y1216" t="s">
        <v>47</v>
      </c>
      <c r="Z1216">
        <v>13</v>
      </c>
      <c r="AA1216">
        <v>270</v>
      </c>
      <c r="AB1216" t="s">
        <v>47</v>
      </c>
      <c r="AC1216">
        <v>0.26900000000000002</v>
      </c>
      <c r="AD1216">
        <v>498</v>
      </c>
      <c r="AE1216" t="s">
        <v>56</v>
      </c>
      <c r="AF1216">
        <v>0.497</v>
      </c>
      <c r="AG1216">
        <v>383</v>
      </c>
      <c r="AH1216" t="s">
        <v>57</v>
      </c>
      <c r="AI1216">
        <v>0.38200000000000001</v>
      </c>
      <c r="AJ1216" t="s">
        <v>1153</v>
      </c>
    </row>
    <row r="1217" spans="1:36" x14ac:dyDescent="0.25">
      <c r="A1217" t="s">
        <v>778</v>
      </c>
      <c r="B1217">
        <v>881526506</v>
      </c>
      <c r="C1217" t="s">
        <v>779</v>
      </c>
      <c r="D1217" t="s">
        <v>779</v>
      </c>
      <c r="E1217" t="s">
        <v>65</v>
      </c>
      <c r="F1217" t="s">
        <v>66</v>
      </c>
      <c r="I1217" t="s">
        <v>39</v>
      </c>
      <c r="J1217" t="s">
        <v>40</v>
      </c>
      <c r="K1217" t="s">
        <v>41</v>
      </c>
      <c r="L1217" t="s">
        <v>42</v>
      </c>
      <c r="N1217" t="s">
        <v>43</v>
      </c>
      <c r="O1217" t="s">
        <v>451</v>
      </c>
      <c r="P1217">
        <v>160</v>
      </c>
      <c r="Q1217">
        <v>160</v>
      </c>
      <c r="R1217">
        <v>51</v>
      </c>
      <c r="S1217" t="s">
        <v>45</v>
      </c>
      <c r="T1217">
        <v>0.05</v>
      </c>
      <c r="U1217">
        <v>48</v>
      </c>
      <c r="V1217" t="s">
        <v>55</v>
      </c>
      <c r="W1217">
        <v>4.7E-2</v>
      </c>
      <c r="X1217">
        <v>13001</v>
      </c>
      <c r="Y1217" t="s">
        <v>47</v>
      </c>
      <c r="Z1217">
        <v>13</v>
      </c>
      <c r="AA1217">
        <v>270</v>
      </c>
      <c r="AB1217" t="s">
        <v>47</v>
      </c>
      <c r="AC1217">
        <v>0.26900000000000002</v>
      </c>
      <c r="AD1217">
        <v>498</v>
      </c>
      <c r="AE1217" t="s">
        <v>56</v>
      </c>
      <c r="AF1217">
        <v>0.497</v>
      </c>
      <c r="AG1217">
        <v>383</v>
      </c>
      <c r="AH1217" t="s">
        <v>57</v>
      </c>
      <c r="AI1217">
        <v>0.38200000000000001</v>
      </c>
      <c r="AJ1217" t="s">
        <v>1154</v>
      </c>
    </row>
    <row r="1218" spans="1:36" x14ac:dyDescent="0.25">
      <c r="A1218" t="s">
        <v>778</v>
      </c>
      <c r="B1218">
        <v>881526506</v>
      </c>
      <c r="C1218" t="s">
        <v>779</v>
      </c>
      <c r="D1218" t="s">
        <v>779</v>
      </c>
      <c r="E1218" t="s">
        <v>65</v>
      </c>
      <c r="F1218" t="s">
        <v>66</v>
      </c>
      <c r="I1218" t="s">
        <v>39</v>
      </c>
      <c r="J1218" t="s">
        <v>40</v>
      </c>
      <c r="K1218" t="s">
        <v>41</v>
      </c>
      <c r="L1218" t="s">
        <v>42</v>
      </c>
      <c r="N1218" t="s">
        <v>43</v>
      </c>
      <c r="O1218" t="s">
        <v>451</v>
      </c>
      <c r="P1218">
        <v>160</v>
      </c>
      <c r="Q1218">
        <v>160</v>
      </c>
      <c r="S1218" t="s">
        <v>39</v>
      </c>
      <c r="V1218" t="s">
        <v>39</v>
      </c>
      <c r="X1218">
        <v>13001</v>
      </c>
      <c r="Y1218" t="s">
        <v>47</v>
      </c>
      <c r="Z1218">
        <v>13</v>
      </c>
      <c r="AA1218">
        <v>270</v>
      </c>
      <c r="AB1218" t="s">
        <v>47</v>
      </c>
      <c r="AC1218">
        <v>0.26900000000000002</v>
      </c>
      <c r="AD1218">
        <v>498</v>
      </c>
      <c r="AE1218" t="s">
        <v>56</v>
      </c>
      <c r="AF1218">
        <v>0.497</v>
      </c>
      <c r="AG1218">
        <v>383</v>
      </c>
      <c r="AH1218" t="s">
        <v>57</v>
      </c>
      <c r="AI1218">
        <v>0.38200000000000001</v>
      </c>
      <c r="AJ1218" t="s">
        <v>1155</v>
      </c>
    </row>
    <row r="1219" spans="1:36" x14ac:dyDescent="0.25">
      <c r="A1219" t="s">
        <v>778</v>
      </c>
      <c r="B1219">
        <v>881526506</v>
      </c>
      <c r="C1219" t="s">
        <v>779</v>
      </c>
      <c r="D1219" t="s">
        <v>779</v>
      </c>
      <c r="E1219" t="s">
        <v>65</v>
      </c>
      <c r="F1219" t="s">
        <v>66</v>
      </c>
      <c r="I1219" t="s">
        <v>39</v>
      </c>
      <c r="J1219" t="s">
        <v>40</v>
      </c>
      <c r="K1219" t="s">
        <v>41</v>
      </c>
      <c r="L1219" t="s">
        <v>42</v>
      </c>
      <c r="N1219" t="s">
        <v>43</v>
      </c>
      <c r="O1219" t="s">
        <v>451</v>
      </c>
      <c r="P1219">
        <v>160</v>
      </c>
      <c r="Q1219">
        <v>160</v>
      </c>
      <c r="S1219" t="s">
        <v>39</v>
      </c>
      <c r="V1219" t="s">
        <v>39</v>
      </c>
      <c r="X1219">
        <v>13001</v>
      </c>
      <c r="Y1219" t="s">
        <v>47</v>
      </c>
      <c r="Z1219">
        <v>13</v>
      </c>
      <c r="AA1219">
        <v>270</v>
      </c>
      <c r="AB1219" t="s">
        <v>47</v>
      </c>
      <c r="AC1219">
        <v>0.26900000000000002</v>
      </c>
      <c r="AD1219">
        <v>498</v>
      </c>
      <c r="AE1219" t="s">
        <v>56</v>
      </c>
      <c r="AF1219">
        <v>0.497</v>
      </c>
      <c r="AG1219">
        <v>383</v>
      </c>
      <c r="AH1219" t="s">
        <v>57</v>
      </c>
      <c r="AI1219">
        <v>0.38200000000000001</v>
      </c>
      <c r="AJ1219" t="s">
        <v>1156</v>
      </c>
    </row>
    <row r="1220" spans="1:36" x14ac:dyDescent="0.25">
      <c r="A1220" t="s">
        <v>774</v>
      </c>
      <c r="B1220">
        <v>861370127</v>
      </c>
      <c r="C1220" t="s">
        <v>775</v>
      </c>
      <c r="D1220" t="s">
        <v>775</v>
      </c>
      <c r="E1220" t="s">
        <v>37</v>
      </c>
      <c r="F1220" t="s">
        <v>191</v>
      </c>
      <c r="I1220" t="s">
        <v>39</v>
      </c>
      <c r="J1220" t="s">
        <v>40</v>
      </c>
      <c r="K1220" t="s">
        <v>41</v>
      </c>
      <c r="L1220" t="s">
        <v>197</v>
      </c>
      <c r="M1220" t="s">
        <v>47</v>
      </c>
      <c r="N1220" t="s">
        <v>43</v>
      </c>
      <c r="O1220" t="s">
        <v>236</v>
      </c>
      <c r="P1220">
        <v>161</v>
      </c>
      <c r="Q1220">
        <v>161</v>
      </c>
      <c r="R1220">
        <v>491</v>
      </c>
      <c r="S1220" t="s">
        <v>56</v>
      </c>
      <c r="T1220">
        <v>0.49</v>
      </c>
      <c r="U1220">
        <v>94</v>
      </c>
      <c r="V1220" t="s">
        <v>55</v>
      </c>
      <c r="W1220">
        <v>9.2999999999999999E-2</v>
      </c>
      <c r="X1220">
        <v>4001</v>
      </c>
      <c r="Y1220" t="s">
        <v>47</v>
      </c>
      <c r="Z1220">
        <v>4</v>
      </c>
      <c r="AA1220">
        <v>236</v>
      </c>
      <c r="AB1220" t="s">
        <v>47</v>
      </c>
      <c r="AC1220">
        <v>0.23499999999999999</v>
      </c>
      <c r="AD1220">
        <v>414</v>
      </c>
      <c r="AE1220" t="s">
        <v>56</v>
      </c>
      <c r="AF1220">
        <v>0.41299999999999998</v>
      </c>
      <c r="AG1220">
        <v>367</v>
      </c>
      <c r="AH1220" t="s">
        <v>57</v>
      </c>
      <c r="AI1220">
        <v>0.36599999999999999</v>
      </c>
      <c r="AJ1220" t="s">
        <v>50</v>
      </c>
    </row>
    <row r="1221" spans="1:36" x14ac:dyDescent="0.25">
      <c r="A1221" t="s">
        <v>774</v>
      </c>
      <c r="B1221">
        <v>861370127</v>
      </c>
      <c r="C1221" t="s">
        <v>775</v>
      </c>
      <c r="D1221" t="s">
        <v>775</v>
      </c>
      <c r="E1221" t="s">
        <v>37</v>
      </c>
      <c r="F1221" t="s">
        <v>191</v>
      </c>
      <c r="I1221" t="s">
        <v>39</v>
      </c>
      <c r="J1221" t="s">
        <v>40</v>
      </c>
      <c r="K1221" t="s">
        <v>41</v>
      </c>
      <c r="L1221" t="s">
        <v>197</v>
      </c>
      <c r="M1221" t="s">
        <v>47</v>
      </c>
      <c r="N1221" t="s">
        <v>43</v>
      </c>
      <c r="O1221" t="s">
        <v>236</v>
      </c>
      <c r="P1221">
        <v>161</v>
      </c>
      <c r="Q1221">
        <v>161</v>
      </c>
      <c r="R1221">
        <v>21</v>
      </c>
      <c r="S1221" t="s">
        <v>45</v>
      </c>
      <c r="T1221">
        <v>0.02</v>
      </c>
      <c r="U1221">
        <v>116</v>
      </c>
      <c r="V1221" t="s">
        <v>55</v>
      </c>
      <c r="W1221">
        <v>0.115</v>
      </c>
      <c r="X1221">
        <v>4001</v>
      </c>
      <c r="Y1221" t="s">
        <v>47</v>
      </c>
      <c r="Z1221">
        <v>4</v>
      </c>
      <c r="AA1221">
        <v>236</v>
      </c>
      <c r="AB1221" t="s">
        <v>47</v>
      </c>
      <c r="AC1221">
        <v>0.23499999999999999</v>
      </c>
      <c r="AD1221">
        <v>414</v>
      </c>
      <c r="AE1221" t="s">
        <v>56</v>
      </c>
      <c r="AF1221">
        <v>0.41299999999999998</v>
      </c>
      <c r="AG1221">
        <v>367</v>
      </c>
      <c r="AH1221" t="s">
        <v>57</v>
      </c>
      <c r="AI1221">
        <v>0.36599999999999999</v>
      </c>
      <c r="AJ1221" t="s">
        <v>1141</v>
      </c>
    </row>
    <row r="1222" spans="1:36" x14ac:dyDescent="0.25">
      <c r="A1222" t="s">
        <v>774</v>
      </c>
      <c r="B1222">
        <v>861370127</v>
      </c>
      <c r="C1222" t="s">
        <v>775</v>
      </c>
      <c r="D1222" t="s">
        <v>775</v>
      </c>
      <c r="E1222" t="s">
        <v>37</v>
      </c>
      <c r="F1222" t="s">
        <v>191</v>
      </c>
      <c r="I1222" t="s">
        <v>39</v>
      </c>
      <c r="J1222" t="s">
        <v>40</v>
      </c>
      <c r="K1222" t="s">
        <v>41</v>
      </c>
      <c r="L1222" t="s">
        <v>197</v>
      </c>
      <c r="M1222" t="s">
        <v>47</v>
      </c>
      <c r="N1222" t="s">
        <v>43</v>
      </c>
      <c r="O1222" t="s">
        <v>236</v>
      </c>
      <c r="P1222">
        <v>161</v>
      </c>
      <c r="Q1222">
        <v>161</v>
      </c>
      <c r="R1222">
        <v>491</v>
      </c>
      <c r="S1222" t="s">
        <v>56</v>
      </c>
      <c r="T1222">
        <v>0.49</v>
      </c>
      <c r="U1222">
        <v>94</v>
      </c>
      <c r="V1222" t="s">
        <v>55</v>
      </c>
      <c r="W1222">
        <v>9.2999999999999999E-2</v>
      </c>
      <c r="X1222">
        <v>4001</v>
      </c>
      <c r="Y1222" t="s">
        <v>47</v>
      </c>
      <c r="Z1222">
        <v>4</v>
      </c>
      <c r="AA1222">
        <v>236</v>
      </c>
      <c r="AB1222" t="s">
        <v>47</v>
      </c>
      <c r="AC1222">
        <v>0.23499999999999999</v>
      </c>
      <c r="AD1222">
        <v>414</v>
      </c>
      <c r="AE1222" t="s">
        <v>56</v>
      </c>
      <c r="AF1222">
        <v>0.41299999999999998</v>
      </c>
      <c r="AG1222">
        <v>367</v>
      </c>
      <c r="AH1222" t="s">
        <v>57</v>
      </c>
      <c r="AI1222">
        <v>0.36599999999999999</v>
      </c>
      <c r="AJ1222" t="s">
        <v>1153</v>
      </c>
    </row>
    <row r="1223" spans="1:36" x14ac:dyDescent="0.25">
      <c r="A1223" t="s">
        <v>774</v>
      </c>
      <c r="B1223">
        <v>861370127</v>
      </c>
      <c r="C1223" t="s">
        <v>775</v>
      </c>
      <c r="D1223" t="s">
        <v>775</v>
      </c>
      <c r="E1223" t="s">
        <v>37</v>
      </c>
      <c r="F1223" t="s">
        <v>191</v>
      </c>
      <c r="I1223" t="s">
        <v>39</v>
      </c>
      <c r="J1223" t="s">
        <v>40</v>
      </c>
      <c r="K1223" t="s">
        <v>41</v>
      </c>
      <c r="L1223" t="s">
        <v>197</v>
      </c>
      <c r="M1223" t="s">
        <v>47</v>
      </c>
      <c r="N1223" t="s">
        <v>43</v>
      </c>
      <c r="O1223" t="s">
        <v>236</v>
      </c>
      <c r="P1223">
        <v>161</v>
      </c>
      <c r="Q1223">
        <v>161</v>
      </c>
      <c r="R1223">
        <v>491</v>
      </c>
      <c r="S1223" t="s">
        <v>56</v>
      </c>
      <c r="T1223">
        <v>0.49</v>
      </c>
      <c r="U1223">
        <v>94</v>
      </c>
      <c r="V1223" t="s">
        <v>55</v>
      </c>
      <c r="W1223">
        <v>9.2999999999999999E-2</v>
      </c>
      <c r="X1223">
        <v>4001</v>
      </c>
      <c r="Y1223" t="s">
        <v>47</v>
      </c>
      <c r="Z1223">
        <v>4</v>
      </c>
      <c r="AA1223">
        <v>236</v>
      </c>
      <c r="AB1223" t="s">
        <v>47</v>
      </c>
      <c r="AC1223">
        <v>0.23499999999999999</v>
      </c>
      <c r="AD1223">
        <v>414</v>
      </c>
      <c r="AE1223" t="s">
        <v>56</v>
      </c>
      <c r="AF1223">
        <v>0.41299999999999998</v>
      </c>
      <c r="AG1223">
        <v>367</v>
      </c>
      <c r="AH1223" t="s">
        <v>57</v>
      </c>
      <c r="AI1223">
        <v>0.36599999999999999</v>
      </c>
      <c r="AJ1223" t="s">
        <v>1154</v>
      </c>
    </row>
    <row r="1224" spans="1:36" x14ac:dyDescent="0.25">
      <c r="A1224" t="s">
        <v>774</v>
      </c>
      <c r="B1224">
        <v>861370127</v>
      </c>
      <c r="C1224" t="s">
        <v>775</v>
      </c>
      <c r="D1224" t="s">
        <v>775</v>
      </c>
      <c r="E1224" t="s">
        <v>37</v>
      </c>
      <c r="F1224" t="s">
        <v>191</v>
      </c>
      <c r="I1224" t="s">
        <v>39</v>
      </c>
      <c r="J1224" t="s">
        <v>40</v>
      </c>
      <c r="K1224" t="s">
        <v>41</v>
      </c>
      <c r="L1224" t="s">
        <v>197</v>
      </c>
      <c r="M1224" t="s">
        <v>47</v>
      </c>
      <c r="N1224" t="s">
        <v>43</v>
      </c>
      <c r="O1224" t="s">
        <v>236</v>
      </c>
      <c r="P1224">
        <v>161</v>
      </c>
      <c r="Q1224">
        <v>161</v>
      </c>
      <c r="S1224" t="s">
        <v>39</v>
      </c>
      <c r="V1224" t="s">
        <v>39</v>
      </c>
      <c r="X1224">
        <v>4001</v>
      </c>
      <c r="Y1224" t="s">
        <v>47</v>
      </c>
      <c r="Z1224">
        <v>4</v>
      </c>
      <c r="AA1224">
        <v>236</v>
      </c>
      <c r="AB1224" t="s">
        <v>47</v>
      </c>
      <c r="AC1224">
        <v>0.23499999999999999</v>
      </c>
      <c r="AD1224">
        <v>414</v>
      </c>
      <c r="AE1224" t="s">
        <v>56</v>
      </c>
      <c r="AF1224">
        <v>0.41299999999999998</v>
      </c>
      <c r="AG1224">
        <v>367</v>
      </c>
      <c r="AH1224" t="s">
        <v>57</v>
      </c>
      <c r="AI1224">
        <v>0.36599999999999999</v>
      </c>
      <c r="AJ1224" t="s">
        <v>1155</v>
      </c>
    </row>
    <row r="1225" spans="1:36" x14ac:dyDescent="0.25">
      <c r="A1225" t="s">
        <v>774</v>
      </c>
      <c r="B1225">
        <v>861370127</v>
      </c>
      <c r="C1225" t="s">
        <v>775</v>
      </c>
      <c r="D1225" t="s">
        <v>775</v>
      </c>
      <c r="E1225" t="s">
        <v>37</v>
      </c>
      <c r="F1225" t="s">
        <v>191</v>
      </c>
      <c r="I1225" t="s">
        <v>39</v>
      </c>
      <c r="J1225" t="s">
        <v>40</v>
      </c>
      <c r="K1225" t="s">
        <v>41</v>
      </c>
      <c r="L1225" t="s">
        <v>197</v>
      </c>
      <c r="M1225" t="s">
        <v>47</v>
      </c>
      <c r="N1225" t="s">
        <v>43</v>
      </c>
      <c r="O1225" t="s">
        <v>236</v>
      </c>
      <c r="P1225">
        <v>161</v>
      </c>
      <c r="Q1225">
        <v>161</v>
      </c>
      <c r="S1225" t="s">
        <v>39</v>
      </c>
      <c r="V1225" t="s">
        <v>39</v>
      </c>
      <c r="X1225">
        <v>4001</v>
      </c>
      <c r="Y1225" t="s">
        <v>47</v>
      </c>
      <c r="Z1225">
        <v>4</v>
      </c>
      <c r="AA1225">
        <v>236</v>
      </c>
      <c r="AB1225" t="s">
        <v>47</v>
      </c>
      <c r="AC1225">
        <v>0.23499999999999999</v>
      </c>
      <c r="AD1225">
        <v>414</v>
      </c>
      <c r="AE1225" t="s">
        <v>56</v>
      </c>
      <c r="AF1225">
        <v>0.41299999999999998</v>
      </c>
      <c r="AG1225">
        <v>367</v>
      </c>
      <c r="AH1225" t="s">
        <v>57</v>
      </c>
      <c r="AI1225">
        <v>0.36599999999999999</v>
      </c>
      <c r="AJ1225" t="s">
        <v>1156</v>
      </c>
    </row>
    <row r="1226" spans="1:36" x14ac:dyDescent="0.25">
      <c r="A1226" t="s">
        <v>771</v>
      </c>
      <c r="B1226">
        <v>860491523</v>
      </c>
      <c r="C1226" t="s">
        <v>772</v>
      </c>
      <c r="D1226" t="s">
        <v>772</v>
      </c>
      <c r="E1226" t="s">
        <v>65</v>
      </c>
      <c r="F1226" t="s">
        <v>93</v>
      </c>
      <c r="I1226" t="s">
        <v>39</v>
      </c>
      <c r="J1226" t="s">
        <v>40</v>
      </c>
      <c r="K1226" t="s">
        <v>41</v>
      </c>
      <c r="L1226" t="s">
        <v>42</v>
      </c>
      <c r="N1226" t="s">
        <v>43</v>
      </c>
      <c r="O1226" t="s">
        <v>773</v>
      </c>
      <c r="P1226">
        <v>164</v>
      </c>
      <c r="Q1226">
        <v>164</v>
      </c>
      <c r="R1226">
        <v>1</v>
      </c>
      <c r="S1226" t="s">
        <v>45</v>
      </c>
      <c r="T1226">
        <v>0</v>
      </c>
      <c r="U1226">
        <v>500</v>
      </c>
      <c r="V1226" t="s">
        <v>113</v>
      </c>
      <c r="W1226">
        <v>0.499</v>
      </c>
      <c r="X1226">
        <v>20001</v>
      </c>
      <c r="Y1226" t="s">
        <v>47</v>
      </c>
      <c r="Z1226">
        <v>20</v>
      </c>
      <c r="AA1226">
        <v>567</v>
      </c>
      <c r="AB1226" t="s">
        <v>75</v>
      </c>
      <c r="AC1226">
        <v>0.56599999999999995</v>
      </c>
      <c r="AD1226">
        <v>701</v>
      </c>
      <c r="AE1226" t="s">
        <v>48</v>
      </c>
      <c r="AF1226">
        <v>0.7</v>
      </c>
      <c r="AG1226">
        <v>938</v>
      </c>
      <c r="AH1226" t="s">
        <v>80</v>
      </c>
      <c r="AI1226">
        <v>0.93700000000000006</v>
      </c>
      <c r="AJ1226" t="s">
        <v>50</v>
      </c>
    </row>
    <row r="1227" spans="1:36" x14ac:dyDescent="0.25">
      <c r="A1227" t="s">
        <v>771</v>
      </c>
      <c r="B1227">
        <v>860491523</v>
      </c>
      <c r="C1227" t="s">
        <v>772</v>
      </c>
      <c r="D1227" t="s">
        <v>772</v>
      </c>
      <c r="E1227" t="s">
        <v>65</v>
      </c>
      <c r="F1227" t="s">
        <v>93</v>
      </c>
      <c r="I1227" t="s">
        <v>39</v>
      </c>
      <c r="J1227" t="s">
        <v>40</v>
      </c>
      <c r="K1227" t="s">
        <v>41</v>
      </c>
      <c r="L1227" t="s">
        <v>42</v>
      </c>
      <c r="N1227" t="s">
        <v>43</v>
      </c>
      <c r="O1227" t="s">
        <v>773</v>
      </c>
      <c r="P1227">
        <v>164</v>
      </c>
      <c r="Q1227">
        <v>164</v>
      </c>
      <c r="R1227">
        <v>1</v>
      </c>
      <c r="S1227" t="s">
        <v>45</v>
      </c>
      <c r="T1227">
        <v>0</v>
      </c>
      <c r="U1227">
        <v>327</v>
      </c>
      <c r="V1227" t="s">
        <v>55</v>
      </c>
      <c r="W1227">
        <v>0.32600000000000001</v>
      </c>
      <c r="X1227">
        <v>20001</v>
      </c>
      <c r="Y1227" t="s">
        <v>47</v>
      </c>
      <c r="Z1227">
        <v>20</v>
      </c>
      <c r="AA1227">
        <v>567</v>
      </c>
      <c r="AB1227" t="s">
        <v>75</v>
      </c>
      <c r="AC1227">
        <v>0.56599999999999995</v>
      </c>
      <c r="AD1227">
        <v>701</v>
      </c>
      <c r="AE1227" t="s">
        <v>48</v>
      </c>
      <c r="AF1227">
        <v>0.7</v>
      </c>
      <c r="AG1227">
        <v>938</v>
      </c>
      <c r="AH1227" t="s">
        <v>80</v>
      </c>
      <c r="AI1227">
        <v>0.93700000000000006</v>
      </c>
      <c r="AJ1227" t="s">
        <v>1141</v>
      </c>
    </row>
    <row r="1228" spans="1:36" x14ac:dyDescent="0.25">
      <c r="A1228" t="s">
        <v>771</v>
      </c>
      <c r="B1228">
        <v>860491523</v>
      </c>
      <c r="C1228" t="s">
        <v>772</v>
      </c>
      <c r="D1228" t="s">
        <v>772</v>
      </c>
      <c r="E1228" t="s">
        <v>65</v>
      </c>
      <c r="F1228" t="s">
        <v>93</v>
      </c>
      <c r="I1228" t="s">
        <v>39</v>
      </c>
      <c r="J1228" t="s">
        <v>40</v>
      </c>
      <c r="K1228" t="s">
        <v>41</v>
      </c>
      <c r="L1228" t="s">
        <v>42</v>
      </c>
      <c r="N1228" t="s">
        <v>43</v>
      </c>
      <c r="O1228" t="s">
        <v>773</v>
      </c>
      <c r="P1228">
        <v>164</v>
      </c>
      <c r="Q1228">
        <v>164</v>
      </c>
      <c r="R1228">
        <v>1</v>
      </c>
      <c r="S1228" t="s">
        <v>45</v>
      </c>
      <c r="T1228">
        <v>0</v>
      </c>
      <c r="U1228">
        <v>500</v>
      </c>
      <c r="V1228" t="s">
        <v>113</v>
      </c>
      <c r="W1228">
        <v>0.499</v>
      </c>
      <c r="X1228">
        <v>20001</v>
      </c>
      <c r="Y1228" t="s">
        <v>47</v>
      </c>
      <c r="Z1228">
        <v>20</v>
      </c>
      <c r="AA1228">
        <v>567</v>
      </c>
      <c r="AB1228" t="s">
        <v>75</v>
      </c>
      <c r="AC1228">
        <v>0.56599999999999995</v>
      </c>
      <c r="AD1228">
        <v>701</v>
      </c>
      <c r="AE1228" t="s">
        <v>48</v>
      </c>
      <c r="AF1228">
        <v>0.7</v>
      </c>
      <c r="AG1228">
        <v>938</v>
      </c>
      <c r="AH1228" t="s">
        <v>80</v>
      </c>
      <c r="AI1228">
        <v>0.93700000000000006</v>
      </c>
      <c r="AJ1228" t="s">
        <v>1153</v>
      </c>
    </row>
    <row r="1229" spans="1:36" x14ac:dyDescent="0.25">
      <c r="A1229" t="s">
        <v>771</v>
      </c>
      <c r="B1229">
        <v>860491523</v>
      </c>
      <c r="C1229" t="s">
        <v>772</v>
      </c>
      <c r="D1229" t="s">
        <v>772</v>
      </c>
      <c r="E1229" t="s">
        <v>65</v>
      </c>
      <c r="F1229" t="s">
        <v>93</v>
      </c>
      <c r="I1229" t="s">
        <v>39</v>
      </c>
      <c r="J1229" t="s">
        <v>40</v>
      </c>
      <c r="K1229" t="s">
        <v>41</v>
      </c>
      <c r="L1229" t="s">
        <v>42</v>
      </c>
      <c r="N1229" t="s">
        <v>43</v>
      </c>
      <c r="O1229" t="s">
        <v>773</v>
      </c>
      <c r="P1229">
        <v>164</v>
      </c>
      <c r="Q1229">
        <v>164</v>
      </c>
      <c r="R1229">
        <v>1</v>
      </c>
      <c r="S1229" t="s">
        <v>45</v>
      </c>
      <c r="T1229">
        <v>0</v>
      </c>
      <c r="U1229">
        <v>500</v>
      </c>
      <c r="V1229" t="s">
        <v>113</v>
      </c>
      <c r="W1229">
        <v>0.499</v>
      </c>
      <c r="X1229">
        <v>20001</v>
      </c>
      <c r="Y1229" t="s">
        <v>47</v>
      </c>
      <c r="Z1229">
        <v>20</v>
      </c>
      <c r="AA1229">
        <v>567</v>
      </c>
      <c r="AB1229" t="s">
        <v>75</v>
      </c>
      <c r="AC1229">
        <v>0.56599999999999995</v>
      </c>
      <c r="AD1229">
        <v>701</v>
      </c>
      <c r="AE1229" t="s">
        <v>48</v>
      </c>
      <c r="AF1229">
        <v>0.7</v>
      </c>
      <c r="AG1229">
        <v>938</v>
      </c>
      <c r="AH1229" t="s">
        <v>80</v>
      </c>
      <c r="AI1229">
        <v>0.93700000000000006</v>
      </c>
      <c r="AJ1229" t="s">
        <v>1154</v>
      </c>
    </row>
    <row r="1230" spans="1:36" x14ac:dyDescent="0.25">
      <c r="A1230" t="s">
        <v>771</v>
      </c>
      <c r="B1230">
        <v>860491523</v>
      </c>
      <c r="C1230" t="s">
        <v>772</v>
      </c>
      <c r="D1230" t="s">
        <v>772</v>
      </c>
      <c r="E1230" t="s">
        <v>65</v>
      </c>
      <c r="F1230" t="s">
        <v>93</v>
      </c>
      <c r="I1230" t="s">
        <v>39</v>
      </c>
      <c r="J1230" t="s">
        <v>40</v>
      </c>
      <c r="K1230" t="s">
        <v>41</v>
      </c>
      <c r="L1230" t="s">
        <v>42</v>
      </c>
      <c r="N1230" t="s">
        <v>43</v>
      </c>
      <c r="O1230" t="s">
        <v>773</v>
      </c>
      <c r="P1230">
        <v>164</v>
      </c>
      <c r="Q1230">
        <v>164</v>
      </c>
      <c r="S1230" t="s">
        <v>39</v>
      </c>
      <c r="V1230" t="s">
        <v>39</v>
      </c>
      <c r="X1230">
        <v>20001</v>
      </c>
      <c r="Y1230" t="s">
        <v>47</v>
      </c>
      <c r="Z1230">
        <v>20</v>
      </c>
      <c r="AA1230">
        <v>567</v>
      </c>
      <c r="AB1230" t="s">
        <v>75</v>
      </c>
      <c r="AC1230">
        <v>0.56599999999999995</v>
      </c>
      <c r="AD1230">
        <v>701</v>
      </c>
      <c r="AE1230" t="s">
        <v>48</v>
      </c>
      <c r="AF1230">
        <v>0.7</v>
      </c>
      <c r="AG1230">
        <v>938</v>
      </c>
      <c r="AH1230" t="s">
        <v>80</v>
      </c>
      <c r="AI1230">
        <v>0.93700000000000006</v>
      </c>
      <c r="AJ1230" t="s">
        <v>1155</v>
      </c>
    </row>
    <row r="1231" spans="1:36" x14ac:dyDescent="0.25">
      <c r="A1231" t="s">
        <v>771</v>
      </c>
      <c r="B1231">
        <v>860491523</v>
      </c>
      <c r="C1231" t="s">
        <v>772</v>
      </c>
      <c r="D1231" t="s">
        <v>772</v>
      </c>
      <c r="E1231" t="s">
        <v>65</v>
      </c>
      <c r="F1231" t="s">
        <v>93</v>
      </c>
      <c r="I1231" t="s">
        <v>39</v>
      </c>
      <c r="J1231" t="s">
        <v>40</v>
      </c>
      <c r="K1231" t="s">
        <v>41</v>
      </c>
      <c r="L1231" t="s">
        <v>42</v>
      </c>
      <c r="N1231" t="s">
        <v>43</v>
      </c>
      <c r="O1231" t="s">
        <v>773</v>
      </c>
      <c r="P1231">
        <v>164</v>
      </c>
      <c r="Q1231">
        <v>164</v>
      </c>
      <c r="S1231" t="s">
        <v>39</v>
      </c>
      <c r="V1231" t="s">
        <v>39</v>
      </c>
      <c r="X1231">
        <v>20001</v>
      </c>
      <c r="Y1231" t="s">
        <v>47</v>
      </c>
      <c r="Z1231">
        <v>20</v>
      </c>
      <c r="AA1231">
        <v>567</v>
      </c>
      <c r="AB1231" t="s">
        <v>75</v>
      </c>
      <c r="AC1231">
        <v>0.56599999999999995</v>
      </c>
      <c r="AD1231">
        <v>701</v>
      </c>
      <c r="AE1231" t="s">
        <v>48</v>
      </c>
      <c r="AF1231">
        <v>0.7</v>
      </c>
      <c r="AG1231">
        <v>938</v>
      </c>
      <c r="AH1231" t="s">
        <v>80</v>
      </c>
      <c r="AI1231">
        <v>0.93700000000000006</v>
      </c>
      <c r="AJ1231" t="s">
        <v>1156</v>
      </c>
    </row>
    <row r="1232" spans="1:36" x14ac:dyDescent="0.25">
      <c r="A1232" t="s">
        <v>767</v>
      </c>
      <c r="B1232">
        <v>852560761</v>
      </c>
      <c r="C1232" t="s">
        <v>768</v>
      </c>
      <c r="D1232" t="s">
        <v>768</v>
      </c>
      <c r="E1232" t="s">
        <v>99</v>
      </c>
      <c r="F1232" t="s">
        <v>769</v>
      </c>
      <c r="I1232" t="s">
        <v>39</v>
      </c>
      <c r="J1232" t="s">
        <v>40</v>
      </c>
      <c r="K1232" t="s">
        <v>41</v>
      </c>
      <c r="L1232" t="s">
        <v>770</v>
      </c>
      <c r="M1232" t="s">
        <v>73</v>
      </c>
      <c r="N1232" t="s">
        <v>43</v>
      </c>
      <c r="O1232" t="s">
        <v>93</v>
      </c>
      <c r="P1232">
        <v>166</v>
      </c>
      <c r="Q1232">
        <v>166</v>
      </c>
      <c r="R1232">
        <v>51</v>
      </c>
      <c r="S1232" t="s">
        <v>45</v>
      </c>
      <c r="T1232">
        <v>0.05</v>
      </c>
      <c r="U1232">
        <v>95</v>
      </c>
      <c r="V1232" t="s">
        <v>55</v>
      </c>
      <c r="W1232">
        <v>9.4E-2</v>
      </c>
      <c r="X1232">
        <v>17001</v>
      </c>
      <c r="Y1232" t="s">
        <v>47</v>
      </c>
      <c r="Z1232">
        <v>17</v>
      </c>
      <c r="AA1232">
        <v>462</v>
      </c>
      <c r="AB1232" t="s">
        <v>47</v>
      </c>
      <c r="AC1232">
        <v>0.46100000000000002</v>
      </c>
      <c r="AD1232">
        <v>607</v>
      </c>
      <c r="AE1232" t="s">
        <v>48</v>
      </c>
      <c r="AF1232">
        <v>0.60599999999999998</v>
      </c>
      <c r="AG1232">
        <v>752</v>
      </c>
      <c r="AH1232" t="s">
        <v>49</v>
      </c>
      <c r="AI1232">
        <v>0.751</v>
      </c>
      <c r="AJ1232" t="s">
        <v>50</v>
      </c>
    </row>
    <row r="1233" spans="1:36" x14ac:dyDescent="0.25">
      <c r="A1233" t="s">
        <v>767</v>
      </c>
      <c r="B1233">
        <v>852560761</v>
      </c>
      <c r="C1233" t="s">
        <v>768</v>
      </c>
      <c r="D1233" t="s">
        <v>768</v>
      </c>
      <c r="E1233" t="s">
        <v>60</v>
      </c>
      <c r="F1233" t="s">
        <v>769</v>
      </c>
      <c r="I1233" t="s">
        <v>39</v>
      </c>
      <c r="J1233" t="s">
        <v>40</v>
      </c>
      <c r="K1233" t="s">
        <v>41</v>
      </c>
      <c r="L1233" t="s">
        <v>770</v>
      </c>
      <c r="M1233" t="s">
        <v>73</v>
      </c>
      <c r="N1233" t="s">
        <v>43</v>
      </c>
      <c r="O1233" t="s">
        <v>226</v>
      </c>
      <c r="P1233">
        <v>166</v>
      </c>
      <c r="Q1233">
        <v>166</v>
      </c>
      <c r="R1233">
        <v>1</v>
      </c>
      <c r="S1233" t="s">
        <v>45</v>
      </c>
      <c r="T1233">
        <v>0</v>
      </c>
      <c r="U1233">
        <v>903</v>
      </c>
      <c r="V1233" t="s">
        <v>113</v>
      </c>
      <c r="W1233">
        <v>0.90200000000000002</v>
      </c>
      <c r="X1233">
        <v>21001</v>
      </c>
      <c r="Y1233" t="s">
        <v>47</v>
      </c>
      <c r="Z1233">
        <v>21</v>
      </c>
      <c r="AA1233">
        <v>616</v>
      </c>
      <c r="AB1233" t="s">
        <v>75</v>
      </c>
      <c r="AC1233">
        <v>0.61499999999999999</v>
      </c>
      <c r="AD1233">
        <v>747</v>
      </c>
      <c r="AE1233" t="s">
        <v>48</v>
      </c>
      <c r="AF1233">
        <v>0.746</v>
      </c>
      <c r="AG1233">
        <v>928</v>
      </c>
      <c r="AH1233" t="s">
        <v>49</v>
      </c>
      <c r="AI1233">
        <v>0.92700000000000005</v>
      </c>
      <c r="AJ1233" t="s">
        <v>50</v>
      </c>
    </row>
    <row r="1234" spans="1:36" x14ac:dyDescent="0.25">
      <c r="A1234" t="s">
        <v>767</v>
      </c>
      <c r="B1234">
        <v>852560761</v>
      </c>
      <c r="C1234" t="s">
        <v>768</v>
      </c>
      <c r="D1234" t="s">
        <v>768</v>
      </c>
      <c r="E1234" t="s">
        <v>99</v>
      </c>
      <c r="F1234" t="s">
        <v>769</v>
      </c>
      <c r="I1234" t="s">
        <v>39</v>
      </c>
      <c r="J1234" t="s">
        <v>40</v>
      </c>
      <c r="K1234" t="s">
        <v>41</v>
      </c>
      <c r="L1234" t="s">
        <v>770</v>
      </c>
      <c r="M1234" t="s">
        <v>73</v>
      </c>
      <c r="N1234" t="s">
        <v>43</v>
      </c>
      <c r="O1234" t="s">
        <v>93</v>
      </c>
      <c r="P1234">
        <v>166</v>
      </c>
      <c r="Q1234">
        <v>166</v>
      </c>
      <c r="R1234">
        <v>1</v>
      </c>
      <c r="S1234" t="s">
        <v>45</v>
      </c>
      <c r="T1234">
        <v>0</v>
      </c>
      <c r="U1234">
        <v>847</v>
      </c>
      <c r="V1234" t="s">
        <v>113</v>
      </c>
      <c r="W1234">
        <v>0.84599999999999997</v>
      </c>
      <c r="X1234">
        <v>17001</v>
      </c>
      <c r="Y1234" t="s">
        <v>47</v>
      </c>
      <c r="Z1234">
        <v>17</v>
      </c>
      <c r="AA1234">
        <v>462</v>
      </c>
      <c r="AB1234" t="s">
        <v>47</v>
      </c>
      <c r="AC1234">
        <v>0.46100000000000002</v>
      </c>
      <c r="AD1234">
        <v>607</v>
      </c>
      <c r="AE1234" t="s">
        <v>48</v>
      </c>
      <c r="AF1234">
        <v>0.60599999999999998</v>
      </c>
      <c r="AG1234">
        <v>752</v>
      </c>
      <c r="AH1234" t="s">
        <v>49</v>
      </c>
      <c r="AI1234">
        <v>0.751</v>
      </c>
      <c r="AJ1234" t="s">
        <v>1141</v>
      </c>
    </row>
    <row r="1235" spans="1:36" x14ac:dyDescent="0.25">
      <c r="A1235" t="s">
        <v>767</v>
      </c>
      <c r="B1235">
        <v>852560761</v>
      </c>
      <c r="C1235" t="s">
        <v>768</v>
      </c>
      <c r="D1235" t="s">
        <v>768</v>
      </c>
      <c r="E1235" t="s">
        <v>60</v>
      </c>
      <c r="F1235" t="s">
        <v>769</v>
      </c>
      <c r="I1235" t="s">
        <v>39</v>
      </c>
      <c r="J1235" t="s">
        <v>40</v>
      </c>
      <c r="K1235" t="s">
        <v>41</v>
      </c>
      <c r="L1235" t="s">
        <v>770</v>
      </c>
      <c r="M1235" t="s">
        <v>73</v>
      </c>
      <c r="N1235" t="s">
        <v>43</v>
      </c>
      <c r="O1235" t="s">
        <v>226</v>
      </c>
      <c r="P1235">
        <v>166</v>
      </c>
      <c r="Q1235">
        <v>166</v>
      </c>
      <c r="R1235">
        <v>1</v>
      </c>
      <c r="S1235" t="s">
        <v>45</v>
      </c>
      <c r="T1235">
        <v>0</v>
      </c>
      <c r="U1235">
        <v>891</v>
      </c>
      <c r="V1235" t="s">
        <v>113</v>
      </c>
      <c r="W1235">
        <v>0.89</v>
      </c>
      <c r="X1235">
        <v>21001</v>
      </c>
      <c r="Y1235" t="s">
        <v>47</v>
      </c>
      <c r="Z1235">
        <v>21</v>
      </c>
      <c r="AA1235">
        <v>616</v>
      </c>
      <c r="AB1235" t="s">
        <v>75</v>
      </c>
      <c r="AC1235">
        <v>0.61499999999999999</v>
      </c>
      <c r="AD1235">
        <v>747</v>
      </c>
      <c r="AE1235" t="s">
        <v>48</v>
      </c>
      <c r="AF1235">
        <v>0.746</v>
      </c>
      <c r="AG1235">
        <v>928</v>
      </c>
      <c r="AH1235" t="s">
        <v>49</v>
      </c>
      <c r="AI1235">
        <v>0.92700000000000005</v>
      </c>
      <c r="AJ1235" t="s">
        <v>1141</v>
      </c>
    </row>
    <row r="1236" spans="1:36" x14ac:dyDescent="0.25">
      <c r="A1236" t="s">
        <v>767</v>
      </c>
      <c r="B1236">
        <v>852560761</v>
      </c>
      <c r="C1236" t="s">
        <v>768</v>
      </c>
      <c r="D1236" t="s">
        <v>768</v>
      </c>
      <c r="E1236" t="s">
        <v>99</v>
      </c>
      <c r="F1236" t="s">
        <v>769</v>
      </c>
      <c r="I1236" t="s">
        <v>39</v>
      </c>
      <c r="J1236" t="s">
        <v>40</v>
      </c>
      <c r="K1236" t="s">
        <v>41</v>
      </c>
      <c r="L1236" t="s">
        <v>770</v>
      </c>
      <c r="M1236" t="s">
        <v>73</v>
      </c>
      <c r="N1236" t="s">
        <v>43</v>
      </c>
      <c r="O1236" t="s">
        <v>93</v>
      </c>
      <c r="P1236">
        <v>166</v>
      </c>
      <c r="Q1236">
        <v>166</v>
      </c>
      <c r="R1236">
        <v>51</v>
      </c>
      <c r="S1236" t="s">
        <v>45</v>
      </c>
      <c r="T1236">
        <v>0.05</v>
      </c>
      <c r="U1236">
        <v>95</v>
      </c>
      <c r="V1236" t="s">
        <v>55</v>
      </c>
      <c r="W1236">
        <v>9.4E-2</v>
      </c>
      <c r="X1236">
        <v>17001</v>
      </c>
      <c r="Y1236" t="s">
        <v>47</v>
      </c>
      <c r="Z1236">
        <v>17</v>
      </c>
      <c r="AA1236">
        <v>462</v>
      </c>
      <c r="AB1236" t="s">
        <v>47</v>
      </c>
      <c r="AC1236">
        <v>0.46100000000000002</v>
      </c>
      <c r="AD1236">
        <v>607</v>
      </c>
      <c r="AE1236" t="s">
        <v>48</v>
      </c>
      <c r="AF1236">
        <v>0.60599999999999998</v>
      </c>
      <c r="AG1236">
        <v>752</v>
      </c>
      <c r="AH1236" t="s">
        <v>49</v>
      </c>
      <c r="AI1236">
        <v>0.751</v>
      </c>
      <c r="AJ1236" t="s">
        <v>1153</v>
      </c>
    </row>
    <row r="1237" spans="1:36" x14ac:dyDescent="0.25">
      <c r="A1237" t="s">
        <v>767</v>
      </c>
      <c r="B1237">
        <v>852560761</v>
      </c>
      <c r="C1237" t="s">
        <v>768</v>
      </c>
      <c r="D1237" t="s">
        <v>768</v>
      </c>
      <c r="E1237" t="s">
        <v>60</v>
      </c>
      <c r="F1237" t="s">
        <v>769</v>
      </c>
      <c r="I1237" t="s">
        <v>39</v>
      </c>
      <c r="J1237" t="s">
        <v>40</v>
      </c>
      <c r="K1237" t="s">
        <v>41</v>
      </c>
      <c r="L1237" t="s">
        <v>770</v>
      </c>
      <c r="M1237" t="s">
        <v>73</v>
      </c>
      <c r="N1237" t="s">
        <v>43</v>
      </c>
      <c r="O1237" t="s">
        <v>226</v>
      </c>
      <c r="P1237">
        <v>166</v>
      </c>
      <c r="Q1237">
        <v>166</v>
      </c>
      <c r="R1237">
        <v>1</v>
      </c>
      <c r="S1237" t="s">
        <v>45</v>
      </c>
      <c r="T1237">
        <v>0</v>
      </c>
      <c r="U1237">
        <v>903</v>
      </c>
      <c r="V1237" t="s">
        <v>113</v>
      </c>
      <c r="W1237">
        <v>0.90200000000000002</v>
      </c>
      <c r="X1237">
        <v>21001</v>
      </c>
      <c r="Y1237" t="s">
        <v>47</v>
      </c>
      <c r="Z1237">
        <v>21</v>
      </c>
      <c r="AA1237">
        <v>616</v>
      </c>
      <c r="AB1237" t="s">
        <v>75</v>
      </c>
      <c r="AC1237">
        <v>0.61499999999999999</v>
      </c>
      <c r="AD1237">
        <v>747</v>
      </c>
      <c r="AE1237" t="s">
        <v>48</v>
      </c>
      <c r="AF1237">
        <v>0.746</v>
      </c>
      <c r="AG1237">
        <v>928</v>
      </c>
      <c r="AH1237" t="s">
        <v>49</v>
      </c>
      <c r="AI1237">
        <v>0.92700000000000005</v>
      </c>
      <c r="AJ1237" t="s">
        <v>1153</v>
      </c>
    </row>
    <row r="1238" spans="1:36" x14ac:dyDescent="0.25">
      <c r="A1238" t="s">
        <v>767</v>
      </c>
      <c r="B1238">
        <v>852560761</v>
      </c>
      <c r="C1238" t="s">
        <v>768</v>
      </c>
      <c r="D1238" t="s">
        <v>768</v>
      </c>
      <c r="E1238" t="s">
        <v>99</v>
      </c>
      <c r="F1238" t="s">
        <v>769</v>
      </c>
      <c r="I1238" t="s">
        <v>39</v>
      </c>
      <c r="J1238" t="s">
        <v>40</v>
      </c>
      <c r="K1238" t="s">
        <v>41</v>
      </c>
      <c r="L1238" t="s">
        <v>770</v>
      </c>
      <c r="M1238" t="s">
        <v>73</v>
      </c>
      <c r="N1238" t="s">
        <v>43</v>
      </c>
      <c r="O1238" t="s">
        <v>93</v>
      </c>
      <c r="P1238">
        <v>166</v>
      </c>
      <c r="Q1238">
        <v>166</v>
      </c>
      <c r="R1238">
        <v>51</v>
      </c>
      <c r="S1238" t="s">
        <v>45</v>
      </c>
      <c r="T1238">
        <v>0.05</v>
      </c>
      <c r="U1238">
        <v>95</v>
      </c>
      <c r="V1238" t="s">
        <v>55</v>
      </c>
      <c r="W1238">
        <v>9.4E-2</v>
      </c>
      <c r="X1238">
        <v>17001</v>
      </c>
      <c r="Y1238" t="s">
        <v>47</v>
      </c>
      <c r="Z1238">
        <v>17</v>
      </c>
      <c r="AA1238">
        <v>462</v>
      </c>
      <c r="AB1238" t="s">
        <v>47</v>
      </c>
      <c r="AC1238">
        <v>0.46100000000000002</v>
      </c>
      <c r="AD1238">
        <v>607</v>
      </c>
      <c r="AE1238" t="s">
        <v>48</v>
      </c>
      <c r="AF1238">
        <v>0.60599999999999998</v>
      </c>
      <c r="AG1238">
        <v>752</v>
      </c>
      <c r="AH1238" t="s">
        <v>49</v>
      </c>
      <c r="AI1238">
        <v>0.751</v>
      </c>
      <c r="AJ1238" t="s">
        <v>1154</v>
      </c>
    </row>
    <row r="1239" spans="1:36" x14ac:dyDescent="0.25">
      <c r="A1239" t="s">
        <v>767</v>
      </c>
      <c r="B1239">
        <v>852560761</v>
      </c>
      <c r="C1239" t="s">
        <v>768</v>
      </c>
      <c r="D1239" t="s">
        <v>768</v>
      </c>
      <c r="E1239" t="s">
        <v>60</v>
      </c>
      <c r="F1239" t="s">
        <v>769</v>
      </c>
      <c r="I1239" t="s">
        <v>39</v>
      </c>
      <c r="J1239" t="s">
        <v>40</v>
      </c>
      <c r="K1239" t="s">
        <v>41</v>
      </c>
      <c r="L1239" t="s">
        <v>770</v>
      </c>
      <c r="M1239" t="s">
        <v>73</v>
      </c>
      <c r="N1239" t="s">
        <v>43</v>
      </c>
      <c r="O1239" t="s">
        <v>226</v>
      </c>
      <c r="P1239">
        <v>166</v>
      </c>
      <c r="Q1239">
        <v>166</v>
      </c>
      <c r="R1239">
        <v>1</v>
      </c>
      <c r="S1239" t="s">
        <v>45</v>
      </c>
      <c r="T1239">
        <v>0</v>
      </c>
      <c r="U1239">
        <v>903</v>
      </c>
      <c r="V1239" t="s">
        <v>113</v>
      </c>
      <c r="W1239">
        <v>0.90200000000000002</v>
      </c>
      <c r="X1239">
        <v>21001</v>
      </c>
      <c r="Y1239" t="s">
        <v>47</v>
      </c>
      <c r="Z1239">
        <v>21</v>
      </c>
      <c r="AA1239">
        <v>616</v>
      </c>
      <c r="AB1239" t="s">
        <v>75</v>
      </c>
      <c r="AC1239">
        <v>0.61499999999999999</v>
      </c>
      <c r="AD1239">
        <v>747</v>
      </c>
      <c r="AE1239" t="s">
        <v>48</v>
      </c>
      <c r="AF1239">
        <v>0.746</v>
      </c>
      <c r="AG1239">
        <v>928</v>
      </c>
      <c r="AH1239" t="s">
        <v>49</v>
      </c>
      <c r="AI1239">
        <v>0.92700000000000005</v>
      </c>
      <c r="AJ1239" t="s">
        <v>1154</v>
      </c>
    </row>
    <row r="1240" spans="1:36" x14ac:dyDescent="0.25">
      <c r="A1240" t="s">
        <v>767</v>
      </c>
      <c r="B1240">
        <v>852560761</v>
      </c>
      <c r="C1240" t="s">
        <v>768</v>
      </c>
      <c r="D1240" t="s">
        <v>768</v>
      </c>
      <c r="E1240" t="s">
        <v>99</v>
      </c>
      <c r="F1240" t="s">
        <v>769</v>
      </c>
      <c r="I1240" t="s">
        <v>39</v>
      </c>
      <c r="J1240" t="s">
        <v>40</v>
      </c>
      <c r="K1240" t="s">
        <v>41</v>
      </c>
      <c r="L1240" t="s">
        <v>770</v>
      </c>
      <c r="M1240" t="s">
        <v>73</v>
      </c>
      <c r="N1240" t="s">
        <v>43</v>
      </c>
      <c r="O1240" t="s">
        <v>93</v>
      </c>
      <c r="P1240">
        <v>166</v>
      </c>
      <c r="Q1240">
        <v>166</v>
      </c>
      <c r="S1240" t="s">
        <v>39</v>
      </c>
      <c r="V1240" t="s">
        <v>39</v>
      </c>
      <c r="X1240">
        <v>17001</v>
      </c>
      <c r="Y1240" t="s">
        <v>47</v>
      </c>
      <c r="Z1240">
        <v>17</v>
      </c>
      <c r="AA1240">
        <v>462</v>
      </c>
      <c r="AB1240" t="s">
        <v>47</v>
      </c>
      <c r="AC1240">
        <v>0.46100000000000002</v>
      </c>
      <c r="AD1240">
        <v>607</v>
      </c>
      <c r="AE1240" t="s">
        <v>48</v>
      </c>
      <c r="AF1240">
        <v>0.60599999999999998</v>
      </c>
      <c r="AG1240">
        <v>752</v>
      </c>
      <c r="AH1240" t="s">
        <v>49</v>
      </c>
      <c r="AI1240">
        <v>0.751</v>
      </c>
      <c r="AJ1240" t="s">
        <v>1155</v>
      </c>
    </row>
    <row r="1241" spans="1:36" x14ac:dyDescent="0.25">
      <c r="A1241" t="s">
        <v>767</v>
      </c>
      <c r="B1241">
        <v>852560761</v>
      </c>
      <c r="C1241" t="s">
        <v>768</v>
      </c>
      <c r="D1241" t="s">
        <v>768</v>
      </c>
      <c r="E1241" t="s">
        <v>60</v>
      </c>
      <c r="F1241" t="s">
        <v>769</v>
      </c>
      <c r="I1241" t="s">
        <v>39</v>
      </c>
      <c r="J1241" t="s">
        <v>40</v>
      </c>
      <c r="K1241" t="s">
        <v>41</v>
      </c>
      <c r="L1241" t="s">
        <v>770</v>
      </c>
      <c r="M1241" t="s">
        <v>73</v>
      </c>
      <c r="N1241" t="s">
        <v>43</v>
      </c>
      <c r="O1241" t="s">
        <v>226</v>
      </c>
      <c r="P1241">
        <v>166</v>
      </c>
      <c r="Q1241">
        <v>166</v>
      </c>
      <c r="S1241" t="s">
        <v>39</v>
      </c>
      <c r="V1241" t="s">
        <v>39</v>
      </c>
      <c r="X1241">
        <v>21001</v>
      </c>
      <c r="Y1241" t="s">
        <v>47</v>
      </c>
      <c r="Z1241">
        <v>21</v>
      </c>
      <c r="AA1241">
        <v>616</v>
      </c>
      <c r="AB1241" t="s">
        <v>75</v>
      </c>
      <c r="AC1241">
        <v>0.61499999999999999</v>
      </c>
      <c r="AD1241">
        <v>747</v>
      </c>
      <c r="AE1241" t="s">
        <v>48</v>
      </c>
      <c r="AF1241">
        <v>0.746</v>
      </c>
      <c r="AG1241">
        <v>928</v>
      </c>
      <c r="AH1241" t="s">
        <v>49</v>
      </c>
      <c r="AI1241">
        <v>0.92700000000000005</v>
      </c>
      <c r="AJ1241" t="s">
        <v>1155</v>
      </c>
    </row>
    <row r="1242" spans="1:36" x14ac:dyDescent="0.25">
      <c r="A1242" t="s">
        <v>767</v>
      </c>
      <c r="B1242">
        <v>852560761</v>
      </c>
      <c r="C1242" t="s">
        <v>768</v>
      </c>
      <c r="D1242" t="s">
        <v>768</v>
      </c>
      <c r="E1242" t="s">
        <v>99</v>
      </c>
      <c r="F1242" t="s">
        <v>769</v>
      </c>
      <c r="I1242" t="s">
        <v>39</v>
      </c>
      <c r="J1242" t="s">
        <v>40</v>
      </c>
      <c r="K1242" t="s">
        <v>41</v>
      </c>
      <c r="L1242" t="s">
        <v>770</v>
      </c>
      <c r="M1242" t="s">
        <v>73</v>
      </c>
      <c r="N1242" t="s">
        <v>43</v>
      </c>
      <c r="O1242" t="s">
        <v>93</v>
      </c>
      <c r="P1242">
        <v>166</v>
      </c>
      <c r="Q1242">
        <v>166</v>
      </c>
      <c r="S1242" t="s">
        <v>39</v>
      </c>
      <c r="V1242" t="s">
        <v>39</v>
      </c>
      <c r="X1242">
        <v>17001</v>
      </c>
      <c r="Y1242" t="s">
        <v>47</v>
      </c>
      <c r="Z1242">
        <v>17</v>
      </c>
      <c r="AA1242">
        <v>462</v>
      </c>
      <c r="AB1242" t="s">
        <v>47</v>
      </c>
      <c r="AC1242">
        <v>0.46100000000000002</v>
      </c>
      <c r="AD1242">
        <v>607</v>
      </c>
      <c r="AE1242" t="s">
        <v>48</v>
      </c>
      <c r="AF1242">
        <v>0.60599999999999998</v>
      </c>
      <c r="AG1242">
        <v>752</v>
      </c>
      <c r="AH1242" t="s">
        <v>49</v>
      </c>
      <c r="AI1242">
        <v>0.751</v>
      </c>
      <c r="AJ1242" t="s">
        <v>1156</v>
      </c>
    </row>
    <row r="1243" spans="1:36" x14ac:dyDescent="0.25">
      <c r="A1243" t="s">
        <v>767</v>
      </c>
      <c r="B1243">
        <v>852560761</v>
      </c>
      <c r="C1243" t="s">
        <v>768</v>
      </c>
      <c r="D1243" t="s">
        <v>768</v>
      </c>
      <c r="E1243" t="s">
        <v>60</v>
      </c>
      <c r="F1243" t="s">
        <v>769</v>
      </c>
      <c r="I1243" t="s">
        <v>39</v>
      </c>
      <c r="J1243" t="s">
        <v>40</v>
      </c>
      <c r="K1243" t="s">
        <v>41</v>
      </c>
      <c r="L1243" t="s">
        <v>770</v>
      </c>
      <c r="M1243" t="s">
        <v>73</v>
      </c>
      <c r="N1243" t="s">
        <v>43</v>
      </c>
      <c r="O1243" t="s">
        <v>226</v>
      </c>
      <c r="P1243">
        <v>166</v>
      </c>
      <c r="Q1243">
        <v>166</v>
      </c>
      <c r="S1243" t="s">
        <v>39</v>
      </c>
      <c r="V1243" t="s">
        <v>39</v>
      </c>
      <c r="X1243">
        <v>21001</v>
      </c>
      <c r="Y1243" t="s">
        <v>47</v>
      </c>
      <c r="Z1243">
        <v>21</v>
      </c>
      <c r="AA1243">
        <v>616</v>
      </c>
      <c r="AB1243" t="s">
        <v>75</v>
      </c>
      <c r="AC1243">
        <v>0.61499999999999999</v>
      </c>
      <c r="AD1243">
        <v>747</v>
      </c>
      <c r="AE1243" t="s">
        <v>48</v>
      </c>
      <c r="AF1243">
        <v>0.746</v>
      </c>
      <c r="AG1243">
        <v>928</v>
      </c>
      <c r="AH1243" t="s">
        <v>49</v>
      </c>
      <c r="AI1243">
        <v>0.92700000000000005</v>
      </c>
      <c r="AJ1243" t="s">
        <v>1156</v>
      </c>
    </row>
    <row r="1244" spans="1:36" x14ac:dyDescent="0.25">
      <c r="A1244" t="s">
        <v>765</v>
      </c>
      <c r="B1244">
        <v>855356121</v>
      </c>
      <c r="C1244" t="s">
        <v>766</v>
      </c>
      <c r="D1244" t="s">
        <v>766</v>
      </c>
      <c r="E1244" t="s">
        <v>99</v>
      </c>
      <c r="F1244" t="s">
        <v>143</v>
      </c>
      <c r="I1244" t="s">
        <v>39</v>
      </c>
      <c r="J1244" t="s">
        <v>40</v>
      </c>
      <c r="K1244" t="s">
        <v>41</v>
      </c>
      <c r="L1244" t="s">
        <v>53</v>
      </c>
      <c r="N1244" t="s">
        <v>43</v>
      </c>
      <c r="O1244" t="s">
        <v>38</v>
      </c>
      <c r="P1244">
        <v>168</v>
      </c>
      <c r="Q1244">
        <v>168</v>
      </c>
      <c r="R1244">
        <v>21</v>
      </c>
      <c r="S1244" t="s">
        <v>45</v>
      </c>
      <c r="T1244">
        <v>0.02</v>
      </c>
      <c r="U1244">
        <v>2</v>
      </c>
      <c r="V1244" t="s">
        <v>55</v>
      </c>
      <c r="W1244">
        <v>1E-3</v>
      </c>
      <c r="X1244">
        <v>5001</v>
      </c>
      <c r="Y1244" t="s">
        <v>47</v>
      </c>
      <c r="Z1244">
        <v>5</v>
      </c>
      <c r="AA1244">
        <v>213</v>
      </c>
      <c r="AB1244" t="s">
        <v>47</v>
      </c>
      <c r="AC1244">
        <v>0.21199999999999999</v>
      </c>
      <c r="AD1244">
        <v>267</v>
      </c>
      <c r="AE1244" t="s">
        <v>56</v>
      </c>
      <c r="AF1244">
        <v>0.26600000000000001</v>
      </c>
      <c r="AG1244">
        <v>80</v>
      </c>
      <c r="AH1244" t="s">
        <v>103</v>
      </c>
      <c r="AI1244">
        <v>7.9000000000000001E-2</v>
      </c>
      <c r="AJ1244" t="s">
        <v>50</v>
      </c>
    </row>
    <row r="1245" spans="1:36" x14ac:dyDescent="0.25">
      <c r="A1245" t="s">
        <v>765</v>
      </c>
      <c r="B1245">
        <v>855356121</v>
      </c>
      <c r="C1245" t="s">
        <v>766</v>
      </c>
      <c r="D1245" t="s">
        <v>766</v>
      </c>
      <c r="E1245" t="s">
        <v>99</v>
      </c>
      <c r="F1245" t="s">
        <v>143</v>
      </c>
      <c r="I1245" t="s">
        <v>39</v>
      </c>
      <c r="J1245" t="s">
        <v>40</v>
      </c>
      <c r="K1245" t="s">
        <v>41</v>
      </c>
      <c r="L1245" t="s">
        <v>53</v>
      </c>
      <c r="N1245" t="s">
        <v>43</v>
      </c>
      <c r="O1245" t="s">
        <v>38</v>
      </c>
      <c r="P1245">
        <v>168</v>
      </c>
      <c r="Q1245">
        <v>168</v>
      </c>
      <c r="R1245">
        <v>81</v>
      </c>
      <c r="S1245" t="s">
        <v>56</v>
      </c>
      <c r="T1245">
        <v>0.08</v>
      </c>
      <c r="U1245">
        <v>4</v>
      </c>
      <c r="V1245" t="s">
        <v>55</v>
      </c>
      <c r="W1245">
        <v>3.0000000000000001E-3</v>
      </c>
      <c r="X1245">
        <v>5001</v>
      </c>
      <c r="Y1245" t="s">
        <v>47</v>
      </c>
      <c r="Z1245">
        <v>5</v>
      </c>
      <c r="AA1245">
        <v>213</v>
      </c>
      <c r="AB1245" t="s">
        <v>47</v>
      </c>
      <c r="AC1245">
        <v>0.21199999999999999</v>
      </c>
      <c r="AD1245">
        <v>267</v>
      </c>
      <c r="AE1245" t="s">
        <v>56</v>
      </c>
      <c r="AF1245">
        <v>0.26600000000000001</v>
      </c>
      <c r="AG1245">
        <v>80</v>
      </c>
      <c r="AH1245" t="s">
        <v>103</v>
      </c>
      <c r="AI1245">
        <v>7.9000000000000001E-2</v>
      </c>
      <c r="AJ1245" t="s">
        <v>1141</v>
      </c>
    </row>
    <row r="1246" spans="1:36" x14ac:dyDescent="0.25">
      <c r="A1246" t="s">
        <v>765</v>
      </c>
      <c r="B1246">
        <v>855356121</v>
      </c>
      <c r="C1246" t="s">
        <v>766</v>
      </c>
      <c r="D1246" t="s">
        <v>766</v>
      </c>
      <c r="E1246" t="s">
        <v>99</v>
      </c>
      <c r="F1246" t="s">
        <v>143</v>
      </c>
      <c r="I1246" t="s">
        <v>39</v>
      </c>
      <c r="J1246" t="s">
        <v>40</v>
      </c>
      <c r="K1246" t="s">
        <v>41</v>
      </c>
      <c r="L1246" t="s">
        <v>53</v>
      </c>
      <c r="N1246" t="s">
        <v>43</v>
      </c>
      <c r="O1246" t="s">
        <v>38</v>
      </c>
      <c r="P1246">
        <v>168</v>
      </c>
      <c r="Q1246">
        <v>168</v>
      </c>
      <c r="R1246">
        <v>21</v>
      </c>
      <c r="S1246" t="s">
        <v>45</v>
      </c>
      <c r="T1246">
        <v>0.02</v>
      </c>
      <c r="U1246">
        <v>2</v>
      </c>
      <c r="V1246" t="s">
        <v>55</v>
      </c>
      <c r="W1246">
        <v>1E-3</v>
      </c>
      <c r="X1246">
        <v>5001</v>
      </c>
      <c r="Y1246" t="s">
        <v>47</v>
      </c>
      <c r="Z1246">
        <v>5</v>
      </c>
      <c r="AA1246">
        <v>213</v>
      </c>
      <c r="AB1246" t="s">
        <v>47</v>
      </c>
      <c r="AC1246">
        <v>0.21199999999999999</v>
      </c>
      <c r="AD1246">
        <v>267</v>
      </c>
      <c r="AE1246" t="s">
        <v>56</v>
      </c>
      <c r="AF1246">
        <v>0.26600000000000001</v>
      </c>
      <c r="AG1246">
        <v>80</v>
      </c>
      <c r="AH1246" t="s">
        <v>103</v>
      </c>
      <c r="AI1246">
        <v>7.9000000000000001E-2</v>
      </c>
      <c r="AJ1246" t="s">
        <v>1153</v>
      </c>
    </row>
    <row r="1247" spans="1:36" x14ac:dyDescent="0.25">
      <c r="A1247" t="s">
        <v>765</v>
      </c>
      <c r="B1247">
        <v>855356121</v>
      </c>
      <c r="C1247" t="s">
        <v>766</v>
      </c>
      <c r="D1247" t="s">
        <v>766</v>
      </c>
      <c r="E1247" t="s">
        <v>99</v>
      </c>
      <c r="F1247" t="s">
        <v>143</v>
      </c>
      <c r="I1247" t="s">
        <v>39</v>
      </c>
      <c r="J1247" t="s">
        <v>40</v>
      </c>
      <c r="K1247" t="s">
        <v>41</v>
      </c>
      <c r="L1247" t="s">
        <v>53</v>
      </c>
      <c r="N1247" t="s">
        <v>43</v>
      </c>
      <c r="O1247" t="s">
        <v>38</v>
      </c>
      <c r="P1247">
        <v>168</v>
      </c>
      <c r="Q1247">
        <v>168</v>
      </c>
      <c r="R1247">
        <v>21</v>
      </c>
      <c r="S1247" t="s">
        <v>45</v>
      </c>
      <c r="T1247">
        <v>0.02</v>
      </c>
      <c r="U1247">
        <v>2</v>
      </c>
      <c r="V1247" t="s">
        <v>55</v>
      </c>
      <c r="W1247">
        <v>1E-3</v>
      </c>
      <c r="X1247">
        <v>5001</v>
      </c>
      <c r="Y1247" t="s">
        <v>47</v>
      </c>
      <c r="Z1247">
        <v>5</v>
      </c>
      <c r="AA1247">
        <v>213</v>
      </c>
      <c r="AB1247" t="s">
        <v>47</v>
      </c>
      <c r="AC1247">
        <v>0.21199999999999999</v>
      </c>
      <c r="AD1247">
        <v>267</v>
      </c>
      <c r="AE1247" t="s">
        <v>56</v>
      </c>
      <c r="AF1247">
        <v>0.26600000000000001</v>
      </c>
      <c r="AG1247">
        <v>80</v>
      </c>
      <c r="AH1247" t="s">
        <v>103</v>
      </c>
      <c r="AI1247">
        <v>7.9000000000000001E-2</v>
      </c>
      <c r="AJ1247" t="s">
        <v>1154</v>
      </c>
    </row>
    <row r="1248" spans="1:36" x14ac:dyDescent="0.25">
      <c r="A1248" t="s">
        <v>765</v>
      </c>
      <c r="B1248">
        <v>855356121</v>
      </c>
      <c r="C1248" t="s">
        <v>766</v>
      </c>
      <c r="D1248" t="s">
        <v>766</v>
      </c>
      <c r="E1248" t="s">
        <v>99</v>
      </c>
      <c r="F1248" t="s">
        <v>143</v>
      </c>
      <c r="I1248" t="s">
        <v>39</v>
      </c>
      <c r="J1248" t="s">
        <v>40</v>
      </c>
      <c r="K1248" t="s">
        <v>41</v>
      </c>
      <c r="L1248" t="s">
        <v>53</v>
      </c>
      <c r="N1248" t="s">
        <v>43</v>
      </c>
      <c r="O1248" t="s">
        <v>38</v>
      </c>
      <c r="P1248">
        <v>168</v>
      </c>
      <c r="Q1248">
        <v>168</v>
      </c>
      <c r="S1248" t="s">
        <v>39</v>
      </c>
      <c r="V1248" t="s">
        <v>39</v>
      </c>
      <c r="X1248">
        <v>5001</v>
      </c>
      <c r="Y1248" t="s">
        <v>47</v>
      </c>
      <c r="Z1248">
        <v>5</v>
      </c>
      <c r="AA1248">
        <v>213</v>
      </c>
      <c r="AB1248" t="s">
        <v>47</v>
      </c>
      <c r="AC1248">
        <v>0.21199999999999999</v>
      </c>
      <c r="AD1248">
        <v>267</v>
      </c>
      <c r="AE1248" t="s">
        <v>56</v>
      </c>
      <c r="AF1248">
        <v>0.26600000000000001</v>
      </c>
      <c r="AG1248">
        <v>80</v>
      </c>
      <c r="AH1248" t="s">
        <v>103</v>
      </c>
      <c r="AI1248">
        <v>7.9000000000000001E-2</v>
      </c>
      <c r="AJ1248" t="s">
        <v>1155</v>
      </c>
    </row>
    <row r="1249" spans="1:36" x14ac:dyDescent="0.25">
      <c r="A1249" t="s">
        <v>765</v>
      </c>
      <c r="B1249">
        <v>855356121</v>
      </c>
      <c r="C1249" t="s">
        <v>766</v>
      </c>
      <c r="D1249" t="s">
        <v>766</v>
      </c>
      <c r="E1249" t="s">
        <v>99</v>
      </c>
      <c r="F1249" t="s">
        <v>143</v>
      </c>
      <c r="I1249" t="s">
        <v>39</v>
      </c>
      <c r="J1249" t="s">
        <v>40</v>
      </c>
      <c r="K1249" t="s">
        <v>41</v>
      </c>
      <c r="L1249" t="s">
        <v>53</v>
      </c>
      <c r="N1249" t="s">
        <v>43</v>
      </c>
      <c r="O1249" t="s">
        <v>38</v>
      </c>
      <c r="P1249">
        <v>168</v>
      </c>
      <c r="Q1249">
        <v>168</v>
      </c>
      <c r="S1249" t="s">
        <v>39</v>
      </c>
      <c r="V1249" t="s">
        <v>39</v>
      </c>
      <c r="X1249">
        <v>5001</v>
      </c>
      <c r="Y1249" t="s">
        <v>47</v>
      </c>
      <c r="Z1249">
        <v>5</v>
      </c>
      <c r="AA1249">
        <v>213</v>
      </c>
      <c r="AB1249" t="s">
        <v>47</v>
      </c>
      <c r="AC1249">
        <v>0.21199999999999999</v>
      </c>
      <c r="AD1249">
        <v>267</v>
      </c>
      <c r="AE1249" t="s">
        <v>56</v>
      </c>
      <c r="AF1249">
        <v>0.26600000000000001</v>
      </c>
      <c r="AG1249">
        <v>80</v>
      </c>
      <c r="AH1249" t="s">
        <v>103</v>
      </c>
      <c r="AI1249">
        <v>7.9000000000000001E-2</v>
      </c>
      <c r="AJ1249" t="s">
        <v>1156</v>
      </c>
    </row>
    <row r="1250" spans="1:36" x14ac:dyDescent="0.25">
      <c r="A1250" t="s">
        <v>763</v>
      </c>
      <c r="B1250">
        <v>881526285</v>
      </c>
      <c r="C1250" t="s">
        <v>764</v>
      </c>
      <c r="D1250" t="s">
        <v>764</v>
      </c>
      <c r="E1250" t="s">
        <v>60</v>
      </c>
      <c r="F1250" t="s">
        <v>88</v>
      </c>
      <c r="I1250" t="s">
        <v>39</v>
      </c>
      <c r="J1250" t="s">
        <v>40</v>
      </c>
      <c r="K1250" t="s">
        <v>41</v>
      </c>
      <c r="L1250" t="s">
        <v>78</v>
      </c>
      <c r="N1250" t="s">
        <v>43</v>
      </c>
      <c r="O1250" t="s">
        <v>375</v>
      </c>
      <c r="P1250">
        <v>169</v>
      </c>
      <c r="Q1250">
        <v>169</v>
      </c>
      <c r="R1250">
        <v>501</v>
      </c>
      <c r="S1250" t="s">
        <v>56</v>
      </c>
      <c r="T1250">
        <v>0.5</v>
      </c>
      <c r="U1250">
        <v>1</v>
      </c>
      <c r="V1250" t="s">
        <v>55</v>
      </c>
      <c r="W1250">
        <v>0</v>
      </c>
      <c r="X1250">
        <v>1</v>
      </c>
      <c r="Y1250" t="s">
        <v>47</v>
      </c>
      <c r="Z1250">
        <v>0</v>
      </c>
      <c r="AA1250">
        <v>187</v>
      </c>
      <c r="AB1250" t="s">
        <v>47</v>
      </c>
      <c r="AC1250">
        <v>0.186</v>
      </c>
      <c r="AD1250">
        <v>269</v>
      </c>
      <c r="AE1250" t="s">
        <v>56</v>
      </c>
      <c r="AF1250">
        <v>0.26800000000000002</v>
      </c>
      <c r="AG1250">
        <v>154</v>
      </c>
      <c r="AH1250" t="s">
        <v>103</v>
      </c>
      <c r="AI1250">
        <v>0.153</v>
      </c>
      <c r="AJ1250" t="s">
        <v>50</v>
      </c>
    </row>
    <row r="1251" spans="1:36" x14ac:dyDescent="0.25">
      <c r="A1251" t="s">
        <v>763</v>
      </c>
      <c r="B1251">
        <v>881526285</v>
      </c>
      <c r="C1251" t="s">
        <v>764</v>
      </c>
      <c r="D1251" t="s">
        <v>764</v>
      </c>
      <c r="E1251" t="s">
        <v>60</v>
      </c>
      <c r="F1251" t="s">
        <v>88</v>
      </c>
      <c r="I1251" t="s">
        <v>39</v>
      </c>
      <c r="J1251" t="s">
        <v>40</v>
      </c>
      <c r="K1251" t="s">
        <v>41</v>
      </c>
      <c r="L1251" t="s">
        <v>78</v>
      </c>
      <c r="N1251" t="s">
        <v>43</v>
      </c>
      <c r="O1251" t="s">
        <v>375</v>
      </c>
      <c r="P1251">
        <v>169</v>
      </c>
      <c r="Q1251">
        <v>169</v>
      </c>
      <c r="R1251">
        <v>931</v>
      </c>
      <c r="S1251" t="s">
        <v>56</v>
      </c>
      <c r="T1251">
        <v>0.93</v>
      </c>
      <c r="U1251">
        <v>2</v>
      </c>
      <c r="V1251" t="s">
        <v>55</v>
      </c>
      <c r="W1251">
        <v>1E-3</v>
      </c>
      <c r="X1251">
        <v>1</v>
      </c>
      <c r="Y1251" t="s">
        <v>47</v>
      </c>
      <c r="Z1251">
        <v>0</v>
      </c>
      <c r="AA1251">
        <v>187</v>
      </c>
      <c r="AB1251" t="s">
        <v>47</v>
      </c>
      <c r="AC1251">
        <v>0.186</v>
      </c>
      <c r="AD1251">
        <v>269</v>
      </c>
      <c r="AE1251" t="s">
        <v>56</v>
      </c>
      <c r="AF1251">
        <v>0.26800000000000002</v>
      </c>
      <c r="AG1251">
        <v>154</v>
      </c>
      <c r="AH1251" t="s">
        <v>103</v>
      </c>
      <c r="AI1251">
        <v>0.153</v>
      </c>
      <c r="AJ1251" t="s">
        <v>1141</v>
      </c>
    </row>
    <row r="1252" spans="1:36" x14ac:dyDescent="0.25">
      <c r="A1252" t="s">
        <v>763</v>
      </c>
      <c r="B1252">
        <v>881526285</v>
      </c>
      <c r="C1252" t="s">
        <v>764</v>
      </c>
      <c r="D1252" t="s">
        <v>764</v>
      </c>
      <c r="E1252" t="s">
        <v>60</v>
      </c>
      <c r="F1252" t="s">
        <v>88</v>
      </c>
      <c r="I1252" t="s">
        <v>39</v>
      </c>
      <c r="J1252" t="s">
        <v>40</v>
      </c>
      <c r="K1252" t="s">
        <v>41</v>
      </c>
      <c r="L1252" t="s">
        <v>78</v>
      </c>
      <c r="N1252" t="s">
        <v>43</v>
      </c>
      <c r="O1252" t="s">
        <v>375</v>
      </c>
      <c r="P1252">
        <v>169</v>
      </c>
      <c r="Q1252">
        <v>169</v>
      </c>
      <c r="R1252">
        <v>501</v>
      </c>
      <c r="S1252" t="s">
        <v>56</v>
      </c>
      <c r="T1252">
        <v>0.5</v>
      </c>
      <c r="U1252">
        <v>1</v>
      </c>
      <c r="V1252" t="s">
        <v>55</v>
      </c>
      <c r="W1252">
        <v>0</v>
      </c>
      <c r="X1252">
        <v>1</v>
      </c>
      <c r="Y1252" t="s">
        <v>47</v>
      </c>
      <c r="Z1252">
        <v>0</v>
      </c>
      <c r="AA1252">
        <v>187</v>
      </c>
      <c r="AB1252" t="s">
        <v>47</v>
      </c>
      <c r="AC1252">
        <v>0.186</v>
      </c>
      <c r="AD1252">
        <v>269</v>
      </c>
      <c r="AE1252" t="s">
        <v>56</v>
      </c>
      <c r="AF1252">
        <v>0.26800000000000002</v>
      </c>
      <c r="AG1252">
        <v>154</v>
      </c>
      <c r="AH1252" t="s">
        <v>103</v>
      </c>
      <c r="AI1252">
        <v>0.153</v>
      </c>
      <c r="AJ1252" t="s">
        <v>1153</v>
      </c>
    </row>
    <row r="1253" spans="1:36" x14ac:dyDescent="0.25">
      <c r="A1253" t="s">
        <v>763</v>
      </c>
      <c r="B1253">
        <v>881526285</v>
      </c>
      <c r="C1253" t="s">
        <v>764</v>
      </c>
      <c r="D1253" t="s">
        <v>764</v>
      </c>
      <c r="E1253" t="s">
        <v>60</v>
      </c>
      <c r="F1253" t="s">
        <v>88</v>
      </c>
      <c r="I1253" t="s">
        <v>39</v>
      </c>
      <c r="J1253" t="s">
        <v>40</v>
      </c>
      <c r="K1253" t="s">
        <v>41</v>
      </c>
      <c r="L1253" t="s">
        <v>78</v>
      </c>
      <c r="N1253" t="s">
        <v>43</v>
      </c>
      <c r="O1253" t="s">
        <v>375</v>
      </c>
      <c r="P1253">
        <v>169</v>
      </c>
      <c r="Q1253">
        <v>169</v>
      </c>
      <c r="R1253">
        <v>501</v>
      </c>
      <c r="S1253" t="s">
        <v>56</v>
      </c>
      <c r="T1253">
        <v>0.5</v>
      </c>
      <c r="U1253">
        <v>1</v>
      </c>
      <c r="V1253" t="s">
        <v>55</v>
      </c>
      <c r="W1253">
        <v>0</v>
      </c>
      <c r="X1253">
        <v>1</v>
      </c>
      <c r="Y1253" t="s">
        <v>47</v>
      </c>
      <c r="Z1253">
        <v>0</v>
      </c>
      <c r="AA1253">
        <v>187</v>
      </c>
      <c r="AB1253" t="s">
        <v>47</v>
      </c>
      <c r="AC1253">
        <v>0.186</v>
      </c>
      <c r="AD1253">
        <v>269</v>
      </c>
      <c r="AE1253" t="s">
        <v>56</v>
      </c>
      <c r="AF1253">
        <v>0.26800000000000002</v>
      </c>
      <c r="AG1253">
        <v>154</v>
      </c>
      <c r="AH1253" t="s">
        <v>103</v>
      </c>
      <c r="AI1253">
        <v>0.153</v>
      </c>
      <c r="AJ1253" t="s">
        <v>1154</v>
      </c>
    </row>
    <row r="1254" spans="1:36" x14ac:dyDescent="0.25">
      <c r="A1254" t="s">
        <v>763</v>
      </c>
      <c r="B1254">
        <v>881526285</v>
      </c>
      <c r="C1254" t="s">
        <v>764</v>
      </c>
      <c r="D1254" t="s">
        <v>764</v>
      </c>
      <c r="E1254" t="s">
        <v>60</v>
      </c>
      <c r="F1254" t="s">
        <v>88</v>
      </c>
      <c r="I1254" t="s">
        <v>39</v>
      </c>
      <c r="J1254" t="s">
        <v>40</v>
      </c>
      <c r="K1254" t="s">
        <v>41</v>
      </c>
      <c r="L1254" t="s">
        <v>78</v>
      </c>
      <c r="N1254" t="s">
        <v>43</v>
      </c>
      <c r="O1254" t="s">
        <v>375</v>
      </c>
      <c r="P1254">
        <v>169</v>
      </c>
      <c r="Q1254">
        <v>169</v>
      </c>
      <c r="S1254" t="s">
        <v>39</v>
      </c>
      <c r="V1254" t="s">
        <v>39</v>
      </c>
      <c r="X1254">
        <v>1</v>
      </c>
      <c r="Y1254" t="s">
        <v>47</v>
      </c>
      <c r="Z1254">
        <v>0</v>
      </c>
      <c r="AA1254">
        <v>187</v>
      </c>
      <c r="AB1254" t="s">
        <v>47</v>
      </c>
      <c r="AC1254">
        <v>0.186</v>
      </c>
      <c r="AD1254">
        <v>269</v>
      </c>
      <c r="AE1254" t="s">
        <v>56</v>
      </c>
      <c r="AF1254">
        <v>0.26800000000000002</v>
      </c>
      <c r="AG1254">
        <v>154</v>
      </c>
      <c r="AH1254" t="s">
        <v>103</v>
      </c>
      <c r="AI1254">
        <v>0.153</v>
      </c>
      <c r="AJ1254" t="s">
        <v>1155</v>
      </c>
    </row>
    <row r="1255" spans="1:36" x14ac:dyDescent="0.25">
      <c r="A1255" t="s">
        <v>763</v>
      </c>
      <c r="B1255">
        <v>881526285</v>
      </c>
      <c r="C1255" t="s">
        <v>764</v>
      </c>
      <c r="D1255" t="s">
        <v>764</v>
      </c>
      <c r="E1255" t="s">
        <v>60</v>
      </c>
      <c r="F1255" t="s">
        <v>88</v>
      </c>
      <c r="I1255" t="s">
        <v>39</v>
      </c>
      <c r="J1255" t="s">
        <v>40</v>
      </c>
      <c r="K1255" t="s">
        <v>41</v>
      </c>
      <c r="L1255" t="s">
        <v>78</v>
      </c>
      <c r="N1255" t="s">
        <v>43</v>
      </c>
      <c r="O1255" t="s">
        <v>375</v>
      </c>
      <c r="P1255">
        <v>169</v>
      </c>
      <c r="Q1255">
        <v>169</v>
      </c>
      <c r="S1255" t="s">
        <v>39</v>
      </c>
      <c r="V1255" t="s">
        <v>39</v>
      </c>
      <c r="X1255">
        <v>1</v>
      </c>
      <c r="Y1255" t="s">
        <v>47</v>
      </c>
      <c r="Z1255">
        <v>0</v>
      </c>
      <c r="AA1255">
        <v>187</v>
      </c>
      <c r="AB1255" t="s">
        <v>47</v>
      </c>
      <c r="AC1255">
        <v>0.186</v>
      </c>
      <c r="AD1255">
        <v>269</v>
      </c>
      <c r="AE1255" t="s">
        <v>56</v>
      </c>
      <c r="AF1255">
        <v>0.26800000000000002</v>
      </c>
      <c r="AG1255">
        <v>154</v>
      </c>
      <c r="AH1255" t="s">
        <v>103</v>
      </c>
      <c r="AI1255">
        <v>0.153</v>
      </c>
      <c r="AJ1255" t="s">
        <v>1156</v>
      </c>
    </row>
    <row r="1256" spans="1:36" x14ac:dyDescent="0.25">
      <c r="A1256" t="s">
        <v>761</v>
      </c>
      <c r="B1256">
        <v>856339895</v>
      </c>
      <c r="C1256" t="s">
        <v>762</v>
      </c>
      <c r="D1256" t="s">
        <v>762</v>
      </c>
      <c r="E1256" t="s">
        <v>99</v>
      </c>
      <c r="F1256" t="s">
        <v>111</v>
      </c>
      <c r="I1256" t="s">
        <v>39</v>
      </c>
      <c r="J1256" t="s">
        <v>40</v>
      </c>
      <c r="K1256" t="s">
        <v>41</v>
      </c>
      <c r="L1256" t="s">
        <v>118</v>
      </c>
      <c r="N1256" t="s">
        <v>43</v>
      </c>
      <c r="O1256" t="s">
        <v>398</v>
      </c>
      <c r="P1256">
        <v>170</v>
      </c>
      <c r="Q1256">
        <v>170</v>
      </c>
      <c r="R1256">
        <v>11</v>
      </c>
      <c r="S1256" t="s">
        <v>45</v>
      </c>
      <c r="T1256">
        <v>0.01</v>
      </c>
      <c r="U1256">
        <v>724</v>
      </c>
      <c r="V1256" t="s">
        <v>113</v>
      </c>
      <c r="W1256">
        <v>0.72299999999999998</v>
      </c>
      <c r="X1256">
        <v>20001</v>
      </c>
      <c r="Y1256" t="s">
        <v>47</v>
      </c>
      <c r="Z1256">
        <v>20</v>
      </c>
      <c r="AA1256">
        <v>438</v>
      </c>
      <c r="AB1256" t="s">
        <v>47</v>
      </c>
      <c r="AC1256">
        <v>0.437</v>
      </c>
      <c r="AD1256">
        <v>766</v>
      </c>
      <c r="AE1256" t="s">
        <v>48</v>
      </c>
      <c r="AF1256">
        <v>0.76500000000000001</v>
      </c>
      <c r="AG1256">
        <v>776</v>
      </c>
      <c r="AH1256" t="s">
        <v>49</v>
      </c>
      <c r="AI1256">
        <v>0.77500000000000002</v>
      </c>
      <c r="AJ1256" t="s">
        <v>50</v>
      </c>
    </row>
    <row r="1257" spans="1:36" x14ac:dyDescent="0.25">
      <c r="A1257" t="s">
        <v>761</v>
      </c>
      <c r="B1257">
        <v>856339895</v>
      </c>
      <c r="C1257" t="s">
        <v>762</v>
      </c>
      <c r="D1257" t="s">
        <v>762</v>
      </c>
      <c r="E1257" t="s">
        <v>99</v>
      </c>
      <c r="F1257" t="s">
        <v>111</v>
      </c>
      <c r="I1257" t="s">
        <v>39</v>
      </c>
      <c r="J1257" t="s">
        <v>40</v>
      </c>
      <c r="K1257" t="s">
        <v>41</v>
      </c>
      <c r="L1257" t="s">
        <v>118</v>
      </c>
      <c r="N1257" t="s">
        <v>43</v>
      </c>
      <c r="O1257" t="s">
        <v>398</v>
      </c>
      <c r="P1257">
        <v>170</v>
      </c>
      <c r="Q1257">
        <v>170</v>
      </c>
      <c r="R1257">
        <v>1</v>
      </c>
      <c r="S1257" t="s">
        <v>45</v>
      </c>
      <c r="T1257">
        <v>0</v>
      </c>
      <c r="U1257">
        <v>942</v>
      </c>
      <c r="V1257" t="s">
        <v>46</v>
      </c>
      <c r="W1257">
        <v>0.94099999999999995</v>
      </c>
      <c r="X1257">
        <v>20001</v>
      </c>
      <c r="Y1257" t="s">
        <v>47</v>
      </c>
      <c r="Z1257">
        <v>20</v>
      </c>
      <c r="AA1257">
        <v>438</v>
      </c>
      <c r="AB1257" t="s">
        <v>47</v>
      </c>
      <c r="AC1257">
        <v>0.437</v>
      </c>
      <c r="AD1257">
        <v>766</v>
      </c>
      <c r="AE1257" t="s">
        <v>48</v>
      </c>
      <c r="AF1257">
        <v>0.76500000000000001</v>
      </c>
      <c r="AG1257">
        <v>776</v>
      </c>
      <c r="AH1257" t="s">
        <v>49</v>
      </c>
      <c r="AI1257">
        <v>0.77500000000000002</v>
      </c>
      <c r="AJ1257" t="s">
        <v>1141</v>
      </c>
    </row>
    <row r="1258" spans="1:36" x14ac:dyDescent="0.25">
      <c r="A1258" t="s">
        <v>761</v>
      </c>
      <c r="B1258">
        <v>856339895</v>
      </c>
      <c r="C1258" t="s">
        <v>762</v>
      </c>
      <c r="D1258" t="s">
        <v>762</v>
      </c>
      <c r="E1258" t="s">
        <v>99</v>
      </c>
      <c r="F1258" t="s">
        <v>111</v>
      </c>
      <c r="I1258" t="s">
        <v>39</v>
      </c>
      <c r="J1258" t="s">
        <v>40</v>
      </c>
      <c r="K1258" t="s">
        <v>41</v>
      </c>
      <c r="L1258" t="s">
        <v>118</v>
      </c>
      <c r="N1258" t="s">
        <v>43</v>
      </c>
      <c r="O1258" t="s">
        <v>398</v>
      </c>
      <c r="P1258">
        <v>170</v>
      </c>
      <c r="Q1258">
        <v>170</v>
      </c>
      <c r="R1258">
        <v>11</v>
      </c>
      <c r="S1258" t="s">
        <v>45</v>
      </c>
      <c r="T1258">
        <v>0.01</v>
      </c>
      <c r="U1258">
        <v>724</v>
      </c>
      <c r="V1258" t="s">
        <v>113</v>
      </c>
      <c r="W1258">
        <v>0.72299999999999998</v>
      </c>
      <c r="X1258">
        <v>20001</v>
      </c>
      <c r="Y1258" t="s">
        <v>47</v>
      </c>
      <c r="Z1258">
        <v>20</v>
      </c>
      <c r="AA1258">
        <v>438</v>
      </c>
      <c r="AB1258" t="s">
        <v>47</v>
      </c>
      <c r="AC1258">
        <v>0.437</v>
      </c>
      <c r="AD1258">
        <v>766</v>
      </c>
      <c r="AE1258" t="s">
        <v>48</v>
      </c>
      <c r="AF1258">
        <v>0.76500000000000001</v>
      </c>
      <c r="AG1258">
        <v>776</v>
      </c>
      <c r="AH1258" t="s">
        <v>49</v>
      </c>
      <c r="AI1258">
        <v>0.77500000000000002</v>
      </c>
      <c r="AJ1258" t="s">
        <v>1153</v>
      </c>
    </row>
    <row r="1259" spans="1:36" x14ac:dyDescent="0.25">
      <c r="A1259" t="s">
        <v>761</v>
      </c>
      <c r="B1259">
        <v>856339895</v>
      </c>
      <c r="C1259" t="s">
        <v>762</v>
      </c>
      <c r="D1259" t="s">
        <v>762</v>
      </c>
      <c r="E1259" t="s">
        <v>99</v>
      </c>
      <c r="F1259" t="s">
        <v>111</v>
      </c>
      <c r="I1259" t="s">
        <v>39</v>
      </c>
      <c r="J1259" t="s">
        <v>40</v>
      </c>
      <c r="K1259" t="s">
        <v>41</v>
      </c>
      <c r="L1259" t="s">
        <v>118</v>
      </c>
      <c r="N1259" t="s">
        <v>43</v>
      </c>
      <c r="O1259" t="s">
        <v>398</v>
      </c>
      <c r="P1259">
        <v>170</v>
      </c>
      <c r="Q1259">
        <v>170</v>
      </c>
      <c r="R1259">
        <v>11</v>
      </c>
      <c r="S1259" t="s">
        <v>45</v>
      </c>
      <c r="T1259">
        <v>0.01</v>
      </c>
      <c r="U1259">
        <v>724</v>
      </c>
      <c r="V1259" t="s">
        <v>113</v>
      </c>
      <c r="W1259">
        <v>0.72299999999999998</v>
      </c>
      <c r="X1259">
        <v>20001</v>
      </c>
      <c r="Y1259" t="s">
        <v>47</v>
      </c>
      <c r="Z1259">
        <v>20</v>
      </c>
      <c r="AA1259">
        <v>438</v>
      </c>
      <c r="AB1259" t="s">
        <v>47</v>
      </c>
      <c r="AC1259">
        <v>0.437</v>
      </c>
      <c r="AD1259">
        <v>766</v>
      </c>
      <c r="AE1259" t="s">
        <v>48</v>
      </c>
      <c r="AF1259">
        <v>0.76500000000000001</v>
      </c>
      <c r="AG1259">
        <v>776</v>
      </c>
      <c r="AH1259" t="s">
        <v>49</v>
      </c>
      <c r="AI1259">
        <v>0.77500000000000002</v>
      </c>
      <c r="AJ1259" t="s">
        <v>1154</v>
      </c>
    </row>
    <row r="1260" spans="1:36" x14ac:dyDescent="0.25">
      <c r="A1260" t="s">
        <v>761</v>
      </c>
      <c r="B1260">
        <v>856339895</v>
      </c>
      <c r="C1260" t="s">
        <v>762</v>
      </c>
      <c r="D1260" t="s">
        <v>762</v>
      </c>
      <c r="E1260" t="s">
        <v>99</v>
      </c>
      <c r="F1260" t="s">
        <v>111</v>
      </c>
      <c r="I1260" t="s">
        <v>39</v>
      </c>
      <c r="J1260" t="s">
        <v>40</v>
      </c>
      <c r="K1260" t="s">
        <v>41</v>
      </c>
      <c r="L1260" t="s">
        <v>118</v>
      </c>
      <c r="N1260" t="s">
        <v>43</v>
      </c>
      <c r="O1260" t="s">
        <v>398</v>
      </c>
      <c r="P1260">
        <v>170</v>
      </c>
      <c r="Q1260">
        <v>170</v>
      </c>
      <c r="S1260" t="s">
        <v>39</v>
      </c>
      <c r="V1260" t="s">
        <v>39</v>
      </c>
      <c r="X1260">
        <v>20001</v>
      </c>
      <c r="Y1260" t="s">
        <v>47</v>
      </c>
      <c r="Z1260">
        <v>20</v>
      </c>
      <c r="AA1260">
        <v>438</v>
      </c>
      <c r="AB1260" t="s">
        <v>47</v>
      </c>
      <c r="AC1260">
        <v>0.437</v>
      </c>
      <c r="AD1260">
        <v>766</v>
      </c>
      <c r="AE1260" t="s">
        <v>48</v>
      </c>
      <c r="AF1260">
        <v>0.76500000000000001</v>
      </c>
      <c r="AG1260">
        <v>776</v>
      </c>
      <c r="AH1260" t="s">
        <v>49</v>
      </c>
      <c r="AI1260">
        <v>0.77500000000000002</v>
      </c>
      <c r="AJ1260" t="s">
        <v>1155</v>
      </c>
    </row>
    <row r="1261" spans="1:36" x14ac:dyDescent="0.25">
      <c r="A1261" t="s">
        <v>761</v>
      </c>
      <c r="B1261">
        <v>856339895</v>
      </c>
      <c r="C1261" t="s">
        <v>762</v>
      </c>
      <c r="D1261" t="s">
        <v>762</v>
      </c>
      <c r="E1261" t="s">
        <v>99</v>
      </c>
      <c r="F1261" t="s">
        <v>111</v>
      </c>
      <c r="I1261" t="s">
        <v>39</v>
      </c>
      <c r="J1261" t="s">
        <v>40</v>
      </c>
      <c r="K1261" t="s">
        <v>41</v>
      </c>
      <c r="L1261" t="s">
        <v>118</v>
      </c>
      <c r="N1261" t="s">
        <v>43</v>
      </c>
      <c r="O1261" t="s">
        <v>398</v>
      </c>
      <c r="P1261">
        <v>170</v>
      </c>
      <c r="Q1261">
        <v>170</v>
      </c>
      <c r="S1261" t="s">
        <v>39</v>
      </c>
      <c r="V1261" t="s">
        <v>39</v>
      </c>
      <c r="X1261">
        <v>20001</v>
      </c>
      <c r="Y1261" t="s">
        <v>47</v>
      </c>
      <c r="Z1261">
        <v>20</v>
      </c>
      <c r="AA1261">
        <v>438</v>
      </c>
      <c r="AB1261" t="s">
        <v>47</v>
      </c>
      <c r="AC1261">
        <v>0.437</v>
      </c>
      <c r="AD1261">
        <v>766</v>
      </c>
      <c r="AE1261" t="s">
        <v>48</v>
      </c>
      <c r="AF1261">
        <v>0.76500000000000001</v>
      </c>
      <c r="AG1261">
        <v>776</v>
      </c>
      <c r="AH1261" t="s">
        <v>49</v>
      </c>
      <c r="AI1261">
        <v>0.77500000000000002</v>
      </c>
      <c r="AJ1261" t="s">
        <v>1156</v>
      </c>
    </row>
    <row r="1262" spans="1:36" x14ac:dyDescent="0.25">
      <c r="A1262" t="s">
        <v>759</v>
      </c>
      <c r="B1262">
        <v>852262659</v>
      </c>
      <c r="C1262" t="s">
        <v>760</v>
      </c>
      <c r="D1262" t="s">
        <v>760</v>
      </c>
      <c r="E1262" t="s">
        <v>37</v>
      </c>
      <c r="F1262" t="s">
        <v>191</v>
      </c>
      <c r="I1262" t="s">
        <v>39</v>
      </c>
      <c r="J1262" t="s">
        <v>40</v>
      </c>
      <c r="K1262" t="s">
        <v>41</v>
      </c>
      <c r="L1262" t="s">
        <v>151</v>
      </c>
      <c r="M1262" t="s">
        <v>193</v>
      </c>
      <c r="N1262" t="s">
        <v>43</v>
      </c>
      <c r="O1262" t="s">
        <v>252</v>
      </c>
      <c r="P1262">
        <v>172</v>
      </c>
      <c r="Q1262">
        <v>172</v>
      </c>
      <c r="R1262">
        <v>11</v>
      </c>
      <c r="S1262" t="s">
        <v>45</v>
      </c>
      <c r="T1262">
        <v>0.01</v>
      </c>
      <c r="U1262">
        <v>563</v>
      </c>
      <c r="V1262" t="s">
        <v>113</v>
      </c>
      <c r="W1262">
        <v>0.56200000000000006</v>
      </c>
      <c r="X1262">
        <v>3001</v>
      </c>
      <c r="Y1262" t="s">
        <v>47</v>
      </c>
      <c r="Z1262">
        <v>3</v>
      </c>
      <c r="AA1262">
        <v>486</v>
      </c>
      <c r="AB1262" t="s">
        <v>47</v>
      </c>
      <c r="AC1262">
        <v>0.48499999999999999</v>
      </c>
      <c r="AD1262">
        <v>660</v>
      </c>
      <c r="AE1262" t="s">
        <v>48</v>
      </c>
      <c r="AF1262">
        <v>0.65900000000000003</v>
      </c>
      <c r="AG1262">
        <v>691</v>
      </c>
      <c r="AH1262" t="s">
        <v>49</v>
      </c>
      <c r="AI1262">
        <v>0.69</v>
      </c>
      <c r="AJ1262" t="s">
        <v>50</v>
      </c>
    </row>
    <row r="1263" spans="1:36" x14ac:dyDescent="0.25">
      <c r="A1263" t="s">
        <v>759</v>
      </c>
      <c r="B1263">
        <v>852262659</v>
      </c>
      <c r="C1263" t="s">
        <v>760</v>
      </c>
      <c r="D1263" t="s">
        <v>760</v>
      </c>
      <c r="E1263" t="s">
        <v>60</v>
      </c>
      <c r="F1263" t="s">
        <v>191</v>
      </c>
      <c r="I1263" t="s">
        <v>39</v>
      </c>
      <c r="J1263" t="s">
        <v>40</v>
      </c>
      <c r="K1263" t="s">
        <v>41</v>
      </c>
      <c r="L1263" t="s">
        <v>151</v>
      </c>
      <c r="M1263" t="s">
        <v>193</v>
      </c>
      <c r="N1263" t="s">
        <v>43</v>
      </c>
      <c r="O1263" t="s">
        <v>253</v>
      </c>
      <c r="P1263">
        <v>172</v>
      </c>
      <c r="Q1263">
        <v>172</v>
      </c>
      <c r="R1263">
        <v>491</v>
      </c>
      <c r="S1263" t="s">
        <v>56</v>
      </c>
      <c r="T1263">
        <v>0.49</v>
      </c>
      <c r="U1263">
        <v>1</v>
      </c>
      <c r="V1263" t="s">
        <v>55</v>
      </c>
      <c r="W1263">
        <v>0</v>
      </c>
      <c r="X1263">
        <v>1</v>
      </c>
      <c r="Y1263" t="s">
        <v>47</v>
      </c>
      <c r="Z1263">
        <v>0</v>
      </c>
      <c r="AA1263">
        <v>471</v>
      </c>
      <c r="AB1263" t="s">
        <v>47</v>
      </c>
      <c r="AC1263">
        <v>0.47</v>
      </c>
      <c r="AD1263">
        <v>212</v>
      </c>
      <c r="AE1263" t="s">
        <v>56</v>
      </c>
      <c r="AF1263">
        <v>0.21099999999999999</v>
      </c>
      <c r="AG1263">
        <v>24</v>
      </c>
      <c r="AH1263" t="s">
        <v>103</v>
      </c>
      <c r="AI1263">
        <v>2.3E-2</v>
      </c>
      <c r="AJ1263" t="s">
        <v>50</v>
      </c>
    </row>
    <row r="1264" spans="1:36" x14ac:dyDescent="0.25">
      <c r="A1264" t="s">
        <v>759</v>
      </c>
      <c r="B1264">
        <v>852262659</v>
      </c>
      <c r="C1264" t="s">
        <v>760</v>
      </c>
      <c r="D1264" t="s">
        <v>760</v>
      </c>
      <c r="E1264" t="s">
        <v>37</v>
      </c>
      <c r="F1264" t="s">
        <v>191</v>
      </c>
      <c r="I1264" t="s">
        <v>39</v>
      </c>
      <c r="J1264" t="s">
        <v>40</v>
      </c>
      <c r="K1264" t="s">
        <v>41</v>
      </c>
      <c r="L1264" t="s">
        <v>151</v>
      </c>
      <c r="M1264" t="s">
        <v>193</v>
      </c>
      <c r="N1264" t="s">
        <v>43</v>
      </c>
      <c r="O1264" t="s">
        <v>252</v>
      </c>
      <c r="P1264">
        <v>172</v>
      </c>
      <c r="Q1264">
        <v>172</v>
      </c>
      <c r="R1264">
        <v>1</v>
      </c>
      <c r="S1264" t="s">
        <v>45</v>
      </c>
      <c r="T1264">
        <v>0</v>
      </c>
      <c r="U1264">
        <v>719</v>
      </c>
      <c r="V1264" t="s">
        <v>113</v>
      </c>
      <c r="W1264">
        <v>0.71799999999999997</v>
      </c>
      <c r="X1264">
        <v>3001</v>
      </c>
      <c r="Y1264" t="s">
        <v>47</v>
      </c>
      <c r="Z1264">
        <v>3</v>
      </c>
      <c r="AA1264">
        <v>486</v>
      </c>
      <c r="AB1264" t="s">
        <v>47</v>
      </c>
      <c r="AC1264">
        <v>0.48499999999999999</v>
      </c>
      <c r="AD1264">
        <v>660</v>
      </c>
      <c r="AE1264" t="s">
        <v>48</v>
      </c>
      <c r="AF1264">
        <v>0.65900000000000003</v>
      </c>
      <c r="AG1264">
        <v>691</v>
      </c>
      <c r="AH1264" t="s">
        <v>49</v>
      </c>
      <c r="AI1264">
        <v>0.69</v>
      </c>
      <c r="AJ1264" t="s">
        <v>1141</v>
      </c>
    </row>
    <row r="1265" spans="1:36" x14ac:dyDescent="0.25">
      <c r="A1265" t="s">
        <v>759</v>
      </c>
      <c r="B1265">
        <v>852262659</v>
      </c>
      <c r="C1265" t="s">
        <v>760</v>
      </c>
      <c r="D1265" t="s">
        <v>760</v>
      </c>
      <c r="E1265" t="s">
        <v>60</v>
      </c>
      <c r="F1265" t="s">
        <v>191</v>
      </c>
      <c r="I1265" t="s">
        <v>39</v>
      </c>
      <c r="J1265" t="s">
        <v>40</v>
      </c>
      <c r="K1265" t="s">
        <v>41</v>
      </c>
      <c r="L1265" t="s">
        <v>151</v>
      </c>
      <c r="M1265" t="s">
        <v>193</v>
      </c>
      <c r="N1265" t="s">
        <v>43</v>
      </c>
      <c r="O1265" t="s">
        <v>253</v>
      </c>
      <c r="P1265">
        <v>172</v>
      </c>
      <c r="Q1265">
        <v>172</v>
      </c>
      <c r="R1265">
        <v>1001</v>
      </c>
      <c r="S1265" t="s">
        <v>56</v>
      </c>
      <c r="T1265">
        <v>1</v>
      </c>
      <c r="U1265">
        <v>2</v>
      </c>
      <c r="V1265" t="s">
        <v>55</v>
      </c>
      <c r="W1265">
        <v>1E-3</v>
      </c>
      <c r="X1265">
        <v>1</v>
      </c>
      <c r="Y1265" t="s">
        <v>47</v>
      </c>
      <c r="Z1265">
        <v>0</v>
      </c>
      <c r="AA1265">
        <v>471</v>
      </c>
      <c r="AB1265" t="s">
        <v>47</v>
      </c>
      <c r="AC1265">
        <v>0.47</v>
      </c>
      <c r="AD1265">
        <v>212</v>
      </c>
      <c r="AE1265" t="s">
        <v>56</v>
      </c>
      <c r="AF1265">
        <v>0.21099999999999999</v>
      </c>
      <c r="AG1265">
        <v>24</v>
      </c>
      <c r="AH1265" t="s">
        <v>103</v>
      </c>
      <c r="AI1265">
        <v>2.3E-2</v>
      </c>
      <c r="AJ1265" t="s">
        <v>1141</v>
      </c>
    </row>
    <row r="1266" spans="1:36" x14ac:dyDescent="0.25">
      <c r="A1266" t="s">
        <v>759</v>
      </c>
      <c r="B1266">
        <v>852262659</v>
      </c>
      <c r="C1266" t="s">
        <v>760</v>
      </c>
      <c r="D1266" t="s">
        <v>760</v>
      </c>
      <c r="E1266" t="s">
        <v>37</v>
      </c>
      <c r="F1266" t="s">
        <v>191</v>
      </c>
      <c r="I1266" t="s">
        <v>39</v>
      </c>
      <c r="J1266" t="s">
        <v>40</v>
      </c>
      <c r="K1266" t="s">
        <v>41</v>
      </c>
      <c r="L1266" t="s">
        <v>151</v>
      </c>
      <c r="M1266" t="s">
        <v>193</v>
      </c>
      <c r="N1266" t="s">
        <v>43</v>
      </c>
      <c r="O1266" t="s">
        <v>252</v>
      </c>
      <c r="P1266">
        <v>172</v>
      </c>
      <c r="Q1266">
        <v>172</v>
      </c>
      <c r="R1266">
        <v>11</v>
      </c>
      <c r="S1266" t="s">
        <v>45</v>
      </c>
      <c r="T1266">
        <v>0.01</v>
      </c>
      <c r="U1266">
        <v>563</v>
      </c>
      <c r="V1266" t="s">
        <v>113</v>
      </c>
      <c r="W1266">
        <v>0.56200000000000006</v>
      </c>
      <c r="X1266">
        <v>3001</v>
      </c>
      <c r="Y1266" t="s">
        <v>47</v>
      </c>
      <c r="Z1266">
        <v>3</v>
      </c>
      <c r="AA1266">
        <v>486</v>
      </c>
      <c r="AB1266" t="s">
        <v>47</v>
      </c>
      <c r="AC1266">
        <v>0.48499999999999999</v>
      </c>
      <c r="AD1266">
        <v>660</v>
      </c>
      <c r="AE1266" t="s">
        <v>48</v>
      </c>
      <c r="AF1266">
        <v>0.65900000000000003</v>
      </c>
      <c r="AG1266">
        <v>691</v>
      </c>
      <c r="AH1266" t="s">
        <v>49</v>
      </c>
      <c r="AI1266">
        <v>0.69</v>
      </c>
      <c r="AJ1266" t="s">
        <v>1153</v>
      </c>
    </row>
    <row r="1267" spans="1:36" x14ac:dyDescent="0.25">
      <c r="A1267" t="s">
        <v>759</v>
      </c>
      <c r="B1267">
        <v>852262659</v>
      </c>
      <c r="C1267" t="s">
        <v>760</v>
      </c>
      <c r="D1267" t="s">
        <v>760</v>
      </c>
      <c r="E1267" t="s">
        <v>60</v>
      </c>
      <c r="F1267" t="s">
        <v>191</v>
      </c>
      <c r="I1267" t="s">
        <v>39</v>
      </c>
      <c r="J1267" t="s">
        <v>40</v>
      </c>
      <c r="K1267" t="s">
        <v>41</v>
      </c>
      <c r="L1267" t="s">
        <v>151</v>
      </c>
      <c r="M1267" t="s">
        <v>193</v>
      </c>
      <c r="N1267" t="s">
        <v>43</v>
      </c>
      <c r="O1267" t="s">
        <v>253</v>
      </c>
      <c r="P1267">
        <v>172</v>
      </c>
      <c r="Q1267">
        <v>172</v>
      </c>
      <c r="R1267">
        <v>491</v>
      </c>
      <c r="S1267" t="s">
        <v>56</v>
      </c>
      <c r="T1267">
        <v>0.49</v>
      </c>
      <c r="U1267">
        <v>1</v>
      </c>
      <c r="V1267" t="s">
        <v>55</v>
      </c>
      <c r="W1267">
        <v>0</v>
      </c>
      <c r="X1267">
        <v>1</v>
      </c>
      <c r="Y1267" t="s">
        <v>47</v>
      </c>
      <c r="Z1267">
        <v>0</v>
      </c>
      <c r="AA1267">
        <v>471</v>
      </c>
      <c r="AB1267" t="s">
        <v>47</v>
      </c>
      <c r="AC1267">
        <v>0.47</v>
      </c>
      <c r="AD1267">
        <v>212</v>
      </c>
      <c r="AE1267" t="s">
        <v>56</v>
      </c>
      <c r="AF1267">
        <v>0.21099999999999999</v>
      </c>
      <c r="AG1267">
        <v>24</v>
      </c>
      <c r="AH1267" t="s">
        <v>103</v>
      </c>
      <c r="AI1267">
        <v>2.3E-2</v>
      </c>
      <c r="AJ1267" t="s">
        <v>1153</v>
      </c>
    </row>
    <row r="1268" spans="1:36" x14ac:dyDescent="0.25">
      <c r="A1268" t="s">
        <v>759</v>
      </c>
      <c r="B1268">
        <v>852262659</v>
      </c>
      <c r="C1268" t="s">
        <v>760</v>
      </c>
      <c r="D1268" t="s">
        <v>760</v>
      </c>
      <c r="E1268" t="s">
        <v>37</v>
      </c>
      <c r="F1268" t="s">
        <v>191</v>
      </c>
      <c r="I1268" t="s">
        <v>39</v>
      </c>
      <c r="J1268" t="s">
        <v>40</v>
      </c>
      <c r="K1268" t="s">
        <v>41</v>
      </c>
      <c r="L1268" t="s">
        <v>151</v>
      </c>
      <c r="M1268" t="s">
        <v>193</v>
      </c>
      <c r="N1268" t="s">
        <v>43</v>
      </c>
      <c r="O1268" t="s">
        <v>252</v>
      </c>
      <c r="P1268">
        <v>172</v>
      </c>
      <c r="Q1268">
        <v>172</v>
      </c>
      <c r="R1268">
        <v>11</v>
      </c>
      <c r="S1268" t="s">
        <v>45</v>
      </c>
      <c r="T1268">
        <v>0.01</v>
      </c>
      <c r="U1268">
        <v>563</v>
      </c>
      <c r="V1268" t="s">
        <v>113</v>
      </c>
      <c r="W1268">
        <v>0.56200000000000006</v>
      </c>
      <c r="X1268">
        <v>3001</v>
      </c>
      <c r="Y1268" t="s">
        <v>47</v>
      </c>
      <c r="Z1268">
        <v>3</v>
      </c>
      <c r="AA1268">
        <v>486</v>
      </c>
      <c r="AB1268" t="s">
        <v>47</v>
      </c>
      <c r="AC1268">
        <v>0.48499999999999999</v>
      </c>
      <c r="AD1268">
        <v>660</v>
      </c>
      <c r="AE1268" t="s">
        <v>48</v>
      </c>
      <c r="AF1268">
        <v>0.65900000000000003</v>
      </c>
      <c r="AG1268">
        <v>691</v>
      </c>
      <c r="AH1268" t="s">
        <v>49</v>
      </c>
      <c r="AI1268">
        <v>0.69</v>
      </c>
      <c r="AJ1268" t="s">
        <v>1154</v>
      </c>
    </row>
    <row r="1269" spans="1:36" x14ac:dyDescent="0.25">
      <c r="A1269" t="s">
        <v>759</v>
      </c>
      <c r="B1269">
        <v>852262659</v>
      </c>
      <c r="C1269" t="s">
        <v>760</v>
      </c>
      <c r="D1269" t="s">
        <v>760</v>
      </c>
      <c r="E1269" t="s">
        <v>60</v>
      </c>
      <c r="F1269" t="s">
        <v>191</v>
      </c>
      <c r="I1269" t="s">
        <v>39</v>
      </c>
      <c r="J1269" t="s">
        <v>40</v>
      </c>
      <c r="K1269" t="s">
        <v>41</v>
      </c>
      <c r="L1269" t="s">
        <v>151</v>
      </c>
      <c r="M1269" t="s">
        <v>193</v>
      </c>
      <c r="N1269" t="s">
        <v>43</v>
      </c>
      <c r="O1269" t="s">
        <v>253</v>
      </c>
      <c r="P1269">
        <v>172</v>
      </c>
      <c r="Q1269">
        <v>172</v>
      </c>
      <c r="R1269">
        <v>491</v>
      </c>
      <c r="S1269" t="s">
        <v>56</v>
      </c>
      <c r="T1269">
        <v>0.49</v>
      </c>
      <c r="U1269">
        <v>1</v>
      </c>
      <c r="V1269" t="s">
        <v>55</v>
      </c>
      <c r="W1269">
        <v>0</v>
      </c>
      <c r="X1269">
        <v>1</v>
      </c>
      <c r="Y1269" t="s">
        <v>47</v>
      </c>
      <c r="Z1269">
        <v>0</v>
      </c>
      <c r="AA1269">
        <v>471</v>
      </c>
      <c r="AB1269" t="s">
        <v>47</v>
      </c>
      <c r="AC1269">
        <v>0.47</v>
      </c>
      <c r="AD1269">
        <v>212</v>
      </c>
      <c r="AE1269" t="s">
        <v>56</v>
      </c>
      <c r="AF1269">
        <v>0.21099999999999999</v>
      </c>
      <c r="AG1269">
        <v>24</v>
      </c>
      <c r="AH1269" t="s">
        <v>103</v>
      </c>
      <c r="AI1269">
        <v>2.3E-2</v>
      </c>
      <c r="AJ1269" t="s">
        <v>1154</v>
      </c>
    </row>
    <row r="1270" spans="1:36" x14ac:dyDescent="0.25">
      <c r="A1270" t="s">
        <v>759</v>
      </c>
      <c r="B1270">
        <v>852262659</v>
      </c>
      <c r="C1270" t="s">
        <v>760</v>
      </c>
      <c r="D1270" t="s">
        <v>760</v>
      </c>
      <c r="E1270" t="s">
        <v>37</v>
      </c>
      <c r="F1270" t="s">
        <v>191</v>
      </c>
      <c r="I1270" t="s">
        <v>39</v>
      </c>
      <c r="J1270" t="s">
        <v>40</v>
      </c>
      <c r="K1270" t="s">
        <v>41</v>
      </c>
      <c r="L1270" t="s">
        <v>151</v>
      </c>
      <c r="M1270" t="s">
        <v>193</v>
      </c>
      <c r="N1270" t="s">
        <v>43</v>
      </c>
      <c r="O1270" t="s">
        <v>252</v>
      </c>
      <c r="P1270">
        <v>172</v>
      </c>
      <c r="Q1270">
        <v>172</v>
      </c>
      <c r="S1270" t="s">
        <v>39</v>
      </c>
      <c r="V1270" t="s">
        <v>39</v>
      </c>
      <c r="X1270">
        <v>3001</v>
      </c>
      <c r="Y1270" t="s">
        <v>47</v>
      </c>
      <c r="Z1270">
        <v>3</v>
      </c>
      <c r="AA1270">
        <v>486</v>
      </c>
      <c r="AB1270" t="s">
        <v>47</v>
      </c>
      <c r="AC1270">
        <v>0.48499999999999999</v>
      </c>
      <c r="AD1270">
        <v>660</v>
      </c>
      <c r="AE1270" t="s">
        <v>48</v>
      </c>
      <c r="AF1270">
        <v>0.65900000000000003</v>
      </c>
      <c r="AG1270">
        <v>691</v>
      </c>
      <c r="AH1270" t="s">
        <v>49</v>
      </c>
      <c r="AI1270">
        <v>0.69</v>
      </c>
      <c r="AJ1270" t="s">
        <v>1155</v>
      </c>
    </row>
    <row r="1271" spans="1:36" x14ac:dyDescent="0.25">
      <c r="A1271" t="s">
        <v>759</v>
      </c>
      <c r="B1271">
        <v>852262659</v>
      </c>
      <c r="C1271" t="s">
        <v>760</v>
      </c>
      <c r="D1271" t="s">
        <v>760</v>
      </c>
      <c r="E1271" t="s">
        <v>60</v>
      </c>
      <c r="F1271" t="s">
        <v>191</v>
      </c>
      <c r="I1271" t="s">
        <v>39</v>
      </c>
      <c r="J1271" t="s">
        <v>40</v>
      </c>
      <c r="K1271" t="s">
        <v>41</v>
      </c>
      <c r="L1271" t="s">
        <v>151</v>
      </c>
      <c r="M1271" t="s">
        <v>193</v>
      </c>
      <c r="N1271" t="s">
        <v>43</v>
      </c>
      <c r="O1271" t="s">
        <v>253</v>
      </c>
      <c r="P1271">
        <v>172</v>
      </c>
      <c r="Q1271">
        <v>172</v>
      </c>
      <c r="S1271" t="s">
        <v>39</v>
      </c>
      <c r="V1271" t="s">
        <v>39</v>
      </c>
      <c r="X1271">
        <v>1</v>
      </c>
      <c r="Y1271" t="s">
        <v>47</v>
      </c>
      <c r="Z1271">
        <v>0</v>
      </c>
      <c r="AA1271">
        <v>471</v>
      </c>
      <c r="AB1271" t="s">
        <v>47</v>
      </c>
      <c r="AC1271">
        <v>0.47</v>
      </c>
      <c r="AD1271">
        <v>212</v>
      </c>
      <c r="AE1271" t="s">
        <v>56</v>
      </c>
      <c r="AF1271">
        <v>0.21099999999999999</v>
      </c>
      <c r="AG1271">
        <v>24</v>
      </c>
      <c r="AH1271" t="s">
        <v>103</v>
      </c>
      <c r="AI1271">
        <v>2.3E-2</v>
      </c>
      <c r="AJ1271" t="s">
        <v>1155</v>
      </c>
    </row>
    <row r="1272" spans="1:36" x14ac:dyDescent="0.25">
      <c r="A1272" t="s">
        <v>759</v>
      </c>
      <c r="B1272">
        <v>852262659</v>
      </c>
      <c r="C1272" t="s">
        <v>760</v>
      </c>
      <c r="D1272" t="s">
        <v>760</v>
      </c>
      <c r="E1272" t="s">
        <v>37</v>
      </c>
      <c r="F1272" t="s">
        <v>191</v>
      </c>
      <c r="I1272" t="s">
        <v>39</v>
      </c>
      <c r="J1272" t="s">
        <v>40</v>
      </c>
      <c r="K1272" t="s">
        <v>41</v>
      </c>
      <c r="L1272" t="s">
        <v>151</v>
      </c>
      <c r="M1272" t="s">
        <v>193</v>
      </c>
      <c r="N1272" t="s">
        <v>43</v>
      </c>
      <c r="O1272" t="s">
        <v>252</v>
      </c>
      <c r="P1272">
        <v>172</v>
      </c>
      <c r="Q1272">
        <v>172</v>
      </c>
      <c r="S1272" t="s">
        <v>39</v>
      </c>
      <c r="V1272" t="s">
        <v>39</v>
      </c>
      <c r="X1272">
        <v>3001</v>
      </c>
      <c r="Y1272" t="s">
        <v>47</v>
      </c>
      <c r="Z1272">
        <v>3</v>
      </c>
      <c r="AA1272">
        <v>486</v>
      </c>
      <c r="AB1272" t="s">
        <v>47</v>
      </c>
      <c r="AC1272">
        <v>0.48499999999999999</v>
      </c>
      <c r="AD1272">
        <v>660</v>
      </c>
      <c r="AE1272" t="s">
        <v>48</v>
      </c>
      <c r="AF1272">
        <v>0.65900000000000003</v>
      </c>
      <c r="AG1272">
        <v>691</v>
      </c>
      <c r="AH1272" t="s">
        <v>49</v>
      </c>
      <c r="AI1272">
        <v>0.69</v>
      </c>
      <c r="AJ1272" t="s">
        <v>1156</v>
      </c>
    </row>
    <row r="1273" spans="1:36" x14ac:dyDescent="0.25">
      <c r="A1273" t="s">
        <v>759</v>
      </c>
      <c r="B1273">
        <v>852262659</v>
      </c>
      <c r="C1273" t="s">
        <v>760</v>
      </c>
      <c r="D1273" t="s">
        <v>760</v>
      </c>
      <c r="E1273" t="s">
        <v>60</v>
      </c>
      <c r="F1273" t="s">
        <v>191</v>
      </c>
      <c r="I1273" t="s">
        <v>39</v>
      </c>
      <c r="J1273" t="s">
        <v>40</v>
      </c>
      <c r="K1273" t="s">
        <v>41</v>
      </c>
      <c r="L1273" t="s">
        <v>151</v>
      </c>
      <c r="M1273" t="s">
        <v>193</v>
      </c>
      <c r="N1273" t="s">
        <v>43</v>
      </c>
      <c r="O1273" t="s">
        <v>253</v>
      </c>
      <c r="P1273">
        <v>172</v>
      </c>
      <c r="Q1273">
        <v>172</v>
      </c>
      <c r="S1273" t="s">
        <v>39</v>
      </c>
      <c r="V1273" t="s">
        <v>39</v>
      </c>
      <c r="X1273">
        <v>1</v>
      </c>
      <c r="Y1273" t="s">
        <v>47</v>
      </c>
      <c r="Z1273">
        <v>0</v>
      </c>
      <c r="AA1273">
        <v>471</v>
      </c>
      <c r="AB1273" t="s">
        <v>47</v>
      </c>
      <c r="AC1273">
        <v>0.47</v>
      </c>
      <c r="AD1273">
        <v>212</v>
      </c>
      <c r="AE1273" t="s">
        <v>56</v>
      </c>
      <c r="AF1273">
        <v>0.21099999999999999</v>
      </c>
      <c r="AG1273">
        <v>24</v>
      </c>
      <c r="AH1273" t="s">
        <v>103</v>
      </c>
      <c r="AI1273">
        <v>2.3E-2</v>
      </c>
      <c r="AJ1273" t="s">
        <v>1156</v>
      </c>
    </row>
    <row r="1274" spans="1:36" x14ac:dyDescent="0.25">
      <c r="A1274" t="s">
        <v>757</v>
      </c>
      <c r="B1274">
        <v>886392166</v>
      </c>
      <c r="C1274" t="s">
        <v>758</v>
      </c>
      <c r="D1274" t="s">
        <v>758</v>
      </c>
      <c r="E1274" t="s">
        <v>60</v>
      </c>
      <c r="F1274" t="s">
        <v>88</v>
      </c>
      <c r="I1274" t="s">
        <v>39</v>
      </c>
      <c r="J1274" t="s">
        <v>40</v>
      </c>
      <c r="K1274" t="s">
        <v>41</v>
      </c>
      <c r="N1274" t="s">
        <v>43</v>
      </c>
      <c r="O1274" t="s">
        <v>90</v>
      </c>
      <c r="P1274">
        <v>172</v>
      </c>
      <c r="Q1274">
        <v>172</v>
      </c>
      <c r="R1274">
        <v>281</v>
      </c>
      <c r="S1274" t="s">
        <v>56</v>
      </c>
      <c r="T1274">
        <v>0.28000000000000003</v>
      </c>
      <c r="U1274">
        <v>1</v>
      </c>
      <c r="V1274" t="s">
        <v>55</v>
      </c>
      <c r="W1274">
        <v>0</v>
      </c>
      <c r="X1274">
        <v>1</v>
      </c>
      <c r="Y1274" t="s">
        <v>47</v>
      </c>
      <c r="Z1274">
        <v>0</v>
      </c>
      <c r="AA1274">
        <v>313</v>
      </c>
      <c r="AB1274" t="s">
        <v>47</v>
      </c>
      <c r="AC1274">
        <v>0.312</v>
      </c>
      <c r="AD1274">
        <v>202</v>
      </c>
      <c r="AE1274" t="s">
        <v>56</v>
      </c>
      <c r="AF1274">
        <v>0.20100000000000001</v>
      </c>
      <c r="AG1274">
        <v>157</v>
      </c>
      <c r="AH1274" t="s">
        <v>103</v>
      </c>
      <c r="AI1274">
        <v>0.156</v>
      </c>
      <c r="AJ1274" t="s">
        <v>50</v>
      </c>
    </row>
    <row r="1275" spans="1:36" x14ac:dyDescent="0.25">
      <c r="A1275" t="s">
        <v>757</v>
      </c>
      <c r="B1275">
        <v>886392166</v>
      </c>
      <c r="C1275" t="s">
        <v>758</v>
      </c>
      <c r="D1275" t="s">
        <v>758</v>
      </c>
      <c r="E1275" t="s">
        <v>60</v>
      </c>
      <c r="F1275" t="s">
        <v>88</v>
      </c>
      <c r="I1275" t="s">
        <v>39</v>
      </c>
      <c r="J1275" t="s">
        <v>40</v>
      </c>
      <c r="K1275" t="s">
        <v>41</v>
      </c>
      <c r="N1275" t="s">
        <v>43</v>
      </c>
      <c r="O1275" t="s">
        <v>90</v>
      </c>
      <c r="P1275">
        <v>172</v>
      </c>
      <c r="Q1275">
        <v>172</v>
      </c>
      <c r="R1275">
        <v>521</v>
      </c>
      <c r="S1275" t="s">
        <v>56</v>
      </c>
      <c r="T1275">
        <v>0.52</v>
      </c>
      <c r="U1275">
        <v>4</v>
      </c>
      <c r="V1275" t="s">
        <v>55</v>
      </c>
      <c r="W1275">
        <v>3.0000000000000001E-3</v>
      </c>
      <c r="X1275">
        <v>1</v>
      </c>
      <c r="Y1275" t="s">
        <v>47</v>
      </c>
      <c r="Z1275">
        <v>0</v>
      </c>
      <c r="AA1275">
        <v>313</v>
      </c>
      <c r="AB1275" t="s">
        <v>47</v>
      </c>
      <c r="AC1275">
        <v>0.312</v>
      </c>
      <c r="AD1275">
        <v>202</v>
      </c>
      <c r="AE1275" t="s">
        <v>56</v>
      </c>
      <c r="AF1275">
        <v>0.20100000000000001</v>
      </c>
      <c r="AG1275">
        <v>157</v>
      </c>
      <c r="AH1275" t="s">
        <v>103</v>
      </c>
      <c r="AI1275">
        <v>0.156</v>
      </c>
      <c r="AJ1275" t="s">
        <v>1141</v>
      </c>
    </row>
    <row r="1276" spans="1:36" x14ac:dyDescent="0.25">
      <c r="A1276" t="s">
        <v>757</v>
      </c>
      <c r="B1276">
        <v>886392166</v>
      </c>
      <c r="C1276" t="s">
        <v>758</v>
      </c>
      <c r="D1276" t="s">
        <v>758</v>
      </c>
      <c r="E1276" t="s">
        <v>60</v>
      </c>
      <c r="F1276" t="s">
        <v>88</v>
      </c>
      <c r="I1276" t="s">
        <v>39</v>
      </c>
      <c r="J1276" t="s">
        <v>40</v>
      </c>
      <c r="K1276" t="s">
        <v>41</v>
      </c>
      <c r="N1276" t="s">
        <v>43</v>
      </c>
      <c r="O1276" t="s">
        <v>90</v>
      </c>
      <c r="P1276">
        <v>172</v>
      </c>
      <c r="Q1276">
        <v>172</v>
      </c>
      <c r="R1276">
        <v>281</v>
      </c>
      <c r="S1276" t="s">
        <v>56</v>
      </c>
      <c r="T1276">
        <v>0.28000000000000003</v>
      </c>
      <c r="U1276">
        <v>1</v>
      </c>
      <c r="V1276" t="s">
        <v>55</v>
      </c>
      <c r="W1276">
        <v>0</v>
      </c>
      <c r="X1276">
        <v>1</v>
      </c>
      <c r="Y1276" t="s">
        <v>47</v>
      </c>
      <c r="Z1276">
        <v>0</v>
      </c>
      <c r="AA1276">
        <v>313</v>
      </c>
      <c r="AB1276" t="s">
        <v>47</v>
      </c>
      <c r="AC1276">
        <v>0.312</v>
      </c>
      <c r="AD1276">
        <v>202</v>
      </c>
      <c r="AE1276" t="s">
        <v>56</v>
      </c>
      <c r="AF1276">
        <v>0.20100000000000001</v>
      </c>
      <c r="AG1276">
        <v>157</v>
      </c>
      <c r="AH1276" t="s">
        <v>103</v>
      </c>
      <c r="AI1276">
        <v>0.156</v>
      </c>
      <c r="AJ1276" t="s">
        <v>1153</v>
      </c>
    </row>
    <row r="1277" spans="1:36" x14ac:dyDescent="0.25">
      <c r="A1277" t="s">
        <v>757</v>
      </c>
      <c r="B1277">
        <v>886392166</v>
      </c>
      <c r="C1277" t="s">
        <v>758</v>
      </c>
      <c r="D1277" t="s">
        <v>758</v>
      </c>
      <c r="E1277" t="s">
        <v>60</v>
      </c>
      <c r="F1277" t="s">
        <v>88</v>
      </c>
      <c r="I1277" t="s">
        <v>39</v>
      </c>
      <c r="J1277" t="s">
        <v>40</v>
      </c>
      <c r="K1277" t="s">
        <v>41</v>
      </c>
      <c r="N1277" t="s">
        <v>43</v>
      </c>
      <c r="O1277" t="s">
        <v>90</v>
      </c>
      <c r="P1277">
        <v>172</v>
      </c>
      <c r="Q1277">
        <v>172</v>
      </c>
      <c r="R1277">
        <v>281</v>
      </c>
      <c r="S1277" t="s">
        <v>56</v>
      </c>
      <c r="T1277">
        <v>0.28000000000000003</v>
      </c>
      <c r="U1277">
        <v>1</v>
      </c>
      <c r="V1277" t="s">
        <v>55</v>
      </c>
      <c r="W1277">
        <v>0</v>
      </c>
      <c r="X1277">
        <v>1</v>
      </c>
      <c r="Y1277" t="s">
        <v>47</v>
      </c>
      <c r="Z1277">
        <v>0</v>
      </c>
      <c r="AA1277">
        <v>313</v>
      </c>
      <c r="AB1277" t="s">
        <v>47</v>
      </c>
      <c r="AC1277">
        <v>0.312</v>
      </c>
      <c r="AD1277">
        <v>202</v>
      </c>
      <c r="AE1277" t="s">
        <v>56</v>
      </c>
      <c r="AF1277">
        <v>0.20100000000000001</v>
      </c>
      <c r="AG1277">
        <v>157</v>
      </c>
      <c r="AH1277" t="s">
        <v>103</v>
      </c>
      <c r="AI1277">
        <v>0.156</v>
      </c>
      <c r="AJ1277" t="s">
        <v>1154</v>
      </c>
    </row>
    <row r="1278" spans="1:36" x14ac:dyDescent="0.25">
      <c r="A1278" t="s">
        <v>757</v>
      </c>
      <c r="B1278">
        <v>886392166</v>
      </c>
      <c r="C1278" t="s">
        <v>758</v>
      </c>
      <c r="D1278" t="s">
        <v>758</v>
      </c>
      <c r="E1278" t="s">
        <v>60</v>
      </c>
      <c r="F1278" t="s">
        <v>88</v>
      </c>
      <c r="I1278" t="s">
        <v>39</v>
      </c>
      <c r="J1278" t="s">
        <v>40</v>
      </c>
      <c r="K1278" t="s">
        <v>41</v>
      </c>
      <c r="N1278" t="s">
        <v>43</v>
      </c>
      <c r="O1278" t="s">
        <v>90</v>
      </c>
      <c r="P1278">
        <v>172</v>
      </c>
      <c r="Q1278">
        <v>172</v>
      </c>
      <c r="S1278" t="s">
        <v>39</v>
      </c>
      <c r="V1278" t="s">
        <v>39</v>
      </c>
      <c r="X1278">
        <v>1</v>
      </c>
      <c r="Y1278" t="s">
        <v>47</v>
      </c>
      <c r="Z1278">
        <v>0</v>
      </c>
      <c r="AA1278">
        <v>313</v>
      </c>
      <c r="AB1278" t="s">
        <v>47</v>
      </c>
      <c r="AC1278">
        <v>0.312</v>
      </c>
      <c r="AD1278">
        <v>202</v>
      </c>
      <c r="AE1278" t="s">
        <v>56</v>
      </c>
      <c r="AF1278">
        <v>0.20100000000000001</v>
      </c>
      <c r="AG1278">
        <v>157</v>
      </c>
      <c r="AH1278" t="s">
        <v>103</v>
      </c>
      <c r="AI1278">
        <v>0.156</v>
      </c>
      <c r="AJ1278" t="s">
        <v>1155</v>
      </c>
    </row>
    <row r="1279" spans="1:36" x14ac:dyDescent="0.25">
      <c r="A1279" t="s">
        <v>757</v>
      </c>
      <c r="B1279">
        <v>886392166</v>
      </c>
      <c r="C1279" t="s">
        <v>758</v>
      </c>
      <c r="D1279" t="s">
        <v>758</v>
      </c>
      <c r="E1279" t="s">
        <v>60</v>
      </c>
      <c r="F1279" t="s">
        <v>88</v>
      </c>
      <c r="I1279" t="s">
        <v>39</v>
      </c>
      <c r="J1279" t="s">
        <v>40</v>
      </c>
      <c r="K1279" t="s">
        <v>41</v>
      </c>
      <c r="N1279" t="s">
        <v>43</v>
      </c>
      <c r="O1279" t="s">
        <v>90</v>
      </c>
      <c r="P1279">
        <v>172</v>
      </c>
      <c r="Q1279">
        <v>172</v>
      </c>
      <c r="S1279" t="s">
        <v>39</v>
      </c>
      <c r="V1279" t="s">
        <v>39</v>
      </c>
      <c r="X1279">
        <v>1</v>
      </c>
      <c r="Y1279" t="s">
        <v>47</v>
      </c>
      <c r="Z1279">
        <v>0</v>
      </c>
      <c r="AA1279">
        <v>313</v>
      </c>
      <c r="AB1279" t="s">
        <v>47</v>
      </c>
      <c r="AC1279">
        <v>0.312</v>
      </c>
      <c r="AD1279">
        <v>202</v>
      </c>
      <c r="AE1279" t="s">
        <v>56</v>
      </c>
      <c r="AF1279">
        <v>0.20100000000000001</v>
      </c>
      <c r="AG1279">
        <v>157</v>
      </c>
      <c r="AH1279" t="s">
        <v>103</v>
      </c>
      <c r="AI1279">
        <v>0.156</v>
      </c>
      <c r="AJ1279" t="s">
        <v>1156</v>
      </c>
    </row>
    <row r="1280" spans="1:36" x14ac:dyDescent="0.25">
      <c r="A1280" t="s">
        <v>755</v>
      </c>
      <c r="B1280">
        <v>871372218</v>
      </c>
      <c r="C1280" t="s">
        <v>756</v>
      </c>
      <c r="D1280" t="s">
        <v>756</v>
      </c>
      <c r="E1280" t="s">
        <v>99</v>
      </c>
      <c r="F1280" t="s">
        <v>143</v>
      </c>
      <c r="I1280" t="s">
        <v>39</v>
      </c>
      <c r="J1280" t="s">
        <v>40</v>
      </c>
      <c r="K1280" t="s">
        <v>41</v>
      </c>
      <c r="L1280" t="s">
        <v>173</v>
      </c>
      <c r="N1280" t="s">
        <v>43</v>
      </c>
      <c r="O1280" t="s">
        <v>38</v>
      </c>
      <c r="P1280">
        <v>174</v>
      </c>
      <c r="Q1280">
        <v>174</v>
      </c>
      <c r="R1280">
        <v>91</v>
      </c>
      <c r="S1280" t="s">
        <v>56</v>
      </c>
      <c r="T1280">
        <v>0.09</v>
      </c>
      <c r="U1280">
        <v>6</v>
      </c>
      <c r="V1280" t="s">
        <v>55</v>
      </c>
      <c r="W1280">
        <v>5.0000000000000001E-3</v>
      </c>
      <c r="X1280">
        <v>1</v>
      </c>
      <c r="Y1280" t="s">
        <v>47</v>
      </c>
      <c r="Z1280">
        <v>0</v>
      </c>
      <c r="AA1280">
        <v>286</v>
      </c>
      <c r="AB1280" t="s">
        <v>47</v>
      </c>
      <c r="AC1280">
        <v>0.28499999999999998</v>
      </c>
      <c r="AD1280">
        <v>249</v>
      </c>
      <c r="AE1280" t="s">
        <v>56</v>
      </c>
      <c r="AF1280">
        <v>0.248</v>
      </c>
      <c r="AG1280">
        <v>162</v>
      </c>
      <c r="AH1280" t="s">
        <v>103</v>
      </c>
      <c r="AI1280">
        <v>0.161</v>
      </c>
      <c r="AJ1280" t="s">
        <v>50</v>
      </c>
    </row>
    <row r="1281" spans="1:36" x14ac:dyDescent="0.25">
      <c r="A1281" t="s">
        <v>755</v>
      </c>
      <c r="B1281">
        <v>871372218</v>
      </c>
      <c r="C1281" t="s">
        <v>756</v>
      </c>
      <c r="D1281" t="s">
        <v>756</v>
      </c>
      <c r="E1281" t="s">
        <v>99</v>
      </c>
      <c r="F1281" t="s">
        <v>143</v>
      </c>
      <c r="I1281" t="s">
        <v>39</v>
      </c>
      <c r="J1281" t="s">
        <v>40</v>
      </c>
      <c r="K1281" t="s">
        <v>41</v>
      </c>
      <c r="L1281" t="s">
        <v>173</v>
      </c>
      <c r="N1281" t="s">
        <v>43</v>
      </c>
      <c r="O1281" t="s">
        <v>38</v>
      </c>
      <c r="P1281">
        <v>174</v>
      </c>
      <c r="Q1281">
        <v>174</v>
      </c>
      <c r="R1281">
        <v>111</v>
      </c>
      <c r="S1281" t="s">
        <v>56</v>
      </c>
      <c r="T1281">
        <v>0.11</v>
      </c>
      <c r="U1281">
        <v>12</v>
      </c>
      <c r="V1281" t="s">
        <v>55</v>
      </c>
      <c r="W1281">
        <v>1.0999999999999999E-2</v>
      </c>
      <c r="X1281">
        <v>1</v>
      </c>
      <c r="Y1281" t="s">
        <v>47</v>
      </c>
      <c r="Z1281">
        <v>0</v>
      </c>
      <c r="AA1281">
        <v>286</v>
      </c>
      <c r="AB1281" t="s">
        <v>47</v>
      </c>
      <c r="AC1281">
        <v>0.28499999999999998</v>
      </c>
      <c r="AD1281">
        <v>249</v>
      </c>
      <c r="AE1281" t="s">
        <v>56</v>
      </c>
      <c r="AF1281">
        <v>0.248</v>
      </c>
      <c r="AG1281">
        <v>162</v>
      </c>
      <c r="AH1281" t="s">
        <v>103</v>
      </c>
      <c r="AI1281">
        <v>0.161</v>
      </c>
      <c r="AJ1281" t="s">
        <v>1141</v>
      </c>
    </row>
    <row r="1282" spans="1:36" x14ac:dyDescent="0.25">
      <c r="A1282" t="s">
        <v>755</v>
      </c>
      <c r="B1282">
        <v>871372218</v>
      </c>
      <c r="C1282" t="s">
        <v>756</v>
      </c>
      <c r="D1282" t="s">
        <v>756</v>
      </c>
      <c r="E1282" t="s">
        <v>99</v>
      </c>
      <c r="F1282" t="s">
        <v>143</v>
      </c>
      <c r="I1282" t="s">
        <v>39</v>
      </c>
      <c r="J1282" t="s">
        <v>40</v>
      </c>
      <c r="K1282" t="s">
        <v>41</v>
      </c>
      <c r="L1282" t="s">
        <v>173</v>
      </c>
      <c r="N1282" t="s">
        <v>43</v>
      </c>
      <c r="O1282" t="s">
        <v>38</v>
      </c>
      <c r="P1282">
        <v>174</v>
      </c>
      <c r="Q1282">
        <v>174</v>
      </c>
      <c r="R1282">
        <v>91</v>
      </c>
      <c r="S1282" t="s">
        <v>56</v>
      </c>
      <c r="T1282">
        <v>0.09</v>
      </c>
      <c r="U1282">
        <v>6</v>
      </c>
      <c r="V1282" t="s">
        <v>55</v>
      </c>
      <c r="W1282">
        <v>5.0000000000000001E-3</v>
      </c>
      <c r="X1282">
        <v>1</v>
      </c>
      <c r="Y1282" t="s">
        <v>47</v>
      </c>
      <c r="Z1282">
        <v>0</v>
      </c>
      <c r="AA1282">
        <v>286</v>
      </c>
      <c r="AB1282" t="s">
        <v>47</v>
      </c>
      <c r="AC1282">
        <v>0.28499999999999998</v>
      </c>
      <c r="AD1282">
        <v>249</v>
      </c>
      <c r="AE1282" t="s">
        <v>56</v>
      </c>
      <c r="AF1282">
        <v>0.248</v>
      </c>
      <c r="AG1282">
        <v>162</v>
      </c>
      <c r="AH1282" t="s">
        <v>103</v>
      </c>
      <c r="AI1282">
        <v>0.161</v>
      </c>
      <c r="AJ1282" t="s">
        <v>1153</v>
      </c>
    </row>
    <row r="1283" spans="1:36" x14ac:dyDescent="0.25">
      <c r="A1283" t="s">
        <v>755</v>
      </c>
      <c r="B1283">
        <v>871372218</v>
      </c>
      <c r="C1283" t="s">
        <v>756</v>
      </c>
      <c r="D1283" t="s">
        <v>756</v>
      </c>
      <c r="E1283" t="s">
        <v>99</v>
      </c>
      <c r="F1283" t="s">
        <v>143</v>
      </c>
      <c r="I1283" t="s">
        <v>39</v>
      </c>
      <c r="J1283" t="s">
        <v>40</v>
      </c>
      <c r="K1283" t="s">
        <v>41</v>
      </c>
      <c r="L1283" t="s">
        <v>173</v>
      </c>
      <c r="N1283" t="s">
        <v>43</v>
      </c>
      <c r="O1283" t="s">
        <v>38</v>
      </c>
      <c r="P1283">
        <v>174</v>
      </c>
      <c r="Q1283">
        <v>174</v>
      </c>
      <c r="R1283">
        <v>91</v>
      </c>
      <c r="S1283" t="s">
        <v>56</v>
      </c>
      <c r="T1283">
        <v>0.09</v>
      </c>
      <c r="U1283">
        <v>6</v>
      </c>
      <c r="V1283" t="s">
        <v>55</v>
      </c>
      <c r="W1283">
        <v>5.0000000000000001E-3</v>
      </c>
      <c r="X1283">
        <v>1</v>
      </c>
      <c r="Y1283" t="s">
        <v>47</v>
      </c>
      <c r="Z1283">
        <v>0</v>
      </c>
      <c r="AA1283">
        <v>286</v>
      </c>
      <c r="AB1283" t="s">
        <v>47</v>
      </c>
      <c r="AC1283">
        <v>0.28499999999999998</v>
      </c>
      <c r="AD1283">
        <v>249</v>
      </c>
      <c r="AE1283" t="s">
        <v>56</v>
      </c>
      <c r="AF1283">
        <v>0.248</v>
      </c>
      <c r="AG1283">
        <v>162</v>
      </c>
      <c r="AH1283" t="s">
        <v>103</v>
      </c>
      <c r="AI1283">
        <v>0.161</v>
      </c>
      <c r="AJ1283" t="s">
        <v>1154</v>
      </c>
    </row>
    <row r="1284" spans="1:36" x14ac:dyDescent="0.25">
      <c r="A1284" t="s">
        <v>755</v>
      </c>
      <c r="B1284">
        <v>871372218</v>
      </c>
      <c r="C1284" t="s">
        <v>756</v>
      </c>
      <c r="D1284" t="s">
        <v>756</v>
      </c>
      <c r="E1284" t="s">
        <v>99</v>
      </c>
      <c r="F1284" t="s">
        <v>143</v>
      </c>
      <c r="I1284" t="s">
        <v>39</v>
      </c>
      <c r="J1284" t="s">
        <v>40</v>
      </c>
      <c r="K1284" t="s">
        <v>41</v>
      </c>
      <c r="L1284" t="s">
        <v>173</v>
      </c>
      <c r="N1284" t="s">
        <v>43</v>
      </c>
      <c r="O1284" t="s">
        <v>38</v>
      </c>
      <c r="P1284">
        <v>174</v>
      </c>
      <c r="Q1284">
        <v>174</v>
      </c>
      <c r="S1284" t="s">
        <v>39</v>
      </c>
      <c r="V1284" t="s">
        <v>39</v>
      </c>
      <c r="X1284">
        <v>1</v>
      </c>
      <c r="Y1284" t="s">
        <v>47</v>
      </c>
      <c r="Z1284">
        <v>0</v>
      </c>
      <c r="AA1284">
        <v>286</v>
      </c>
      <c r="AB1284" t="s">
        <v>47</v>
      </c>
      <c r="AC1284">
        <v>0.28499999999999998</v>
      </c>
      <c r="AD1284">
        <v>249</v>
      </c>
      <c r="AE1284" t="s">
        <v>56</v>
      </c>
      <c r="AF1284">
        <v>0.248</v>
      </c>
      <c r="AG1284">
        <v>162</v>
      </c>
      <c r="AH1284" t="s">
        <v>103</v>
      </c>
      <c r="AI1284">
        <v>0.161</v>
      </c>
      <c r="AJ1284" t="s">
        <v>1155</v>
      </c>
    </row>
    <row r="1285" spans="1:36" x14ac:dyDescent="0.25">
      <c r="A1285" t="s">
        <v>755</v>
      </c>
      <c r="B1285">
        <v>871372218</v>
      </c>
      <c r="C1285" t="s">
        <v>756</v>
      </c>
      <c r="D1285" t="s">
        <v>756</v>
      </c>
      <c r="E1285" t="s">
        <v>99</v>
      </c>
      <c r="F1285" t="s">
        <v>143</v>
      </c>
      <c r="I1285" t="s">
        <v>39</v>
      </c>
      <c r="J1285" t="s">
        <v>40</v>
      </c>
      <c r="K1285" t="s">
        <v>41</v>
      </c>
      <c r="L1285" t="s">
        <v>173</v>
      </c>
      <c r="N1285" t="s">
        <v>43</v>
      </c>
      <c r="O1285" t="s">
        <v>38</v>
      </c>
      <c r="P1285">
        <v>174</v>
      </c>
      <c r="Q1285">
        <v>174</v>
      </c>
      <c r="S1285" t="s">
        <v>39</v>
      </c>
      <c r="V1285" t="s">
        <v>39</v>
      </c>
      <c r="X1285">
        <v>1</v>
      </c>
      <c r="Y1285" t="s">
        <v>47</v>
      </c>
      <c r="Z1285">
        <v>0</v>
      </c>
      <c r="AA1285">
        <v>286</v>
      </c>
      <c r="AB1285" t="s">
        <v>47</v>
      </c>
      <c r="AC1285">
        <v>0.28499999999999998</v>
      </c>
      <c r="AD1285">
        <v>249</v>
      </c>
      <c r="AE1285" t="s">
        <v>56</v>
      </c>
      <c r="AF1285">
        <v>0.248</v>
      </c>
      <c r="AG1285">
        <v>162</v>
      </c>
      <c r="AH1285" t="s">
        <v>103</v>
      </c>
      <c r="AI1285">
        <v>0.161</v>
      </c>
      <c r="AJ1285" t="s">
        <v>1156</v>
      </c>
    </row>
    <row r="1286" spans="1:36" x14ac:dyDescent="0.25">
      <c r="A1286" t="s">
        <v>752</v>
      </c>
      <c r="B1286">
        <v>852755537</v>
      </c>
      <c r="C1286" t="s">
        <v>753</v>
      </c>
      <c r="D1286" t="s">
        <v>753</v>
      </c>
      <c r="E1286" t="s">
        <v>60</v>
      </c>
      <c r="F1286" t="s">
        <v>88</v>
      </c>
      <c r="I1286" t="s">
        <v>39</v>
      </c>
      <c r="J1286" t="s">
        <v>40</v>
      </c>
      <c r="K1286" t="s">
        <v>41</v>
      </c>
      <c r="L1286" t="s">
        <v>754</v>
      </c>
      <c r="N1286" t="s">
        <v>43</v>
      </c>
      <c r="O1286" t="s">
        <v>194</v>
      </c>
      <c r="P1286">
        <v>175</v>
      </c>
      <c r="Q1286">
        <v>175</v>
      </c>
      <c r="R1286">
        <v>191</v>
      </c>
      <c r="S1286" t="s">
        <v>56</v>
      </c>
      <c r="T1286">
        <v>0.19</v>
      </c>
      <c r="U1286">
        <v>64</v>
      </c>
      <c r="V1286" t="s">
        <v>55</v>
      </c>
      <c r="W1286">
        <v>6.3E-2</v>
      </c>
      <c r="X1286">
        <v>11001</v>
      </c>
      <c r="Y1286" t="s">
        <v>47</v>
      </c>
      <c r="Z1286">
        <v>11</v>
      </c>
      <c r="AA1286">
        <v>371</v>
      </c>
      <c r="AB1286" t="s">
        <v>47</v>
      </c>
      <c r="AC1286">
        <v>0.37</v>
      </c>
      <c r="AD1286">
        <v>550</v>
      </c>
      <c r="AE1286" t="s">
        <v>48</v>
      </c>
      <c r="AF1286">
        <v>0.54900000000000004</v>
      </c>
      <c r="AG1286">
        <v>793</v>
      </c>
      <c r="AH1286" t="s">
        <v>49</v>
      </c>
      <c r="AI1286">
        <v>0.79200000000000004</v>
      </c>
      <c r="AJ1286" t="s">
        <v>50</v>
      </c>
    </row>
    <row r="1287" spans="1:36" x14ac:dyDescent="0.25">
      <c r="A1287" t="s">
        <v>752</v>
      </c>
      <c r="B1287">
        <v>852755537</v>
      </c>
      <c r="C1287" t="s">
        <v>753</v>
      </c>
      <c r="D1287" t="s">
        <v>753</v>
      </c>
      <c r="E1287" t="s">
        <v>60</v>
      </c>
      <c r="F1287" t="s">
        <v>88</v>
      </c>
      <c r="I1287" t="s">
        <v>39</v>
      </c>
      <c r="J1287" t="s">
        <v>40</v>
      </c>
      <c r="K1287" t="s">
        <v>41</v>
      </c>
      <c r="L1287" t="s">
        <v>754</v>
      </c>
      <c r="N1287" t="s">
        <v>43</v>
      </c>
      <c r="O1287" t="s">
        <v>194</v>
      </c>
      <c r="P1287">
        <v>175</v>
      </c>
      <c r="Q1287">
        <v>175</v>
      </c>
      <c r="R1287">
        <v>141</v>
      </c>
      <c r="S1287" t="s">
        <v>56</v>
      </c>
      <c r="T1287">
        <v>0.14000000000000001</v>
      </c>
      <c r="U1287">
        <v>32</v>
      </c>
      <c r="V1287" t="s">
        <v>55</v>
      </c>
      <c r="W1287">
        <v>3.1E-2</v>
      </c>
      <c r="X1287">
        <v>11001</v>
      </c>
      <c r="Y1287" t="s">
        <v>47</v>
      </c>
      <c r="Z1287">
        <v>11</v>
      </c>
      <c r="AA1287">
        <v>371</v>
      </c>
      <c r="AB1287" t="s">
        <v>47</v>
      </c>
      <c r="AC1287">
        <v>0.37</v>
      </c>
      <c r="AD1287">
        <v>550</v>
      </c>
      <c r="AE1287" t="s">
        <v>48</v>
      </c>
      <c r="AF1287">
        <v>0.54900000000000004</v>
      </c>
      <c r="AG1287">
        <v>793</v>
      </c>
      <c r="AH1287" t="s">
        <v>49</v>
      </c>
      <c r="AI1287">
        <v>0.79200000000000004</v>
      </c>
      <c r="AJ1287" t="s">
        <v>1141</v>
      </c>
    </row>
    <row r="1288" spans="1:36" x14ac:dyDescent="0.25">
      <c r="A1288" t="s">
        <v>752</v>
      </c>
      <c r="B1288">
        <v>852755537</v>
      </c>
      <c r="C1288" t="s">
        <v>753</v>
      </c>
      <c r="D1288" t="s">
        <v>753</v>
      </c>
      <c r="E1288" t="s">
        <v>60</v>
      </c>
      <c r="F1288" t="s">
        <v>88</v>
      </c>
      <c r="I1288" t="s">
        <v>39</v>
      </c>
      <c r="J1288" t="s">
        <v>40</v>
      </c>
      <c r="K1288" t="s">
        <v>41</v>
      </c>
      <c r="L1288" t="s">
        <v>754</v>
      </c>
      <c r="N1288" t="s">
        <v>43</v>
      </c>
      <c r="O1288" t="s">
        <v>194</v>
      </c>
      <c r="P1288">
        <v>175</v>
      </c>
      <c r="Q1288">
        <v>175</v>
      </c>
      <c r="R1288">
        <v>191</v>
      </c>
      <c r="S1288" t="s">
        <v>56</v>
      </c>
      <c r="T1288">
        <v>0.19</v>
      </c>
      <c r="U1288">
        <v>64</v>
      </c>
      <c r="V1288" t="s">
        <v>55</v>
      </c>
      <c r="W1288">
        <v>6.3E-2</v>
      </c>
      <c r="X1288">
        <v>11001</v>
      </c>
      <c r="Y1288" t="s">
        <v>47</v>
      </c>
      <c r="Z1288">
        <v>11</v>
      </c>
      <c r="AA1288">
        <v>371</v>
      </c>
      <c r="AB1288" t="s">
        <v>47</v>
      </c>
      <c r="AC1288">
        <v>0.37</v>
      </c>
      <c r="AD1288">
        <v>550</v>
      </c>
      <c r="AE1288" t="s">
        <v>48</v>
      </c>
      <c r="AF1288">
        <v>0.54900000000000004</v>
      </c>
      <c r="AG1288">
        <v>793</v>
      </c>
      <c r="AH1288" t="s">
        <v>49</v>
      </c>
      <c r="AI1288">
        <v>0.79200000000000004</v>
      </c>
      <c r="AJ1288" t="s">
        <v>1153</v>
      </c>
    </row>
    <row r="1289" spans="1:36" x14ac:dyDescent="0.25">
      <c r="A1289" t="s">
        <v>752</v>
      </c>
      <c r="B1289">
        <v>852755537</v>
      </c>
      <c r="C1289" t="s">
        <v>753</v>
      </c>
      <c r="D1289" t="s">
        <v>753</v>
      </c>
      <c r="E1289" t="s">
        <v>60</v>
      </c>
      <c r="F1289" t="s">
        <v>88</v>
      </c>
      <c r="I1289" t="s">
        <v>39</v>
      </c>
      <c r="J1289" t="s">
        <v>40</v>
      </c>
      <c r="K1289" t="s">
        <v>41</v>
      </c>
      <c r="L1289" t="s">
        <v>754</v>
      </c>
      <c r="N1289" t="s">
        <v>43</v>
      </c>
      <c r="O1289" t="s">
        <v>194</v>
      </c>
      <c r="P1289">
        <v>175</v>
      </c>
      <c r="Q1289">
        <v>175</v>
      </c>
      <c r="R1289">
        <v>191</v>
      </c>
      <c r="S1289" t="s">
        <v>56</v>
      </c>
      <c r="T1289">
        <v>0.19</v>
      </c>
      <c r="U1289">
        <v>64</v>
      </c>
      <c r="V1289" t="s">
        <v>55</v>
      </c>
      <c r="W1289">
        <v>6.3E-2</v>
      </c>
      <c r="X1289">
        <v>11001</v>
      </c>
      <c r="Y1289" t="s">
        <v>47</v>
      </c>
      <c r="Z1289">
        <v>11</v>
      </c>
      <c r="AA1289">
        <v>371</v>
      </c>
      <c r="AB1289" t="s">
        <v>47</v>
      </c>
      <c r="AC1289">
        <v>0.37</v>
      </c>
      <c r="AD1289">
        <v>550</v>
      </c>
      <c r="AE1289" t="s">
        <v>48</v>
      </c>
      <c r="AF1289">
        <v>0.54900000000000004</v>
      </c>
      <c r="AG1289">
        <v>793</v>
      </c>
      <c r="AH1289" t="s">
        <v>49</v>
      </c>
      <c r="AI1289">
        <v>0.79200000000000004</v>
      </c>
      <c r="AJ1289" t="s">
        <v>1154</v>
      </c>
    </row>
    <row r="1290" spans="1:36" x14ac:dyDescent="0.25">
      <c r="A1290" t="s">
        <v>752</v>
      </c>
      <c r="B1290">
        <v>852755537</v>
      </c>
      <c r="C1290" t="s">
        <v>753</v>
      </c>
      <c r="D1290" t="s">
        <v>753</v>
      </c>
      <c r="E1290" t="s">
        <v>60</v>
      </c>
      <c r="F1290" t="s">
        <v>88</v>
      </c>
      <c r="I1290" t="s">
        <v>39</v>
      </c>
      <c r="J1290" t="s">
        <v>40</v>
      </c>
      <c r="K1290" t="s">
        <v>41</v>
      </c>
      <c r="L1290" t="s">
        <v>754</v>
      </c>
      <c r="N1290" t="s">
        <v>43</v>
      </c>
      <c r="O1290" t="s">
        <v>194</v>
      </c>
      <c r="P1290">
        <v>175</v>
      </c>
      <c r="Q1290">
        <v>175</v>
      </c>
      <c r="S1290" t="s">
        <v>39</v>
      </c>
      <c r="V1290" t="s">
        <v>39</v>
      </c>
      <c r="X1290">
        <v>11001</v>
      </c>
      <c r="Y1290" t="s">
        <v>47</v>
      </c>
      <c r="Z1290">
        <v>11</v>
      </c>
      <c r="AA1290">
        <v>371</v>
      </c>
      <c r="AB1290" t="s">
        <v>47</v>
      </c>
      <c r="AC1290">
        <v>0.37</v>
      </c>
      <c r="AD1290">
        <v>550</v>
      </c>
      <c r="AE1290" t="s">
        <v>48</v>
      </c>
      <c r="AF1290">
        <v>0.54900000000000004</v>
      </c>
      <c r="AG1290">
        <v>793</v>
      </c>
      <c r="AH1290" t="s">
        <v>49</v>
      </c>
      <c r="AI1290">
        <v>0.79200000000000004</v>
      </c>
      <c r="AJ1290" t="s">
        <v>1155</v>
      </c>
    </row>
    <row r="1291" spans="1:36" x14ac:dyDescent="0.25">
      <c r="A1291" t="s">
        <v>752</v>
      </c>
      <c r="B1291">
        <v>852755537</v>
      </c>
      <c r="C1291" t="s">
        <v>753</v>
      </c>
      <c r="D1291" t="s">
        <v>753</v>
      </c>
      <c r="E1291" t="s">
        <v>60</v>
      </c>
      <c r="F1291" t="s">
        <v>88</v>
      </c>
      <c r="I1291" t="s">
        <v>39</v>
      </c>
      <c r="J1291" t="s">
        <v>40</v>
      </c>
      <c r="K1291" t="s">
        <v>41</v>
      </c>
      <c r="L1291" t="s">
        <v>754</v>
      </c>
      <c r="N1291" t="s">
        <v>43</v>
      </c>
      <c r="O1291" t="s">
        <v>194</v>
      </c>
      <c r="P1291">
        <v>175</v>
      </c>
      <c r="Q1291">
        <v>175</v>
      </c>
      <c r="S1291" t="s">
        <v>39</v>
      </c>
      <c r="V1291" t="s">
        <v>39</v>
      </c>
      <c r="X1291">
        <v>11001</v>
      </c>
      <c r="Y1291" t="s">
        <v>47</v>
      </c>
      <c r="Z1291">
        <v>11</v>
      </c>
      <c r="AA1291">
        <v>371</v>
      </c>
      <c r="AB1291" t="s">
        <v>47</v>
      </c>
      <c r="AC1291">
        <v>0.37</v>
      </c>
      <c r="AD1291">
        <v>550</v>
      </c>
      <c r="AE1291" t="s">
        <v>48</v>
      </c>
      <c r="AF1291">
        <v>0.54900000000000004</v>
      </c>
      <c r="AG1291">
        <v>793</v>
      </c>
      <c r="AH1291" t="s">
        <v>49</v>
      </c>
      <c r="AI1291">
        <v>0.79200000000000004</v>
      </c>
      <c r="AJ1291" t="s">
        <v>1156</v>
      </c>
    </row>
    <row r="1292" spans="1:36" x14ac:dyDescent="0.25">
      <c r="A1292" t="s">
        <v>750</v>
      </c>
      <c r="B1292">
        <v>881526018</v>
      </c>
      <c r="C1292" t="s">
        <v>751</v>
      </c>
      <c r="D1292" t="s">
        <v>751</v>
      </c>
      <c r="E1292" t="s">
        <v>37</v>
      </c>
      <c r="F1292" t="s">
        <v>38</v>
      </c>
      <c r="I1292" t="s">
        <v>39</v>
      </c>
      <c r="J1292" t="s">
        <v>40</v>
      </c>
      <c r="K1292" t="s">
        <v>41</v>
      </c>
      <c r="L1292" t="s">
        <v>173</v>
      </c>
      <c r="N1292" t="s">
        <v>43</v>
      </c>
      <c r="O1292" t="s">
        <v>510</v>
      </c>
      <c r="P1292">
        <v>176</v>
      </c>
      <c r="Q1292">
        <v>176</v>
      </c>
      <c r="R1292">
        <v>41</v>
      </c>
      <c r="S1292" t="s">
        <v>45</v>
      </c>
      <c r="T1292">
        <v>0.04</v>
      </c>
      <c r="U1292">
        <v>27</v>
      </c>
      <c r="V1292" t="s">
        <v>55</v>
      </c>
      <c r="W1292">
        <v>2.5999999999999999E-2</v>
      </c>
      <c r="X1292">
        <v>11001</v>
      </c>
      <c r="Y1292" t="s">
        <v>47</v>
      </c>
      <c r="Z1292">
        <v>11</v>
      </c>
      <c r="AA1292">
        <v>362</v>
      </c>
      <c r="AB1292" t="s">
        <v>47</v>
      </c>
      <c r="AC1292">
        <v>0.36099999999999999</v>
      </c>
      <c r="AD1292">
        <v>462</v>
      </c>
      <c r="AE1292" t="s">
        <v>56</v>
      </c>
      <c r="AF1292">
        <v>0.46100000000000002</v>
      </c>
      <c r="AG1292">
        <v>730</v>
      </c>
      <c r="AH1292" t="s">
        <v>49</v>
      </c>
      <c r="AI1292">
        <v>0.72899999999999998</v>
      </c>
      <c r="AJ1292" t="s">
        <v>50</v>
      </c>
    </row>
    <row r="1293" spans="1:36" x14ac:dyDescent="0.25">
      <c r="A1293" t="s">
        <v>750</v>
      </c>
      <c r="B1293">
        <v>881526018</v>
      </c>
      <c r="C1293" t="s">
        <v>751</v>
      </c>
      <c r="D1293" t="s">
        <v>751</v>
      </c>
      <c r="E1293" t="s">
        <v>37</v>
      </c>
      <c r="F1293" t="s">
        <v>38</v>
      </c>
      <c r="I1293" t="s">
        <v>39</v>
      </c>
      <c r="J1293" t="s">
        <v>40</v>
      </c>
      <c r="K1293" t="s">
        <v>41</v>
      </c>
      <c r="L1293" t="s">
        <v>173</v>
      </c>
      <c r="N1293" t="s">
        <v>43</v>
      </c>
      <c r="O1293" t="s">
        <v>510</v>
      </c>
      <c r="P1293">
        <v>176</v>
      </c>
      <c r="Q1293">
        <v>176</v>
      </c>
      <c r="R1293">
        <v>81</v>
      </c>
      <c r="S1293" t="s">
        <v>56</v>
      </c>
      <c r="T1293">
        <v>0.08</v>
      </c>
      <c r="U1293">
        <v>34</v>
      </c>
      <c r="V1293" t="s">
        <v>55</v>
      </c>
      <c r="W1293">
        <v>3.3000000000000002E-2</v>
      </c>
      <c r="X1293">
        <v>11001</v>
      </c>
      <c r="Y1293" t="s">
        <v>47</v>
      </c>
      <c r="Z1293">
        <v>11</v>
      </c>
      <c r="AA1293">
        <v>362</v>
      </c>
      <c r="AB1293" t="s">
        <v>47</v>
      </c>
      <c r="AC1293">
        <v>0.36099999999999999</v>
      </c>
      <c r="AD1293">
        <v>462</v>
      </c>
      <c r="AE1293" t="s">
        <v>56</v>
      </c>
      <c r="AF1293">
        <v>0.46100000000000002</v>
      </c>
      <c r="AG1293">
        <v>730</v>
      </c>
      <c r="AH1293" t="s">
        <v>49</v>
      </c>
      <c r="AI1293">
        <v>0.72899999999999998</v>
      </c>
      <c r="AJ1293" t="s">
        <v>1141</v>
      </c>
    </row>
    <row r="1294" spans="1:36" x14ac:dyDescent="0.25">
      <c r="A1294" t="s">
        <v>750</v>
      </c>
      <c r="B1294">
        <v>881526018</v>
      </c>
      <c r="C1294" t="s">
        <v>751</v>
      </c>
      <c r="D1294" t="s">
        <v>751</v>
      </c>
      <c r="E1294" t="s">
        <v>37</v>
      </c>
      <c r="F1294" t="s">
        <v>38</v>
      </c>
      <c r="I1294" t="s">
        <v>39</v>
      </c>
      <c r="J1294" t="s">
        <v>40</v>
      </c>
      <c r="K1294" t="s">
        <v>41</v>
      </c>
      <c r="L1294" t="s">
        <v>173</v>
      </c>
      <c r="N1294" t="s">
        <v>43</v>
      </c>
      <c r="O1294" t="s">
        <v>510</v>
      </c>
      <c r="P1294">
        <v>176</v>
      </c>
      <c r="Q1294">
        <v>176</v>
      </c>
      <c r="R1294">
        <v>41</v>
      </c>
      <c r="S1294" t="s">
        <v>45</v>
      </c>
      <c r="T1294">
        <v>0.04</v>
      </c>
      <c r="U1294">
        <v>27</v>
      </c>
      <c r="V1294" t="s">
        <v>55</v>
      </c>
      <c r="W1294">
        <v>2.5999999999999999E-2</v>
      </c>
      <c r="X1294">
        <v>11001</v>
      </c>
      <c r="Y1294" t="s">
        <v>47</v>
      </c>
      <c r="Z1294">
        <v>11</v>
      </c>
      <c r="AA1294">
        <v>362</v>
      </c>
      <c r="AB1294" t="s">
        <v>47</v>
      </c>
      <c r="AC1294">
        <v>0.36099999999999999</v>
      </c>
      <c r="AD1294">
        <v>462</v>
      </c>
      <c r="AE1294" t="s">
        <v>56</v>
      </c>
      <c r="AF1294">
        <v>0.46100000000000002</v>
      </c>
      <c r="AG1294">
        <v>730</v>
      </c>
      <c r="AH1294" t="s">
        <v>49</v>
      </c>
      <c r="AI1294">
        <v>0.72899999999999998</v>
      </c>
      <c r="AJ1294" t="s">
        <v>1153</v>
      </c>
    </row>
    <row r="1295" spans="1:36" x14ac:dyDescent="0.25">
      <c r="A1295" t="s">
        <v>750</v>
      </c>
      <c r="B1295">
        <v>881526018</v>
      </c>
      <c r="C1295" t="s">
        <v>751</v>
      </c>
      <c r="D1295" t="s">
        <v>751</v>
      </c>
      <c r="E1295" t="s">
        <v>37</v>
      </c>
      <c r="F1295" t="s">
        <v>38</v>
      </c>
      <c r="I1295" t="s">
        <v>39</v>
      </c>
      <c r="J1295" t="s">
        <v>40</v>
      </c>
      <c r="K1295" t="s">
        <v>41</v>
      </c>
      <c r="L1295" t="s">
        <v>173</v>
      </c>
      <c r="N1295" t="s">
        <v>43</v>
      </c>
      <c r="O1295" t="s">
        <v>510</v>
      </c>
      <c r="P1295">
        <v>176</v>
      </c>
      <c r="Q1295">
        <v>176</v>
      </c>
      <c r="R1295">
        <v>41</v>
      </c>
      <c r="S1295" t="s">
        <v>45</v>
      </c>
      <c r="T1295">
        <v>0.04</v>
      </c>
      <c r="U1295">
        <v>27</v>
      </c>
      <c r="V1295" t="s">
        <v>55</v>
      </c>
      <c r="W1295">
        <v>2.5999999999999999E-2</v>
      </c>
      <c r="X1295">
        <v>11001</v>
      </c>
      <c r="Y1295" t="s">
        <v>47</v>
      </c>
      <c r="Z1295">
        <v>11</v>
      </c>
      <c r="AA1295">
        <v>362</v>
      </c>
      <c r="AB1295" t="s">
        <v>47</v>
      </c>
      <c r="AC1295">
        <v>0.36099999999999999</v>
      </c>
      <c r="AD1295">
        <v>462</v>
      </c>
      <c r="AE1295" t="s">
        <v>56</v>
      </c>
      <c r="AF1295">
        <v>0.46100000000000002</v>
      </c>
      <c r="AG1295">
        <v>730</v>
      </c>
      <c r="AH1295" t="s">
        <v>49</v>
      </c>
      <c r="AI1295">
        <v>0.72899999999999998</v>
      </c>
      <c r="AJ1295" t="s">
        <v>1154</v>
      </c>
    </row>
    <row r="1296" spans="1:36" x14ac:dyDescent="0.25">
      <c r="A1296" t="s">
        <v>750</v>
      </c>
      <c r="B1296">
        <v>881526018</v>
      </c>
      <c r="C1296" t="s">
        <v>751</v>
      </c>
      <c r="D1296" t="s">
        <v>751</v>
      </c>
      <c r="E1296" t="s">
        <v>37</v>
      </c>
      <c r="F1296" t="s">
        <v>38</v>
      </c>
      <c r="I1296" t="s">
        <v>39</v>
      </c>
      <c r="J1296" t="s">
        <v>40</v>
      </c>
      <c r="K1296" t="s">
        <v>41</v>
      </c>
      <c r="L1296" t="s">
        <v>173</v>
      </c>
      <c r="N1296" t="s">
        <v>43</v>
      </c>
      <c r="O1296" t="s">
        <v>510</v>
      </c>
      <c r="P1296">
        <v>176</v>
      </c>
      <c r="Q1296">
        <v>176</v>
      </c>
      <c r="S1296" t="s">
        <v>39</v>
      </c>
      <c r="V1296" t="s">
        <v>39</v>
      </c>
      <c r="X1296">
        <v>11001</v>
      </c>
      <c r="Y1296" t="s">
        <v>47</v>
      </c>
      <c r="Z1296">
        <v>11</v>
      </c>
      <c r="AA1296">
        <v>362</v>
      </c>
      <c r="AB1296" t="s">
        <v>47</v>
      </c>
      <c r="AC1296">
        <v>0.36099999999999999</v>
      </c>
      <c r="AD1296">
        <v>462</v>
      </c>
      <c r="AE1296" t="s">
        <v>56</v>
      </c>
      <c r="AF1296">
        <v>0.46100000000000002</v>
      </c>
      <c r="AG1296">
        <v>730</v>
      </c>
      <c r="AH1296" t="s">
        <v>49</v>
      </c>
      <c r="AI1296">
        <v>0.72899999999999998</v>
      </c>
      <c r="AJ1296" t="s">
        <v>1155</v>
      </c>
    </row>
    <row r="1297" spans="1:36" x14ac:dyDescent="0.25">
      <c r="A1297" t="s">
        <v>750</v>
      </c>
      <c r="B1297">
        <v>881526018</v>
      </c>
      <c r="C1297" t="s">
        <v>751</v>
      </c>
      <c r="D1297" t="s">
        <v>751</v>
      </c>
      <c r="E1297" t="s">
        <v>37</v>
      </c>
      <c r="F1297" t="s">
        <v>38</v>
      </c>
      <c r="I1297" t="s">
        <v>39</v>
      </c>
      <c r="J1297" t="s">
        <v>40</v>
      </c>
      <c r="K1297" t="s">
        <v>41</v>
      </c>
      <c r="L1297" t="s">
        <v>173</v>
      </c>
      <c r="N1297" t="s">
        <v>43</v>
      </c>
      <c r="O1297" t="s">
        <v>510</v>
      </c>
      <c r="P1297">
        <v>176</v>
      </c>
      <c r="Q1297">
        <v>176</v>
      </c>
      <c r="S1297" t="s">
        <v>39</v>
      </c>
      <c r="V1297" t="s">
        <v>39</v>
      </c>
      <c r="X1297">
        <v>11001</v>
      </c>
      <c r="Y1297" t="s">
        <v>47</v>
      </c>
      <c r="Z1297">
        <v>11</v>
      </c>
      <c r="AA1297">
        <v>362</v>
      </c>
      <c r="AB1297" t="s">
        <v>47</v>
      </c>
      <c r="AC1297">
        <v>0.36099999999999999</v>
      </c>
      <c r="AD1297">
        <v>462</v>
      </c>
      <c r="AE1297" t="s">
        <v>56</v>
      </c>
      <c r="AF1297">
        <v>0.46100000000000002</v>
      </c>
      <c r="AG1297">
        <v>730</v>
      </c>
      <c r="AH1297" t="s">
        <v>49</v>
      </c>
      <c r="AI1297">
        <v>0.72899999999999998</v>
      </c>
      <c r="AJ1297" t="s">
        <v>1156</v>
      </c>
    </row>
    <row r="1298" spans="1:36" x14ac:dyDescent="0.25">
      <c r="A1298" t="s">
        <v>746</v>
      </c>
      <c r="B1298">
        <v>871259450</v>
      </c>
      <c r="C1298" t="s">
        <v>747</v>
      </c>
      <c r="D1298" t="s">
        <v>747</v>
      </c>
      <c r="E1298" t="s">
        <v>37</v>
      </c>
      <c r="F1298" t="s">
        <v>71</v>
      </c>
      <c r="I1298" t="s">
        <v>39</v>
      </c>
      <c r="J1298" t="s">
        <v>40</v>
      </c>
      <c r="K1298" t="s">
        <v>41</v>
      </c>
      <c r="L1298" t="s">
        <v>78</v>
      </c>
      <c r="N1298" t="s">
        <v>43</v>
      </c>
      <c r="O1298" t="s">
        <v>225</v>
      </c>
      <c r="P1298">
        <v>177</v>
      </c>
      <c r="Q1298">
        <v>177</v>
      </c>
      <c r="R1298">
        <v>21</v>
      </c>
      <c r="S1298" t="s">
        <v>45</v>
      </c>
      <c r="T1298">
        <v>0.02</v>
      </c>
      <c r="U1298">
        <v>997</v>
      </c>
      <c r="V1298" t="s">
        <v>46</v>
      </c>
      <c r="W1298">
        <v>0.996</v>
      </c>
      <c r="X1298">
        <v>24001</v>
      </c>
      <c r="Y1298" t="s">
        <v>47</v>
      </c>
      <c r="Z1298">
        <v>24</v>
      </c>
      <c r="AA1298">
        <v>545</v>
      </c>
      <c r="AB1298" t="s">
        <v>75</v>
      </c>
      <c r="AC1298">
        <v>0.54400000000000004</v>
      </c>
      <c r="AD1298">
        <v>788</v>
      </c>
      <c r="AE1298" t="s">
        <v>48</v>
      </c>
      <c r="AF1298">
        <v>0.78700000000000003</v>
      </c>
      <c r="AG1298">
        <v>776</v>
      </c>
      <c r="AH1298" t="s">
        <v>49</v>
      </c>
      <c r="AI1298">
        <v>0.77500000000000002</v>
      </c>
      <c r="AJ1298" t="s">
        <v>50</v>
      </c>
    </row>
    <row r="1299" spans="1:36" x14ac:dyDescent="0.25">
      <c r="A1299" t="s">
        <v>746</v>
      </c>
      <c r="B1299">
        <v>871259450</v>
      </c>
      <c r="C1299" t="s">
        <v>747</v>
      </c>
      <c r="D1299" t="s">
        <v>747</v>
      </c>
      <c r="E1299" t="s">
        <v>37</v>
      </c>
      <c r="F1299" t="s">
        <v>71</v>
      </c>
      <c r="I1299" t="s">
        <v>39</v>
      </c>
      <c r="J1299" t="s">
        <v>40</v>
      </c>
      <c r="K1299" t="s">
        <v>41</v>
      </c>
      <c r="L1299" t="s">
        <v>78</v>
      </c>
      <c r="N1299" t="s">
        <v>43</v>
      </c>
      <c r="O1299" t="s">
        <v>225</v>
      </c>
      <c r="P1299">
        <v>177</v>
      </c>
      <c r="Q1299">
        <v>177</v>
      </c>
      <c r="R1299">
        <v>11</v>
      </c>
      <c r="S1299" t="s">
        <v>45</v>
      </c>
      <c r="T1299">
        <v>0.01</v>
      </c>
      <c r="U1299">
        <v>998</v>
      </c>
      <c r="V1299" t="s">
        <v>46</v>
      </c>
      <c r="W1299">
        <v>0.997</v>
      </c>
      <c r="X1299">
        <v>24001</v>
      </c>
      <c r="Y1299" t="s">
        <v>47</v>
      </c>
      <c r="Z1299">
        <v>24</v>
      </c>
      <c r="AA1299">
        <v>545</v>
      </c>
      <c r="AB1299" t="s">
        <v>75</v>
      </c>
      <c r="AC1299">
        <v>0.54400000000000004</v>
      </c>
      <c r="AD1299">
        <v>788</v>
      </c>
      <c r="AE1299" t="s">
        <v>48</v>
      </c>
      <c r="AF1299">
        <v>0.78700000000000003</v>
      </c>
      <c r="AG1299">
        <v>776</v>
      </c>
      <c r="AH1299" t="s">
        <v>49</v>
      </c>
      <c r="AI1299">
        <v>0.77500000000000002</v>
      </c>
      <c r="AJ1299" t="s">
        <v>1141</v>
      </c>
    </row>
    <row r="1300" spans="1:36" x14ac:dyDescent="0.25">
      <c r="A1300" t="s">
        <v>746</v>
      </c>
      <c r="B1300">
        <v>871259450</v>
      </c>
      <c r="C1300" t="s">
        <v>747</v>
      </c>
      <c r="D1300" t="s">
        <v>747</v>
      </c>
      <c r="E1300" t="s">
        <v>37</v>
      </c>
      <c r="F1300" t="s">
        <v>71</v>
      </c>
      <c r="I1300" t="s">
        <v>39</v>
      </c>
      <c r="J1300" t="s">
        <v>40</v>
      </c>
      <c r="K1300" t="s">
        <v>41</v>
      </c>
      <c r="L1300" t="s">
        <v>78</v>
      </c>
      <c r="N1300" t="s">
        <v>43</v>
      </c>
      <c r="O1300" t="s">
        <v>225</v>
      </c>
      <c r="P1300">
        <v>177</v>
      </c>
      <c r="Q1300">
        <v>177</v>
      </c>
      <c r="R1300">
        <v>21</v>
      </c>
      <c r="S1300" t="s">
        <v>45</v>
      </c>
      <c r="T1300">
        <v>0.02</v>
      </c>
      <c r="U1300">
        <v>997</v>
      </c>
      <c r="V1300" t="s">
        <v>46</v>
      </c>
      <c r="W1300">
        <v>0.996</v>
      </c>
      <c r="X1300">
        <v>24001</v>
      </c>
      <c r="Y1300" t="s">
        <v>47</v>
      </c>
      <c r="Z1300">
        <v>24</v>
      </c>
      <c r="AA1300">
        <v>545</v>
      </c>
      <c r="AB1300" t="s">
        <v>75</v>
      </c>
      <c r="AC1300">
        <v>0.54400000000000004</v>
      </c>
      <c r="AD1300">
        <v>788</v>
      </c>
      <c r="AE1300" t="s">
        <v>48</v>
      </c>
      <c r="AF1300">
        <v>0.78700000000000003</v>
      </c>
      <c r="AG1300">
        <v>776</v>
      </c>
      <c r="AH1300" t="s">
        <v>49</v>
      </c>
      <c r="AI1300">
        <v>0.77500000000000002</v>
      </c>
      <c r="AJ1300" t="s">
        <v>1153</v>
      </c>
    </row>
    <row r="1301" spans="1:36" x14ac:dyDescent="0.25">
      <c r="A1301" t="s">
        <v>746</v>
      </c>
      <c r="B1301">
        <v>871259450</v>
      </c>
      <c r="C1301" t="s">
        <v>747</v>
      </c>
      <c r="D1301" t="s">
        <v>747</v>
      </c>
      <c r="E1301" t="s">
        <v>37</v>
      </c>
      <c r="F1301" t="s">
        <v>71</v>
      </c>
      <c r="I1301" t="s">
        <v>39</v>
      </c>
      <c r="J1301" t="s">
        <v>40</v>
      </c>
      <c r="K1301" t="s">
        <v>41</v>
      </c>
      <c r="L1301" t="s">
        <v>78</v>
      </c>
      <c r="N1301" t="s">
        <v>43</v>
      </c>
      <c r="O1301" t="s">
        <v>225</v>
      </c>
      <c r="P1301">
        <v>177</v>
      </c>
      <c r="Q1301">
        <v>177</v>
      </c>
      <c r="R1301">
        <v>21</v>
      </c>
      <c r="S1301" t="s">
        <v>45</v>
      </c>
      <c r="T1301">
        <v>0.02</v>
      </c>
      <c r="U1301">
        <v>997</v>
      </c>
      <c r="V1301" t="s">
        <v>46</v>
      </c>
      <c r="W1301">
        <v>0.996</v>
      </c>
      <c r="X1301">
        <v>24001</v>
      </c>
      <c r="Y1301" t="s">
        <v>47</v>
      </c>
      <c r="Z1301">
        <v>24</v>
      </c>
      <c r="AA1301">
        <v>545</v>
      </c>
      <c r="AB1301" t="s">
        <v>75</v>
      </c>
      <c r="AC1301">
        <v>0.54400000000000004</v>
      </c>
      <c r="AD1301">
        <v>788</v>
      </c>
      <c r="AE1301" t="s">
        <v>48</v>
      </c>
      <c r="AF1301">
        <v>0.78700000000000003</v>
      </c>
      <c r="AG1301">
        <v>776</v>
      </c>
      <c r="AH1301" t="s">
        <v>49</v>
      </c>
      <c r="AI1301">
        <v>0.77500000000000002</v>
      </c>
      <c r="AJ1301" t="s">
        <v>1154</v>
      </c>
    </row>
    <row r="1302" spans="1:36" x14ac:dyDescent="0.25">
      <c r="A1302" t="s">
        <v>746</v>
      </c>
      <c r="B1302">
        <v>871259450</v>
      </c>
      <c r="C1302" t="s">
        <v>747</v>
      </c>
      <c r="D1302" t="s">
        <v>747</v>
      </c>
      <c r="E1302" t="s">
        <v>37</v>
      </c>
      <c r="F1302" t="s">
        <v>71</v>
      </c>
      <c r="I1302" t="s">
        <v>39</v>
      </c>
      <c r="J1302" t="s">
        <v>40</v>
      </c>
      <c r="K1302" t="s">
        <v>41</v>
      </c>
      <c r="L1302" t="s">
        <v>78</v>
      </c>
      <c r="N1302" t="s">
        <v>43</v>
      </c>
      <c r="O1302" t="s">
        <v>225</v>
      </c>
      <c r="P1302">
        <v>177</v>
      </c>
      <c r="Q1302">
        <v>177</v>
      </c>
      <c r="S1302" t="s">
        <v>39</v>
      </c>
      <c r="V1302" t="s">
        <v>39</v>
      </c>
      <c r="X1302">
        <v>24001</v>
      </c>
      <c r="Y1302" t="s">
        <v>47</v>
      </c>
      <c r="Z1302">
        <v>24</v>
      </c>
      <c r="AA1302">
        <v>545</v>
      </c>
      <c r="AB1302" t="s">
        <v>75</v>
      </c>
      <c r="AC1302">
        <v>0.54400000000000004</v>
      </c>
      <c r="AD1302">
        <v>788</v>
      </c>
      <c r="AE1302" t="s">
        <v>48</v>
      </c>
      <c r="AF1302">
        <v>0.78700000000000003</v>
      </c>
      <c r="AG1302">
        <v>776</v>
      </c>
      <c r="AH1302" t="s">
        <v>49</v>
      </c>
      <c r="AI1302">
        <v>0.77500000000000002</v>
      </c>
      <c r="AJ1302" t="s">
        <v>1155</v>
      </c>
    </row>
    <row r="1303" spans="1:36" x14ac:dyDescent="0.25">
      <c r="A1303" t="s">
        <v>746</v>
      </c>
      <c r="B1303">
        <v>871259450</v>
      </c>
      <c r="C1303" t="s">
        <v>747</v>
      </c>
      <c r="D1303" t="s">
        <v>747</v>
      </c>
      <c r="E1303" t="s">
        <v>37</v>
      </c>
      <c r="F1303" t="s">
        <v>71</v>
      </c>
      <c r="I1303" t="s">
        <v>39</v>
      </c>
      <c r="J1303" t="s">
        <v>40</v>
      </c>
      <c r="K1303" t="s">
        <v>41</v>
      </c>
      <c r="L1303" t="s">
        <v>78</v>
      </c>
      <c r="N1303" t="s">
        <v>43</v>
      </c>
      <c r="O1303" t="s">
        <v>225</v>
      </c>
      <c r="P1303">
        <v>177</v>
      </c>
      <c r="Q1303">
        <v>177</v>
      </c>
      <c r="S1303" t="s">
        <v>39</v>
      </c>
      <c r="V1303" t="s">
        <v>39</v>
      </c>
      <c r="X1303">
        <v>24001</v>
      </c>
      <c r="Y1303" t="s">
        <v>47</v>
      </c>
      <c r="Z1303">
        <v>24</v>
      </c>
      <c r="AA1303">
        <v>545</v>
      </c>
      <c r="AB1303" t="s">
        <v>75</v>
      </c>
      <c r="AC1303">
        <v>0.54400000000000004</v>
      </c>
      <c r="AD1303">
        <v>788</v>
      </c>
      <c r="AE1303" t="s">
        <v>48</v>
      </c>
      <c r="AF1303">
        <v>0.78700000000000003</v>
      </c>
      <c r="AG1303">
        <v>776</v>
      </c>
      <c r="AH1303" t="s">
        <v>49</v>
      </c>
      <c r="AI1303">
        <v>0.77500000000000002</v>
      </c>
      <c r="AJ1303" t="s">
        <v>1156</v>
      </c>
    </row>
    <row r="1304" spans="1:36" x14ac:dyDescent="0.25">
      <c r="A1304" t="s">
        <v>748</v>
      </c>
      <c r="B1304">
        <v>886392033</v>
      </c>
      <c r="C1304" t="s">
        <v>749</v>
      </c>
      <c r="D1304" t="s">
        <v>749</v>
      </c>
      <c r="E1304" t="s">
        <v>60</v>
      </c>
      <c r="F1304" t="s">
        <v>88</v>
      </c>
      <c r="I1304" t="s">
        <v>39</v>
      </c>
      <c r="J1304" t="s">
        <v>40</v>
      </c>
      <c r="K1304" t="s">
        <v>41</v>
      </c>
      <c r="N1304" t="s">
        <v>43</v>
      </c>
      <c r="O1304" t="s">
        <v>229</v>
      </c>
      <c r="P1304">
        <v>177</v>
      </c>
      <c r="Q1304">
        <v>177</v>
      </c>
      <c r="R1304">
        <v>61</v>
      </c>
      <c r="S1304" t="s">
        <v>56</v>
      </c>
      <c r="T1304">
        <v>0.06</v>
      </c>
      <c r="U1304">
        <v>951</v>
      </c>
      <c r="V1304" t="s">
        <v>46</v>
      </c>
      <c r="W1304">
        <v>0.95</v>
      </c>
      <c r="X1304">
        <v>18001</v>
      </c>
      <c r="Y1304" t="s">
        <v>47</v>
      </c>
      <c r="Z1304">
        <v>18</v>
      </c>
      <c r="AA1304">
        <v>594</v>
      </c>
      <c r="AB1304" t="s">
        <v>75</v>
      </c>
      <c r="AC1304">
        <v>0.59299999999999997</v>
      </c>
      <c r="AD1304">
        <v>736</v>
      </c>
      <c r="AE1304" t="s">
        <v>48</v>
      </c>
      <c r="AF1304">
        <v>0.73499999999999999</v>
      </c>
      <c r="AG1304">
        <v>640</v>
      </c>
      <c r="AH1304" t="s">
        <v>49</v>
      </c>
      <c r="AI1304">
        <v>0.63900000000000001</v>
      </c>
      <c r="AJ1304" t="s">
        <v>50</v>
      </c>
    </row>
    <row r="1305" spans="1:36" x14ac:dyDescent="0.25">
      <c r="A1305" t="s">
        <v>748</v>
      </c>
      <c r="B1305">
        <v>886392033</v>
      </c>
      <c r="C1305" t="s">
        <v>749</v>
      </c>
      <c r="D1305" t="s">
        <v>749</v>
      </c>
      <c r="E1305" t="s">
        <v>60</v>
      </c>
      <c r="F1305" t="s">
        <v>88</v>
      </c>
      <c r="I1305" t="s">
        <v>39</v>
      </c>
      <c r="J1305" t="s">
        <v>40</v>
      </c>
      <c r="K1305" t="s">
        <v>41</v>
      </c>
      <c r="N1305" t="s">
        <v>43</v>
      </c>
      <c r="O1305" t="s">
        <v>229</v>
      </c>
      <c r="P1305">
        <v>177</v>
      </c>
      <c r="Q1305">
        <v>177</v>
      </c>
      <c r="R1305">
        <v>121</v>
      </c>
      <c r="S1305" t="s">
        <v>56</v>
      </c>
      <c r="T1305">
        <v>0.12</v>
      </c>
      <c r="U1305">
        <v>966</v>
      </c>
      <c r="V1305" t="s">
        <v>46</v>
      </c>
      <c r="W1305">
        <v>0.96499999999999997</v>
      </c>
      <c r="X1305">
        <v>18001</v>
      </c>
      <c r="Y1305" t="s">
        <v>47</v>
      </c>
      <c r="Z1305">
        <v>18</v>
      </c>
      <c r="AA1305">
        <v>594</v>
      </c>
      <c r="AB1305" t="s">
        <v>75</v>
      </c>
      <c r="AC1305">
        <v>0.59299999999999997</v>
      </c>
      <c r="AD1305">
        <v>736</v>
      </c>
      <c r="AE1305" t="s">
        <v>48</v>
      </c>
      <c r="AF1305">
        <v>0.73499999999999999</v>
      </c>
      <c r="AG1305">
        <v>640</v>
      </c>
      <c r="AH1305" t="s">
        <v>49</v>
      </c>
      <c r="AI1305">
        <v>0.63900000000000001</v>
      </c>
      <c r="AJ1305" t="s">
        <v>1141</v>
      </c>
    </row>
    <row r="1306" spans="1:36" x14ac:dyDescent="0.25">
      <c r="A1306" t="s">
        <v>748</v>
      </c>
      <c r="B1306">
        <v>886392033</v>
      </c>
      <c r="C1306" t="s">
        <v>749</v>
      </c>
      <c r="D1306" t="s">
        <v>749</v>
      </c>
      <c r="E1306" t="s">
        <v>60</v>
      </c>
      <c r="F1306" t="s">
        <v>88</v>
      </c>
      <c r="I1306" t="s">
        <v>39</v>
      </c>
      <c r="J1306" t="s">
        <v>40</v>
      </c>
      <c r="K1306" t="s">
        <v>41</v>
      </c>
      <c r="N1306" t="s">
        <v>43</v>
      </c>
      <c r="O1306" t="s">
        <v>229</v>
      </c>
      <c r="P1306">
        <v>177</v>
      </c>
      <c r="Q1306">
        <v>177</v>
      </c>
      <c r="R1306">
        <v>61</v>
      </c>
      <c r="S1306" t="s">
        <v>56</v>
      </c>
      <c r="T1306">
        <v>0.06</v>
      </c>
      <c r="U1306">
        <v>951</v>
      </c>
      <c r="V1306" t="s">
        <v>46</v>
      </c>
      <c r="W1306">
        <v>0.95</v>
      </c>
      <c r="X1306">
        <v>18001</v>
      </c>
      <c r="Y1306" t="s">
        <v>47</v>
      </c>
      <c r="Z1306">
        <v>18</v>
      </c>
      <c r="AA1306">
        <v>594</v>
      </c>
      <c r="AB1306" t="s">
        <v>75</v>
      </c>
      <c r="AC1306">
        <v>0.59299999999999997</v>
      </c>
      <c r="AD1306">
        <v>736</v>
      </c>
      <c r="AE1306" t="s">
        <v>48</v>
      </c>
      <c r="AF1306">
        <v>0.73499999999999999</v>
      </c>
      <c r="AG1306">
        <v>640</v>
      </c>
      <c r="AH1306" t="s">
        <v>49</v>
      </c>
      <c r="AI1306">
        <v>0.63900000000000001</v>
      </c>
      <c r="AJ1306" t="s">
        <v>1153</v>
      </c>
    </row>
    <row r="1307" spans="1:36" x14ac:dyDescent="0.25">
      <c r="A1307" t="s">
        <v>748</v>
      </c>
      <c r="B1307">
        <v>886392033</v>
      </c>
      <c r="C1307" t="s">
        <v>749</v>
      </c>
      <c r="D1307" t="s">
        <v>749</v>
      </c>
      <c r="E1307" t="s">
        <v>60</v>
      </c>
      <c r="F1307" t="s">
        <v>88</v>
      </c>
      <c r="I1307" t="s">
        <v>39</v>
      </c>
      <c r="J1307" t="s">
        <v>40</v>
      </c>
      <c r="K1307" t="s">
        <v>41</v>
      </c>
      <c r="N1307" t="s">
        <v>43</v>
      </c>
      <c r="O1307" t="s">
        <v>229</v>
      </c>
      <c r="P1307">
        <v>177</v>
      </c>
      <c r="Q1307">
        <v>177</v>
      </c>
      <c r="R1307">
        <v>61</v>
      </c>
      <c r="S1307" t="s">
        <v>56</v>
      </c>
      <c r="T1307">
        <v>0.06</v>
      </c>
      <c r="U1307">
        <v>951</v>
      </c>
      <c r="V1307" t="s">
        <v>46</v>
      </c>
      <c r="W1307">
        <v>0.95</v>
      </c>
      <c r="X1307">
        <v>18001</v>
      </c>
      <c r="Y1307" t="s">
        <v>47</v>
      </c>
      <c r="Z1307">
        <v>18</v>
      </c>
      <c r="AA1307">
        <v>594</v>
      </c>
      <c r="AB1307" t="s">
        <v>75</v>
      </c>
      <c r="AC1307">
        <v>0.59299999999999997</v>
      </c>
      <c r="AD1307">
        <v>736</v>
      </c>
      <c r="AE1307" t="s">
        <v>48</v>
      </c>
      <c r="AF1307">
        <v>0.73499999999999999</v>
      </c>
      <c r="AG1307">
        <v>640</v>
      </c>
      <c r="AH1307" t="s">
        <v>49</v>
      </c>
      <c r="AI1307">
        <v>0.63900000000000001</v>
      </c>
      <c r="AJ1307" t="s">
        <v>1154</v>
      </c>
    </row>
    <row r="1308" spans="1:36" x14ac:dyDescent="0.25">
      <c r="A1308" t="s">
        <v>748</v>
      </c>
      <c r="B1308">
        <v>886392033</v>
      </c>
      <c r="C1308" t="s">
        <v>749</v>
      </c>
      <c r="D1308" t="s">
        <v>749</v>
      </c>
      <c r="E1308" t="s">
        <v>60</v>
      </c>
      <c r="F1308" t="s">
        <v>88</v>
      </c>
      <c r="I1308" t="s">
        <v>39</v>
      </c>
      <c r="J1308" t="s">
        <v>40</v>
      </c>
      <c r="K1308" t="s">
        <v>41</v>
      </c>
      <c r="N1308" t="s">
        <v>43</v>
      </c>
      <c r="O1308" t="s">
        <v>229</v>
      </c>
      <c r="P1308">
        <v>177</v>
      </c>
      <c r="Q1308">
        <v>177</v>
      </c>
      <c r="S1308" t="s">
        <v>39</v>
      </c>
      <c r="V1308" t="s">
        <v>39</v>
      </c>
      <c r="X1308">
        <v>18001</v>
      </c>
      <c r="Y1308" t="s">
        <v>47</v>
      </c>
      <c r="Z1308">
        <v>18</v>
      </c>
      <c r="AA1308">
        <v>594</v>
      </c>
      <c r="AB1308" t="s">
        <v>75</v>
      </c>
      <c r="AC1308">
        <v>0.59299999999999997</v>
      </c>
      <c r="AD1308">
        <v>736</v>
      </c>
      <c r="AE1308" t="s">
        <v>48</v>
      </c>
      <c r="AF1308">
        <v>0.73499999999999999</v>
      </c>
      <c r="AG1308">
        <v>640</v>
      </c>
      <c r="AH1308" t="s">
        <v>49</v>
      </c>
      <c r="AI1308">
        <v>0.63900000000000001</v>
      </c>
      <c r="AJ1308" t="s">
        <v>1155</v>
      </c>
    </row>
    <row r="1309" spans="1:36" x14ac:dyDescent="0.25">
      <c r="A1309" t="s">
        <v>748</v>
      </c>
      <c r="B1309">
        <v>886392033</v>
      </c>
      <c r="C1309" t="s">
        <v>749</v>
      </c>
      <c r="D1309" t="s">
        <v>749</v>
      </c>
      <c r="E1309" t="s">
        <v>60</v>
      </c>
      <c r="F1309" t="s">
        <v>88</v>
      </c>
      <c r="I1309" t="s">
        <v>39</v>
      </c>
      <c r="J1309" t="s">
        <v>40</v>
      </c>
      <c r="K1309" t="s">
        <v>41</v>
      </c>
      <c r="N1309" t="s">
        <v>43</v>
      </c>
      <c r="O1309" t="s">
        <v>229</v>
      </c>
      <c r="P1309">
        <v>177</v>
      </c>
      <c r="Q1309">
        <v>177</v>
      </c>
      <c r="S1309" t="s">
        <v>39</v>
      </c>
      <c r="V1309" t="s">
        <v>39</v>
      </c>
      <c r="X1309">
        <v>18001</v>
      </c>
      <c r="Y1309" t="s">
        <v>47</v>
      </c>
      <c r="Z1309">
        <v>18</v>
      </c>
      <c r="AA1309">
        <v>594</v>
      </c>
      <c r="AB1309" t="s">
        <v>75</v>
      </c>
      <c r="AC1309">
        <v>0.59299999999999997</v>
      </c>
      <c r="AD1309">
        <v>736</v>
      </c>
      <c r="AE1309" t="s">
        <v>48</v>
      </c>
      <c r="AF1309">
        <v>0.73499999999999999</v>
      </c>
      <c r="AG1309">
        <v>640</v>
      </c>
      <c r="AH1309" t="s">
        <v>49</v>
      </c>
      <c r="AI1309">
        <v>0.63900000000000001</v>
      </c>
      <c r="AJ1309" t="s">
        <v>1156</v>
      </c>
    </row>
    <row r="1310" spans="1:36" x14ac:dyDescent="0.25">
      <c r="A1310" t="s">
        <v>742</v>
      </c>
      <c r="B1310">
        <v>856508555</v>
      </c>
      <c r="C1310" t="s">
        <v>743</v>
      </c>
      <c r="D1310" t="s">
        <v>743</v>
      </c>
      <c r="E1310" t="s">
        <v>99</v>
      </c>
      <c r="F1310" t="s">
        <v>280</v>
      </c>
      <c r="I1310" t="s">
        <v>39</v>
      </c>
      <c r="J1310" t="s">
        <v>40</v>
      </c>
      <c r="K1310" t="s">
        <v>41</v>
      </c>
      <c r="L1310" t="s">
        <v>286</v>
      </c>
      <c r="M1310" t="s">
        <v>744</v>
      </c>
      <c r="N1310" t="s">
        <v>43</v>
      </c>
      <c r="O1310" t="s">
        <v>745</v>
      </c>
      <c r="P1310">
        <v>180</v>
      </c>
      <c r="Q1310">
        <v>180</v>
      </c>
      <c r="R1310">
        <v>521</v>
      </c>
      <c r="S1310" t="s">
        <v>56</v>
      </c>
      <c r="T1310">
        <v>0.52</v>
      </c>
      <c r="U1310">
        <v>501</v>
      </c>
      <c r="V1310" t="s">
        <v>113</v>
      </c>
      <c r="W1310">
        <v>0.5</v>
      </c>
      <c r="X1310">
        <v>12001</v>
      </c>
      <c r="Y1310" t="s">
        <v>47</v>
      </c>
      <c r="Z1310">
        <v>12</v>
      </c>
      <c r="AA1310">
        <v>190</v>
      </c>
      <c r="AB1310" t="s">
        <v>47</v>
      </c>
      <c r="AC1310">
        <v>0.189</v>
      </c>
      <c r="AD1310">
        <v>437</v>
      </c>
      <c r="AE1310" t="s">
        <v>56</v>
      </c>
      <c r="AF1310">
        <v>0.436</v>
      </c>
      <c r="AG1310">
        <v>342</v>
      </c>
      <c r="AH1310" t="s">
        <v>57</v>
      </c>
      <c r="AI1310">
        <v>0.34100000000000003</v>
      </c>
      <c r="AJ1310" t="s">
        <v>50</v>
      </c>
    </row>
    <row r="1311" spans="1:36" x14ac:dyDescent="0.25">
      <c r="A1311" t="s">
        <v>742</v>
      </c>
      <c r="B1311">
        <v>856508555</v>
      </c>
      <c r="C1311" t="s">
        <v>743</v>
      </c>
      <c r="D1311" t="s">
        <v>743</v>
      </c>
      <c r="E1311" t="s">
        <v>99</v>
      </c>
      <c r="F1311" t="s">
        <v>280</v>
      </c>
      <c r="I1311" t="s">
        <v>39</v>
      </c>
      <c r="J1311" t="s">
        <v>40</v>
      </c>
      <c r="K1311" t="s">
        <v>41</v>
      </c>
      <c r="L1311" t="s">
        <v>286</v>
      </c>
      <c r="M1311" t="s">
        <v>744</v>
      </c>
      <c r="N1311" t="s">
        <v>43</v>
      </c>
      <c r="O1311" t="s">
        <v>745</v>
      </c>
      <c r="P1311">
        <v>180</v>
      </c>
      <c r="Q1311">
        <v>180</v>
      </c>
      <c r="R1311">
        <v>41</v>
      </c>
      <c r="S1311" t="s">
        <v>45</v>
      </c>
      <c r="T1311">
        <v>0.04</v>
      </c>
      <c r="U1311">
        <v>172</v>
      </c>
      <c r="V1311" t="s">
        <v>55</v>
      </c>
      <c r="W1311">
        <v>0.17100000000000001</v>
      </c>
      <c r="X1311">
        <v>12001</v>
      </c>
      <c r="Y1311" t="s">
        <v>47</v>
      </c>
      <c r="Z1311">
        <v>12</v>
      </c>
      <c r="AA1311">
        <v>190</v>
      </c>
      <c r="AB1311" t="s">
        <v>47</v>
      </c>
      <c r="AC1311">
        <v>0.189</v>
      </c>
      <c r="AD1311">
        <v>437</v>
      </c>
      <c r="AE1311" t="s">
        <v>56</v>
      </c>
      <c r="AF1311">
        <v>0.436</v>
      </c>
      <c r="AG1311">
        <v>342</v>
      </c>
      <c r="AH1311" t="s">
        <v>57</v>
      </c>
      <c r="AI1311">
        <v>0.34100000000000003</v>
      </c>
      <c r="AJ1311" t="s">
        <v>1141</v>
      </c>
    </row>
    <row r="1312" spans="1:36" x14ac:dyDescent="0.25">
      <c r="A1312" t="s">
        <v>742</v>
      </c>
      <c r="B1312">
        <v>856508555</v>
      </c>
      <c r="C1312" t="s">
        <v>743</v>
      </c>
      <c r="D1312" t="s">
        <v>743</v>
      </c>
      <c r="E1312" t="s">
        <v>99</v>
      </c>
      <c r="F1312" t="s">
        <v>280</v>
      </c>
      <c r="I1312" t="s">
        <v>39</v>
      </c>
      <c r="J1312" t="s">
        <v>40</v>
      </c>
      <c r="K1312" t="s">
        <v>41</v>
      </c>
      <c r="L1312" t="s">
        <v>286</v>
      </c>
      <c r="M1312" t="s">
        <v>744</v>
      </c>
      <c r="N1312" t="s">
        <v>43</v>
      </c>
      <c r="O1312" t="s">
        <v>745</v>
      </c>
      <c r="P1312">
        <v>180</v>
      </c>
      <c r="Q1312">
        <v>180</v>
      </c>
      <c r="R1312">
        <v>521</v>
      </c>
      <c r="S1312" t="s">
        <v>56</v>
      </c>
      <c r="T1312">
        <v>0.52</v>
      </c>
      <c r="U1312">
        <v>501</v>
      </c>
      <c r="V1312" t="s">
        <v>113</v>
      </c>
      <c r="W1312">
        <v>0.5</v>
      </c>
      <c r="X1312">
        <v>12001</v>
      </c>
      <c r="Y1312" t="s">
        <v>47</v>
      </c>
      <c r="Z1312">
        <v>12</v>
      </c>
      <c r="AA1312">
        <v>190</v>
      </c>
      <c r="AB1312" t="s">
        <v>47</v>
      </c>
      <c r="AC1312">
        <v>0.189</v>
      </c>
      <c r="AD1312">
        <v>437</v>
      </c>
      <c r="AE1312" t="s">
        <v>56</v>
      </c>
      <c r="AF1312">
        <v>0.436</v>
      </c>
      <c r="AG1312">
        <v>342</v>
      </c>
      <c r="AH1312" t="s">
        <v>57</v>
      </c>
      <c r="AI1312">
        <v>0.34100000000000003</v>
      </c>
      <c r="AJ1312" t="s">
        <v>1153</v>
      </c>
    </row>
    <row r="1313" spans="1:36" x14ac:dyDescent="0.25">
      <c r="A1313" t="s">
        <v>742</v>
      </c>
      <c r="B1313">
        <v>856508555</v>
      </c>
      <c r="C1313" t="s">
        <v>743</v>
      </c>
      <c r="D1313" t="s">
        <v>743</v>
      </c>
      <c r="E1313" t="s">
        <v>99</v>
      </c>
      <c r="F1313" t="s">
        <v>280</v>
      </c>
      <c r="I1313" t="s">
        <v>39</v>
      </c>
      <c r="J1313" t="s">
        <v>40</v>
      </c>
      <c r="K1313" t="s">
        <v>41</v>
      </c>
      <c r="L1313" t="s">
        <v>286</v>
      </c>
      <c r="M1313" t="s">
        <v>744</v>
      </c>
      <c r="N1313" t="s">
        <v>43</v>
      </c>
      <c r="O1313" t="s">
        <v>745</v>
      </c>
      <c r="P1313">
        <v>180</v>
      </c>
      <c r="Q1313">
        <v>180</v>
      </c>
      <c r="R1313">
        <v>521</v>
      </c>
      <c r="S1313" t="s">
        <v>56</v>
      </c>
      <c r="T1313">
        <v>0.52</v>
      </c>
      <c r="U1313">
        <v>501</v>
      </c>
      <c r="V1313" t="s">
        <v>113</v>
      </c>
      <c r="W1313">
        <v>0.5</v>
      </c>
      <c r="X1313">
        <v>12001</v>
      </c>
      <c r="Y1313" t="s">
        <v>47</v>
      </c>
      <c r="Z1313">
        <v>12</v>
      </c>
      <c r="AA1313">
        <v>190</v>
      </c>
      <c r="AB1313" t="s">
        <v>47</v>
      </c>
      <c r="AC1313">
        <v>0.189</v>
      </c>
      <c r="AD1313">
        <v>437</v>
      </c>
      <c r="AE1313" t="s">
        <v>56</v>
      </c>
      <c r="AF1313">
        <v>0.436</v>
      </c>
      <c r="AG1313">
        <v>342</v>
      </c>
      <c r="AH1313" t="s">
        <v>57</v>
      </c>
      <c r="AI1313">
        <v>0.34100000000000003</v>
      </c>
      <c r="AJ1313" t="s">
        <v>1154</v>
      </c>
    </row>
    <row r="1314" spans="1:36" x14ac:dyDescent="0.25">
      <c r="A1314" t="s">
        <v>742</v>
      </c>
      <c r="B1314">
        <v>856508555</v>
      </c>
      <c r="C1314" t="s">
        <v>743</v>
      </c>
      <c r="D1314" t="s">
        <v>743</v>
      </c>
      <c r="E1314" t="s">
        <v>99</v>
      </c>
      <c r="F1314" t="s">
        <v>280</v>
      </c>
      <c r="I1314" t="s">
        <v>39</v>
      </c>
      <c r="J1314" t="s">
        <v>40</v>
      </c>
      <c r="K1314" t="s">
        <v>41</v>
      </c>
      <c r="L1314" t="s">
        <v>286</v>
      </c>
      <c r="M1314" t="s">
        <v>744</v>
      </c>
      <c r="N1314" t="s">
        <v>43</v>
      </c>
      <c r="O1314" t="s">
        <v>745</v>
      </c>
      <c r="P1314">
        <v>180</v>
      </c>
      <c r="Q1314">
        <v>180</v>
      </c>
      <c r="S1314" t="s">
        <v>39</v>
      </c>
      <c r="V1314" t="s">
        <v>39</v>
      </c>
      <c r="X1314">
        <v>12001</v>
      </c>
      <c r="Y1314" t="s">
        <v>47</v>
      </c>
      <c r="Z1314">
        <v>12</v>
      </c>
      <c r="AA1314">
        <v>190</v>
      </c>
      <c r="AB1314" t="s">
        <v>47</v>
      </c>
      <c r="AC1314">
        <v>0.189</v>
      </c>
      <c r="AD1314">
        <v>437</v>
      </c>
      <c r="AE1314" t="s">
        <v>56</v>
      </c>
      <c r="AF1314">
        <v>0.436</v>
      </c>
      <c r="AG1314">
        <v>342</v>
      </c>
      <c r="AH1314" t="s">
        <v>57</v>
      </c>
      <c r="AI1314">
        <v>0.34100000000000003</v>
      </c>
      <c r="AJ1314" t="s">
        <v>1155</v>
      </c>
    </row>
    <row r="1315" spans="1:36" x14ac:dyDescent="0.25">
      <c r="A1315" t="s">
        <v>742</v>
      </c>
      <c r="B1315">
        <v>856508555</v>
      </c>
      <c r="C1315" t="s">
        <v>743</v>
      </c>
      <c r="D1315" t="s">
        <v>743</v>
      </c>
      <c r="E1315" t="s">
        <v>99</v>
      </c>
      <c r="F1315" t="s">
        <v>280</v>
      </c>
      <c r="I1315" t="s">
        <v>39</v>
      </c>
      <c r="J1315" t="s">
        <v>40</v>
      </c>
      <c r="K1315" t="s">
        <v>41</v>
      </c>
      <c r="L1315" t="s">
        <v>286</v>
      </c>
      <c r="M1315" t="s">
        <v>744</v>
      </c>
      <c r="N1315" t="s">
        <v>43</v>
      </c>
      <c r="O1315" t="s">
        <v>745</v>
      </c>
      <c r="P1315">
        <v>180</v>
      </c>
      <c r="Q1315">
        <v>180</v>
      </c>
      <c r="S1315" t="s">
        <v>39</v>
      </c>
      <c r="V1315" t="s">
        <v>39</v>
      </c>
      <c r="X1315">
        <v>12001</v>
      </c>
      <c r="Y1315" t="s">
        <v>47</v>
      </c>
      <c r="Z1315">
        <v>12</v>
      </c>
      <c r="AA1315">
        <v>190</v>
      </c>
      <c r="AB1315" t="s">
        <v>47</v>
      </c>
      <c r="AC1315">
        <v>0.189</v>
      </c>
      <c r="AD1315">
        <v>437</v>
      </c>
      <c r="AE1315" t="s">
        <v>56</v>
      </c>
      <c r="AF1315">
        <v>0.436</v>
      </c>
      <c r="AG1315">
        <v>342</v>
      </c>
      <c r="AH1315" t="s">
        <v>57</v>
      </c>
      <c r="AI1315">
        <v>0.34100000000000003</v>
      </c>
      <c r="AJ1315" t="s">
        <v>1156</v>
      </c>
    </row>
    <row r="1316" spans="1:36" x14ac:dyDescent="0.25">
      <c r="A1316" t="s">
        <v>740</v>
      </c>
      <c r="B1316">
        <v>855753008</v>
      </c>
      <c r="C1316" t="s">
        <v>741</v>
      </c>
      <c r="D1316" t="s">
        <v>741</v>
      </c>
      <c r="E1316" t="s">
        <v>60</v>
      </c>
      <c r="F1316" t="s">
        <v>88</v>
      </c>
      <c r="I1316" t="s">
        <v>39</v>
      </c>
      <c r="J1316" t="s">
        <v>40</v>
      </c>
      <c r="K1316" t="s">
        <v>41</v>
      </c>
      <c r="L1316" t="s">
        <v>300</v>
      </c>
      <c r="N1316" t="s">
        <v>43</v>
      </c>
      <c r="O1316" t="s">
        <v>295</v>
      </c>
      <c r="P1316">
        <v>183</v>
      </c>
      <c r="Q1316">
        <v>183</v>
      </c>
      <c r="R1316">
        <v>231</v>
      </c>
      <c r="S1316" t="s">
        <v>56</v>
      </c>
      <c r="T1316">
        <v>0.23</v>
      </c>
      <c r="U1316">
        <v>4</v>
      </c>
      <c r="V1316" t="s">
        <v>55</v>
      </c>
      <c r="W1316">
        <v>3.0000000000000001E-3</v>
      </c>
      <c r="X1316">
        <v>1</v>
      </c>
      <c r="Y1316" t="s">
        <v>47</v>
      </c>
      <c r="Z1316">
        <v>0</v>
      </c>
      <c r="AA1316">
        <v>256</v>
      </c>
      <c r="AB1316" t="s">
        <v>47</v>
      </c>
      <c r="AC1316">
        <v>0.255</v>
      </c>
      <c r="AD1316">
        <v>495</v>
      </c>
      <c r="AE1316" t="s">
        <v>56</v>
      </c>
      <c r="AF1316">
        <v>0.49399999999999999</v>
      </c>
      <c r="AG1316">
        <v>367</v>
      </c>
      <c r="AH1316" t="s">
        <v>57</v>
      </c>
      <c r="AI1316">
        <v>0.36599999999999999</v>
      </c>
      <c r="AJ1316" t="s">
        <v>50</v>
      </c>
    </row>
    <row r="1317" spans="1:36" x14ac:dyDescent="0.25">
      <c r="A1317" t="s">
        <v>740</v>
      </c>
      <c r="B1317">
        <v>855753008</v>
      </c>
      <c r="C1317" t="s">
        <v>741</v>
      </c>
      <c r="D1317" t="s">
        <v>741</v>
      </c>
      <c r="E1317" t="s">
        <v>60</v>
      </c>
      <c r="F1317" t="s">
        <v>88</v>
      </c>
      <c r="I1317" t="s">
        <v>39</v>
      </c>
      <c r="J1317" t="s">
        <v>40</v>
      </c>
      <c r="K1317" t="s">
        <v>41</v>
      </c>
      <c r="L1317" t="s">
        <v>300</v>
      </c>
      <c r="N1317" t="s">
        <v>43</v>
      </c>
      <c r="O1317" t="s">
        <v>295</v>
      </c>
      <c r="P1317">
        <v>183</v>
      </c>
      <c r="Q1317">
        <v>183</v>
      </c>
      <c r="R1317">
        <v>181</v>
      </c>
      <c r="S1317" t="s">
        <v>56</v>
      </c>
      <c r="T1317">
        <v>0.18</v>
      </c>
      <c r="U1317">
        <v>4</v>
      </c>
      <c r="V1317" t="s">
        <v>55</v>
      </c>
      <c r="W1317">
        <v>3.0000000000000001E-3</v>
      </c>
      <c r="X1317">
        <v>1</v>
      </c>
      <c r="Y1317" t="s">
        <v>47</v>
      </c>
      <c r="Z1317">
        <v>0</v>
      </c>
      <c r="AA1317">
        <v>256</v>
      </c>
      <c r="AB1317" t="s">
        <v>47</v>
      </c>
      <c r="AC1317">
        <v>0.255</v>
      </c>
      <c r="AD1317">
        <v>495</v>
      </c>
      <c r="AE1317" t="s">
        <v>56</v>
      </c>
      <c r="AF1317">
        <v>0.49399999999999999</v>
      </c>
      <c r="AG1317">
        <v>367</v>
      </c>
      <c r="AH1317" t="s">
        <v>57</v>
      </c>
      <c r="AI1317">
        <v>0.36599999999999999</v>
      </c>
      <c r="AJ1317" t="s">
        <v>1141</v>
      </c>
    </row>
    <row r="1318" spans="1:36" x14ac:dyDescent="0.25">
      <c r="A1318" t="s">
        <v>740</v>
      </c>
      <c r="B1318">
        <v>855753008</v>
      </c>
      <c r="C1318" t="s">
        <v>741</v>
      </c>
      <c r="D1318" t="s">
        <v>741</v>
      </c>
      <c r="E1318" t="s">
        <v>60</v>
      </c>
      <c r="F1318" t="s">
        <v>88</v>
      </c>
      <c r="I1318" t="s">
        <v>39</v>
      </c>
      <c r="J1318" t="s">
        <v>40</v>
      </c>
      <c r="K1318" t="s">
        <v>41</v>
      </c>
      <c r="L1318" t="s">
        <v>300</v>
      </c>
      <c r="N1318" t="s">
        <v>43</v>
      </c>
      <c r="O1318" t="s">
        <v>295</v>
      </c>
      <c r="P1318">
        <v>183</v>
      </c>
      <c r="Q1318">
        <v>183</v>
      </c>
      <c r="R1318">
        <v>231</v>
      </c>
      <c r="S1318" t="s">
        <v>56</v>
      </c>
      <c r="T1318">
        <v>0.23</v>
      </c>
      <c r="U1318">
        <v>4</v>
      </c>
      <c r="V1318" t="s">
        <v>55</v>
      </c>
      <c r="W1318">
        <v>3.0000000000000001E-3</v>
      </c>
      <c r="X1318">
        <v>1</v>
      </c>
      <c r="Y1318" t="s">
        <v>47</v>
      </c>
      <c r="Z1318">
        <v>0</v>
      </c>
      <c r="AA1318">
        <v>256</v>
      </c>
      <c r="AB1318" t="s">
        <v>47</v>
      </c>
      <c r="AC1318">
        <v>0.255</v>
      </c>
      <c r="AD1318">
        <v>495</v>
      </c>
      <c r="AE1318" t="s">
        <v>56</v>
      </c>
      <c r="AF1318">
        <v>0.49399999999999999</v>
      </c>
      <c r="AG1318">
        <v>367</v>
      </c>
      <c r="AH1318" t="s">
        <v>57</v>
      </c>
      <c r="AI1318">
        <v>0.36599999999999999</v>
      </c>
      <c r="AJ1318" t="s">
        <v>1153</v>
      </c>
    </row>
    <row r="1319" spans="1:36" x14ac:dyDescent="0.25">
      <c r="A1319" t="s">
        <v>740</v>
      </c>
      <c r="B1319">
        <v>855753008</v>
      </c>
      <c r="C1319" t="s">
        <v>741</v>
      </c>
      <c r="D1319" t="s">
        <v>741</v>
      </c>
      <c r="E1319" t="s">
        <v>60</v>
      </c>
      <c r="F1319" t="s">
        <v>88</v>
      </c>
      <c r="I1319" t="s">
        <v>39</v>
      </c>
      <c r="J1319" t="s">
        <v>40</v>
      </c>
      <c r="K1319" t="s">
        <v>41</v>
      </c>
      <c r="L1319" t="s">
        <v>300</v>
      </c>
      <c r="N1319" t="s">
        <v>43</v>
      </c>
      <c r="O1319" t="s">
        <v>295</v>
      </c>
      <c r="P1319">
        <v>183</v>
      </c>
      <c r="Q1319">
        <v>183</v>
      </c>
      <c r="R1319">
        <v>231</v>
      </c>
      <c r="S1319" t="s">
        <v>56</v>
      </c>
      <c r="T1319">
        <v>0.23</v>
      </c>
      <c r="U1319">
        <v>4</v>
      </c>
      <c r="V1319" t="s">
        <v>55</v>
      </c>
      <c r="W1319">
        <v>3.0000000000000001E-3</v>
      </c>
      <c r="X1319">
        <v>1</v>
      </c>
      <c r="Y1319" t="s">
        <v>47</v>
      </c>
      <c r="Z1319">
        <v>0</v>
      </c>
      <c r="AA1319">
        <v>256</v>
      </c>
      <c r="AB1319" t="s">
        <v>47</v>
      </c>
      <c r="AC1319">
        <v>0.255</v>
      </c>
      <c r="AD1319">
        <v>495</v>
      </c>
      <c r="AE1319" t="s">
        <v>56</v>
      </c>
      <c r="AF1319">
        <v>0.49399999999999999</v>
      </c>
      <c r="AG1319">
        <v>367</v>
      </c>
      <c r="AH1319" t="s">
        <v>57</v>
      </c>
      <c r="AI1319">
        <v>0.36599999999999999</v>
      </c>
      <c r="AJ1319" t="s">
        <v>1154</v>
      </c>
    </row>
    <row r="1320" spans="1:36" x14ac:dyDescent="0.25">
      <c r="A1320" t="s">
        <v>740</v>
      </c>
      <c r="B1320">
        <v>855753008</v>
      </c>
      <c r="C1320" t="s">
        <v>741</v>
      </c>
      <c r="D1320" t="s">
        <v>741</v>
      </c>
      <c r="E1320" t="s">
        <v>60</v>
      </c>
      <c r="F1320" t="s">
        <v>88</v>
      </c>
      <c r="I1320" t="s">
        <v>39</v>
      </c>
      <c r="J1320" t="s">
        <v>40</v>
      </c>
      <c r="K1320" t="s">
        <v>41</v>
      </c>
      <c r="L1320" t="s">
        <v>300</v>
      </c>
      <c r="N1320" t="s">
        <v>43</v>
      </c>
      <c r="O1320" t="s">
        <v>295</v>
      </c>
      <c r="P1320">
        <v>183</v>
      </c>
      <c r="Q1320">
        <v>183</v>
      </c>
      <c r="S1320" t="s">
        <v>39</v>
      </c>
      <c r="V1320" t="s">
        <v>39</v>
      </c>
      <c r="X1320">
        <v>1</v>
      </c>
      <c r="Y1320" t="s">
        <v>47</v>
      </c>
      <c r="Z1320">
        <v>0</v>
      </c>
      <c r="AA1320">
        <v>256</v>
      </c>
      <c r="AB1320" t="s">
        <v>47</v>
      </c>
      <c r="AC1320">
        <v>0.255</v>
      </c>
      <c r="AD1320">
        <v>495</v>
      </c>
      <c r="AE1320" t="s">
        <v>56</v>
      </c>
      <c r="AF1320">
        <v>0.49399999999999999</v>
      </c>
      <c r="AG1320">
        <v>367</v>
      </c>
      <c r="AH1320" t="s">
        <v>57</v>
      </c>
      <c r="AI1320">
        <v>0.36599999999999999</v>
      </c>
      <c r="AJ1320" t="s">
        <v>1155</v>
      </c>
    </row>
    <row r="1321" spans="1:36" x14ac:dyDescent="0.25">
      <c r="A1321" t="s">
        <v>740</v>
      </c>
      <c r="B1321">
        <v>855753008</v>
      </c>
      <c r="C1321" t="s">
        <v>741</v>
      </c>
      <c r="D1321" t="s">
        <v>741</v>
      </c>
      <c r="E1321" t="s">
        <v>60</v>
      </c>
      <c r="F1321" t="s">
        <v>88</v>
      </c>
      <c r="I1321" t="s">
        <v>39</v>
      </c>
      <c r="J1321" t="s">
        <v>40</v>
      </c>
      <c r="K1321" t="s">
        <v>41</v>
      </c>
      <c r="L1321" t="s">
        <v>300</v>
      </c>
      <c r="N1321" t="s">
        <v>43</v>
      </c>
      <c r="O1321" t="s">
        <v>295</v>
      </c>
      <c r="P1321">
        <v>183</v>
      </c>
      <c r="Q1321">
        <v>183</v>
      </c>
      <c r="S1321" t="s">
        <v>39</v>
      </c>
      <c r="V1321" t="s">
        <v>39</v>
      </c>
      <c r="X1321">
        <v>1</v>
      </c>
      <c r="Y1321" t="s">
        <v>47</v>
      </c>
      <c r="Z1321">
        <v>0</v>
      </c>
      <c r="AA1321">
        <v>256</v>
      </c>
      <c r="AB1321" t="s">
        <v>47</v>
      </c>
      <c r="AC1321">
        <v>0.255</v>
      </c>
      <c r="AD1321">
        <v>495</v>
      </c>
      <c r="AE1321" t="s">
        <v>56</v>
      </c>
      <c r="AF1321">
        <v>0.49399999999999999</v>
      </c>
      <c r="AG1321">
        <v>367</v>
      </c>
      <c r="AH1321" t="s">
        <v>57</v>
      </c>
      <c r="AI1321">
        <v>0.36599999999999999</v>
      </c>
      <c r="AJ1321" t="s">
        <v>1156</v>
      </c>
    </row>
    <row r="1322" spans="1:36" x14ac:dyDescent="0.25">
      <c r="A1322" t="s">
        <v>738</v>
      </c>
      <c r="B1322">
        <v>852683730</v>
      </c>
      <c r="C1322" t="s">
        <v>739</v>
      </c>
      <c r="D1322" t="s">
        <v>739</v>
      </c>
      <c r="E1322" t="s">
        <v>60</v>
      </c>
      <c r="F1322" t="s">
        <v>88</v>
      </c>
      <c r="I1322" t="s">
        <v>39</v>
      </c>
      <c r="J1322" t="s">
        <v>40</v>
      </c>
      <c r="K1322" t="s">
        <v>41</v>
      </c>
      <c r="L1322" t="s">
        <v>101</v>
      </c>
      <c r="M1322" t="s">
        <v>73</v>
      </c>
      <c r="N1322" t="s">
        <v>43</v>
      </c>
      <c r="O1322" t="s">
        <v>85</v>
      </c>
      <c r="P1322">
        <v>185</v>
      </c>
      <c r="Q1322">
        <v>185</v>
      </c>
      <c r="R1322">
        <v>31</v>
      </c>
      <c r="S1322" t="s">
        <v>45</v>
      </c>
      <c r="T1322">
        <v>0.03</v>
      </c>
      <c r="U1322">
        <v>922</v>
      </c>
      <c r="V1322" t="s">
        <v>46</v>
      </c>
      <c r="W1322">
        <v>0.92100000000000004</v>
      </c>
      <c r="X1322">
        <v>19001</v>
      </c>
      <c r="Y1322" t="s">
        <v>47</v>
      </c>
      <c r="Z1322">
        <v>19</v>
      </c>
      <c r="AA1322">
        <v>676</v>
      </c>
      <c r="AB1322" t="s">
        <v>75</v>
      </c>
      <c r="AC1322">
        <v>0.67500000000000004</v>
      </c>
      <c r="AD1322">
        <v>888</v>
      </c>
      <c r="AE1322" t="s">
        <v>48</v>
      </c>
      <c r="AF1322">
        <v>0.88700000000000001</v>
      </c>
      <c r="AG1322">
        <v>921</v>
      </c>
      <c r="AH1322" t="s">
        <v>49</v>
      </c>
      <c r="AI1322">
        <v>0.92</v>
      </c>
      <c r="AJ1322" t="s">
        <v>50</v>
      </c>
    </row>
    <row r="1323" spans="1:36" x14ac:dyDescent="0.25">
      <c r="A1323" t="s">
        <v>738</v>
      </c>
      <c r="B1323">
        <v>852683730</v>
      </c>
      <c r="C1323" t="s">
        <v>739</v>
      </c>
      <c r="D1323" t="s">
        <v>739</v>
      </c>
      <c r="E1323" t="s">
        <v>60</v>
      </c>
      <c r="F1323" t="s">
        <v>88</v>
      </c>
      <c r="I1323" t="s">
        <v>39</v>
      </c>
      <c r="J1323" t="s">
        <v>40</v>
      </c>
      <c r="K1323" t="s">
        <v>41</v>
      </c>
      <c r="L1323" t="s">
        <v>101</v>
      </c>
      <c r="M1323" t="s">
        <v>73</v>
      </c>
      <c r="N1323" t="s">
        <v>43</v>
      </c>
      <c r="O1323" t="s">
        <v>85</v>
      </c>
      <c r="P1323">
        <v>185</v>
      </c>
      <c r="Q1323">
        <v>185</v>
      </c>
      <c r="R1323">
        <v>41</v>
      </c>
      <c r="S1323" t="s">
        <v>45</v>
      </c>
      <c r="T1323">
        <v>0.04</v>
      </c>
      <c r="U1323">
        <v>974</v>
      </c>
      <c r="V1323" t="s">
        <v>46</v>
      </c>
      <c r="W1323">
        <v>0.97299999999999998</v>
      </c>
      <c r="X1323">
        <v>19001</v>
      </c>
      <c r="Y1323" t="s">
        <v>47</v>
      </c>
      <c r="Z1323">
        <v>19</v>
      </c>
      <c r="AA1323">
        <v>676</v>
      </c>
      <c r="AB1323" t="s">
        <v>75</v>
      </c>
      <c r="AC1323">
        <v>0.67500000000000004</v>
      </c>
      <c r="AD1323">
        <v>888</v>
      </c>
      <c r="AE1323" t="s">
        <v>48</v>
      </c>
      <c r="AF1323">
        <v>0.88700000000000001</v>
      </c>
      <c r="AG1323">
        <v>921</v>
      </c>
      <c r="AH1323" t="s">
        <v>49</v>
      </c>
      <c r="AI1323">
        <v>0.92</v>
      </c>
      <c r="AJ1323" t="s">
        <v>1141</v>
      </c>
    </row>
    <row r="1324" spans="1:36" x14ac:dyDescent="0.25">
      <c r="A1324" t="s">
        <v>738</v>
      </c>
      <c r="B1324">
        <v>852683730</v>
      </c>
      <c r="C1324" t="s">
        <v>739</v>
      </c>
      <c r="D1324" t="s">
        <v>739</v>
      </c>
      <c r="E1324" t="s">
        <v>60</v>
      </c>
      <c r="F1324" t="s">
        <v>88</v>
      </c>
      <c r="I1324" t="s">
        <v>39</v>
      </c>
      <c r="J1324" t="s">
        <v>40</v>
      </c>
      <c r="K1324" t="s">
        <v>41</v>
      </c>
      <c r="L1324" t="s">
        <v>101</v>
      </c>
      <c r="M1324" t="s">
        <v>73</v>
      </c>
      <c r="N1324" t="s">
        <v>43</v>
      </c>
      <c r="O1324" t="s">
        <v>85</v>
      </c>
      <c r="P1324">
        <v>185</v>
      </c>
      <c r="Q1324">
        <v>185</v>
      </c>
      <c r="R1324">
        <v>31</v>
      </c>
      <c r="S1324" t="s">
        <v>45</v>
      </c>
      <c r="T1324">
        <v>0.03</v>
      </c>
      <c r="U1324">
        <v>922</v>
      </c>
      <c r="V1324" t="s">
        <v>46</v>
      </c>
      <c r="W1324">
        <v>0.92100000000000004</v>
      </c>
      <c r="X1324">
        <v>19001</v>
      </c>
      <c r="Y1324" t="s">
        <v>47</v>
      </c>
      <c r="Z1324">
        <v>19</v>
      </c>
      <c r="AA1324">
        <v>676</v>
      </c>
      <c r="AB1324" t="s">
        <v>75</v>
      </c>
      <c r="AC1324">
        <v>0.67500000000000004</v>
      </c>
      <c r="AD1324">
        <v>888</v>
      </c>
      <c r="AE1324" t="s">
        <v>48</v>
      </c>
      <c r="AF1324">
        <v>0.88700000000000001</v>
      </c>
      <c r="AG1324">
        <v>921</v>
      </c>
      <c r="AH1324" t="s">
        <v>49</v>
      </c>
      <c r="AI1324">
        <v>0.92</v>
      </c>
      <c r="AJ1324" t="s">
        <v>1153</v>
      </c>
    </row>
    <row r="1325" spans="1:36" x14ac:dyDescent="0.25">
      <c r="A1325" t="s">
        <v>738</v>
      </c>
      <c r="B1325">
        <v>852683730</v>
      </c>
      <c r="C1325" t="s">
        <v>739</v>
      </c>
      <c r="D1325" t="s">
        <v>739</v>
      </c>
      <c r="E1325" t="s">
        <v>60</v>
      </c>
      <c r="F1325" t="s">
        <v>88</v>
      </c>
      <c r="I1325" t="s">
        <v>39</v>
      </c>
      <c r="J1325" t="s">
        <v>40</v>
      </c>
      <c r="K1325" t="s">
        <v>41</v>
      </c>
      <c r="L1325" t="s">
        <v>101</v>
      </c>
      <c r="M1325" t="s">
        <v>73</v>
      </c>
      <c r="N1325" t="s">
        <v>43</v>
      </c>
      <c r="O1325" t="s">
        <v>85</v>
      </c>
      <c r="P1325">
        <v>185</v>
      </c>
      <c r="Q1325">
        <v>185</v>
      </c>
      <c r="R1325">
        <v>31</v>
      </c>
      <c r="S1325" t="s">
        <v>45</v>
      </c>
      <c r="T1325">
        <v>0.03</v>
      </c>
      <c r="U1325">
        <v>922</v>
      </c>
      <c r="V1325" t="s">
        <v>46</v>
      </c>
      <c r="W1325">
        <v>0.92100000000000004</v>
      </c>
      <c r="X1325">
        <v>19001</v>
      </c>
      <c r="Y1325" t="s">
        <v>47</v>
      </c>
      <c r="Z1325">
        <v>19</v>
      </c>
      <c r="AA1325">
        <v>676</v>
      </c>
      <c r="AB1325" t="s">
        <v>75</v>
      </c>
      <c r="AC1325">
        <v>0.67500000000000004</v>
      </c>
      <c r="AD1325">
        <v>888</v>
      </c>
      <c r="AE1325" t="s">
        <v>48</v>
      </c>
      <c r="AF1325">
        <v>0.88700000000000001</v>
      </c>
      <c r="AG1325">
        <v>921</v>
      </c>
      <c r="AH1325" t="s">
        <v>49</v>
      </c>
      <c r="AI1325">
        <v>0.92</v>
      </c>
      <c r="AJ1325" t="s">
        <v>1154</v>
      </c>
    </row>
    <row r="1326" spans="1:36" x14ac:dyDescent="0.25">
      <c r="A1326" t="s">
        <v>738</v>
      </c>
      <c r="B1326">
        <v>852683730</v>
      </c>
      <c r="C1326" t="s">
        <v>739</v>
      </c>
      <c r="D1326" t="s">
        <v>739</v>
      </c>
      <c r="E1326" t="s">
        <v>60</v>
      </c>
      <c r="F1326" t="s">
        <v>88</v>
      </c>
      <c r="I1326" t="s">
        <v>39</v>
      </c>
      <c r="J1326" t="s">
        <v>40</v>
      </c>
      <c r="K1326" t="s">
        <v>41</v>
      </c>
      <c r="L1326" t="s">
        <v>101</v>
      </c>
      <c r="M1326" t="s">
        <v>73</v>
      </c>
      <c r="N1326" t="s">
        <v>43</v>
      </c>
      <c r="O1326" t="s">
        <v>85</v>
      </c>
      <c r="P1326">
        <v>185</v>
      </c>
      <c r="Q1326">
        <v>185</v>
      </c>
      <c r="S1326" t="s">
        <v>39</v>
      </c>
      <c r="V1326" t="s">
        <v>39</v>
      </c>
      <c r="X1326">
        <v>19001</v>
      </c>
      <c r="Y1326" t="s">
        <v>47</v>
      </c>
      <c r="Z1326">
        <v>19</v>
      </c>
      <c r="AA1326">
        <v>676</v>
      </c>
      <c r="AB1326" t="s">
        <v>75</v>
      </c>
      <c r="AC1326">
        <v>0.67500000000000004</v>
      </c>
      <c r="AD1326">
        <v>888</v>
      </c>
      <c r="AE1326" t="s">
        <v>48</v>
      </c>
      <c r="AF1326">
        <v>0.88700000000000001</v>
      </c>
      <c r="AG1326">
        <v>921</v>
      </c>
      <c r="AH1326" t="s">
        <v>49</v>
      </c>
      <c r="AI1326">
        <v>0.92</v>
      </c>
      <c r="AJ1326" t="s">
        <v>1155</v>
      </c>
    </row>
    <row r="1327" spans="1:36" x14ac:dyDescent="0.25">
      <c r="A1327" t="s">
        <v>738</v>
      </c>
      <c r="B1327">
        <v>852683730</v>
      </c>
      <c r="C1327" t="s">
        <v>739</v>
      </c>
      <c r="D1327" t="s">
        <v>739</v>
      </c>
      <c r="E1327" t="s">
        <v>60</v>
      </c>
      <c r="F1327" t="s">
        <v>88</v>
      </c>
      <c r="I1327" t="s">
        <v>39</v>
      </c>
      <c r="J1327" t="s">
        <v>40</v>
      </c>
      <c r="K1327" t="s">
        <v>41</v>
      </c>
      <c r="L1327" t="s">
        <v>101</v>
      </c>
      <c r="M1327" t="s">
        <v>73</v>
      </c>
      <c r="N1327" t="s">
        <v>43</v>
      </c>
      <c r="O1327" t="s">
        <v>85</v>
      </c>
      <c r="P1327">
        <v>185</v>
      </c>
      <c r="Q1327">
        <v>185</v>
      </c>
      <c r="S1327" t="s">
        <v>39</v>
      </c>
      <c r="V1327" t="s">
        <v>39</v>
      </c>
      <c r="X1327">
        <v>19001</v>
      </c>
      <c r="Y1327" t="s">
        <v>47</v>
      </c>
      <c r="Z1327">
        <v>19</v>
      </c>
      <c r="AA1327">
        <v>676</v>
      </c>
      <c r="AB1327" t="s">
        <v>75</v>
      </c>
      <c r="AC1327">
        <v>0.67500000000000004</v>
      </c>
      <c r="AD1327">
        <v>888</v>
      </c>
      <c r="AE1327" t="s">
        <v>48</v>
      </c>
      <c r="AF1327">
        <v>0.88700000000000001</v>
      </c>
      <c r="AG1327">
        <v>921</v>
      </c>
      <c r="AH1327" t="s">
        <v>49</v>
      </c>
      <c r="AI1327">
        <v>0.92</v>
      </c>
      <c r="AJ1327" t="s">
        <v>1156</v>
      </c>
    </row>
    <row r="1328" spans="1:36" x14ac:dyDescent="0.25">
      <c r="A1328" t="s">
        <v>734</v>
      </c>
      <c r="B1328">
        <v>861536767</v>
      </c>
      <c r="C1328" t="s">
        <v>735</v>
      </c>
      <c r="D1328" t="s">
        <v>735</v>
      </c>
      <c r="E1328" t="s">
        <v>99</v>
      </c>
      <c r="F1328" t="s">
        <v>143</v>
      </c>
      <c r="I1328" t="s">
        <v>39</v>
      </c>
      <c r="J1328" t="s">
        <v>40</v>
      </c>
      <c r="K1328" t="s">
        <v>41</v>
      </c>
      <c r="L1328" t="s">
        <v>42</v>
      </c>
      <c r="N1328" t="s">
        <v>43</v>
      </c>
      <c r="O1328" t="s">
        <v>156</v>
      </c>
      <c r="P1328">
        <v>186</v>
      </c>
      <c r="Q1328">
        <v>186</v>
      </c>
      <c r="R1328">
        <v>11</v>
      </c>
      <c r="S1328" t="s">
        <v>45</v>
      </c>
      <c r="T1328">
        <v>0.01</v>
      </c>
      <c r="U1328">
        <v>978</v>
      </c>
      <c r="V1328" t="s">
        <v>46</v>
      </c>
      <c r="W1328">
        <v>0.97699999999999998</v>
      </c>
      <c r="X1328">
        <v>22001</v>
      </c>
      <c r="Y1328" t="s">
        <v>47</v>
      </c>
      <c r="Z1328">
        <v>22</v>
      </c>
      <c r="AA1328">
        <v>502</v>
      </c>
      <c r="AB1328" t="s">
        <v>75</v>
      </c>
      <c r="AC1328">
        <v>0.501</v>
      </c>
      <c r="AD1328">
        <v>770</v>
      </c>
      <c r="AE1328" t="s">
        <v>48</v>
      </c>
      <c r="AF1328">
        <v>0.76900000000000002</v>
      </c>
      <c r="AG1328">
        <v>921</v>
      </c>
      <c r="AH1328" t="s">
        <v>49</v>
      </c>
      <c r="AI1328">
        <v>0.92</v>
      </c>
      <c r="AJ1328" t="s">
        <v>50</v>
      </c>
    </row>
    <row r="1329" spans="1:36" x14ac:dyDescent="0.25">
      <c r="A1329" t="s">
        <v>734</v>
      </c>
      <c r="B1329">
        <v>861536767</v>
      </c>
      <c r="C1329" t="s">
        <v>735</v>
      </c>
      <c r="D1329" t="s">
        <v>735</v>
      </c>
      <c r="E1329" t="s">
        <v>99</v>
      </c>
      <c r="F1329" t="s">
        <v>143</v>
      </c>
      <c r="I1329" t="s">
        <v>39</v>
      </c>
      <c r="J1329" t="s">
        <v>40</v>
      </c>
      <c r="K1329" t="s">
        <v>41</v>
      </c>
      <c r="L1329" t="s">
        <v>42</v>
      </c>
      <c r="N1329" t="s">
        <v>43</v>
      </c>
      <c r="O1329" t="s">
        <v>156</v>
      </c>
      <c r="P1329">
        <v>186</v>
      </c>
      <c r="Q1329">
        <v>186</v>
      </c>
      <c r="R1329">
        <v>1</v>
      </c>
      <c r="S1329" t="s">
        <v>45</v>
      </c>
      <c r="T1329">
        <v>0</v>
      </c>
      <c r="U1329">
        <v>959</v>
      </c>
      <c r="V1329" t="s">
        <v>46</v>
      </c>
      <c r="W1329">
        <v>0.95799999999999996</v>
      </c>
      <c r="X1329">
        <v>22001</v>
      </c>
      <c r="Y1329" t="s">
        <v>47</v>
      </c>
      <c r="Z1329">
        <v>22</v>
      </c>
      <c r="AA1329">
        <v>502</v>
      </c>
      <c r="AB1329" t="s">
        <v>75</v>
      </c>
      <c r="AC1329">
        <v>0.501</v>
      </c>
      <c r="AD1329">
        <v>770</v>
      </c>
      <c r="AE1329" t="s">
        <v>48</v>
      </c>
      <c r="AF1329">
        <v>0.76900000000000002</v>
      </c>
      <c r="AG1329">
        <v>921</v>
      </c>
      <c r="AH1329" t="s">
        <v>49</v>
      </c>
      <c r="AI1329">
        <v>0.92</v>
      </c>
      <c r="AJ1329" t="s">
        <v>1141</v>
      </c>
    </row>
    <row r="1330" spans="1:36" x14ac:dyDescent="0.25">
      <c r="A1330" t="s">
        <v>734</v>
      </c>
      <c r="B1330">
        <v>861536767</v>
      </c>
      <c r="C1330" t="s">
        <v>735</v>
      </c>
      <c r="D1330" t="s">
        <v>735</v>
      </c>
      <c r="E1330" t="s">
        <v>99</v>
      </c>
      <c r="F1330" t="s">
        <v>143</v>
      </c>
      <c r="I1330" t="s">
        <v>39</v>
      </c>
      <c r="J1330" t="s">
        <v>40</v>
      </c>
      <c r="K1330" t="s">
        <v>41</v>
      </c>
      <c r="L1330" t="s">
        <v>42</v>
      </c>
      <c r="N1330" t="s">
        <v>43</v>
      </c>
      <c r="O1330" t="s">
        <v>156</v>
      </c>
      <c r="P1330">
        <v>186</v>
      </c>
      <c r="Q1330">
        <v>186</v>
      </c>
      <c r="R1330">
        <v>11</v>
      </c>
      <c r="S1330" t="s">
        <v>45</v>
      </c>
      <c r="T1330">
        <v>0.01</v>
      </c>
      <c r="U1330">
        <v>978</v>
      </c>
      <c r="V1330" t="s">
        <v>46</v>
      </c>
      <c r="W1330">
        <v>0.97699999999999998</v>
      </c>
      <c r="X1330">
        <v>22001</v>
      </c>
      <c r="Y1330" t="s">
        <v>47</v>
      </c>
      <c r="Z1330">
        <v>22</v>
      </c>
      <c r="AA1330">
        <v>502</v>
      </c>
      <c r="AB1330" t="s">
        <v>75</v>
      </c>
      <c r="AC1330">
        <v>0.501</v>
      </c>
      <c r="AD1330">
        <v>770</v>
      </c>
      <c r="AE1330" t="s">
        <v>48</v>
      </c>
      <c r="AF1330">
        <v>0.76900000000000002</v>
      </c>
      <c r="AG1330">
        <v>921</v>
      </c>
      <c r="AH1330" t="s">
        <v>49</v>
      </c>
      <c r="AI1330">
        <v>0.92</v>
      </c>
      <c r="AJ1330" t="s">
        <v>1153</v>
      </c>
    </row>
    <row r="1331" spans="1:36" x14ac:dyDescent="0.25">
      <c r="A1331" t="s">
        <v>734</v>
      </c>
      <c r="B1331">
        <v>861536767</v>
      </c>
      <c r="C1331" t="s">
        <v>735</v>
      </c>
      <c r="D1331" t="s">
        <v>735</v>
      </c>
      <c r="E1331" t="s">
        <v>99</v>
      </c>
      <c r="F1331" t="s">
        <v>143</v>
      </c>
      <c r="I1331" t="s">
        <v>39</v>
      </c>
      <c r="J1331" t="s">
        <v>40</v>
      </c>
      <c r="K1331" t="s">
        <v>41</v>
      </c>
      <c r="L1331" t="s">
        <v>42</v>
      </c>
      <c r="N1331" t="s">
        <v>43</v>
      </c>
      <c r="O1331" t="s">
        <v>156</v>
      </c>
      <c r="P1331">
        <v>186</v>
      </c>
      <c r="Q1331">
        <v>186</v>
      </c>
      <c r="R1331">
        <v>11</v>
      </c>
      <c r="S1331" t="s">
        <v>45</v>
      </c>
      <c r="T1331">
        <v>0.01</v>
      </c>
      <c r="U1331">
        <v>978</v>
      </c>
      <c r="V1331" t="s">
        <v>46</v>
      </c>
      <c r="W1331">
        <v>0.97699999999999998</v>
      </c>
      <c r="X1331">
        <v>22001</v>
      </c>
      <c r="Y1331" t="s">
        <v>47</v>
      </c>
      <c r="Z1331">
        <v>22</v>
      </c>
      <c r="AA1331">
        <v>502</v>
      </c>
      <c r="AB1331" t="s">
        <v>75</v>
      </c>
      <c r="AC1331">
        <v>0.501</v>
      </c>
      <c r="AD1331">
        <v>770</v>
      </c>
      <c r="AE1331" t="s">
        <v>48</v>
      </c>
      <c r="AF1331">
        <v>0.76900000000000002</v>
      </c>
      <c r="AG1331">
        <v>921</v>
      </c>
      <c r="AH1331" t="s">
        <v>49</v>
      </c>
      <c r="AI1331">
        <v>0.92</v>
      </c>
      <c r="AJ1331" t="s">
        <v>1154</v>
      </c>
    </row>
    <row r="1332" spans="1:36" x14ac:dyDescent="0.25">
      <c r="A1332" t="s">
        <v>734</v>
      </c>
      <c r="B1332">
        <v>861536767</v>
      </c>
      <c r="C1332" t="s">
        <v>735</v>
      </c>
      <c r="D1332" t="s">
        <v>735</v>
      </c>
      <c r="E1332" t="s">
        <v>99</v>
      </c>
      <c r="F1332" t="s">
        <v>143</v>
      </c>
      <c r="I1332" t="s">
        <v>39</v>
      </c>
      <c r="J1332" t="s">
        <v>40</v>
      </c>
      <c r="K1332" t="s">
        <v>41</v>
      </c>
      <c r="L1332" t="s">
        <v>42</v>
      </c>
      <c r="N1332" t="s">
        <v>43</v>
      </c>
      <c r="O1332" t="s">
        <v>156</v>
      </c>
      <c r="P1332">
        <v>186</v>
      </c>
      <c r="Q1332">
        <v>186</v>
      </c>
      <c r="S1332" t="s">
        <v>39</v>
      </c>
      <c r="V1332" t="s">
        <v>39</v>
      </c>
      <c r="X1332">
        <v>22001</v>
      </c>
      <c r="Y1332" t="s">
        <v>47</v>
      </c>
      <c r="Z1332">
        <v>22</v>
      </c>
      <c r="AA1332">
        <v>502</v>
      </c>
      <c r="AB1332" t="s">
        <v>75</v>
      </c>
      <c r="AC1332">
        <v>0.501</v>
      </c>
      <c r="AD1332">
        <v>770</v>
      </c>
      <c r="AE1332" t="s">
        <v>48</v>
      </c>
      <c r="AF1332">
        <v>0.76900000000000002</v>
      </c>
      <c r="AG1332">
        <v>921</v>
      </c>
      <c r="AH1332" t="s">
        <v>49</v>
      </c>
      <c r="AI1332">
        <v>0.92</v>
      </c>
      <c r="AJ1332" t="s">
        <v>1155</v>
      </c>
    </row>
    <row r="1333" spans="1:36" x14ac:dyDescent="0.25">
      <c r="A1333" t="s">
        <v>734</v>
      </c>
      <c r="B1333">
        <v>861536767</v>
      </c>
      <c r="C1333" t="s">
        <v>735</v>
      </c>
      <c r="D1333" t="s">
        <v>735</v>
      </c>
      <c r="E1333" t="s">
        <v>99</v>
      </c>
      <c r="F1333" t="s">
        <v>143</v>
      </c>
      <c r="I1333" t="s">
        <v>39</v>
      </c>
      <c r="J1333" t="s">
        <v>40</v>
      </c>
      <c r="K1333" t="s">
        <v>41</v>
      </c>
      <c r="L1333" t="s">
        <v>42</v>
      </c>
      <c r="N1333" t="s">
        <v>43</v>
      </c>
      <c r="O1333" t="s">
        <v>156</v>
      </c>
      <c r="P1333">
        <v>186</v>
      </c>
      <c r="Q1333">
        <v>186</v>
      </c>
      <c r="S1333" t="s">
        <v>39</v>
      </c>
      <c r="V1333" t="s">
        <v>39</v>
      </c>
      <c r="X1333">
        <v>22001</v>
      </c>
      <c r="Y1333" t="s">
        <v>47</v>
      </c>
      <c r="Z1333">
        <v>22</v>
      </c>
      <c r="AA1333">
        <v>502</v>
      </c>
      <c r="AB1333" t="s">
        <v>75</v>
      </c>
      <c r="AC1333">
        <v>0.501</v>
      </c>
      <c r="AD1333">
        <v>770</v>
      </c>
      <c r="AE1333" t="s">
        <v>48</v>
      </c>
      <c r="AF1333">
        <v>0.76900000000000002</v>
      </c>
      <c r="AG1333">
        <v>921</v>
      </c>
      <c r="AH1333" t="s">
        <v>49</v>
      </c>
      <c r="AI1333">
        <v>0.92</v>
      </c>
      <c r="AJ1333" t="s">
        <v>1156</v>
      </c>
    </row>
    <row r="1334" spans="1:36" x14ac:dyDescent="0.25">
      <c r="A1334" t="s">
        <v>736</v>
      </c>
      <c r="B1334">
        <v>865826802</v>
      </c>
      <c r="C1334" t="s">
        <v>737</v>
      </c>
      <c r="D1334" t="s">
        <v>737</v>
      </c>
      <c r="E1334" t="s">
        <v>60</v>
      </c>
      <c r="F1334" t="s">
        <v>88</v>
      </c>
      <c r="I1334" t="s">
        <v>39</v>
      </c>
      <c r="J1334" t="s">
        <v>40</v>
      </c>
      <c r="K1334" t="s">
        <v>41</v>
      </c>
      <c r="L1334" t="s">
        <v>173</v>
      </c>
      <c r="N1334" t="s">
        <v>43</v>
      </c>
      <c r="O1334" t="s">
        <v>194</v>
      </c>
      <c r="P1334">
        <v>186</v>
      </c>
      <c r="Q1334">
        <v>186</v>
      </c>
      <c r="R1334">
        <v>171</v>
      </c>
      <c r="S1334" t="s">
        <v>56</v>
      </c>
      <c r="T1334">
        <v>0.17</v>
      </c>
      <c r="U1334">
        <v>396</v>
      </c>
      <c r="V1334" t="s">
        <v>55</v>
      </c>
      <c r="W1334">
        <v>0.39500000000000002</v>
      </c>
      <c r="X1334">
        <v>17001</v>
      </c>
      <c r="Y1334" t="s">
        <v>47</v>
      </c>
      <c r="Z1334">
        <v>17</v>
      </c>
      <c r="AA1334">
        <v>425</v>
      </c>
      <c r="AB1334" t="s">
        <v>47</v>
      </c>
      <c r="AC1334">
        <v>0.42399999999999999</v>
      </c>
      <c r="AD1334">
        <v>535</v>
      </c>
      <c r="AE1334" t="s">
        <v>48</v>
      </c>
      <c r="AF1334">
        <v>0.53400000000000003</v>
      </c>
      <c r="AG1334">
        <v>549</v>
      </c>
      <c r="AH1334" t="s">
        <v>49</v>
      </c>
      <c r="AI1334">
        <v>0.54800000000000004</v>
      </c>
      <c r="AJ1334" t="s">
        <v>50</v>
      </c>
    </row>
    <row r="1335" spans="1:36" x14ac:dyDescent="0.25">
      <c r="A1335" t="s">
        <v>736</v>
      </c>
      <c r="B1335">
        <v>865826802</v>
      </c>
      <c r="C1335" t="s">
        <v>737</v>
      </c>
      <c r="D1335" t="s">
        <v>737</v>
      </c>
      <c r="E1335" t="s">
        <v>60</v>
      </c>
      <c r="F1335" t="s">
        <v>88</v>
      </c>
      <c r="I1335" t="s">
        <v>39</v>
      </c>
      <c r="J1335" t="s">
        <v>40</v>
      </c>
      <c r="K1335" t="s">
        <v>41</v>
      </c>
      <c r="L1335" t="s">
        <v>173</v>
      </c>
      <c r="N1335" t="s">
        <v>43</v>
      </c>
      <c r="O1335" t="s">
        <v>194</v>
      </c>
      <c r="P1335">
        <v>186</v>
      </c>
      <c r="Q1335">
        <v>186</v>
      </c>
      <c r="R1335">
        <v>31</v>
      </c>
      <c r="S1335" t="s">
        <v>45</v>
      </c>
      <c r="T1335">
        <v>0.03</v>
      </c>
      <c r="U1335">
        <v>179</v>
      </c>
      <c r="V1335" t="s">
        <v>55</v>
      </c>
      <c r="W1335">
        <v>0.17799999999999999</v>
      </c>
      <c r="X1335">
        <v>17001</v>
      </c>
      <c r="Y1335" t="s">
        <v>47</v>
      </c>
      <c r="Z1335">
        <v>17</v>
      </c>
      <c r="AA1335">
        <v>425</v>
      </c>
      <c r="AB1335" t="s">
        <v>47</v>
      </c>
      <c r="AC1335">
        <v>0.42399999999999999</v>
      </c>
      <c r="AD1335">
        <v>535</v>
      </c>
      <c r="AE1335" t="s">
        <v>48</v>
      </c>
      <c r="AF1335">
        <v>0.53400000000000003</v>
      </c>
      <c r="AG1335">
        <v>549</v>
      </c>
      <c r="AH1335" t="s">
        <v>49</v>
      </c>
      <c r="AI1335">
        <v>0.54800000000000004</v>
      </c>
      <c r="AJ1335" t="s">
        <v>1141</v>
      </c>
    </row>
    <row r="1336" spans="1:36" x14ac:dyDescent="0.25">
      <c r="A1336" t="s">
        <v>736</v>
      </c>
      <c r="B1336">
        <v>865826802</v>
      </c>
      <c r="C1336" t="s">
        <v>737</v>
      </c>
      <c r="D1336" t="s">
        <v>737</v>
      </c>
      <c r="E1336" t="s">
        <v>60</v>
      </c>
      <c r="F1336" t="s">
        <v>88</v>
      </c>
      <c r="I1336" t="s">
        <v>39</v>
      </c>
      <c r="J1336" t="s">
        <v>40</v>
      </c>
      <c r="K1336" t="s">
        <v>41</v>
      </c>
      <c r="L1336" t="s">
        <v>173</v>
      </c>
      <c r="N1336" t="s">
        <v>43</v>
      </c>
      <c r="O1336" t="s">
        <v>194</v>
      </c>
      <c r="P1336">
        <v>186</v>
      </c>
      <c r="Q1336">
        <v>186</v>
      </c>
      <c r="R1336">
        <v>171</v>
      </c>
      <c r="S1336" t="s">
        <v>56</v>
      </c>
      <c r="T1336">
        <v>0.17</v>
      </c>
      <c r="U1336">
        <v>396</v>
      </c>
      <c r="V1336" t="s">
        <v>55</v>
      </c>
      <c r="W1336">
        <v>0.39500000000000002</v>
      </c>
      <c r="X1336">
        <v>17001</v>
      </c>
      <c r="Y1336" t="s">
        <v>47</v>
      </c>
      <c r="Z1336">
        <v>17</v>
      </c>
      <c r="AA1336">
        <v>425</v>
      </c>
      <c r="AB1336" t="s">
        <v>47</v>
      </c>
      <c r="AC1336">
        <v>0.42399999999999999</v>
      </c>
      <c r="AD1336">
        <v>535</v>
      </c>
      <c r="AE1336" t="s">
        <v>48</v>
      </c>
      <c r="AF1336">
        <v>0.53400000000000003</v>
      </c>
      <c r="AG1336">
        <v>549</v>
      </c>
      <c r="AH1336" t="s">
        <v>49</v>
      </c>
      <c r="AI1336">
        <v>0.54800000000000004</v>
      </c>
      <c r="AJ1336" t="s">
        <v>1153</v>
      </c>
    </row>
    <row r="1337" spans="1:36" x14ac:dyDescent="0.25">
      <c r="A1337" t="s">
        <v>736</v>
      </c>
      <c r="B1337">
        <v>865826802</v>
      </c>
      <c r="C1337" t="s">
        <v>737</v>
      </c>
      <c r="D1337" t="s">
        <v>737</v>
      </c>
      <c r="E1337" t="s">
        <v>60</v>
      </c>
      <c r="F1337" t="s">
        <v>88</v>
      </c>
      <c r="I1337" t="s">
        <v>39</v>
      </c>
      <c r="J1337" t="s">
        <v>40</v>
      </c>
      <c r="K1337" t="s">
        <v>41</v>
      </c>
      <c r="L1337" t="s">
        <v>173</v>
      </c>
      <c r="N1337" t="s">
        <v>43</v>
      </c>
      <c r="O1337" t="s">
        <v>194</v>
      </c>
      <c r="P1337">
        <v>186</v>
      </c>
      <c r="Q1337">
        <v>186</v>
      </c>
      <c r="R1337">
        <v>171</v>
      </c>
      <c r="S1337" t="s">
        <v>56</v>
      </c>
      <c r="T1337">
        <v>0.17</v>
      </c>
      <c r="U1337">
        <v>396</v>
      </c>
      <c r="V1337" t="s">
        <v>55</v>
      </c>
      <c r="W1337">
        <v>0.39500000000000002</v>
      </c>
      <c r="X1337">
        <v>17001</v>
      </c>
      <c r="Y1337" t="s">
        <v>47</v>
      </c>
      <c r="Z1337">
        <v>17</v>
      </c>
      <c r="AA1337">
        <v>425</v>
      </c>
      <c r="AB1337" t="s">
        <v>47</v>
      </c>
      <c r="AC1337">
        <v>0.42399999999999999</v>
      </c>
      <c r="AD1337">
        <v>535</v>
      </c>
      <c r="AE1337" t="s">
        <v>48</v>
      </c>
      <c r="AF1337">
        <v>0.53400000000000003</v>
      </c>
      <c r="AG1337">
        <v>549</v>
      </c>
      <c r="AH1337" t="s">
        <v>49</v>
      </c>
      <c r="AI1337">
        <v>0.54800000000000004</v>
      </c>
      <c r="AJ1337" t="s">
        <v>1154</v>
      </c>
    </row>
    <row r="1338" spans="1:36" x14ac:dyDescent="0.25">
      <c r="A1338" t="s">
        <v>736</v>
      </c>
      <c r="B1338">
        <v>865826802</v>
      </c>
      <c r="C1338" t="s">
        <v>737</v>
      </c>
      <c r="D1338" t="s">
        <v>737</v>
      </c>
      <c r="E1338" t="s">
        <v>60</v>
      </c>
      <c r="F1338" t="s">
        <v>88</v>
      </c>
      <c r="I1338" t="s">
        <v>39</v>
      </c>
      <c r="J1338" t="s">
        <v>40</v>
      </c>
      <c r="K1338" t="s">
        <v>41</v>
      </c>
      <c r="L1338" t="s">
        <v>173</v>
      </c>
      <c r="N1338" t="s">
        <v>43</v>
      </c>
      <c r="O1338" t="s">
        <v>194</v>
      </c>
      <c r="P1338">
        <v>186</v>
      </c>
      <c r="Q1338">
        <v>186</v>
      </c>
      <c r="S1338" t="s">
        <v>39</v>
      </c>
      <c r="V1338" t="s">
        <v>39</v>
      </c>
      <c r="X1338">
        <v>17001</v>
      </c>
      <c r="Y1338" t="s">
        <v>47</v>
      </c>
      <c r="Z1338">
        <v>17</v>
      </c>
      <c r="AA1338">
        <v>425</v>
      </c>
      <c r="AB1338" t="s">
        <v>47</v>
      </c>
      <c r="AC1338">
        <v>0.42399999999999999</v>
      </c>
      <c r="AD1338">
        <v>535</v>
      </c>
      <c r="AE1338" t="s">
        <v>48</v>
      </c>
      <c r="AF1338">
        <v>0.53400000000000003</v>
      </c>
      <c r="AG1338">
        <v>549</v>
      </c>
      <c r="AH1338" t="s">
        <v>49</v>
      </c>
      <c r="AI1338">
        <v>0.54800000000000004</v>
      </c>
      <c r="AJ1338" t="s">
        <v>1155</v>
      </c>
    </row>
    <row r="1339" spans="1:36" x14ac:dyDescent="0.25">
      <c r="A1339" t="s">
        <v>736</v>
      </c>
      <c r="B1339">
        <v>865826802</v>
      </c>
      <c r="C1339" t="s">
        <v>737</v>
      </c>
      <c r="D1339" t="s">
        <v>737</v>
      </c>
      <c r="E1339" t="s">
        <v>60</v>
      </c>
      <c r="F1339" t="s">
        <v>88</v>
      </c>
      <c r="I1339" t="s">
        <v>39</v>
      </c>
      <c r="J1339" t="s">
        <v>40</v>
      </c>
      <c r="K1339" t="s">
        <v>41</v>
      </c>
      <c r="L1339" t="s">
        <v>173</v>
      </c>
      <c r="N1339" t="s">
        <v>43</v>
      </c>
      <c r="O1339" t="s">
        <v>194</v>
      </c>
      <c r="P1339">
        <v>186</v>
      </c>
      <c r="Q1339">
        <v>186</v>
      </c>
      <c r="S1339" t="s">
        <v>39</v>
      </c>
      <c r="V1339" t="s">
        <v>39</v>
      </c>
      <c r="X1339">
        <v>17001</v>
      </c>
      <c r="Y1339" t="s">
        <v>47</v>
      </c>
      <c r="Z1339">
        <v>17</v>
      </c>
      <c r="AA1339">
        <v>425</v>
      </c>
      <c r="AB1339" t="s">
        <v>47</v>
      </c>
      <c r="AC1339">
        <v>0.42399999999999999</v>
      </c>
      <c r="AD1339">
        <v>535</v>
      </c>
      <c r="AE1339" t="s">
        <v>48</v>
      </c>
      <c r="AF1339">
        <v>0.53400000000000003</v>
      </c>
      <c r="AG1339">
        <v>549</v>
      </c>
      <c r="AH1339" t="s">
        <v>49</v>
      </c>
      <c r="AI1339">
        <v>0.54800000000000004</v>
      </c>
      <c r="AJ1339" t="s">
        <v>1156</v>
      </c>
    </row>
    <row r="1340" spans="1:36" x14ac:dyDescent="0.25">
      <c r="A1340" t="s">
        <v>732</v>
      </c>
      <c r="B1340">
        <v>855854851</v>
      </c>
      <c r="C1340" t="s">
        <v>733</v>
      </c>
      <c r="D1340" t="s">
        <v>733</v>
      </c>
      <c r="E1340" t="s">
        <v>99</v>
      </c>
      <c r="F1340" t="s">
        <v>100</v>
      </c>
      <c r="I1340" t="s">
        <v>39</v>
      </c>
      <c r="J1340" t="s">
        <v>40</v>
      </c>
      <c r="K1340" t="s">
        <v>41</v>
      </c>
      <c r="L1340" t="s">
        <v>53</v>
      </c>
      <c r="N1340" t="s">
        <v>43</v>
      </c>
      <c r="O1340" t="s">
        <v>132</v>
      </c>
      <c r="P1340">
        <v>187</v>
      </c>
      <c r="Q1340">
        <v>187</v>
      </c>
      <c r="R1340">
        <v>121</v>
      </c>
      <c r="S1340" t="s">
        <v>56</v>
      </c>
      <c r="T1340">
        <v>0.12</v>
      </c>
      <c r="U1340">
        <v>29</v>
      </c>
      <c r="V1340" t="s">
        <v>55</v>
      </c>
      <c r="W1340">
        <v>2.8000000000000001E-2</v>
      </c>
      <c r="X1340">
        <v>14001</v>
      </c>
      <c r="Y1340" t="s">
        <v>47</v>
      </c>
      <c r="Z1340">
        <v>14</v>
      </c>
      <c r="AA1340">
        <v>368</v>
      </c>
      <c r="AB1340" t="s">
        <v>47</v>
      </c>
      <c r="AC1340">
        <v>0.36699999999999999</v>
      </c>
      <c r="AD1340">
        <v>557</v>
      </c>
      <c r="AE1340" t="s">
        <v>48</v>
      </c>
      <c r="AF1340">
        <v>0.55600000000000005</v>
      </c>
      <c r="AG1340">
        <v>546</v>
      </c>
      <c r="AH1340" t="s">
        <v>49</v>
      </c>
      <c r="AI1340">
        <v>0.54500000000000004</v>
      </c>
      <c r="AJ1340" t="s">
        <v>50</v>
      </c>
    </row>
    <row r="1341" spans="1:36" x14ac:dyDescent="0.25">
      <c r="A1341" t="s">
        <v>732</v>
      </c>
      <c r="B1341">
        <v>855854851</v>
      </c>
      <c r="C1341" t="s">
        <v>733</v>
      </c>
      <c r="D1341" t="s">
        <v>733</v>
      </c>
      <c r="E1341" t="s">
        <v>65</v>
      </c>
      <c r="F1341" t="s">
        <v>100</v>
      </c>
      <c r="I1341" t="s">
        <v>39</v>
      </c>
      <c r="J1341" t="s">
        <v>40</v>
      </c>
      <c r="K1341" t="s">
        <v>41</v>
      </c>
      <c r="L1341" t="s">
        <v>53</v>
      </c>
      <c r="N1341" t="s">
        <v>43</v>
      </c>
      <c r="O1341" t="s">
        <v>133</v>
      </c>
      <c r="P1341">
        <v>187</v>
      </c>
      <c r="Q1341">
        <v>187</v>
      </c>
      <c r="R1341">
        <v>251</v>
      </c>
      <c r="S1341" t="s">
        <v>56</v>
      </c>
      <c r="T1341">
        <v>0.25</v>
      </c>
      <c r="U1341">
        <v>941</v>
      </c>
      <c r="V1341" t="s">
        <v>46</v>
      </c>
      <c r="W1341">
        <v>0.94</v>
      </c>
      <c r="X1341">
        <v>17001</v>
      </c>
      <c r="Y1341" t="s">
        <v>47</v>
      </c>
      <c r="Z1341">
        <v>17</v>
      </c>
      <c r="AA1341">
        <v>409</v>
      </c>
      <c r="AB1341" t="s">
        <v>47</v>
      </c>
      <c r="AC1341">
        <v>0.40799999999999997</v>
      </c>
      <c r="AD1341">
        <v>641</v>
      </c>
      <c r="AE1341" t="s">
        <v>48</v>
      </c>
      <c r="AF1341">
        <v>0.64</v>
      </c>
      <c r="AG1341">
        <v>709</v>
      </c>
      <c r="AH1341" t="s">
        <v>49</v>
      </c>
      <c r="AI1341">
        <v>0.70799999999999996</v>
      </c>
      <c r="AJ1341" t="s">
        <v>50</v>
      </c>
    </row>
    <row r="1342" spans="1:36" x14ac:dyDescent="0.25">
      <c r="A1342" t="s">
        <v>732</v>
      </c>
      <c r="B1342">
        <v>855854851</v>
      </c>
      <c r="C1342" t="s">
        <v>733</v>
      </c>
      <c r="D1342" t="s">
        <v>733</v>
      </c>
      <c r="E1342" t="s">
        <v>99</v>
      </c>
      <c r="F1342" t="s">
        <v>100</v>
      </c>
      <c r="I1342" t="s">
        <v>39</v>
      </c>
      <c r="J1342" t="s">
        <v>40</v>
      </c>
      <c r="K1342" t="s">
        <v>41</v>
      </c>
      <c r="L1342" t="s">
        <v>53</v>
      </c>
      <c r="N1342" t="s">
        <v>43</v>
      </c>
      <c r="O1342" t="s">
        <v>132</v>
      </c>
      <c r="P1342">
        <v>187</v>
      </c>
      <c r="Q1342">
        <v>187</v>
      </c>
      <c r="R1342">
        <v>91</v>
      </c>
      <c r="S1342" t="s">
        <v>56</v>
      </c>
      <c r="T1342">
        <v>0.09</v>
      </c>
      <c r="U1342">
        <v>25</v>
      </c>
      <c r="V1342" t="s">
        <v>55</v>
      </c>
      <c r="W1342">
        <v>2.4E-2</v>
      </c>
      <c r="X1342">
        <v>14001</v>
      </c>
      <c r="Y1342" t="s">
        <v>47</v>
      </c>
      <c r="Z1342">
        <v>14</v>
      </c>
      <c r="AA1342">
        <v>368</v>
      </c>
      <c r="AB1342" t="s">
        <v>47</v>
      </c>
      <c r="AC1342">
        <v>0.36699999999999999</v>
      </c>
      <c r="AD1342">
        <v>557</v>
      </c>
      <c r="AE1342" t="s">
        <v>48</v>
      </c>
      <c r="AF1342">
        <v>0.55600000000000005</v>
      </c>
      <c r="AG1342">
        <v>546</v>
      </c>
      <c r="AH1342" t="s">
        <v>49</v>
      </c>
      <c r="AI1342">
        <v>0.54500000000000004</v>
      </c>
      <c r="AJ1342" t="s">
        <v>1141</v>
      </c>
    </row>
    <row r="1343" spans="1:36" x14ac:dyDescent="0.25">
      <c r="A1343" t="s">
        <v>732</v>
      </c>
      <c r="B1343">
        <v>855854851</v>
      </c>
      <c r="C1343" t="s">
        <v>733</v>
      </c>
      <c r="D1343" t="s">
        <v>733</v>
      </c>
      <c r="E1343" t="s">
        <v>65</v>
      </c>
      <c r="F1343" t="s">
        <v>100</v>
      </c>
      <c r="I1343" t="s">
        <v>39</v>
      </c>
      <c r="J1343" t="s">
        <v>40</v>
      </c>
      <c r="K1343" t="s">
        <v>41</v>
      </c>
      <c r="L1343" t="s">
        <v>53</v>
      </c>
      <c r="N1343" t="s">
        <v>43</v>
      </c>
      <c r="O1343" t="s">
        <v>133</v>
      </c>
      <c r="P1343">
        <v>187</v>
      </c>
      <c r="Q1343">
        <v>187</v>
      </c>
      <c r="R1343">
        <v>1</v>
      </c>
      <c r="S1343" t="s">
        <v>45</v>
      </c>
      <c r="T1343">
        <v>0</v>
      </c>
      <c r="U1343">
        <v>940</v>
      </c>
      <c r="V1343" t="s">
        <v>46</v>
      </c>
      <c r="W1343">
        <v>0.93899999999999995</v>
      </c>
      <c r="X1343">
        <v>17001</v>
      </c>
      <c r="Y1343" t="s">
        <v>47</v>
      </c>
      <c r="Z1343">
        <v>17</v>
      </c>
      <c r="AA1343">
        <v>409</v>
      </c>
      <c r="AB1343" t="s">
        <v>47</v>
      </c>
      <c r="AC1343">
        <v>0.40799999999999997</v>
      </c>
      <c r="AD1343">
        <v>641</v>
      </c>
      <c r="AE1343" t="s">
        <v>48</v>
      </c>
      <c r="AF1343">
        <v>0.64</v>
      </c>
      <c r="AG1343">
        <v>709</v>
      </c>
      <c r="AH1343" t="s">
        <v>49</v>
      </c>
      <c r="AI1343">
        <v>0.70799999999999996</v>
      </c>
      <c r="AJ1343" t="s">
        <v>1141</v>
      </c>
    </row>
    <row r="1344" spans="1:36" x14ac:dyDescent="0.25">
      <c r="A1344" t="s">
        <v>732</v>
      </c>
      <c r="B1344">
        <v>855854851</v>
      </c>
      <c r="C1344" t="s">
        <v>733</v>
      </c>
      <c r="D1344" t="s">
        <v>733</v>
      </c>
      <c r="E1344" t="s">
        <v>99</v>
      </c>
      <c r="F1344" t="s">
        <v>100</v>
      </c>
      <c r="I1344" t="s">
        <v>39</v>
      </c>
      <c r="J1344" t="s">
        <v>40</v>
      </c>
      <c r="K1344" t="s">
        <v>41</v>
      </c>
      <c r="L1344" t="s">
        <v>53</v>
      </c>
      <c r="N1344" t="s">
        <v>43</v>
      </c>
      <c r="O1344" t="s">
        <v>132</v>
      </c>
      <c r="P1344">
        <v>187</v>
      </c>
      <c r="Q1344">
        <v>187</v>
      </c>
      <c r="R1344">
        <v>121</v>
      </c>
      <c r="S1344" t="s">
        <v>56</v>
      </c>
      <c r="T1344">
        <v>0.12</v>
      </c>
      <c r="U1344">
        <v>29</v>
      </c>
      <c r="V1344" t="s">
        <v>55</v>
      </c>
      <c r="W1344">
        <v>2.8000000000000001E-2</v>
      </c>
      <c r="X1344">
        <v>14001</v>
      </c>
      <c r="Y1344" t="s">
        <v>47</v>
      </c>
      <c r="Z1344">
        <v>14</v>
      </c>
      <c r="AA1344">
        <v>368</v>
      </c>
      <c r="AB1344" t="s">
        <v>47</v>
      </c>
      <c r="AC1344">
        <v>0.36699999999999999</v>
      </c>
      <c r="AD1344">
        <v>557</v>
      </c>
      <c r="AE1344" t="s">
        <v>48</v>
      </c>
      <c r="AF1344">
        <v>0.55600000000000005</v>
      </c>
      <c r="AG1344">
        <v>546</v>
      </c>
      <c r="AH1344" t="s">
        <v>49</v>
      </c>
      <c r="AI1344">
        <v>0.54500000000000004</v>
      </c>
      <c r="AJ1344" t="s">
        <v>1153</v>
      </c>
    </row>
    <row r="1345" spans="1:36" x14ac:dyDescent="0.25">
      <c r="A1345" t="s">
        <v>732</v>
      </c>
      <c r="B1345">
        <v>855854851</v>
      </c>
      <c r="C1345" t="s">
        <v>733</v>
      </c>
      <c r="D1345" t="s">
        <v>733</v>
      </c>
      <c r="E1345" t="s">
        <v>65</v>
      </c>
      <c r="F1345" t="s">
        <v>100</v>
      </c>
      <c r="I1345" t="s">
        <v>39</v>
      </c>
      <c r="J1345" t="s">
        <v>40</v>
      </c>
      <c r="K1345" t="s">
        <v>41</v>
      </c>
      <c r="L1345" t="s">
        <v>53</v>
      </c>
      <c r="N1345" t="s">
        <v>43</v>
      </c>
      <c r="O1345" t="s">
        <v>133</v>
      </c>
      <c r="P1345">
        <v>187</v>
      </c>
      <c r="Q1345">
        <v>187</v>
      </c>
      <c r="R1345">
        <v>251</v>
      </c>
      <c r="S1345" t="s">
        <v>56</v>
      </c>
      <c r="T1345">
        <v>0.25</v>
      </c>
      <c r="U1345">
        <v>941</v>
      </c>
      <c r="V1345" t="s">
        <v>46</v>
      </c>
      <c r="W1345">
        <v>0.94</v>
      </c>
      <c r="X1345">
        <v>17001</v>
      </c>
      <c r="Y1345" t="s">
        <v>47</v>
      </c>
      <c r="Z1345">
        <v>17</v>
      </c>
      <c r="AA1345">
        <v>409</v>
      </c>
      <c r="AB1345" t="s">
        <v>47</v>
      </c>
      <c r="AC1345">
        <v>0.40799999999999997</v>
      </c>
      <c r="AD1345">
        <v>641</v>
      </c>
      <c r="AE1345" t="s">
        <v>48</v>
      </c>
      <c r="AF1345">
        <v>0.64</v>
      </c>
      <c r="AG1345">
        <v>709</v>
      </c>
      <c r="AH1345" t="s">
        <v>49</v>
      </c>
      <c r="AI1345">
        <v>0.70799999999999996</v>
      </c>
      <c r="AJ1345" t="s">
        <v>1153</v>
      </c>
    </row>
    <row r="1346" spans="1:36" x14ac:dyDescent="0.25">
      <c r="A1346" t="s">
        <v>732</v>
      </c>
      <c r="B1346">
        <v>855854851</v>
      </c>
      <c r="C1346" t="s">
        <v>733</v>
      </c>
      <c r="D1346" t="s">
        <v>733</v>
      </c>
      <c r="E1346" t="s">
        <v>99</v>
      </c>
      <c r="F1346" t="s">
        <v>100</v>
      </c>
      <c r="I1346" t="s">
        <v>39</v>
      </c>
      <c r="J1346" t="s">
        <v>40</v>
      </c>
      <c r="K1346" t="s">
        <v>41</v>
      </c>
      <c r="L1346" t="s">
        <v>53</v>
      </c>
      <c r="N1346" t="s">
        <v>43</v>
      </c>
      <c r="O1346" t="s">
        <v>132</v>
      </c>
      <c r="P1346">
        <v>187</v>
      </c>
      <c r="Q1346">
        <v>187</v>
      </c>
      <c r="R1346">
        <v>121</v>
      </c>
      <c r="S1346" t="s">
        <v>56</v>
      </c>
      <c r="T1346">
        <v>0.12</v>
      </c>
      <c r="U1346">
        <v>29</v>
      </c>
      <c r="V1346" t="s">
        <v>55</v>
      </c>
      <c r="W1346">
        <v>2.8000000000000001E-2</v>
      </c>
      <c r="X1346">
        <v>14001</v>
      </c>
      <c r="Y1346" t="s">
        <v>47</v>
      </c>
      <c r="Z1346">
        <v>14</v>
      </c>
      <c r="AA1346">
        <v>368</v>
      </c>
      <c r="AB1346" t="s">
        <v>47</v>
      </c>
      <c r="AC1346">
        <v>0.36699999999999999</v>
      </c>
      <c r="AD1346">
        <v>557</v>
      </c>
      <c r="AE1346" t="s">
        <v>48</v>
      </c>
      <c r="AF1346">
        <v>0.55600000000000005</v>
      </c>
      <c r="AG1346">
        <v>546</v>
      </c>
      <c r="AH1346" t="s">
        <v>49</v>
      </c>
      <c r="AI1346">
        <v>0.54500000000000004</v>
      </c>
      <c r="AJ1346" t="s">
        <v>1154</v>
      </c>
    </row>
    <row r="1347" spans="1:36" x14ac:dyDescent="0.25">
      <c r="A1347" t="s">
        <v>732</v>
      </c>
      <c r="B1347">
        <v>855854851</v>
      </c>
      <c r="C1347" t="s">
        <v>733</v>
      </c>
      <c r="D1347" t="s">
        <v>733</v>
      </c>
      <c r="E1347" t="s">
        <v>65</v>
      </c>
      <c r="F1347" t="s">
        <v>100</v>
      </c>
      <c r="I1347" t="s">
        <v>39</v>
      </c>
      <c r="J1347" t="s">
        <v>40</v>
      </c>
      <c r="K1347" t="s">
        <v>41</v>
      </c>
      <c r="L1347" t="s">
        <v>53</v>
      </c>
      <c r="N1347" t="s">
        <v>43</v>
      </c>
      <c r="O1347" t="s">
        <v>133</v>
      </c>
      <c r="P1347">
        <v>187</v>
      </c>
      <c r="Q1347">
        <v>187</v>
      </c>
      <c r="R1347">
        <v>251</v>
      </c>
      <c r="S1347" t="s">
        <v>56</v>
      </c>
      <c r="T1347">
        <v>0.25</v>
      </c>
      <c r="U1347">
        <v>941</v>
      </c>
      <c r="V1347" t="s">
        <v>46</v>
      </c>
      <c r="W1347">
        <v>0.94</v>
      </c>
      <c r="X1347">
        <v>17001</v>
      </c>
      <c r="Y1347" t="s">
        <v>47</v>
      </c>
      <c r="Z1347">
        <v>17</v>
      </c>
      <c r="AA1347">
        <v>409</v>
      </c>
      <c r="AB1347" t="s">
        <v>47</v>
      </c>
      <c r="AC1347">
        <v>0.40799999999999997</v>
      </c>
      <c r="AD1347">
        <v>641</v>
      </c>
      <c r="AE1347" t="s">
        <v>48</v>
      </c>
      <c r="AF1347">
        <v>0.64</v>
      </c>
      <c r="AG1347">
        <v>709</v>
      </c>
      <c r="AH1347" t="s">
        <v>49</v>
      </c>
      <c r="AI1347">
        <v>0.70799999999999996</v>
      </c>
      <c r="AJ1347" t="s">
        <v>1154</v>
      </c>
    </row>
    <row r="1348" spans="1:36" x14ac:dyDescent="0.25">
      <c r="A1348" t="s">
        <v>732</v>
      </c>
      <c r="B1348">
        <v>855854851</v>
      </c>
      <c r="C1348" t="s">
        <v>733</v>
      </c>
      <c r="D1348" t="s">
        <v>733</v>
      </c>
      <c r="E1348" t="s">
        <v>99</v>
      </c>
      <c r="F1348" t="s">
        <v>100</v>
      </c>
      <c r="I1348" t="s">
        <v>39</v>
      </c>
      <c r="J1348" t="s">
        <v>40</v>
      </c>
      <c r="K1348" t="s">
        <v>41</v>
      </c>
      <c r="L1348" t="s">
        <v>53</v>
      </c>
      <c r="N1348" t="s">
        <v>43</v>
      </c>
      <c r="O1348" t="s">
        <v>132</v>
      </c>
      <c r="P1348">
        <v>187</v>
      </c>
      <c r="Q1348">
        <v>187</v>
      </c>
      <c r="S1348" t="s">
        <v>39</v>
      </c>
      <c r="V1348" t="s">
        <v>39</v>
      </c>
      <c r="X1348">
        <v>14001</v>
      </c>
      <c r="Y1348" t="s">
        <v>47</v>
      </c>
      <c r="Z1348">
        <v>14</v>
      </c>
      <c r="AA1348">
        <v>368</v>
      </c>
      <c r="AB1348" t="s">
        <v>47</v>
      </c>
      <c r="AC1348">
        <v>0.36699999999999999</v>
      </c>
      <c r="AD1348">
        <v>557</v>
      </c>
      <c r="AE1348" t="s">
        <v>48</v>
      </c>
      <c r="AF1348">
        <v>0.55600000000000005</v>
      </c>
      <c r="AG1348">
        <v>546</v>
      </c>
      <c r="AH1348" t="s">
        <v>49</v>
      </c>
      <c r="AI1348">
        <v>0.54500000000000004</v>
      </c>
      <c r="AJ1348" t="s">
        <v>1155</v>
      </c>
    </row>
    <row r="1349" spans="1:36" x14ac:dyDescent="0.25">
      <c r="A1349" t="s">
        <v>732</v>
      </c>
      <c r="B1349">
        <v>855854851</v>
      </c>
      <c r="C1349" t="s">
        <v>733</v>
      </c>
      <c r="D1349" t="s">
        <v>733</v>
      </c>
      <c r="E1349" t="s">
        <v>65</v>
      </c>
      <c r="F1349" t="s">
        <v>100</v>
      </c>
      <c r="I1349" t="s">
        <v>39</v>
      </c>
      <c r="J1349" t="s">
        <v>40</v>
      </c>
      <c r="K1349" t="s">
        <v>41</v>
      </c>
      <c r="L1349" t="s">
        <v>53</v>
      </c>
      <c r="N1349" t="s">
        <v>43</v>
      </c>
      <c r="O1349" t="s">
        <v>133</v>
      </c>
      <c r="P1349">
        <v>187</v>
      </c>
      <c r="Q1349">
        <v>187</v>
      </c>
      <c r="S1349" t="s">
        <v>39</v>
      </c>
      <c r="V1349" t="s">
        <v>39</v>
      </c>
      <c r="X1349">
        <v>17001</v>
      </c>
      <c r="Y1349" t="s">
        <v>47</v>
      </c>
      <c r="Z1349">
        <v>17</v>
      </c>
      <c r="AA1349">
        <v>409</v>
      </c>
      <c r="AB1349" t="s">
        <v>47</v>
      </c>
      <c r="AC1349">
        <v>0.40799999999999997</v>
      </c>
      <c r="AD1349">
        <v>641</v>
      </c>
      <c r="AE1349" t="s">
        <v>48</v>
      </c>
      <c r="AF1349">
        <v>0.64</v>
      </c>
      <c r="AG1349">
        <v>709</v>
      </c>
      <c r="AH1349" t="s">
        <v>49</v>
      </c>
      <c r="AI1349">
        <v>0.70799999999999996</v>
      </c>
      <c r="AJ1349" t="s">
        <v>1155</v>
      </c>
    </row>
    <row r="1350" spans="1:36" x14ac:dyDescent="0.25">
      <c r="A1350" t="s">
        <v>732</v>
      </c>
      <c r="B1350">
        <v>855854851</v>
      </c>
      <c r="C1350" t="s">
        <v>733</v>
      </c>
      <c r="D1350" t="s">
        <v>733</v>
      </c>
      <c r="E1350" t="s">
        <v>99</v>
      </c>
      <c r="F1350" t="s">
        <v>100</v>
      </c>
      <c r="I1350" t="s">
        <v>39</v>
      </c>
      <c r="J1350" t="s">
        <v>40</v>
      </c>
      <c r="K1350" t="s">
        <v>41</v>
      </c>
      <c r="L1350" t="s">
        <v>53</v>
      </c>
      <c r="N1350" t="s">
        <v>43</v>
      </c>
      <c r="O1350" t="s">
        <v>132</v>
      </c>
      <c r="P1350">
        <v>187</v>
      </c>
      <c r="Q1350">
        <v>187</v>
      </c>
      <c r="S1350" t="s">
        <v>39</v>
      </c>
      <c r="V1350" t="s">
        <v>39</v>
      </c>
      <c r="X1350">
        <v>14001</v>
      </c>
      <c r="Y1350" t="s">
        <v>47</v>
      </c>
      <c r="Z1350">
        <v>14</v>
      </c>
      <c r="AA1350">
        <v>368</v>
      </c>
      <c r="AB1350" t="s">
        <v>47</v>
      </c>
      <c r="AC1350">
        <v>0.36699999999999999</v>
      </c>
      <c r="AD1350">
        <v>557</v>
      </c>
      <c r="AE1350" t="s">
        <v>48</v>
      </c>
      <c r="AF1350">
        <v>0.55600000000000005</v>
      </c>
      <c r="AG1350">
        <v>546</v>
      </c>
      <c r="AH1350" t="s">
        <v>49</v>
      </c>
      <c r="AI1350">
        <v>0.54500000000000004</v>
      </c>
      <c r="AJ1350" t="s">
        <v>1156</v>
      </c>
    </row>
    <row r="1351" spans="1:36" x14ac:dyDescent="0.25">
      <c r="A1351" t="s">
        <v>732</v>
      </c>
      <c r="B1351">
        <v>855854851</v>
      </c>
      <c r="C1351" t="s">
        <v>733</v>
      </c>
      <c r="D1351" t="s">
        <v>733</v>
      </c>
      <c r="E1351" t="s">
        <v>65</v>
      </c>
      <c r="F1351" t="s">
        <v>100</v>
      </c>
      <c r="I1351" t="s">
        <v>39</v>
      </c>
      <c r="J1351" t="s">
        <v>40</v>
      </c>
      <c r="K1351" t="s">
        <v>41</v>
      </c>
      <c r="L1351" t="s">
        <v>53</v>
      </c>
      <c r="N1351" t="s">
        <v>43</v>
      </c>
      <c r="O1351" t="s">
        <v>133</v>
      </c>
      <c r="P1351">
        <v>187</v>
      </c>
      <c r="Q1351">
        <v>187</v>
      </c>
      <c r="S1351" t="s">
        <v>39</v>
      </c>
      <c r="V1351" t="s">
        <v>39</v>
      </c>
      <c r="X1351">
        <v>17001</v>
      </c>
      <c r="Y1351" t="s">
        <v>47</v>
      </c>
      <c r="Z1351">
        <v>17</v>
      </c>
      <c r="AA1351">
        <v>409</v>
      </c>
      <c r="AB1351" t="s">
        <v>47</v>
      </c>
      <c r="AC1351">
        <v>0.40799999999999997</v>
      </c>
      <c r="AD1351">
        <v>641</v>
      </c>
      <c r="AE1351" t="s">
        <v>48</v>
      </c>
      <c r="AF1351">
        <v>0.64</v>
      </c>
      <c r="AG1351">
        <v>709</v>
      </c>
      <c r="AH1351" t="s">
        <v>49</v>
      </c>
      <c r="AI1351">
        <v>0.70799999999999996</v>
      </c>
      <c r="AJ1351" t="s">
        <v>1156</v>
      </c>
    </row>
    <row r="1352" spans="1:36" x14ac:dyDescent="0.25">
      <c r="A1352" t="s">
        <v>730</v>
      </c>
      <c r="B1352">
        <v>856258894</v>
      </c>
      <c r="C1352" t="s">
        <v>731</v>
      </c>
      <c r="D1352" t="s">
        <v>731</v>
      </c>
      <c r="E1352" t="s">
        <v>65</v>
      </c>
      <c r="F1352" t="s">
        <v>83</v>
      </c>
      <c r="I1352" t="s">
        <v>39</v>
      </c>
      <c r="J1352" t="s">
        <v>40</v>
      </c>
      <c r="K1352" t="s">
        <v>41</v>
      </c>
      <c r="L1352" t="s">
        <v>118</v>
      </c>
      <c r="N1352" t="s">
        <v>43</v>
      </c>
      <c r="O1352" t="s">
        <v>253</v>
      </c>
      <c r="P1352">
        <v>188</v>
      </c>
      <c r="Q1352">
        <v>188</v>
      </c>
      <c r="R1352">
        <v>341</v>
      </c>
      <c r="S1352" t="s">
        <v>56</v>
      </c>
      <c r="T1352">
        <v>0.34</v>
      </c>
      <c r="U1352">
        <v>4</v>
      </c>
      <c r="V1352" t="s">
        <v>55</v>
      </c>
      <c r="W1352">
        <v>3.0000000000000001E-3</v>
      </c>
      <c r="X1352">
        <v>7001</v>
      </c>
      <c r="Y1352" t="s">
        <v>47</v>
      </c>
      <c r="Z1352">
        <v>7</v>
      </c>
      <c r="AA1352">
        <v>223</v>
      </c>
      <c r="AB1352" t="s">
        <v>47</v>
      </c>
      <c r="AC1352">
        <v>0.222</v>
      </c>
      <c r="AD1352">
        <v>327</v>
      </c>
      <c r="AE1352" t="s">
        <v>56</v>
      </c>
      <c r="AF1352">
        <v>0.32600000000000001</v>
      </c>
      <c r="AG1352">
        <v>327</v>
      </c>
      <c r="AH1352" t="s">
        <v>57</v>
      </c>
      <c r="AI1352">
        <v>0.32600000000000001</v>
      </c>
      <c r="AJ1352" t="s">
        <v>50</v>
      </c>
    </row>
    <row r="1353" spans="1:36" x14ac:dyDescent="0.25">
      <c r="A1353" t="s">
        <v>730</v>
      </c>
      <c r="B1353">
        <v>856258894</v>
      </c>
      <c r="C1353" t="s">
        <v>731</v>
      </c>
      <c r="D1353" t="s">
        <v>731</v>
      </c>
      <c r="E1353" t="s">
        <v>60</v>
      </c>
      <c r="F1353" t="s">
        <v>83</v>
      </c>
      <c r="I1353" t="s">
        <v>39</v>
      </c>
      <c r="J1353" t="s">
        <v>40</v>
      </c>
      <c r="K1353" t="s">
        <v>41</v>
      </c>
      <c r="L1353" t="s">
        <v>118</v>
      </c>
      <c r="N1353" t="s">
        <v>43</v>
      </c>
      <c r="O1353" t="s">
        <v>409</v>
      </c>
      <c r="P1353">
        <v>188</v>
      </c>
      <c r="Q1353">
        <v>188</v>
      </c>
      <c r="R1353">
        <v>51</v>
      </c>
      <c r="S1353" t="s">
        <v>45</v>
      </c>
      <c r="T1353">
        <v>0.05</v>
      </c>
      <c r="U1353">
        <v>44</v>
      </c>
      <c r="V1353" t="s">
        <v>55</v>
      </c>
      <c r="W1353">
        <v>4.2999999999999997E-2</v>
      </c>
      <c r="X1353">
        <v>14001</v>
      </c>
      <c r="Y1353" t="s">
        <v>47</v>
      </c>
      <c r="Z1353">
        <v>14</v>
      </c>
      <c r="AA1353">
        <v>232</v>
      </c>
      <c r="AB1353" t="s">
        <v>47</v>
      </c>
      <c r="AC1353">
        <v>0.23100000000000001</v>
      </c>
      <c r="AD1353">
        <v>427</v>
      </c>
      <c r="AE1353" t="s">
        <v>56</v>
      </c>
      <c r="AF1353">
        <v>0.42599999999999999</v>
      </c>
      <c r="AG1353">
        <v>642</v>
      </c>
      <c r="AH1353" t="s">
        <v>49</v>
      </c>
      <c r="AI1353">
        <v>0.64100000000000001</v>
      </c>
      <c r="AJ1353" t="s">
        <v>50</v>
      </c>
    </row>
    <row r="1354" spans="1:36" x14ac:dyDescent="0.25">
      <c r="A1354" t="s">
        <v>730</v>
      </c>
      <c r="B1354">
        <v>856258894</v>
      </c>
      <c r="C1354" t="s">
        <v>731</v>
      </c>
      <c r="D1354" t="s">
        <v>731</v>
      </c>
      <c r="E1354" t="s">
        <v>65</v>
      </c>
      <c r="F1354" t="s">
        <v>83</v>
      </c>
      <c r="I1354" t="s">
        <v>39</v>
      </c>
      <c r="J1354" t="s">
        <v>40</v>
      </c>
      <c r="K1354" t="s">
        <v>41</v>
      </c>
      <c r="L1354" t="s">
        <v>118</v>
      </c>
      <c r="N1354" t="s">
        <v>43</v>
      </c>
      <c r="O1354" t="s">
        <v>253</v>
      </c>
      <c r="P1354">
        <v>188</v>
      </c>
      <c r="Q1354">
        <v>188</v>
      </c>
      <c r="R1354">
        <v>281</v>
      </c>
      <c r="S1354" t="s">
        <v>56</v>
      </c>
      <c r="T1354">
        <v>0.28000000000000003</v>
      </c>
      <c r="U1354">
        <v>1</v>
      </c>
      <c r="V1354" t="s">
        <v>55</v>
      </c>
      <c r="W1354">
        <v>0</v>
      </c>
      <c r="X1354">
        <v>7001</v>
      </c>
      <c r="Y1354" t="s">
        <v>47</v>
      </c>
      <c r="Z1354">
        <v>7</v>
      </c>
      <c r="AA1354">
        <v>223</v>
      </c>
      <c r="AB1354" t="s">
        <v>47</v>
      </c>
      <c r="AC1354">
        <v>0.222</v>
      </c>
      <c r="AD1354">
        <v>327</v>
      </c>
      <c r="AE1354" t="s">
        <v>56</v>
      </c>
      <c r="AF1354">
        <v>0.32600000000000001</v>
      </c>
      <c r="AG1354">
        <v>327</v>
      </c>
      <c r="AH1354" t="s">
        <v>57</v>
      </c>
      <c r="AI1354">
        <v>0.32600000000000001</v>
      </c>
      <c r="AJ1354" t="s">
        <v>1141</v>
      </c>
    </row>
    <row r="1355" spans="1:36" x14ac:dyDescent="0.25">
      <c r="A1355" t="s">
        <v>730</v>
      </c>
      <c r="B1355">
        <v>856258894</v>
      </c>
      <c r="C1355" t="s">
        <v>731</v>
      </c>
      <c r="D1355" t="s">
        <v>731</v>
      </c>
      <c r="E1355" t="s">
        <v>60</v>
      </c>
      <c r="F1355" t="s">
        <v>83</v>
      </c>
      <c r="I1355" t="s">
        <v>39</v>
      </c>
      <c r="J1355" t="s">
        <v>40</v>
      </c>
      <c r="K1355" t="s">
        <v>41</v>
      </c>
      <c r="L1355" t="s">
        <v>118</v>
      </c>
      <c r="N1355" t="s">
        <v>43</v>
      </c>
      <c r="O1355" t="s">
        <v>409</v>
      </c>
      <c r="P1355">
        <v>188</v>
      </c>
      <c r="Q1355">
        <v>188</v>
      </c>
      <c r="R1355">
        <v>31</v>
      </c>
      <c r="S1355" t="s">
        <v>45</v>
      </c>
      <c r="T1355">
        <v>0.03</v>
      </c>
      <c r="U1355">
        <v>12</v>
      </c>
      <c r="V1355" t="s">
        <v>55</v>
      </c>
      <c r="W1355">
        <v>1.0999999999999999E-2</v>
      </c>
      <c r="X1355">
        <v>14001</v>
      </c>
      <c r="Y1355" t="s">
        <v>47</v>
      </c>
      <c r="Z1355">
        <v>14</v>
      </c>
      <c r="AA1355">
        <v>232</v>
      </c>
      <c r="AB1355" t="s">
        <v>47</v>
      </c>
      <c r="AC1355">
        <v>0.23100000000000001</v>
      </c>
      <c r="AD1355">
        <v>427</v>
      </c>
      <c r="AE1355" t="s">
        <v>56</v>
      </c>
      <c r="AF1355">
        <v>0.42599999999999999</v>
      </c>
      <c r="AG1355">
        <v>642</v>
      </c>
      <c r="AH1355" t="s">
        <v>49</v>
      </c>
      <c r="AI1355">
        <v>0.64100000000000001</v>
      </c>
      <c r="AJ1355" t="s">
        <v>1141</v>
      </c>
    </row>
    <row r="1356" spans="1:36" x14ac:dyDescent="0.25">
      <c r="A1356" t="s">
        <v>730</v>
      </c>
      <c r="B1356">
        <v>856258894</v>
      </c>
      <c r="C1356" t="s">
        <v>731</v>
      </c>
      <c r="D1356" t="s">
        <v>731</v>
      </c>
      <c r="E1356" t="s">
        <v>65</v>
      </c>
      <c r="F1356" t="s">
        <v>83</v>
      </c>
      <c r="I1356" t="s">
        <v>39</v>
      </c>
      <c r="J1356" t="s">
        <v>40</v>
      </c>
      <c r="K1356" t="s">
        <v>41</v>
      </c>
      <c r="L1356" t="s">
        <v>118</v>
      </c>
      <c r="N1356" t="s">
        <v>43</v>
      </c>
      <c r="O1356" t="s">
        <v>253</v>
      </c>
      <c r="P1356">
        <v>188</v>
      </c>
      <c r="Q1356">
        <v>188</v>
      </c>
      <c r="R1356">
        <v>341</v>
      </c>
      <c r="S1356" t="s">
        <v>56</v>
      </c>
      <c r="T1356">
        <v>0.34</v>
      </c>
      <c r="U1356">
        <v>4</v>
      </c>
      <c r="V1356" t="s">
        <v>55</v>
      </c>
      <c r="W1356">
        <v>3.0000000000000001E-3</v>
      </c>
      <c r="X1356">
        <v>7001</v>
      </c>
      <c r="Y1356" t="s">
        <v>47</v>
      </c>
      <c r="Z1356">
        <v>7</v>
      </c>
      <c r="AA1356">
        <v>223</v>
      </c>
      <c r="AB1356" t="s">
        <v>47</v>
      </c>
      <c r="AC1356">
        <v>0.222</v>
      </c>
      <c r="AD1356">
        <v>327</v>
      </c>
      <c r="AE1356" t="s">
        <v>56</v>
      </c>
      <c r="AF1356">
        <v>0.32600000000000001</v>
      </c>
      <c r="AG1356">
        <v>327</v>
      </c>
      <c r="AH1356" t="s">
        <v>57</v>
      </c>
      <c r="AI1356">
        <v>0.32600000000000001</v>
      </c>
      <c r="AJ1356" t="s">
        <v>1153</v>
      </c>
    </row>
    <row r="1357" spans="1:36" x14ac:dyDescent="0.25">
      <c r="A1357" t="s">
        <v>730</v>
      </c>
      <c r="B1357">
        <v>856258894</v>
      </c>
      <c r="C1357" t="s">
        <v>731</v>
      </c>
      <c r="D1357" t="s">
        <v>731</v>
      </c>
      <c r="E1357" t="s">
        <v>60</v>
      </c>
      <c r="F1357" t="s">
        <v>83</v>
      </c>
      <c r="I1357" t="s">
        <v>39</v>
      </c>
      <c r="J1357" t="s">
        <v>40</v>
      </c>
      <c r="K1357" t="s">
        <v>41</v>
      </c>
      <c r="L1357" t="s">
        <v>118</v>
      </c>
      <c r="N1357" t="s">
        <v>43</v>
      </c>
      <c r="O1357" t="s">
        <v>409</v>
      </c>
      <c r="P1357">
        <v>188</v>
      </c>
      <c r="Q1357">
        <v>188</v>
      </c>
      <c r="R1357">
        <v>51</v>
      </c>
      <c r="S1357" t="s">
        <v>45</v>
      </c>
      <c r="T1357">
        <v>0.05</v>
      </c>
      <c r="U1357">
        <v>44</v>
      </c>
      <c r="V1357" t="s">
        <v>55</v>
      </c>
      <c r="W1357">
        <v>4.2999999999999997E-2</v>
      </c>
      <c r="X1357">
        <v>14001</v>
      </c>
      <c r="Y1357" t="s">
        <v>47</v>
      </c>
      <c r="Z1357">
        <v>14</v>
      </c>
      <c r="AA1357">
        <v>232</v>
      </c>
      <c r="AB1357" t="s">
        <v>47</v>
      </c>
      <c r="AC1357">
        <v>0.23100000000000001</v>
      </c>
      <c r="AD1357">
        <v>427</v>
      </c>
      <c r="AE1357" t="s">
        <v>56</v>
      </c>
      <c r="AF1357">
        <v>0.42599999999999999</v>
      </c>
      <c r="AG1357">
        <v>642</v>
      </c>
      <c r="AH1357" t="s">
        <v>49</v>
      </c>
      <c r="AI1357">
        <v>0.64100000000000001</v>
      </c>
      <c r="AJ1357" t="s">
        <v>1153</v>
      </c>
    </row>
    <row r="1358" spans="1:36" x14ac:dyDescent="0.25">
      <c r="A1358" t="s">
        <v>730</v>
      </c>
      <c r="B1358">
        <v>856258894</v>
      </c>
      <c r="C1358" t="s">
        <v>731</v>
      </c>
      <c r="D1358" t="s">
        <v>731</v>
      </c>
      <c r="E1358" t="s">
        <v>65</v>
      </c>
      <c r="F1358" t="s">
        <v>83</v>
      </c>
      <c r="I1358" t="s">
        <v>39</v>
      </c>
      <c r="J1358" t="s">
        <v>40</v>
      </c>
      <c r="K1358" t="s">
        <v>41</v>
      </c>
      <c r="L1358" t="s">
        <v>118</v>
      </c>
      <c r="N1358" t="s">
        <v>43</v>
      </c>
      <c r="O1358" t="s">
        <v>253</v>
      </c>
      <c r="P1358">
        <v>188</v>
      </c>
      <c r="Q1358">
        <v>188</v>
      </c>
      <c r="R1358">
        <v>341</v>
      </c>
      <c r="S1358" t="s">
        <v>56</v>
      </c>
      <c r="T1358">
        <v>0.34</v>
      </c>
      <c r="U1358">
        <v>4</v>
      </c>
      <c r="V1358" t="s">
        <v>55</v>
      </c>
      <c r="W1358">
        <v>3.0000000000000001E-3</v>
      </c>
      <c r="X1358">
        <v>7001</v>
      </c>
      <c r="Y1358" t="s">
        <v>47</v>
      </c>
      <c r="Z1358">
        <v>7</v>
      </c>
      <c r="AA1358">
        <v>223</v>
      </c>
      <c r="AB1358" t="s">
        <v>47</v>
      </c>
      <c r="AC1358">
        <v>0.222</v>
      </c>
      <c r="AD1358">
        <v>327</v>
      </c>
      <c r="AE1358" t="s">
        <v>56</v>
      </c>
      <c r="AF1358">
        <v>0.32600000000000001</v>
      </c>
      <c r="AG1358">
        <v>327</v>
      </c>
      <c r="AH1358" t="s">
        <v>57</v>
      </c>
      <c r="AI1358">
        <v>0.32600000000000001</v>
      </c>
      <c r="AJ1358" t="s">
        <v>1154</v>
      </c>
    </row>
    <row r="1359" spans="1:36" x14ac:dyDescent="0.25">
      <c r="A1359" t="s">
        <v>730</v>
      </c>
      <c r="B1359">
        <v>856258894</v>
      </c>
      <c r="C1359" t="s">
        <v>731</v>
      </c>
      <c r="D1359" t="s">
        <v>731</v>
      </c>
      <c r="E1359" t="s">
        <v>60</v>
      </c>
      <c r="F1359" t="s">
        <v>83</v>
      </c>
      <c r="I1359" t="s">
        <v>39</v>
      </c>
      <c r="J1359" t="s">
        <v>40</v>
      </c>
      <c r="K1359" t="s">
        <v>41</v>
      </c>
      <c r="L1359" t="s">
        <v>118</v>
      </c>
      <c r="N1359" t="s">
        <v>43</v>
      </c>
      <c r="O1359" t="s">
        <v>409</v>
      </c>
      <c r="P1359">
        <v>188</v>
      </c>
      <c r="Q1359">
        <v>188</v>
      </c>
      <c r="R1359">
        <v>51</v>
      </c>
      <c r="S1359" t="s">
        <v>45</v>
      </c>
      <c r="T1359">
        <v>0.05</v>
      </c>
      <c r="U1359">
        <v>44</v>
      </c>
      <c r="V1359" t="s">
        <v>55</v>
      </c>
      <c r="W1359">
        <v>4.2999999999999997E-2</v>
      </c>
      <c r="X1359">
        <v>14001</v>
      </c>
      <c r="Y1359" t="s">
        <v>47</v>
      </c>
      <c r="Z1359">
        <v>14</v>
      </c>
      <c r="AA1359">
        <v>232</v>
      </c>
      <c r="AB1359" t="s">
        <v>47</v>
      </c>
      <c r="AC1359">
        <v>0.23100000000000001</v>
      </c>
      <c r="AD1359">
        <v>427</v>
      </c>
      <c r="AE1359" t="s">
        <v>56</v>
      </c>
      <c r="AF1359">
        <v>0.42599999999999999</v>
      </c>
      <c r="AG1359">
        <v>642</v>
      </c>
      <c r="AH1359" t="s">
        <v>49</v>
      </c>
      <c r="AI1359">
        <v>0.64100000000000001</v>
      </c>
      <c r="AJ1359" t="s">
        <v>1154</v>
      </c>
    </row>
    <row r="1360" spans="1:36" x14ac:dyDescent="0.25">
      <c r="A1360" t="s">
        <v>730</v>
      </c>
      <c r="B1360">
        <v>856258894</v>
      </c>
      <c r="C1360" t="s">
        <v>731</v>
      </c>
      <c r="D1360" t="s">
        <v>731</v>
      </c>
      <c r="E1360" t="s">
        <v>65</v>
      </c>
      <c r="F1360" t="s">
        <v>83</v>
      </c>
      <c r="I1360" t="s">
        <v>39</v>
      </c>
      <c r="J1360" t="s">
        <v>40</v>
      </c>
      <c r="K1360" t="s">
        <v>41</v>
      </c>
      <c r="L1360" t="s">
        <v>118</v>
      </c>
      <c r="N1360" t="s">
        <v>43</v>
      </c>
      <c r="O1360" t="s">
        <v>253</v>
      </c>
      <c r="P1360">
        <v>188</v>
      </c>
      <c r="Q1360">
        <v>188</v>
      </c>
      <c r="S1360" t="s">
        <v>39</v>
      </c>
      <c r="V1360" t="s">
        <v>39</v>
      </c>
      <c r="X1360">
        <v>7001</v>
      </c>
      <c r="Y1360" t="s">
        <v>47</v>
      </c>
      <c r="Z1360">
        <v>7</v>
      </c>
      <c r="AA1360">
        <v>223</v>
      </c>
      <c r="AB1360" t="s">
        <v>47</v>
      </c>
      <c r="AC1360">
        <v>0.222</v>
      </c>
      <c r="AD1360">
        <v>327</v>
      </c>
      <c r="AE1360" t="s">
        <v>56</v>
      </c>
      <c r="AF1360">
        <v>0.32600000000000001</v>
      </c>
      <c r="AG1360">
        <v>327</v>
      </c>
      <c r="AH1360" t="s">
        <v>57</v>
      </c>
      <c r="AI1360">
        <v>0.32600000000000001</v>
      </c>
      <c r="AJ1360" t="s">
        <v>1155</v>
      </c>
    </row>
    <row r="1361" spans="1:36" x14ac:dyDescent="0.25">
      <c r="A1361" t="s">
        <v>730</v>
      </c>
      <c r="B1361">
        <v>856258894</v>
      </c>
      <c r="C1361" t="s">
        <v>731</v>
      </c>
      <c r="D1361" t="s">
        <v>731</v>
      </c>
      <c r="E1361" t="s">
        <v>60</v>
      </c>
      <c r="F1361" t="s">
        <v>83</v>
      </c>
      <c r="I1361" t="s">
        <v>39</v>
      </c>
      <c r="J1361" t="s">
        <v>40</v>
      </c>
      <c r="K1361" t="s">
        <v>41</v>
      </c>
      <c r="L1361" t="s">
        <v>118</v>
      </c>
      <c r="N1361" t="s">
        <v>43</v>
      </c>
      <c r="O1361" t="s">
        <v>409</v>
      </c>
      <c r="P1361">
        <v>188</v>
      </c>
      <c r="Q1361">
        <v>188</v>
      </c>
      <c r="S1361" t="s">
        <v>39</v>
      </c>
      <c r="V1361" t="s">
        <v>39</v>
      </c>
      <c r="X1361">
        <v>14001</v>
      </c>
      <c r="Y1361" t="s">
        <v>47</v>
      </c>
      <c r="Z1361">
        <v>14</v>
      </c>
      <c r="AA1361">
        <v>232</v>
      </c>
      <c r="AB1361" t="s">
        <v>47</v>
      </c>
      <c r="AC1361">
        <v>0.23100000000000001</v>
      </c>
      <c r="AD1361">
        <v>427</v>
      </c>
      <c r="AE1361" t="s">
        <v>56</v>
      </c>
      <c r="AF1361">
        <v>0.42599999999999999</v>
      </c>
      <c r="AG1361">
        <v>642</v>
      </c>
      <c r="AH1361" t="s">
        <v>49</v>
      </c>
      <c r="AI1361">
        <v>0.64100000000000001</v>
      </c>
      <c r="AJ1361" t="s">
        <v>1155</v>
      </c>
    </row>
    <row r="1362" spans="1:36" x14ac:dyDescent="0.25">
      <c r="A1362" t="s">
        <v>730</v>
      </c>
      <c r="B1362">
        <v>856258894</v>
      </c>
      <c r="C1362" t="s">
        <v>731</v>
      </c>
      <c r="D1362" t="s">
        <v>731</v>
      </c>
      <c r="E1362" t="s">
        <v>65</v>
      </c>
      <c r="F1362" t="s">
        <v>83</v>
      </c>
      <c r="I1362" t="s">
        <v>39</v>
      </c>
      <c r="J1362" t="s">
        <v>40</v>
      </c>
      <c r="K1362" t="s">
        <v>41</v>
      </c>
      <c r="L1362" t="s">
        <v>118</v>
      </c>
      <c r="N1362" t="s">
        <v>43</v>
      </c>
      <c r="O1362" t="s">
        <v>253</v>
      </c>
      <c r="P1362">
        <v>188</v>
      </c>
      <c r="Q1362">
        <v>188</v>
      </c>
      <c r="S1362" t="s">
        <v>39</v>
      </c>
      <c r="V1362" t="s">
        <v>39</v>
      </c>
      <c r="X1362">
        <v>7001</v>
      </c>
      <c r="Y1362" t="s">
        <v>47</v>
      </c>
      <c r="Z1362">
        <v>7</v>
      </c>
      <c r="AA1362">
        <v>223</v>
      </c>
      <c r="AB1362" t="s">
        <v>47</v>
      </c>
      <c r="AC1362">
        <v>0.222</v>
      </c>
      <c r="AD1362">
        <v>327</v>
      </c>
      <c r="AE1362" t="s">
        <v>56</v>
      </c>
      <c r="AF1362">
        <v>0.32600000000000001</v>
      </c>
      <c r="AG1362">
        <v>327</v>
      </c>
      <c r="AH1362" t="s">
        <v>57</v>
      </c>
      <c r="AI1362">
        <v>0.32600000000000001</v>
      </c>
      <c r="AJ1362" t="s">
        <v>1156</v>
      </c>
    </row>
    <row r="1363" spans="1:36" x14ac:dyDescent="0.25">
      <c r="A1363" t="s">
        <v>730</v>
      </c>
      <c r="B1363">
        <v>856258894</v>
      </c>
      <c r="C1363" t="s">
        <v>731</v>
      </c>
      <c r="D1363" t="s">
        <v>731</v>
      </c>
      <c r="E1363" t="s">
        <v>60</v>
      </c>
      <c r="F1363" t="s">
        <v>83</v>
      </c>
      <c r="I1363" t="s">
        <v>39</v>
      </c>
      <c r="J1363" t="s">
        <v>40</v>
      </c>
      <c r="K1363" t="s">
        <v>41</v>
      </c>
      <c r="L1363" t="s">
        <v>118</v>
      </c>
      <c r="N1363" t="s">
        <v>43</v>
      </c>
      <c r="O1363" t="s">
        <v>409</v>
      </c>
      <c r="P1363">
        <v>188</v>
      </c>
      <c r="Q1363">
        <v>188</v>
      </c>
      <c r="S1363" t="s">
        <v>39</v>
      </c>
      <c r="V1363" t="s">
        <v>39</v>
      </c>
      <c r="X1363">
        <v>14001</v>
      </c>
      <c r="Y1363" t="s">
        <v>47</v>
      </c>
      <c r="Z1363">
        <v>14</v>
      </c>
      <c r="AA1363">
        <v>232</v>
      </c>
      <c r="AB1363" t="s">
        <v>47</v>
      </c>
      <c r="AC1363">
        <v>0.23100000000000001</v>
      </c>
      <c r="AD1363">
        <v>427</v>
      </c>
      <c r="AE1363" t="s">
        <v>56</v>
      </c>
      <c r="AF1363">
        <v>0.42599999999999999</v>
      </c>
      <c r="AG1363">
        <v>642</v>
      </c>
      <c r="AH1363" t="s">
        <v>49</v>
      </c>
      <c r="AI1363">
        <v>0.64100000000000001</v>
      </c>
      <c r="AJ1363" t="s">
        <v>1156</v>
      </c>
    </row>
    <row r="1364" spans="1:36" x14ac:dyDescent="0.25">
      <c r="A1364" t="s">
        <v>728</v>
      </c>
      <c r="B1364">
        <v>867453005</v>
      </c>
      <c r="C1364" t="s">
        <v>729</v>
      </c>
      <c r="D1364" t="s">
        <v>729</v>
      </c>
      <c r="E1364" t="s">
        <v>65</v>
      </c>
      <c r="F1364" t="s">
        <v>66</v>
      </c>
      <c r="I1364" t="s">
        <v>39</v>
      </c>
      <c r="J1364" t="s">
        <v>40</v>
      </c>
      <c r="K1364" t="s">
        <v>41</v>
      </c>
      <c r="L1364" t="s">
        <v>173</v>
      </c>
      <c r="N1364" t="s">
        <v>43</v>
      </c>
      <c r="O1364" t="s">
        <v>146</v>
      </c>
      <c r="P1364">
        <v>190</v>
      </c>
      <c r="Q1364">
        <v>190</v>
      </c>
      <c r="R1364">
        <v>11</v>
      </c>
      <c r="S1364" t="s">
        <v>45</v>
      </c>
      <c r="T1364">
        <v>0.01</v>
      </c>
      <c r="U1364">
        <v>994</v>
      </c>
      <c r="V1364" t="s">
        <v>46</v>
      </c>
      <c r="W1364">
        <v>0.99299999999999999</v>
      </c>
      <c r="X1364">
        <v>22001</v>
      </c>
      <c r="Y1364" t="s">
        <v>47</v>
      </c>
      <c r="Z1364">
        <v>22</v>
      </c>
      <c r="AA1364">
        <v>513</v>
      </c>
      <c r="AB1364" t="s">
        <v>75</v>
      </c>
      <c r="AC1364">
        <v>0.51200000000000001</v>
      </c>
      <c r="AD1364">
        <v>799</v>
      </c>
      <c r="AE1364" t="s">
        <v>48</v>
      </c>
      <c r="AF1364">
        <v>0.79800000000000004</v>
      </c>
      <c r="AG1364">
        <v>901</v>
      </c>
      <c r="AH1364" t="s">
        <v>49</v>
      </c>
      <c r="AI1364">
        <v>0.9</v>
      </c>
      <c r="AJ1364" t="s">
        <v>50</v>
      </c>
    </row>
    <row r="1365" spans="1:36" x14ac:dyDescent="0.25">
      <c r="A1365" t="s">
        <v>728</v>
      </c>
      <c r="B1365">
        <v>867453005</v>
      </c>
      <c r="C1365" t="s">
        <v>729</v>
      </c>
      <c r="D1365" t="s">
        <v>729</v>
      </c>
      <c r="E1365" t="s">
        <v>65</v>
      </c>
      <c r="F1365" t="s">
        <v>66</v>
      </c>
      <c r="I1365" t="s">
        <v>39</v>
      </c>
      <c r="J1365" t="s">
        <v>40</v>
      </c>
      <c r="K1365" t="s">
        <v>41</v>
      </c>
      <c r="L1365" t="s">
        <v>173</v>
      </c>
      <c r="N1365" t="s">
        <v>43</v>
      </c>
      <c r="O1365" t="s">
        <v>146</v>
      </c>
      <c r="P1365">
        <v>190</v>
      </c>
      <c r="Q1365">
        <v>190</v>
      </c>
      <c r="R1365">
        <v>11</v>
      </c>
      <c r="S1365" t="s">
        <v>45</v>
      </c>
      <c r="T1365">
        <v>0.01</v>
      </c>
      <c r="U1365">
        <v>975</v>
      </c>
      <c r="V1365" t="s">
        <v>46</v>
      </c>
      <c r="W1365">
        <v>0.97399999999999998</v>
      </c>
      <c r="X1365">
        <v>22001</v>
      </c>
      <c r="Y1365" t="s">
        <v>47</v>
      </c>
      <c r="Z1365">
        <v>22</v>
      </c>
      <c r="AA1365">
        <v>513</v>
      </c>
      <c r="AB1365" t="s">
        <v>75</v>
      </c>
      <c r="AC1365">
        <v>0.51200000000000001</v>
      </c>
      <c r="AD1365">
        <v>799</v>
      </c>
      <c r="AE1365" t="s">
        <v>48</v>
      </c>
      <c r="AF1365">
        <v>0.79800000000000004</v>
      </c>
      <c r="AG1365">
        <v>901</v>
      </c>
      <c r="AH1365" t="s">
        <v>49</v>
      </c>
      <c r="AI1365">
        <v>0.9</v>
      </c>
      <c r="AJ1365" t="s">
        <v>1141</v>
      </c>
    </row>
    <row r="1366" spans="1:36" x14ac:dyDescent="0.25">
      <c r="A1366" t="s">
        <v>728</v>
      </c>
      <c r="B1366">
        <v>867453005</v>
      </c>
      <c r="C1366" t="s">
        <v>729</v>
      </c>
      <c r="D1366" t="s">
        <v>729</v>
      </c>
      <c r="E1366" t="s">
        <v>65</v>
      </c>
      <c r="F1366" t="s">
        <v>66</v>
      </c>
      <c r="I1366" t="s">
        <v>39</v>
      </c>
      <c r="J1366" t="s">
        <v>40</v>
      </c>
      <c r="K1366" t="s">
        <v>41</v>
      </c>
      <c r="L1366" t="s">
        <v>173</v>
      </c>
      <c r="N1366" t="s">
        <v>43</v>
      </c>
      <c r="O1366" t="s">
        <v>146</v>
      </c>
      <c r="P1366">
        <v>190</v>
      </c>
      <c r="Q1366">
        <v>190</v>
      </c>
      <c r="R1366">
        <v>11</v>
      </c>
      <c r="S1366" t="s">
        <v>45</v>
      </c>
      <c r="T1366">
        <v>0.01</v>
      </c>
      <c r="U1366">
        <v>994</v>
      </c>
      <c r="V1366" t="s">
        <v>46</v>
      </c>
      <c r="W1366">
        <v>0.99299999999999999</v>
      </c>
      <c r="X1366">
        <v>22001</v>
      </c>
      <c r="Y1366" t="s">
        <v>47</v>
      </c>
      <c r="Z1366">
        <v>22</v>
      </c>
      <c r="AA1366">
        <v>513</v>
      </c>
      <c r="AB1366" t="s">
        <v>75</v>
      </c>
      <c r="AC1366">
        <v>0.51200000000000001</v>
      </c>
      <c r="AD1366">
        <v>799</v>
      </c>
      <c r="AE1366" t="s">
        <v>48</v>
      </c>
      <c r="AF1366">
        <v>0.79800000000000004</v>
      </c>
      <c r="AG1366">
        <v>901</v>
      </c>
      <c r="AH1366" t="s">
        <v>49</v>
      </c>
      <c r="AI1366">
        <v>0.9</v>
      </c>
      <c r="AJ1366" t="s">
        <v>1153</v>
      </c>
    </row>
    <row r="1367" spans="1:36" x14ac:dyDescent="0.25">
      <c r="A1367" t="s">
        <v>728</v>
      </c>
      <c r="B1367">
        <v>867453005</v>
      </c>
      <c r="C1367" t="s">
        <v>729</v>
      </c>
      <c r="D1367" t="s">
        <v>729</v>
      </c>
      <c r="E1367" t="s">
        <v>65</v>
      </c>
      <c r="F1367" t="s">
        <v>66</v>
      </c>
      <c r="I1367" t="s">
        <v>39</v>
      </c>
      <c r="J1367" t="s">
        <v>40</v>
      </c>
      <c r="K1367" t="s">
        <v>41</v>
      </c>
      <c r="L1367" t="s">
        <v>173</v>
      </c>
      <c r="N1367" t="s">
        <v>43</v>
      </c>
      <c r="O1367" t="s">
        <v>146</v>
      </c>
      <c r="P1367">
        <v>190</v>
      </c>
      <c r="Q1367">
        <v>190</v>
      </c>
      <c r="R1367">
        <v>11</v>
      </c>
      <c r="S1367" t="s">
        <v>45</v>
      </c>
      <c r="T1367">
        <v>0.01</v>
      </c>
      <c r="U1367">
        <v>994</v>
      </c>
      <c r="V1367" t="s">
        <v>46</v>
      </c>
      <c r="W1367">
        <v>0.99299999999999999</v>
      </c>
      <c r="X1367">
        <v>22001</v>
      </c>
      <c r="Y1367" t="s">
        <v>47</v>
      </c>
      <c r="Z1367">
        <v>22</v>
      </c>
      <c r="AA1367">
        <v>513</v>
      </c>
      <c r="AB1367" t="s">
        <v>75</v>
      </c>
      <c r="AC1367">
        <v>0.51200000000000001</v>
      </c>
      <c r="AD1367">
        <v>799</v>
      </c>
      <c r="AE1367" t="s">
        <v>48</v>
      </c>
      <c r="AF1367">
        <v>0.79800000000000004</v>
      </c>
      <c r="AG1367">
        <v>901</v>
      </c>
      <c r="AH1367" t="s">
        <v>49</v>
      </c>
      <c r="AI1367">
        <v>0.9</v>
      </c>
      <c r="AJ1367" t="s">
        <v>1154</v>
      </c>
    </row>
    <row r="1368" spans="1:36" x14ac:dyDescent="0.25">
      <c r="A1368" t="s">
        <v>728</v>
      </c>
      <c r="B1368">
        <v>867453005</v>
      </c>
      <c r="C1368" t="s">
        <v>729</v>
      </c>
      <c r="D1368" t="s">
        <v>729</v>
      </c>
      <c r="E1368" t="s">
        <v>65</v>
      </c>
      <c r="F1368" t="s">
        <v>66</v>
      </c>
      <c r="I1368" t="s">
        <v>39</v>
      </c>
      <c r="J1368" t="s">
        <v>40</v>
      </c>
      <c r="K1368" t="s">
        <v>41</v>
      </c>
      <c r="L1368" t="s">
        <v>173</v>
      </c>
      <c r="N1368" t="s">
        <v>43</v>
      </c>
      <c r="O1368" t="s">
        <v>146</v>
      </c>
      <c r="P1368">
        <v>190</v>
      </c>
      <c r="Q1368">
        <v>190</v>
      </c>
      <c r="S1368" t="s">
        <v>39</v>
      </c>
      <c r="V1368" t="s">
        <v>39</v>
      </c>
      <c r="X1368">
        <v>22001</v>
      </c>
      <c r="Y1368" t="s">
        <v>47</v>
      </c>
      <c r="Z1368">
        <v>22</v>
      </c>
      <c r="AA1368">
        <v>513</v>
      </c>
      <c r="AB1368" t="s">
        <v>75</v>
      </c>
      <c r="AC1368">
        <v>0.51200000000000001</v>
      </c>
      <c r="AD1368">
        <v>799</v>
      </c>
      <c r="AE1368" t="s">
        <v>48</v>
      </c>
      <c r="AF1368">
        <v>0.79800000000000004</v>
      </c>
      <c r="AG1368">
        <v>901</v>
      </c>
      <c r="AH1368" t="s">
        <v>49</v>
      </c>
      <c r="AI1368">
        <v>0.9</v>
      </c>
      <c r="AJ1368" t="s">
        <v>1155</v>
      </c>
    </row>
    <row r="1369" spans="1:36" x14ac:dyDescent="0.25">
      <c r="A1369" t="s">
        <v>728</v>
      </c>
      <c r="B1369">
        <v>867453005</v>
      </c>
      <c r="C1369" t="s">
        <v>729</v>
      </c>
      <c r="D1369" t="s">
        <v>729</v>
      </c>
      <c r="E1369" t="s">
        <v>65</v>
      </c>
      <c r="F1369" t="s">
        <v>66</v>
      </c>
      <c r="I1369" t="s">
        <v>39</v>
      </c>
      <c r="J1369" t="s">
        <v>40</v>
      </c>
      <c r="K1369" t="s">
        <v>41</v>
      </c>
      <c r="L1369" t="s">
        <v>173</v>
      </c>
      <c r="N1369" t="s">
        <v>43</v>
      </c>
      <c r="O1369" t="s">
        <v>146</v>
      </c>
      <c r="P1369">
        <v>190</v>
      </c>
      <c r="Q1369">
        <v>190</v>
      </c>
      <c r="S1369" t="s">
        <v>39</v>
      </c>
      <c r="V1369" t="s">
        <v>39</v>
      </c>
      <c r="X1369">
        <v>22001</v>
      </c>
      <c r="Y1369" t="s">
        <v>47</v>
      </c>
      <c r="Z1369">
        <v>22</v>
      </c>
      <c r="AA1369">
        <v>513</v>
      </c>
      <c r="AB1369" t="s">
        <v>75</v>
      </c>
      <c r="AC1369">
        <v>0.51200000000000001</v>
      </c>
      <c r="AD1369">
        <v>799</v>
      </c>
      <c r="AE1369" t="s">
        <v>48</v>
      </c>
      <c r="AF1369">
        <v>0.79800000000000004</v>
      </c>
      <c r="AG1369">
        <v>901</v>
      </c>
      <c r="AH1369" t="s">
        <v>49</v>
      </c>
      <c r="AI1369">
        <v>0.9</v>
      </c>
      <c r="AJ1369" t="s">
        <v>1156</v>
      </c>
    </row>
    <row r="1370" spans="1:36" x14ac:dyDescent="0.25">
      <c r="A1370" t="s">
        <v>726</v>
      </c>
      <c r="B1370">
        <v>866127590</v>
      </c>
      <c r="C1370" t="s">
        <v>727</v>
      </c>
      <c r="D1370" t="s">
        <v>727</v>
      </c>
      <c r="E1370" t="s">
        <v>37</v>
      </c>
      <c r="F1370" t="s">
        <v>38</v>
      </c>
      <c r="I1370" t="s">
        <v>39</v>
      </c>
      <c r="J1370" t="s">
        <v>40</v>
      </c>
      <c r="K1370" t="s">
        <v>41</v>
      </c>
      <c r="L1370" t="s">
        <v>173</v>
      </c>
      <c r="N1370" t="s">
        <v>43</v>
      </c>
      <c r="O1370" t="s">
        <v>44</v>
      </c>
      <c r="P1370">
        <v>192</v>
      </c>
      <c r="Q1370">
        <v>192</v>
      </c>
      <c r="R1370">
        <v>1</v>
      </c>
      <c r="S1370" t="s">
        <v>45</v>
      </c>
      <c r="T1370">
        <v>0</v>
      </c>
      <c r="U1370">
        <v>997</v>
      </c>
      <c r="V1370" t="s">
        <v>46</v>
      </c>
      <c r="W1370">
        <v>0.996</v>
      </c>
      <c r="X1370">
        <v>24001</v>
      </c>
      <c r="Y1370" t="s">
        <v>47</v>
      </c>
      <c r="Z1370">
        <v>24</v>
      </c>
      <c r="AA1370">
        <v>546</v>
      </c>
      <c r="AB1370" t="s">
        <v>75</v>
      </c>
      <c r="AC1370">
        <v>0.54500000000000004</v>
      </c>
      <c r="AD1370">
        <v>828</v>
      </c>
      <c r="AE1370" t="s">
        <v>48</v>
      </c>
      <c r="AF1370">
        <v>0.82699999999999996</v>
      </c>
      <c r="AG1370">
        <v>973</v>
      </c>
      <c r="AH1370" t="s">
        <v>80</v>
      </c>
      <c r="AI1370">
        <v>0.97199999999999998</v>
      </c>
      <c r="AJ1370" t="s">
        <v>50</v>
      </c>
    </row>
    <row r="1371" spans="1:36" x14ac:dyDescent="0.25">
      <c r="A1371" t="s">
        <v>726</v>
      </c>
      <c r="B1371">
        <v>866127590</v>
      </c>
      <c r="C1371" t="s">
        <v>727</v>
      </c>
      <c r="D1371" t="s">
        <v>727</v>
      </c>
      <c r="E1371" t="s">
        <v>37</v>
      </c>
      <c r="F1371" t="s">
        <v>38</v>
      </c>
      <c r="I1371" t="s">
        <v>39</v>
      </c>
      <c r="J1371" t="s">
        <v>40</v>
      </c>
      <c r="K1371" t="s">
        <v>41</v>
      </c>
      <c r="L1371" t="s">
        <v>173</v>
      </c>
      <c r="N1371" t="s">
        <v>43</v>
      </c>
      <c r="O1371" t="s">
        <v>44</v>
      </c>
      <c r="P1371">
        <v>192</v>
      </c>
      <c r="Q1371">
        <v>192</v>
      </c>
      <c r="R1371">
        <v>1</v>
      </c>
      <c r="S1371" t="s">
        <v>45</v>
      </c>
      <c r="T1371">
        <v>0</v>
      </c>
      <c r="U1371">
        <v>998</v>
      </c>
      <c r="V1371" t="s">
        <v>46</v>
      </c>
      <c r="W1371">
        <v>0.997</v>
      </c>
      <c r="X1371">
        <v>24001</v>
      </c>
      <c r="Y1371" t="s">
        <v>47</v>
      </c>
      <c r="Z1371">
        <v>24</v>
      </c>
      <c r="AA1371">
        <v>546</v>
      </c>
      <c r="AB1371" t="s">
        <v>75</v>
      </c>
      <c r="AC1371">
        <v>0.54500000000000004</v>
      </c>
      <c r="AD1371">
        <v>828</v>
      </c>
      <c r="AE1371" t="s">
        <v>48</v>
      </c>
      <c r="AF1371">
        <v>0.82699999999999996</v>
      </c>
      <c r="AG1371">
        <v>973</v>
      </c>
      <c r="AH1371" t="s">
        <v>80</v>
      </c>
      <c r="AI1371">
        <v>0.97199999999999998</v>
      </c>
      <c r="AJ1371" t="s">
        <v>1141</v>
      </c>
    </row>
    <row r="1372" spans="1:36" x14ac:dyDescent="0.25">
      <c r="A1372" t="s">
        <v>726</v>
      </c>
      <c r="B1372">
        <v>866127590</v>
      </c>
      <c r="C1372" t="s">
        <v>727</v>
      </c>
      <c r="D1372" t="s">
        <v>727</v>
      </c>
      <c r="E1372" t="s">
        <v>37</v>
      </c>
      <c r="F1372" t="s">
        <v>38</v>
      </c>
      <c r="I1372" t="s">
        <v>39</v>
      </c>
      <c r="J1372" t="s">
        <v>40</v>
      </c>
      <c r="K1372" t="s">
        <v>41</v>
      </c>
      <c r="L1372" t="s">
        <v>173</v>
      </c>
      <c r="N1372" t="s">
        <v>43</v>
      </c>
      <c r="O1372" t="s">
        <v>44</v>
      </c>
      <c r="P1372">
        <v>192</v>
      </c>
      <c r="Q1372">
        <v>192</v>
      </c>
      <c r="R1372">
        <v>1</v>
      </c>
      <c r="S1372" t="s">
        <v>45</v>
      </c>
      <c r="T1372">
        <v>0</v>
      </c>
      <c r="U1372">
        <v>997</v>
      </c>
      <c r="V1372" t="s">
        <v>46</v>
      </c>
      <c r="W1372">
        <v>0.996</v>
      </c>
      <c r="X1372">
        <v>24001</v>
      </c>
      <c r="Y1372" t="s">
        <v>47</v>
      </c>
      <c r="Z1372">
        <v>24</v>
      </c>
      <c r="AA1372">
        <v>546</v>
      </c>
      <c r="AB1372" t="s">
        <v>75</v>
      </c>
      <c r="AC1372">
        <v>0.54500000000000004</v>
      </c>
      <c r="AD1372">
        <v>828</v>
      </c>
      <c r="AE1372" t="s">
        <v>48</v>
      </c>
      <c r="AF1372">
        <v>0.82699999999999996</v>
      </c>
      <c r="AG1372">
        <v>973</v>
      </c>
      <c r="AH1372" t="s">
        <v>80</v>
      </c>
      <c r="AI1372">
        <v>0.97199999999999998</v>
      </c>
      <c r="AJ1372" t="s">
        <v>1153</v>
      </c>
    </row>
    <row r="1373" spans="1:36" x14ac:dyDescent="0.25">
      <c r="A1373" t="s">
        <v>726</v>
      </c>
      <c r="B1373">
        <v>866127590</v>
      </c>
      <c r="C1373" t="s">
        <v>727</v>
      </c>
      <c r="D1373" t="s">
        <v>727</v>
      </c>
      <c r="E1373" t="s">
        <v>37</v>
      </c>
      <c r="F1373" t="s">
        <v>38</v>
      </c>
      <c r="I1373" t="s">
        <v>39</v>
      </c>
      <c r="J1373" t="s">
        <v>40</v>
      </c>
      <c r="K1373" t="s">
        <v>41</v>
      </c>
      <c r="L1373" t="s">
        <v>173</v>
      </c>
      <c r="N1373" t="s">
        <v>43</v>
      </c>
      <c r="O1373" t="s">
        <v>44</v>
      </c>
      <c r="P1373">
        <v>192</v>
      </c>
      <c r="Q1373">
        <v>192</v>
      </c>
      <c r="R1373">
        <v>1</v>
      </c>
      <c r="S1373" t="s">
        <v>45</v>
      </c>
      <c r="T1373">
        <v>0</v>
      </c>
      <c r="U1373">
        <v>997</v>
      </c>
      <c r="V1373" t="s">
        <v>46</v>
      </c>
      <c r="W1373">
        <v>0.996</v>
      </c>
      <c r="X1373">
        <v>24001</v>
      </c>
      <c r="Y1373" t="s">
        <v>47</v>
      </c>
      <c r="Z1373">
        <v>24</v>
      </c>
      <c r="AA1373">
        <v>546</v>
      </c>
      <c r="AB1373" t="s">
        <v>75</v>
      </c>
      <c r="AC1373">
        <v>0.54500000000000004</v>
      </c>
      <c r="AD1373">
        <v>828</v>
      </c>
      <c r="AE1373" t="s">
        <v>48</v>
      </c>
      <c r="AF1373">
        <v>0.82699999999999996</v>
      </c>
      <c r="AG1373">
        <v>973</v>
      </c>
      <c r="AH1373" t="s">
        <v>80</v>
      </c>
      <c r="AI1373">
        <v>0.97199999999999998</v>
      </c>
      <c r="AJ1373" t="s">
        <v>1154</v>
      </c>
    </row>
    <row r="1374" spans="1:36" x14ac:dyDescent="0.25">
      <c r="A1374" t="s">
        <v>726</v>
      </c>
      <c r="B1374">
        <v>866127590</v>
      </c>
      <c r="C1374" t="s">
        <v>727</v>
      </c>
      <c r="D1374" t="s">
        <v>727</v>
      </c>
      <c r="E1374" t="s">
        <v>37</v>
      </c>
      <c r="F1374" t="s">
        <v>38</v>
      </c>
      <c r="I1374" t="s">
        <v>39</v>
      </c>
      <c r="J1374" t="s">
        <v>40</v>
      </c>
      <c r="K1374" t="s">
        <v>41</v>
      </c>
      <c r="L1374" t="s">
        <v>173</v>
      </c>
      <c r="N1374" t="s">
        <v>43</v>
      </c>
      <c r="O1374" t="s">
        <v>44</v>
      </c>
      <c r="P1374">
        <v>192</v>
      </c>
      <c r="Q1374">
        <v>192</v>
      </c>
      <c r="S1374" t="s">
        <v>39</v>
      </c>
      <c r="V1374" t="s">
        <v>39</v>
      </c>
      <c r="X1374">
        <v>24001</v>
      </c>
      <c r="Y1374" t="s">
        <v>47</v>
      </c>
      <c r="Z1374">
        <v>24</v>
      </c>
      <c r="AA1374">
        <v>546</v>
      </c>
      <c r="AB1374" t="s">
        <v>75</v>
      </c>
      <c r="AC1374">
        <v>0.54500000000000004</v>
      </c>
      <c r="AD1374">
        <v>828</v>
      </c>
      <c r="AE1374" t="s">
        <v>48</v>
      </c>
      <c r="AF1374">
        <v>0.82699999999999996</v>
      </c>
      <c r="AG1374">
        <v>973</v>
      </c>
      <c r="AH1374" t="s">
        <v>80</v>
      </c>
      <c r="AI1374">
        <v>0.97199999999999998</v>
      </c>
      <c r="AJ1374" t="s">
        <v>1155</v>
      </c>
    </row>
    <row r="1375" spans="1:36" x14ac:dyDescent="0.25">
      <c r="A1375" t="s">
        <v>726</v>
      </c>
      <c r="B1375">
        <v>866127590</v>
      </c>
      <c r="C1375" t="s">
        <v>727</v>
      </c>
      <c r="D1375" t="s">
        <v>727</v>
      </c>
      <c r="E1375" t="s">
        <v>37</v>
      </c>
      <c r="F1375" t="s">
        <v>38</v>
      </c>
      <c r="I1375" t="s">
        <v>39</v>
      </c>
      <c r="J1375" t="s">
        <v>40</v>
      </c>
      <c r="K1375" t="s">
        <v>41</v>
      </c>
      <c r="L1375" t="s">
        <v>173</v>
      </c>
      <c r="N1375" t="s">
        <v>43</v>
      </c>
      <c r="O1375" t="s">
        <v>44</v>
      </c>
      <c r="P1375">
        <v>192</v>
      </c>
      <c r="Q1375">
        <v>192</v>
      </c>
      <c r="S1375" t="s">
        <v>39</v>
      </c>
      <c r="V1375" t="s">
        <v>39</v>
      </c>
      <c r="X1375">
        <v>24001</v>
      </c>
      <c r="Y1375" t="s">
        <v>47</v>
      </c>
      <c r="Z1375">
        <v>24</v>
      </c>
      <c r="AA1375">
        <v>546</v>
      </c>
      <c r="AB1375" t="s">
        <v>75</v>
      </c>
      <c r="AC1375">
        <v>0.54500000000000004</v>
      </c>
      <c r="AD1375">
        <v>828</v>
      </c>
      <c r="AE1375" t="s">
        <v>48</v>
      </c>
      <c r="AF1375">
        <v>0.82699999999999996</v>
      </c>
      <c r="AG1375">
        <v>973</v>
      </c>
      <c r="AH1375" t="s">
        <v>80</v>
      </c>
      <c r="AI1375">
        <v>0.97199999999999998</v>
      </c>
      <c r="AJ1375" t="s">
        <v>1156</v>
      </c>
    </row>
    <row r="1376" spans="1:36" x14ac:dyDescent="0.25">
      <c r="A1376" t="s">
        <v>724</v>
      </c>
      <c r="B1376">
        <v>871978980</v>
      </c>
      <c r="C1376" t="s">
        <v>725</v>
      </c>
      <c r="D1376" t="s">
        <v>725</v>
      </c>
      <c r="E1376" t="s">
        <v>37</v>
      </c>
      <c r="F1376" t="s">
        <v>38</v>
      </c>
      <c r="I1376" t="s">
        <v>39</v>
      </c>
      <c r="J1376" t="s">
        <v>40</v>
      </c>
      <c r="K1376" t="s">
        <v>41</v>
      </c>
      <c r="L1376" t="s">
        <v>78</v>
      </c>
      <c r="N1376" t="s">
        <v>43</v>
      </c>
      <c r="O1376" t="s">
        <v>128</v>
      </c>
      <c r="P1376">
        <v>192</v>
      </c>
      <c r="Q1376">
        <v>192</v>
      </c>
      <c r="R1376">
        <v>81</v>
      </c>
      <c r="S1376" t="s">
        <v>56</v>
      </c>
      <c r="T1376">
        <v>0.08</v>
      </c>
      <c r="U1376">
        <v>942</v>
      </c>
      <c r="V1376" t="s">
        <v>46</v>
      </c>
      <c r="W1376">
        <v>0.94099999999999995</v>
      </c>
      <c r="X1376">
        <v>18001</v>
      </c>
      <c r="Y1376" t="s">
        <v>47</v>
      </c>
      <c r="Z1376">
        <v>18</v>
      </c>
      <c r="AA1376">
        <v>451</v>
      </c>
      <c r="AB1376" t="s">
        <v>47</v>
      </c>
      <c r="AC1376">
        <v>0.45</v>
      </c>
      <c r="AD1376">
        <v>758</v>
      </c>
      <c r="AE1376" t="s">
        <v>48</v>
      </c>
      <c r="AF1376">
        <v>0.75700000000000001</v>
      </c>
      <c r="AG1376">
        <v>949</v>
      </c>
      <c r="AH1376" t="s">
        <v>80</v>
      </c>
      <c r="AI1376">
        <v>0.94799999999999995</v>
      </c>
      <c r="AJ1376" t="s">
        <v>50</v>
      </c>
    </row>
    <row r="1377" spans="1:36" x14ac:dyDescent="0.25">
      <c r="A1377" t="s">
        <v>724</v>
      </c>
      <c r="B1377">
        <v>871978980</v>
      </c>
      <c r="C1377" t="s">
        <v>725</v>
      </c>
      <c r="D1377" t="s">
        <v>725</v>
      </c>
      <c r="E1377" t="s">
        <v>37</v>
      </c>
      <c r="F1377" t="s">
        <v>38</v>
      </c>
      <c r="I1377" t="s">
        <v>39</v>
      </c>
      <c r="J1377" t="s">
        <v>40</v>
      </c>
      <c r="K1377" t="s">
        <v>41</v>
      </c>
      <c r="L1377" t="s">
        <v>78</v>
      </c>
      <c r="N1377" t="s">
        <v>43</v>
      </c>
      <c r="O1377" t="s">
        <v>128</v>
      </c>
      <c r="P1377">
        <v>192</v>
      </c>
      <c r="Q1377">
        <v>192</v>
      </c>
      <c r="R1377">
        <v>11</v>
      </c>
      <c r="S1377" t="s">
        <v>45</v>
      </c>
      <c r="T1377">
        <v>0.01</v>
      </c>
      <c r="U1377">
        <v>890</v>
      </c>
      <c r="V1377" t="s">
        <v>113</v>
      </c>
      <c r="W1377">
        <v>0.88900000000000001</v>
      </c>
      <c r="X1377">
        <v>18001</v>
      </c>
      <c r="Y1377" t="s">
        <v>47</v>
      </c>
      <c r="Z1377">
        <v>18</v>
      </c>
      <c r="AA1377">
        <v>451</v>
      </c>
      <c r="AB1377" t="s">
        <v>47</v>
      </c>
      <c r="AC1377">
        <v>0.45</v>
      </c>
      <c r="AD1377">
        <v>758</v>
      </c>
      <c r="AE1377" t="s">
        <v>48</v>
      </c>
      <c r="AF1377">
        <v>0.75700000000000001</v>
      </c>
      <c r="AG1377">
        <v>949</v>
      </c>
      <c r="AH1377" t="s">
        <v>80</v>
      </c>
      <c r="AI1377">
        <v>0.94799999999999995</v>
      </c>
      <c r="AJ1377" t="s">
        <v>1141</v>
      </c>
    </row>
    <row r="1378" spans="1:36" x14ac:dyDescent="0.25">
      <c r="A1378" t="s">
        <v>724</v>
      </c>
      <c r="B1378">
        <v>871978980</v>
      </c>
      <c r="C1378" t="s">
        <v>725</v>
      </c>
      <c r="D1378" t="s">
        <v>725</v>
      </c>
      <c r="E1378" t="s">
        <v>37</v>
      </c>
      <c r="F1378" t="s">
        <v>38</v>
      </c>
      <c r="I1378" t="s">
        <v>39</v>
      </c>
      <c r="J1378" t="s">
        <v>40</v>
      </c>
      <c r="K1378" t="s">
        <v>41</v>
      </c>
      <c r="L1378" t="s">
        <v>78</v>
      </c>
      <c r="N1378" t="s">
        <v>43</v>
      </c>
      <c r="O1378" t="s">
        <v>128</v>
      </c>
      <c r="P1378">
        <v>192</v>
      </c>
      <c r="Q1378">
        <v>192</v>
      </c>
      <c r="R1378">
        <v>81</v>
      </c>
      <c r="S1378" t="s">
        <v>56</v>
      </c>
      <c r="T1378">
        <v>0.08</v>
      </c>
      <c r="U1378">
        <v>942</v>
      </c>
      <c r="V1378" t="s">
        <v>46</v>
      </c>
      <c r="W1378">
        <v>0.94099999999999995</v>
      </c>
      <c r="X1378">
        <v>18001</v>
      </c>
      <c r="Y1378" t="s">
        <v>47</v>
      </c>
      <c r="Z1378">
        <v>18</v>
      </c>
      <c r="AA1378">
        <v>451</v>
      </c>
      <c r="AB1378" t="s">
        <v>47</v>
      </c>
      <c r="AC1378">
        <v>0.45</v>
      </c>
      <c r="AD1378">
        <v>758</v>
      </c>
      <c r="AE1378" t="s">
        <v>48</v>
      </c>
      <c r="AF1378">
        <v>0.75700000000000001</v>
      </c>
      <c r="AG1378">
        <v>949</v>
      </c>
      <c r="AH1378" t="s">
        <v>80</v>
      </c>
      <c r="AI1378">
        <v>0.94799999999999995</v>
      </c>
      <c r="AJ1378" t="s">
        <v>1153</v>
      </c>
    </row>
    <row r="1379" spans="1:36" x14ac:dyDescent="0.25">
      <c r="A1379" t="s">
        <v>724</v>
      </c>
      <c r="B1379">
        <v>871978980</v>
      </c>
      <c r="C1379" t="s">
        <v>725</v>
      </c>
      <c r="D1379" t="s">
        <v>725</v>
      </c>
      <c r="E1379" t="s">
        <v>37</v>
      </c>
      <c r="F1379" t="s">
        <v>38</v>
      </c>
      <c r="I1379" t="s">
        <v>39</v>
      </c>
      <c r="J1379" t="s">
        <v>40</v>
      </c>
      <c r="K1379" t="s">
        <v>41</v>
      </c>
      <c r="L1379" t="s">
        <v>78</v>
      </c>
      <c r="N1379" t="s">
        <v>43</v>
      </c>
      <c r="O1379" t="s">
        <v>128</v>
      </c>
      <c r="P1379">
        <v>192</v>
      </c>
      <c r="Q1379">
        <v>192</v>
      </c>
      <c r="R1379">
        <v>81</v>
      </c>
      <c r="S1379" t="s">
        <v>56</v>
      </c>
      <c r="T1379">
        <v>0.08</v>
      </c>
      <c r="U1379">
        <v>942</v>
      </c>
      <c r="V1379" t="s">
        <v>46</v>
      </c>
      <c r="W1379">
        <v>0.94099999999999995</v>
      </c>
      <c r="X1379">
        <v>18001</v>
      </c>
      <c r="Y1379" t="s">
        <v>47</v>
      </c>
      <c r="Z1379">
        <v>18</v>
      </c>
      <c r="AA1379">
        <v>451</v>
      </c>
      <c r="AB1379" t="s">
        <v>47</v>
      </c>
      <c r="AC1379">
        <v>0.45</v>
      </c>
      <c r="AD1379">
        <v>758</v>
      </c>
      <c r="AE1379" t="s">
        <v>48</v>
      </c>
      <c r="AF1379">
        <v>0.75700000000000001</v>
      </c>
      <c r="AG1379">
        <v>949</v>
      </c>
      <c r="AH1379" t="s">
        <v>80</v>
      </c>
      <c r="AI1379">
        <v>0.94799999999999995</v>
      </c>
      <c r="AJ1379" t="s">
        <v>1154</v>
      </c>
    </row>
    <row r="1380" spans="1:36" x14ac:dyDescent="0.25">
      <c r="A1380" t="s">
        <v>724</v>
      </c>
      <c r="B1380">
        <v>871978980</v>
      </c>
      <c r="C1380" t="s">
        <v>725</v>
      </c>
      <c r="D1380" t="s">
        <v>725</v>
      </c>
      <c r="E1380" t="s">
        <v>37</v>
      </c>
      <c r="F1380" t="s">
        <v>38</v>
      </c>
      <c r="I1380" t="s">
        <v>39</v>
      </c>
      <c r="J1380" t="s">
        <v>40</v>
      </c>
      <c r="K1380" t="s">
        <v>41</v>
      </c>
      <c r="L1380" t="s">
        <v>78</v>
      </c>
      <c r="N1380" t="s">
        <v>43</v>
      </c>
      <c r="O1380" t="s">
        <v>128</v>
      </c>
      <c r="P1380">
        <v>192</v>
      </c>
      <c r="Q1380">
        <v>192</v>
      </c>
      <c r="S1380" t="s">
        <v>39</v>
      </c>
      <c r="V1380" t="s">
        <v>39</v>
      </c>
      <c r="X1380">
        <v>18001</v>
      </c>
      <c r="Y1380" t="s">
        <v>47</v>
      </c>
      <c r="Z1380">
        <v>18</v>
      </c>
      <c r="AA1380">
        <v>451</v>
      </c>
      <c r="AB1380" t="s">
        <v>47</v>
      </c>
      <c r="AC1380">
        <v>0.45</v>
      </c>
      <c r="AD1380">
        <v>758</v>
      </c>
      <c r="AE1380" t="s">
        <v>48</v>
      </c>
      <c r="AF1380">
        <v>0.75700000000000001</v>
      </c>
      <c r="AG1380">
        <v>949</v>
      </c>
      <c r="AH1380" t="s">
        <v>80</v>
      </c>
      <c r="AI1380">
        <v>0.94799999999999995</v>
      </c>
      <c r="AJ1380" t="s">
        <v>1155</v>
      </c>
    </row>
    <row r="1381" spans="1:36" x14ac:dyDescent="0.25">
      <c r="A1381" t="s">
        <v>724</v>
      </c>
      <c r="B1381">
        <v>871978980</v>
      </c>
      <c r="C1381" t="s">
        <v>725</v>
      </c>
      <c r="D1381" t="s">
        <v>725</v>
      </c>
      <c r="E1381" t="s">
        <v>37</v>
      </c>
      <c r="F1381" t="s">
        <v>38</v>
      </c>
      <c r="I1381" t="s">
        <v>39</v>
      </c>
      <c r="J1381" t="s">
        <v>40</v>
      </c>
      <c r="K1381" t="s">
        <v>41</v>
      </c>
      <c r="L1381" t="s">
        <v>78</v>
      </c>
      <c r="N1381" t="s">
        <v>43</v>
      </c>
      <c r="O1381" t="s">
        <v>128</v>
      </c>
      <c r="P1381">
        <v>192</v>
      </c>
      <c r="Q1381">
        <v>192</v>
      </c>
      <c r="S1381" t="s">
        <v>39</v>
      </c>
      <c r="V1381" t="s">
        <v>39</v>
      </c>
      <c r="X1381">
        <v>18001</v>
      </c>
      <c r="Y1381" t="s">
        <v>47</v>
      </c>
      <c r="Z1381">
        <v>18</v>
      </c>
      <c r="AA1381">
        <v>451</v>
      </c>
      <c r="AB1381" t="s">
        <v>47</v>
      </c>
      <c r="AC1381">
        <v>0.45</v>
      </c>
      <c r="AD1381">
        <v>758</v>
      </c>
      <c r="AE1381" t="s">
        <v>48</v>
      </c>
      <c r="AF1381">
        <v>0.75700000000000001</v>
      </c>
      <c r="AG1381">
        <v>949</v>
      </c>
      <c r="AH1381" t="s">
        <v>80</v>
      </c>
      <c r="AI1381">
        <v>0.94799999999999995</v>
      </c>
      <c r="AJ1381" t="s">
        <v>1156</v>
      </c>
    </row>
    <row r="1382" spans="1:36" x14ac:dyDescent="0.25">
      <c r="A1382" t="s">
        <v>722</v>
      </c>
      <c r="B1382">
        <v>868683068</v>
      </c>
      <c r="C1382" t="s">
        <v>723</v>
      </c>
      <c r="D1382" t="s">
        <v>723</v>
      </c>
      <c r="E1382" t="s">
        <v>99</v>
      </c>
      <c r="F1382" t="s">
        <v>143</v>
      </c>
      <c r="I1382" t="s">
        <v>39</v>
      </c>
      <c r="J1382" t="s">
        <v>40</v>
      </c>
      <c r="K1382" t="s">
        <v>41</v>
      </c>
      <c r="L1382" t="s">
        <v>173</v>
      </c>
      <c r="N1382" t="s">
        <v>43</v>
      </c>
      <c r="O1382" t="s">
        <v>163</v>
      </c>
      <c r="P1382">
        <v>193</v>
      </c>
      <c r="Q1382">
        <v>193</v>
      </c>
      <c r="R1382">
        <v>51</v>
      </c>
      <c r="S1382" t="s">
        <v>56</v>
      </c>
      <c r="T1382">
        <v>0.05</v>
      </c>
      <c r="U1382">
        <v>151</v>
      </c>
      <c r="V1382" t="s">
        <v>55</v>
      </c>
      <c r="W1382">
        <v>0.15</v>
      </c>
      <c r="X1382">
        <v>18001</v>
      </c>
      <c r="Y1382" t="s">
        <v>47</v>
      </c>
      <c r="Z1382">
        <v>18</v>
      </c>
      <c r="AA1382">
        <v>492</v>
      </c>
      <c r="AB1382" t="s">
        <v>47</v>
      </c>
      <c r="AC1382">
        <v>0.49099999999999999</v>
      </c>
      <c r="AD1382">
        <v>714</v>
      </c>
      <c r="AE1382" t="s">
        <v>48</v>
      </c>
      <c r="AF1382">
        <v>0.71299999999999997</v>
      </c>
      <c r="AG1382">
        <v>827</v>
      </c>
      <c r="AH1382" t="s">
        <v>49</v>
      </c>
      <c r="AI1382">
        <v>0.82599999999999996</v>
      </c>
      <c r="AJ1382" t="s">
        <v>50</v>
      </c>
    </row>
    <row r="1383" spans="1:36" x14ac:dyDescent="0.25">
      <c r="A1383" t="s">
        <v>722</v>
      </c>
      <c r="B1383">
        <v>868683068</v>
      </c>
      <c r="C1383" t="s">
        <v>723</v>
      </c>
      <c r="D1383" t="s">
        <v>723</v>
      </c>
      <c r="E1383" t="s">
        <v>99</v>
      </c>
      <c r="F1383" t="s">
        <v>143</v>
      </c>
      <c r="I1383" t="s">
        <v>39</v>
      </c>
      <c r="J1383" t="s">
        <v>40</v>
      </c>
      <c r="K1383" t="s">
        <v>41</v>
      </c>
      <c r="L1383" t="s">
        <v>173</v>
      </c>
      <c r="N1383" t="s">
        <v>43</v>
      </c>
      <c r="O1383" t="s">
        <v>163</v>
      </c>
      <c r="P1383">
        <v>193</v>
      </c>
      <c r="Q1383">
        <v>193</v>
      </c>
      <c r="R1383">
        <v>121</v>
      </c>
      <c r="S1383" t="s">
        <v>56</v>
      </c>
      <c r="T1383">
        <v>0.12</v>
      </c>
      <c r="U1383">
        <v>362</v>
      </c>
      <c r="V1383" t="s">
        <v>55</v>
      </c>
      <c r="W1383">
        <v>0.36099999999999999</v>
      </c>
      <c r="X1383">
        <v>18001</v>
      </c>
      <c r="Y1383" t="s">
        <v>47</v>
      </c>
      <c r="Z1383">
        <v>18</v>
      </c>
      <c r="AA1383">
        <v>492</v>
      </c>
      <c r="AB1383" t="s">
        <v>47</v>
      </c>
      <c r="AC1383">
        <v>0.49099999999999999</v>
      </c>
      <c r="AD1383">
        <v>714</v>
      </c>
      <c r="AE1383" t="s">
        <v>48</v>
      </c>
      <c r="AF1383">
        <v>0.71299999999999997</v>
      </c>
      <c r="AG1383">
        <v>827</v>
      </c>
      <c r="AH1383" t="s">
        <v>49</v>
      </c>
      <c r="AI1383">
        <v>0.82599999999999996</v>
      </c>
      <c r="AJ1383" t="s">
        <v>1141</v>
      </c>
    </row>
    <row r="1384" spans="1:36" x14ac:dyDescent="0.25">
      <c r="A1384" t="s">
        <v>722</v>
      </c>
      <c r="B1384">
        <v>868683068</v>
      </c>
      <c r="C1384" t="s">
        <v>723</v>
      </c>
      <c r="D1384" t="s">
        <v>723</v>
      </c>
      <c r="E1384" t="s">
        <v>99</v>
      </c>
      <c r="F1384" t="s">
        <v>143</v>
      </c>
      <c r="I1384" t="s">
        <v>39</v>
      </c>
      <c r="J1384" t="s">
        <v>40</v>
      </c>
      <c r="K1384" t="s">
        <v>41</v>
      </c>
      <c r="L1384" t="s">
        <v>173</v>
      </c>
      <c r="N1384" t="s">
        <v>43</v>
      </c>
      <c r="O1384" t="s">
        <v>163</v>
      </c>
      <c r="P1384">
        <v>193</v>
      </c>
      <c r="Q1384">
        <v>193</v>
      </c>
      <c r="R1384">
        <v>51</v>
      </c>
      <c r="S1384" t="s">
        <v>56</v>
      </c>
      <c r="T1384">
        <v>0.05</v>
      </c>
      <c r="U1384">
        <v>151</v>
      </c>
      <c r="V1384" t="s">
        <v>55</v>
      </c>
      <c r="W1384">
        <v>0.15</v>
      </c>
      <c r="X1384">
        <v>18001</v>
      </c>
      <c r="Y1384" t="s">
        <v>47</v>
      </c>
      <c r="Z1384">
        <v>18</v>
      </c>
      <c r="AA1384">
        <v>492</v>
      </c>
      <c r="AB1384" t="s">
        <v>47</v>
      </c>
      <c r="AC1384">
        <v>0.49099999999999999</v>
      </c>
      <c r="AD1384">
        <v>714</v>
      </c>
      <c r="AE1384" t="s">
        <v>48</v>
      </c>
      <c r="AF1384">
        <v>0.71299999999999997</v>
      </c>
      <c r="AG1384">
        <v>827</v>
      </c>
      <c r="AH1384" t="s">
        <v>49</v>
      </c>
      <c r="AI1384">
        <v>0.82599999999999996</v>
      </c>
      <c r="AJ1384" t="s">
        <v>1153</v>
      </c>
    </row>
    <row r="1385" spans="1:36" x14ac:dyDescent="0.25">
      <c r="A1385" t="s">
        <v>722</v>
      </c>
      <c r="B1385">
        <v>868683068</v>
      </c>
      <c r="C1385" t="s">
        <v>723</v>
      </c>
      <c r="D1385" t="s">
        <v>723</v>
      </c>
      <c r="E1385" t="s">
        <v>99</v>
      </c>
      <c r="F1385" t="s">
        <v>143</v>
      </c>
      <c r="I1385" t="s">
        <v>39</v>
      </c>
      <c r="J1385" t="s">
        <v>40</v>
      </c>
      <c r="K1385" t="s">
        <v>41</v>
      </c>
      <c r="L1385" t="s">
        <v>173</v>
      </c>
      <c r="N1385" t="s">
        <v>43</v>
      </c>
      <c r="O1385" t="s">
        <v>163</v>
      </c>
      <c r="P1385">
        <v>193</v>
      </c>
      <c r="Q1385">
        <v>193</v>
      </c>
      <c r="R1385">
        <v>51</v>
      </c>
      <c r="S1385" t="s">
        <v>56</v>
      </c>
      <c r="T1385">
        <v>0.05</v>
      </c>
      <c r="U1385">
        <v>151</v>
      </c>
      <c r="V1385" t="s">
        <v>55</v>
      </c>
      <c r="W1385">
        <v>0.15</v>
      </c>
      <c r="X1385">
        <v>18001</v>
      </c>
      <c r="Y1385" t="s">
        <v>47</v>
      </c>
      <c r="Z1385">
        <v>18</v>
      </c>
      <c r="AA1385">
        <v>492</v>
      </c>
      <c r="AB1385" t="s">
        <v>47</v>
      </c>
      <c r="AC1385">
        <v>0.49099999999999999</v>
      </c>
      <c r="AD1385">
        <v>714</v>
      </c>
      <c r="AE1385" t="s">
        <v>48</v>
      </c>
      <c r="AF1385">
        <v>0.71299999999999997</v>
      </c>
      <c r="AG1385">
        <v>827</v>
      </c>
      <c r="AH1385" t="s">
        <v>49</v>
      </c>
      <c r="AI1385">
        <v>0.82599999999999996</v>
      </c>
      <c r="AJ1385" t="s">
        <v>1154</v>
      </c>
    </row>
    <row r="1386" spans="1:36" x14ac:dyDescent="0.25">
      <c r="A1386" t="s">
        <v>722</v>
      </c>
      <c r="B1386">
        <v>868683068</v>
      </c>
      <c r="C1386" t="s">
        <v>723</v>
      </c>
      <c r="D1386" t="s">
        <v>723</v>
      </c>
      <c r="E1386" t="s">
        <v>99</v>
      </c>
      <c r="F1386" t="s">
        <v>143</v>
      </c>
      <c r="I1386" t="s">
        <v>39</v>
      </c>
      <c r="J1386" t="s">
        <v>40</v>
      </c>
      <c r="K1386" t="s">
        <v>41</v>
      </c>
      <c r="L1386" t="s">
        <v>173</v>
      </c>
      <c r="N1386" t="s">
        <v>43</v>
      </c>
      <c r="O1386" t="s">
        <v>163</v>
      </c>
      <c r="P1386">
        <v>193</v>
      </c>
      <c r="Q1386">
        <v>193</v>
      </c>
      <c r="S1386" t="s">
        <v>39</v>
      </c>
      <c r="V1386" t="s">
        <v>39</v>
      </c>
      <c r="X1386">
        <v>18001</v>
      </c>
      <c r="Y1386" t="s">
        <v>47</v>
      </c>
      <c r="Z1386">
        <v>18</v>
      </c>
      <c r="AA1386">
        <v>492</v>
      </c>
      <c r="AB1386" t="s">
        <v>47</v>
      </c>
      <c r="AC1386">
        <v>0.49099999999999999</v>
      </c>
      <c r="AD1386">
        <v>714</v>
      </c>
      <c r="AE1386" t="s">
        <v>48</v>
      </c>
      <c r="AF1386">
        <v>0.71299999999999997</v>
      </c>
      <c r="AG1386">
        <v>827</v>
      </c>
      <c r="AH1386" t="s">
        <v>49</v>
      </c>
      <c r="AI1386">
        <v>0.82599999999999996</v>
      </c>
      <c r="AJ1386" t="s">
        <v>1155</v>
      </c>
    </row>
    <row r="1387" spans="1:36" x14ac:dyDescent="0.25">
      <c r="A1387" t="s">
        <v>722</v>
      </c>
      <c r="B1387">
        <v>868683068</v>
      </c>
      <c r="C1387" t="s">
        <v>723</v>
      </c>
      <c r="D1387" t="s">
        <v>723</v>
      </c>
      <c r="E1387" t="s">
        <v>99</v>
      </c>
      <c r="F1387" t="s">
        <v>143</v>
      </c>
      <c r="I1387" t="s">
        <v>39</v>
      </c>
      <c r="J1387" t="s">
        <v>40</v>
      </c>
      <c r="K1387" t="s">
        <v>41</v>
      </c>
      <c r="L1387" t="s">
        <v>173</v>
      </c>
      <c r="N1387" t="s">
        <v>43</v>
      </c>
      <c r="O1387" t="s">
        <v>163</v>
      </c>
      <c r="P1387">
        <v>193</v>
      </c>
      <c r="Q1387">
        <v>193</v>
      </c>
      <c r="S1387" t="s">
        <v>39</v>
      </c>
      <c r="V1387" t="s">
        <v>39</v>
      </c>
      <c r="X1387">
        <v>18001</v>
      </c>
      <c r="Y1387" t="s">
        <v>47</v>
      </c>
      <c r="Z1387">
        <v>18</v>
      </c>
      <c r="AA1387">
        <v>492</v>
      </c>
      <c r="AB1387" t="s">
        <v>47</v>
      </c>
      <c r="AC1387">
        <v>0.49099999999999999</v>
      </c>
      <c r="AD1387">
        <v>714</v>
      </c>
      <c r="AE1387" t="s">
        <v>48</v>
      </c>
      <c r="AF1387">
        <v>0.71299999999999997</v>
      </c>
      <c r="AG1387">
        <v>827</v>
      </c>
      <c r="AH1387" t="s">
        <v>49</v>
      </c>
      <c r="AI1387">
        <v>0.82599999999999996</v>
      </c>
      <c r="AJ1387" t="s">
        <v>1156</v>
      </c>
    </row>
    <row r="1388" spans="1:36" x14ac:dyDescent="0.25">
      <c r="A1388" t="s">
        <v>720</v>
      </c>
      <c r="B1388">
        <v>853297457</v>
      </c>
      <c r="C1388" t="s">
        <v>721</v>
      </c>
      <c r="D1388" t="s">
        <v>721</v>
      </c>
      <c r="E1388" t="s">
        <v>65</v>
      </c>
      <c r="F1388" t="s">
        <v>93</v>
      </c>
      <c r="I1388" t="s">
        <v>39</v>
      </c>
      <c r="J1388" t="s">
        <v>40</v>
      </c>
      <c r="K1388" t="s">
        <v>41</v>
      </c>
      <c r="L1388" t="s">
        <v>177</v>
      </c>
      <c r="M1388" t="s">
        <v>73</v>
      </c>
      <c r="N1388" t="s">
        <v>43</v>
      </c>
      <c r="O1388" t="s">
        <v>170</v>
      </c>
      <c r="P1388">
        <v>196</v>
      </c>
      <c r="Q1388">
        <v>196</v>
      </c>
      <c r="R1388">
        <v>1</v>
      </c>
      <c r="S1388" t="s">
        <v>45</v>
      </c>
      <c r="T1388">
        <v>0</v>
      </c>
      <c r="U1388">
        <v>1000</v>
      </c>
      <c r="V1388" t="s">
        <v>46</v>
      </c>
      <c r="W1388">
        <v>0.999</v>
      </c>
      <c r="X1388">
        <v>22001</v>
      </c>
      <c r="Y1388" t="s">
        <v>47</v>
      </c>
      <c r="Z1388">
        <v>22</v>
      </c>
      <c r="AA1388">
        <v>375</v>
      </c>
      <c r="AB1388" t="s">
        <v>47</v>
      </c>
      <c r="AC1388">
        <v>0.374</v>
      </c>
      <c r="AD1388">
        <v>827</v>
      </c>
      <c r="AE1388" t="s">
        <v>48</v>
      </c>
      <c r="AF1388">
        <v>0.82599999999999996</v>
      </c>
      <c r="AG1388">
        <v>969</v>
      </c>
      <c r="AH1388" t="s">
        <v>80</v>
      </c>
      <c r="AI1388">
        <v>0.96799999999999997</v>
      </c>
      <c r="AJ1388" t="s">
        <v>50</v>
      </c>
    </row>
    <row r="1389" spans="1:36" x14ac:dyDescent="0.25">
      <c r="A1389" t="s">
        <v>720</v>
      </c>
      <c r="B1389">
        <v>853297457</v>
      </c>
      <c r="C1389" t="s">
        <v>721</v>
      </c>
      <c r="D1389" t="s">
        <v>721</v>
      </c>
      <c r="E1389" t="s">
        <v>65</v>
      </c>
      <c r="F1389" t="s">
        <v>93</v>
      </c>
      <c r="I1389" t="s">
        <v>39</v>
      </c>
      <c r="J1389" t="s">
        <v>40</v>
      </c>
      <c r="K1389" t="s">
        <v>41</v>
      </c>
      <c r="L1389" t="s">
        <v>177</v>
      </c>
      <c r="M1389" t="s">
        <v>73</v>
      </c>
      <c r="N1389" t="s">
        <v>43</v>
      </c>
      <c r="O1389" t="s">
        <v>170</v>
      </c>
      <c r="P1389">
        <v>196</v>
      </c>
      <c r="Q1389">
        <v>196</v>
      </c>
      <c r="R1389">
        <v>1</v>
      </c>
      <c r="S1389" t="s">
        <v>45</v>
      </c>
      <c r="T1389">
        <v>0</v>
      </c>
      <c r="U1389">
        <v>999</v>
      </c>
      <c r="V1389" t="s">
        <v>46</v>
      </c>
      <c r="W1389">
        <v>0.998</v>
      </c>
      <c r="X1389">
        <v>22001</v>
      </c>
      <c r="Y1389" t="s">
        <v>47</v>
      </c>
      <c r="Z1389">
        <v>22</v>
      </c>
      <c r="AA1389">
        <v>375</v>
      </c>
      <c r="AB1389" t="s">
        <v>47</v>
      </c>
      <c r="AC1389">
        <v>0.374</v>
      </c>
      <c r="AD1389">
        <v>827</v>
      </c>
      <c r="AE1389" t="s">
        <v>48</v>
      </c>
      <c r="AF1389">
        <v>0.82599999999999996</v>
      </c>
      <c r="AG1389">
        <v>969</v>
      </c>
      <c r="AH1389" t="s">
        <v>80</v>
      </c>
      <c r="AI1389">
        <v>0.96799999999999997</v>
      </c>
      <c r="AJ1389" t="s">
        <v>1141</v>
      </c>
    </row>
    <row r="1390" spans="1:36" x14ac:dyDescent="0.25">
      <c r="A1390" t="s">
        <v>720</v>
      </c>
      <c r="B1390">
        <v>853297457</v>
      </c>
      <c r="C1390" t="s">
        <v>721</v>
      </c>
      <c r="D1390" t="s">
        <v>721</v>
      </c>
      <c r="E1390" t="s">
        <v>65</v>
      </c>
      <c r="F1390" t="s">
        <v>93</v>
      </c>
      <c r="I1390" t="s">
        <v>39</v>
      </c>
      <c r="J1390" t="s">
        <v>40</v>
      </c>
      <c r="K1390" t="s">
        <v>41</v>
      </c>
      <c r="L1390" t="s">
        <v>177</v>
      </c>
      <c r="M1390" t="s">
        <v>73</v>
      </c>
      <c r="N1390" t="s">
        <v>43</v>
      </c>
      <c r="O1390" t="s">
        <v>170</v>
      </c>
      <c r="P1390">
        <v>196</v>
      </c>
      <c r="Q1390">
        <v>196</v>
      </c>
      <c r="R1390">
        <v>1</v>
      </c>
      <c r="S1390" t="s">
        <v>45</v>
      </c>
      <c r="T1390">
        <v>0</v>
      </c>
      <c r="U1390">
        <v>1000</v>
      </c>
      <c r="V1390" t="s">
        <v>46</v>
      </c>
      <c r="W1390">
        <v>0.999</v>
      </c>
      <c r="X1390">
        <v>22001</v>
      </c>
      <c r="Y1390" t="s">
        <v>47</v>
      </c>
      <c r="Z1390">
        <v>22</v>
      </c>
      <c r="AA1390">
        <v>375</v>
      </c>
      <c r="AB1390" t="s">
        <v>47</v>
      </c>
      <c r="AC1390">
        <v>0.374</v>
      </c>
      <c r="AD1390">
        <v>827</v>
      </c>
      <c r="AE1390" t="s">
        <v>48</v>
      </c>
      <c r="AF1390">
        <v>0.82599999999999996</v>
      </c>
      <c r="AG1390">
        <v>969</v>
      </c>
      <c r="AH1390" t="s">
        <v>80</v>
      </c>
      <c r="AI1390">
        <v>0.96799999999999997</v>
      </c>
      <c r="AJ1390" t="s">
        <v>1153</v>
      </c>
    </row>
    <row r="1391" spans="1:36" x14ac:dyDescent="0.25">
      <c r="A1391" t="s">
        <v>720</v>
      </c>
      <c r="B1391">
        <v>853297457</v>
      </c>
      <c r="C1391" t="s">
        <v>721</v>
      </c>
      <c r="D1391" t="s">
        <v>721</v>
      </c>
      <c r="E1391" t="s">
        <v>65</v>
      </c>
      <c r="F1391" t="s">
        <v>93</v>
      </c>
      <c r="I1391" t="s">
        <v>39</v>
      </c>
      <c r="J1391" t="s">
        <v>40</v>
      </c>
      <c r="K1391" t="s">
        <v>41</v>
      </c>
      <c r="L1391" t="s">
        <v>177</v>
      </c>
      <c r="M1391" t="s">
        <v>73</v>
      </c>
      <c r="N1391" t="s">
        <v>43</v>
      </c>
      <c r="O1391" t="s">
        <v>170</v>
      </c>
      <c r="P1391">
        <v>196</v>
      </c>
      <c r="Q1391">
        <v>196</v>
      </c>
      <c r="R1391">
        <v>1</v>
      </c>
      <c r="S1391" t="s">
        <v>45</v>
      </c>
      <c r="T1391">
        <v>0</v>
      </c>
      <c r="U1391">
        <v>1000</v>
      </c>
      <c r="V1391" t="s">
        <v>46</v>
      </c>
      <c r="W1391">
        <v>0.999</v>
      </c>
      <c r="X1391">
        <v>22001</v>
      </c>
      <c r="Y1391" t="s">
        <v>47</v>
      </c>
      <c r="Z1391">
        <v>22</v>
      </c>
      <c r="AA1391">
        <v>375</v>
      </c>
      <c r="AB1391" t="s">
        <v>47</v>
      </c>
      <c r="AC1391">
        <v>0.374</v>
      </c>
      <c r="AD1391">
        <v>827</v>
      </c>
      <c r="AE1391" t="s">
        <v>48</v>
      </c>
      <c r="AF1391">
        <v>0.82599999999999996</v>
      </c>
      <c r="AG1391">
        <v>969</v>
      </c>
      <c r="AH1391" t="s">
        <v>80</v>
      </c>
      <c r="AI1391">
        <v>0.96799999999999997</v>
      </c>
      <c r="AJ1391" t="s">
        <v>1154</v>
      </c>
    </row>
    <row r="1392" spans="1:36" x14ac:dyDescent="0.25">
      <c r="A1392" t="s">
        <v>720</v>
      </c>
      <c r="B1392">
        <v>853297457</v>
      </c>
      <c r="C1392" t="s">
        <v>721</v>
      </c>
      <c r="D1392" t="s">
        <v>721</v>
      </c>
      <c r="E1392" t="s">
        <v>65</v>
      </c>
      <c r="F1392" t="s">
        <v>93</v>
      </c>
      <c r="I1392" t="s">
        <v>39</v>
      </c>
      <c r="J1392" t="s">
        <v>40</v>
      </c>
      <c r="K1392" t="s">
        <v>41</v>
      </c>
      <c r="L1392" t="s">
        <v>177</v>
      </c>
      <c r="M1392" t="s">
        <v>73</v>
      </c>
      <c r="N1392" t="s">
        <v>43</v>
      </c>
      <c r="O1392" t="s">
        <v>170</v>
      </c>
      <c r="P1392">
        <v>196</v>
      </c>
      <c r="Q1392">
        <v>196</v>
      </c>
      <c r="S1392" t="s">
        <v>39</v>
      </c>
      <c r="V1392" t="s">
        <v>39</v>
      </c>
      <c r="X1392">
        <v>22001</v>
      </c>
      <c r="Y1392" t="s">
        <v>47</v>
      </c>
      <c r="Z1392">
        <v>22</v>
      </c>
      <c r="AA1392">
        <v>375</v>
      </c>
      <c r="AB1392" t="s">
        <v>47</v>
      </c>
      <c r="AC1392">
        <v>0.374</v>
      </c>
      <c r="AD1392">
        <v>827</v>
      </c>
      <c r="AE1392" t="s">
        <v>48</v>
      </c>
      <c r="AF1392">
        <v>0.82599999999999996</v>
      </c>
      <c r="AG1392">
        <v>969</v>
      </c>
      <c r="AH1392" t="s">
        <v>80</v>
      </c>
      <c r="AI1392">
        <v>0.96799999999999997</v>
      </c>
      <c r="AJ1392" t="s">
        <v>1155</v>
      </c>
    </row>
    <row r="1393" spans="1:36" x14ac:dyDescent="0.25">
      <c r="A1393" t="s">
        <v>720</v>
      </c>
      <c r="B1393">
        <v>853297457</v>
      </c>
      <c r="C1393" t="s">
        <v>721</v>
      </c>
      <c r="D1393" t="s">
        <v>721</v>
      </c>
      <c r="E1393" t="s">
        <v>65</v>
      </c>
      <c r="F1393" t="s">
        <v>93</v>
      </c>
      <c r="I1393" t="s">
        <v>39</v>
      </c>
      <c r="J1393" t="s">
        <v>40</v>
      </c>
      <c r="K1393" t="s">
        <v>41</v>
      </c>
      <c r="L1393" t="s">
        <v>177</v>
      </c>
      <c r="M1393" t="s">
        <v>73</v>
      </c>
      <c r="N1393" t="s">
        <v>344</v>
      </c>
      <c r="O1393" t="s">
        <v>170</v>
      </c>
      <c r="P1393">
        <v>196</v>
      </c>
      <c r="Q1393">
        <v>196</v>
      </c>
      <c r="S1393" t="s">
        <v>39</v>
      </c>
      <c r="V1393" t="s">
        <v>39</v>
      </c>
      <c r="X1393">
        <v>22001</v>
      </c>
      <c r="Y1393" t="s">
        <v>47</v>
      </c>
      <c r="Z1393">
        <v>22</v>
      </c>
      <c r="AA1393">
        <v>375</v>
      </c>
      <c r="AB1393" t="s">
        <v>47</v>
      </c>
      <c r="AC1393">
        <v>0.374</v>
      </c>
      <c r="AD1393">
        <v>827</v>
      </c>
      <c r="AE1393" t="s">
        <v>48</v>
      </c>
      <c r="AF1393">
        <v>0.82599999999999996</v>
      </c>
      <c r="AG1393">
        <v>969</v>
      </c>
      <c r="AH1393" t="s">
        <v>80</v>
      </c>
      <c r="AI1393">
        <v>0.96799999999999997</v>
      </c>
      <c r="AJ1393" t="s">
        <v>1156</v>
      </c>
    </row>
    <row r="1394" spans="1:36" x14ac:dyDescent="0.25">
      <c r="A1394" t="s">
        <v>187</v>
      </c>
      <c r="B1394">
        <v>867371342</v>
      </c>
      <c r="C1394" t="s">
        <v>188</v>
      </c>
      <c r="D1394" t="s">
        <v>188</v>
      </c>
      <c r="E1394" t="s">
        <v>65</v>
      </c>
      <c r="F1394" t="s">
        <v>166</v>
      </c>
      <c r="I1394" t="s">
        <v>39</v>
      </c>
      <c r="J1394" t="s">
        <v>40</v>
      </c>
      <c r="K1394" t="s">
        <v>41</v>
      </c>
      <c r="L1394" t="s">
        <v>173</v>
      </c>
      <c r="N1394" t="s">
        <v>344</v>
      </c>
      <c r="O1394" t="s">
        <v>84</v>
      </c>
      <c r="P1394">
        <v>197</v>
      </c>
      <c r="Q1394">
        <v>197</v>
      </c>
      <c r="S1394" t="s">
        <v>39</v>
      </c>
      <c r="V1394" t="s">
        <v>39</v>
      </c>
      <c r="X1394">
        <v>1</v>
      </c>
      <c r="Y1394" t="s">
        <v>47</v>
      </c>
      <c r="Z1394">
        <v>0</v>
      </c>
      <c r="AA1394">
        <v>189</v>
      </c>
      <c r="AB1394" t="s">
        <v>47</v>
      </c>
      <c r="AC1394">
        <v>0.188</v>
      </c>
      <c r="AD1394">
        <v>315</v>
      </c>
      <c r="AE1394" t="s">
        <v>56</v>
      </c>
      <c r="AF1394">
        <v>0.314</v>
      </c>
      <c r="AG1394">
        <v>451</v>
      </c>
      <c r="AH1394" t="s">
        <v>57</v>
      </c>
      <c r="AI1394">
        <v>0.45</v>
      </c>
      <c r="AJ1394" t="s">
        <v>1156</v>
      </c>
    </row>
    <row r="1395" spans="1:36" x14ac:dyDescent="0.25">
      <c r="A1395" t="s">
        <v>185</v>
      </c>
      <c r="B1395">
        <v>866607835</v>
      </c>
      <c r="C1395" t="s">
        <v>186</v>
      </c>
      <c r="D1395" t="s">
        <v>186</v>
      </c>
      <c r="E1395" t="s">
        <v>99</v>
      </c>
      <c r="F1395" t="s">
        <v>143</v>
      </c>
      <c r="I1395" t="s">
        <v>39</v>
      </c>
      <c r="J1395" t="s">
        <v>40</v>
      </c>
      <c r="K1395" t="s">
        <v>41</v>
      </c>
      <c r="L1395" t="s">
        <v>173</v>
      </c>
      <c r="N1395" t="s">
        <v>43</v>
      </c>
      <c r="O1395" t="s">
        <v>132</v>
      </c>
      <c r="P1395">
        <v>198</v>
      </c>
      <c r="Q1395">
        <v>198</v>
      </c>
      <c r="S1395" t="s">
        <v>39</v>
      </c>
      <c r="V1395" t="s">
        <v>39</v>
      </c>
      <c r="X1395">
        <v>1001</v>
      </c>
      <c r="Y1395" t="s">
        <v>47</v>
      </c>
      <c r="Z1395">
        <v>1</v>
      </c>
      <c r="AA1395">
        <v>141</v>
      </c>
      <c r="AB1395" t="s">
        <v>47</v>
      </c>
      <c r="AC1395">
        <v>0.14000000000000001</v>
      </c>
      <c r="AD1395">
        <v>280</v>
      </c>
      <c r="AE1395" t="s">
        <v>56</v>
      </c>
      <c r="AF1395">
        <v>0.27900000000000003</v>
      </c>
      <c r="AG1395">
        <v>158</v>
      </c>
      <c r="AH1395" t="s">
        <v>103</v>
      </c>
      <c r="AI1395">
        <v>0.157</v>
      </c>
      <c r="AJ1395" t="s">
        <v>1156</v>
      </c>
    </row>
    <row r="1396" spans="1:36" x14ac:dyDescent="0.25">
      <c r="A1396" t="s">
        <v>718</v>
      </c>
      <c r="B1396">
        <v>855956948</v>
      </c>
      <c r="C1396" t="s">
        <v>719</v>
      </c>
      <c r="D1396" t="s">
        <v>719</v>
      </c>
      <c r="E1396" t="s">
        <v>99</v>
      </c>
      <c r="F1396" t="s">
        <v>143</v>
      </c>
      <c r="I1396" t="s">
        <v>39</v>
      </c>
      <c r="J1396" t="s">
        <v>40</v>
      </c>
      <c r="K1396" t="s">
        <v>41</v>
      </c>
      <c r="L1396" t="s">
        <v>131</v>
      </c>
      <c r="M1396" t="s">
        <v>73</v>
      </c>
      <c r="N1396" t="s">
        <v>43</v>
      </c>
      <c r="O1396" t="s">
        <v>332</v>
      </c>
      <c r="P1396">
        <v>198</v>
      </c>
      <c r="Q1396">
        <v>198</v>
      </c>
      <c r="R1396">
        <v>121</v>
      </c>
      <c r="S1396" t="s">
        <v>56</v>
      </c>
      <c r="T1396">
        <v>0.12</v>
      </c>
      <c r="U1396">
        <v>363</v>
      </c>
      <c r="V1396" t="s">
        <v>55</v>
      </c>
      <c r="W1396">
        <v>0.36199999999999999</v>
      </c>
      <c r="X1396">
        <v>3001</v>
      </c>
      <c r="Y1396" t="s">
        <v>47</v>
      </c>
      <c r="Z1396">
        <v>3</v>
      </c>
      <c r="AA1396">
        <v>623</v>
      </c>
      <c r="AB1396" t="s">
        <v>75</v>
      </c>
      <c r="AC1396">
        <v>0.622</v>
      </c>
      <c r="AD1396">
        <v>484</v>
      </c>
      <c r="AE1396" t="s">
        <v>56</v>
      </c>
      <c r="AF1396">
        <v>0.48299999999999998</v>
      </c>
      <c r="AG1396">
        <v>632</v>
      </c>
      <c r="AH1396" t="s">
        <v>49</v>
      </c>
      <c r="AI1396">
        <v>0.63100000000000001</v>
      </c>
      <c r="AJ1396" t="s">
        <v>50</v>
      </c>
    </row>
    <row r="1397" spans="1:36" x14ac:dyDescent="0.25">
      <c r="A1397" t="s">
        <v>718</v>
      </c>
      <c r="B1397">
        <v>855956948</v>
      </c>
      <c r="C1397" t="s">
        <v>719</v>
      </c>
      <c r="D1397" t="s">
        <v>719</v>
      </c>
      <c r="E1397" t="s">
        <v>99</v>
      </c>
      <c r="F1397" t="s">
        <v>143</v>
      </c>
      <c r="I1397" t="s">
        <v>39</v>
      </c>
      <c r="J1397" t="s">
        <v>40</v>
      </c>
      <c r="K1397" t="s">
        <v>41</v>
      </c>
      <c r="L1397" t="s">
        <v>131</v>
      </c>
      <c r="M1397" t="s">
        <v>73</v>
      </c>
      <c r="N1397" t="s">
        <v>43</v>
      </c>
      <c r="O1397" t="s">
        <v>332</v>
      </c>
      <c r="P1397">
        <v>198</v>
      </c>
      <c r="Q1397">
        <v>198</v>
      </c>
      <c r="R1397">
        <v>31</v>
      </c>
      <c r="S1397" t="s">
        <v>45</v>
      </c>
      <c r="T1397">
        <v>0.03</v>
      </c>
      <c r="U1397">
        <v>193</v>
      </c>
      <c r="V1397" t="s">
        <v>55</v>
      </c>
      <c r="W1397">
        <v>0.192</v>
      </c>
      <c r="X1397">
        <v>3001</v>
      </c>
      <c r="Y1397" t="s">
        <v>47</v>
      </c>
      <c r="Z1397">
        <v>3</v>
      </c>
      <c r="AA1397">
        <v>623</v>
      </c>
      <c r="AB1397" t="s">
        <v>75</v>
      </c>
      <c r="AC1397">
        <v>0.622</v>
      </c>
      <c r="AD1397">
        <v>484</v>
      </c>
      <c r="AE1397" t="s">
        <v>56</v>
      </c>
      <c r="AF1397">
        <v>0.48299999999999998</v>
      </c>
      <c r="AG1397">
        <v>632</v>
      </c>
      <c r="AH1397" t="s">
        <v>49</v>
      </c>
      <c r="AI1397">
        <v>0.63100000000000001</v>
      </c>
      <c r="AJ1397" t="s">
        <v>1141</v>
      </c>
    </row>
    <row r="1398" spans="1:36" x14ac:dyDescent="0.25">
      <c r="A1398" t="s">
        <v>718</v>
      </c>
      <c r="B1398">
        <v>855956948</v>
      </c>
      <c r="C1398" t="s">
        <v>719</v>
      </c>
      <c r="D1398" t="s">
        <v>719</v>
      </c>
      <c r="E1398" t="s">
        <v>99</v>
      </c>
      <c r="F1398" t="s">
        <v>143</v>
      </c>
      <c r="I1398" t="s">
        <v>39</v>
      </c>
      <c r="J1398" t="s">
        <v>40</v>
      </c>
      <c r="K1398" t="s">
        <v>41</v>
      </c>
      <c r="L1398" t="s">
        <v>131</v>
      </c>
      <c r="M1398" t="s">
        <v>73</v>
      </c>
      <c r="N1398" t="s">
        <v>43</v>
      </c>
      <c r="O1398" t="s">
        <v>332</v>
      </c>
      <c r="P1398">
        <v>198</v>
      </c>
      <c r="Q1398">
        <v>198</v>
      </c>
      <c r="R1398">
        <v>121</v>
      </c>
      <c r="S1398" t="s">
        <v>56</v>
      </c>
      <c r="T1398">
        <v>0.12</v>
      </c>
      <c r="U1398">
        <v>363</v>
      </c>
      <c r="V1398" t="s">
        <v>55</v>
      </c>
      <c r="W1398">
        <v>0.36199999999999999</v>
      </c>
      <c r="X1398">
        <v>3001</v>
      </c>
      <c r="Y1398" t="s">
        <v>47</v>
      </c>
      <c r="Z1398">
        <v>3</v>
      </c>
      <c r="AA1398">
        <v>623</v>
      </c>
      <c r="AB1398" t="s">
        <v>75</v>
      </c>
      <c r="AC1398">
        <v>0.622</v>
      </c>
      <c r="AD1398">
        <v>484</v>
      </c>
      <c r="AE1398" t="s">
        <v>56</v>
      </c>
      <c r="AF1398">
        <v>0.48299999999999998</v>
      </c>
      <c r="AG1398">
        <v>632</v>
      </c>
      <c r="AH1398" t="s">
        <v>49</v>
      </c>
      <c r="AI1398">
        <v>0.63100000000000001</v>
      </c>
      <c r="AJ1398" t="s">
        <v>1153</v>
      </c>
    </row>
    <row r="1399" spans="1:36" x14ac:dyDescent="0.25">
      <c r="A1399" t="s">
        <v>718</v>
      </c>
      <c r="B1399">
        <v>855956948</v>
      </c>
      <c r="C1399" t="s">
        <v>719</v>
      </c>
      <c r="D1399" t="s">
        <v>719</v>
      </c>
      <c r="E1399" t="s">
        <v>99</v>
      </c>
      <c r="F1399" t="s">
        <v>143</v>
      </c>
      <c r="I1399" t="s">
        <v>39</v>
      </c>
      <c r="J1399" t="s">
        <v>40</v>
      </c>
      <c r="K1399" t="s">
        <v>41</v>
      </c>
      <c r="L1399" t="s">
        <v>131</v>
      </c>
      <c r="M1399" t="s">
        <v>73</v>
      </c>
      <c r="N1399" t="s">
        <v>43</v>
      </c>
      <c r="O1399" t="s">
        <v>332</v>
      </c>
      <c r="P1399">
        <v>198</v>
      </c>
      <c r="Q1399">
        <v>198</v>
      </c>
      <c r="R1399">
        <v>121</v>
      </c>
      <c r="S1399" t="s">
        <v>56</v>
      </c>
      <c r="T1399">
        <v>0.12</v>
      </c>
      <c r="U1399">
        <v>363</v>
      </c>
      <c r="V1399" t="s">
        <v>55</v>
      </c>
      <c r="W1399">
        <v>0.36199999999999999</v>
      </c>
      <c r="X1399">
        <v>3001</v>
      </c>
      <c r="Y1399" t="s">
        <v>47</v>
      </c>
      <c r="Z1399">
        <v>3</v>
      </c>
      <c r="AA1399">
        <v>623</v>
      </c>
      <c r="AB1399" t="s">
        <v>75</v>
      </c>
      <c r="AC1399">
        <v>0.622</v>
      </c>
      <c r="AD1399">
        <v>484</v>
      </c>
      <c r="AE1399" t="s">
        <v>56</v>
      </c>
      <c r="AF1399">
        <v>0.48299999999999998</v>
      </c>
      <c r="AG1399">
        <v>632</v>
      </c>
      <c r="AH1399" t="s">
        <v>49</v>
      </c>
      <c r="AI1399">
        <v>0.63100000000000001</v>
      </c>
      <c r="AJ1399" t="s">
        <v>1154</v>
      </c>
    </row>
    <row r="1400" spans="1:36" x14ac:dyDescent="0.25">
      <c r="A1400" t="s">
        <v>718</v>
      </c>
      <c r="B1400">
        <v>855956948</v>
      </c>
      <c r="C1400" t="s">
        <v>719</v>
      </c>
      <c r="D1400" t="s">
        <v>719</v>
      </c>
      <c r="E1400" t="s">
        <v>99</v>
      </c>
      <c r="F1400" t="s">
        <v>143</v>
      </c>
      <c r="I1400" t="s">
        <v>39</v>
      </c>
      <c r="J1400" t="s">
        <v>40</v>
      </c>
      <c r="K1400" t="s">
        <v>41</v>
      </c>
      <c r="L1400" t="s">
        <v>131</v>
      </c>
      <c r="M1400" t="s">
        <v>73</v>
      </c>
      <c r="N1400" t="s">
        <v>43</v>
      </c>
      <c r="O1400" t="s">
        <v>332</v>
      </c>
      <c r="P1400">
        <v>198</v>
      </c>
      <c r="Q1400">
        <v>198</v>
      </c>
      <c r="S1400" t="s">
        <v>39</v>
      </c>
      <c r="V1400" t="s">
        <v>39</v>
      </c>
      <c r="X1400">
        <v>3001</v>
      </c>
      <c r="Y1400" t="s">
        <v>47</v>
      </c>
      <c r="Z1400">
        <v>3</v>
      </c>
      <c r="AA1400">
        <v>623</v>
      </c>
      <c r="AB1400" t="s">
        <v>75</v>
      </c>
      <c r="AC1400">
        <v>0.622</v>
      </c>
      <c r="AD1400">
        <v>484</v>
      </c>
      <c r="AE1400" t="s">
        <v>56</v>
      </c>
      <c r="AF1400">
        <v>0.48299999999999998</v>
      </c>
      <c r="AG1400">
        <v>632</v>
      </c>
      <c r="AH1400" t="s">
        <v>49</v>
      </c>
      <c r="AI1400">
        <v>0.63100000000000001</v>
      </c>
      <c r="AJ1400" t="s">
        <v>1155</v>
      </c>
    </row>
    <row r="1401" spans="1:36" x14ac:dyDescent="0.25">
      <c r="A1401" t="s">
        <v>716</v>
      </c>
      <c r="B1401">
        <v>855398511</v>
      </c>
      <c r="C1401" t="s">
        <v>717</v>
      </c>
      <c r="D1401" t="s">
        <v>717</v>
      </c>
      <c r="E1401" t="s">
        <v>37</v>
      </c>
      <c r="F1401" t="s">
        <v>127</v>
      </c>
      <c r="I1401" t="s">
        <v>39</v>
      </c>
      <c r="J1401" t="s">
        <v>40</v>
      </c>
      <c r="K1401" t="s">
        <v>41</v>
      </c>
      <c r="L1401" t="s">
        <v>118</v>
      </c>
      <c r="N1401" t="s">
        <v>43</v>
      </c>
      <c r="O1401" t="s">
        <v>153</v>
      </c>
      <c r="P1401">
        <v>199</v>
      </c>
      <c r="Q1401">
        <v>199</v>
      </c>
      <c r="R1401">
        <v>1001</v>
      </c>
      <c r="S1401" t="s">
        <v>56</v>
      </c>
      <c r="T1401">
        <v>1</v>
      </c>
      <c r="U1401">
        <v>4</v>
      </c>
      <c r="V1401" t="s">
        <v>55</v>
      </c>
      <c r="W1401">
        <v>3.0000000000000001E-3</v>
      </c>
      <c r="X1401">
        <v>1</v>
      </c>
      <c r="Y1401" t="s">
        <v>47</v>
      </c>
      <c r="Z1401">
        <v>0</v>
      </c>
      <c r="AA1401">
        <v>308</v>
      </c>
      <c r="AB1401" t="s">
        <v>47</v>
      </c>
      <c r="AC1401">
        <v>0.307</v>
      </c>
      <c r="AD1401">
        <v>213</v>
      </c>
      <c r="AE1401" t="s">
        <v>56</v>
      </c>
      <c r="AF1401">
        <v>0.21199999999999999</v>
      </c>
      <c r="AG1401">
        <v>30</v>
      </c>
      <c r="AH1401" t="s">
        <v>103</v>
      </c>
      <c r="AI1401">
        <v>2.9000000000000001E-2</v>
      </c>
      <c r="AJ1401" t="s">
        <v>50</v>
      </c>
    </row>
    <row r="1402" spans="1:36" x14ac:dyDescent="0.25">
      <c r="A1402" t="s">
        <v>716</v>
      </c>
      <c r="B1402">
        <v>855398511</v>
      </c>
      <c r="C1402" t="s">
        <v>717</v>
      </c>
      <c r="D1402" t="s">
        <v>717</v>
      </c>
      <c r="E1402" t="s">
        <v>37</v>
      </c>
      <c r="F1402" t="s">
        <v>127</v>
      </c>
      <c r="I1402" t="s">
        <v>39</v>
      </c>
      <c r="J1402" t="s">
        <v>40</v>
      </c>
      <c r="K1402" t="s">
        <v>41</v>
      </c>
      <c r="L1402" t="s">
        <v>118</v>
      </c>
      <c r="N1402" t="s">
        <v>43</v>
      </c>
      <c r="O1402" t="s">
        <v>153</v>
      </c>
      <c r="P1402">
        <v>199</v>
      </c>
      <c r="Q1402">
        <v>199</v>
      </c>
      <c r="R1402">
        <v>1001</v>
      </c>
      <c r="S1402" t="s">
        <v>56</v>
      </c>
      <c r="T1402">
        <v>1</v>
      </c>
      <c r="U1402">
        <v>2</v>
      </c>
      <c r="V1402" t="s">
        <v>55</v>
      </c>
      <c r="W1402">
        <v>1E-3</v>
      </c>
      <c r="X1402">
        <v>1</v>
      </c>
      <c r="Y1402" t="s">
        <v>47</v>
      </c>
      <c r="Z1402">
        <v>0</v>
      </c>
      <c r="AA1402">
        <v>308</v>
      </c>
      <c r="AB1402" t="s">
        <v>47</v>
      </c>
      <c r="AC1402">
        <v>0.307</v>
      </c>
      <c r="AD1402">
        <v>213</v>
      </c>
      <c r="AE1402" t="s">
        <v>56</v>
      </c>
      <c r="AF1402">
        <v>0.21199999999999999</v>
      </c>
      <c r="AG1402">
        <v>30</v>
      </c>
      <c r="AH1402" t="s">
        <v>103</v>
      </c>
      <c r="AI1402">
        <v>2.9000000000000001E-2</v>
      </c>
      <c r="AJ1402" t="s">
        <v>1141</v>
      </c>
    </row>
    <row r="1403" spans="1:36" x14ac:dyDescent="0.25">
      <c r="A1403" t="s">
        <v>716</v>
      </c>
      <c r="B1403">
        <v>855398511</v>
      </c>
      <c r="C1403" t="s">
        <v>717</v>
      </c>
      <c r="D1403" t="s">
        <v>717</v>
      </c>
      <c r="E1403" t="s">
        <v>37</v>
      </c>
      <c r="F1403" t="s">
        <v>127</v>
      </c>
      <c r="I1403" t="s">
        <v>39</v>
      </c>
      <c r="J1403" t="s">
        <v>40</v>
      </c>
      <c r="K1403" t="s">
        <v>41</v>
      </c>
      <c r="L1403" t="s">
        <v>118</v>
      </c>
      <c r="N1403" t="s">
        <v>43</v>
      </c>
      <c r="O1403" t="s">
        <v>153</v>
      </c>
      <c r="P1403">
        <v>199</v>
      </c>
      <c r="Q1403">
        <v>199</v>
      </c>
      <c r="R1403">
        <v>1001</v>
      </c>
      <c r="S1403" t="s">
        <v>56</v>
      </c>
      <c r="T1403">
        <v>1</v>
      </c>
      <c r="U1403">
        <v>4</v>
      </c>
      <c r="V1403" t="s">
        <v>55</v>
      </c>
      <c r="W1403">
        <v>3.0000000000000001E-3</v>
      </c>
      <c r="X1403">
        <v>1</v>
      </c>
      <c r="Y1403" t="s">
        <v>47</v>
      </c>
      <c r="Z1403">
        <v>0</v>
      </c>
      <c r="AA1403">
        <v>308</v>
      </c>
      <c r="AB1403" t="s">
        <v>47</v>
      </c>
      <c r="AC1403">
        <v>0.307</v>
      </c>
      <c r="AD1403">
        <v>213</v>
      </c>
      <c r="AE1403" t="s">
        <v>56</v>
      </c>
      <c r="AF1403">
        <v>0.21199999999999999</v>
      </c>
      <c r="AG1403">
        <v>30</v>
      </c>
      <c r="AH1403" t="s">
        <v>103</v>
      </c>
      <c r="AI1403">
        <v>2.9000000000000001E-2</v>
      </c>
      <c r="AJ1403" t="s">
        <v>1153</v>
      </c>
    </row>
    <row r="1404" spans="1:36" x14ac:dyDescent="0.25">
      <c r="A1404" t="s">
        <v>716</v>
      </c>
      <c r="B1404">
        <v>855398511</v>
      </c>
      <c r="C1404" t="s">
        <v>717</v>
      </c>
      <c r="D1404" t="s">
        <v>717</v>
      </c>
      <c r="E1404" t="s">
        <v>37</v>
      </c>
      <c r="F1404" t="s">
        <v>127</v>
      </c>
      <c r="I1404" t="s">
        <v>39</v>
      </c>
      <c r="J1404" t="s">
        <v>40</v>
      </c>
      <c r="K1404" t="s">
        <v>41</v>
      </c>
      <c r="L1404" t="s">
        <v>118</v>
      </c>
      <c r="N1404" t="s">
        <v>43</v>
      </c>
      <c r="O1404" t="s">
        <v>153</v>
      </c>
      <c r="P1404">
        <v>199</v>
      </c>
      <c r="Q1404">
        <v>199</v>
      </c>
      <c r="R1404">
        <v>1001</v>
      </c>
      <c r="S1404" t="s">
        <v>56</v>
      </c>
      <c r="T1404">
        <v>1</v>
      </c>
      <c r="U1404">
        <v>4</v>
      </c>
      <c r="V1404" t="s">
        <v>55</v>
      </c>
      <c r="W1404">
        <v>3.0000000000000001E-3</v>
      </c>
      <c r="X1404">
        <v>1</v>
      </c>
      <c r="Y1404" t="s">
        <v>47</v>
      </c>
      <c r="Z1404">
        <v>0</v>
      </c>
      <c r="AA1404">
        <v>308</v>
      </c>
      <c r="AB1404" t="s">
        <v>47</v>
      </c>
      <c r="AC1404">
        <v>0.307</v>
      </c>
      <c r="AD1404">
        <v>213</v>
      </c>
      <c r="AE1404" t="s">
        <v>56</v>
      </c>
      <c r="AF1404">
        <v>0.21199999999999999</v>
      </c>
      <c r="AG1404">
        <v>30</v>
      </c>
      <c r="AH1404" t="s">
        <v>103</v>
      </c>
      <c r="AI1404">
        <v>2.9000000000000001E-2</v>
      </c>
      <c r="AJ1404" t="s">
        <v>1154</v>
      </c>
    </row>
    <row r="1405" spans="1:36" x14ac:dyDescent="0.25">
      <c r="A1405" t="s">
        <v>716</v>
      </c>
      <c r="B1405">
        <v>855398511</v>
      </c>
      <c r="C1405" t="s">
        <v>717</v>
      </c>
      <c r="D1405" t="s">
        <v>717</v>
      </c>
      <c r="E1405" t="s">
        <v>37</v>
      </c>
      <c r="F1405" t="s">
        <v>127</v>
      </c>
      <c r="I1405" t="s">
        <v>39</v>
      </c>
      <c r="J1405" t="s">
        <v>40</v>
      </c>
      <c r="K1405" t="s">
        <v>41</v>
      </c>
      <c r="L1405" t="s">
        <v>118</v>
      </c>
      <c r="N1405" t="s">
        <v>43</v>
      </c>
      <c r="O1405" t="s">
        <v>153</v>
      </c>
      <c r="P1405">
        <v>199</v>
      </c>
      <c r="Q1405">
        <v>199</v>
      </c>
      <c r="S1405" t="s">
        <v>39</v>
      </c>
      <c r="V1405" t="s">
        <v>39</v>
      </c>
      <c r="X1405">
        <v>1</v>
      </c>
      <c r="Y1405" t="s">
        <v>47</v>
      </c>
      <c r="Z1405">
        <v>0</v>
      </c>
      <c r="AA1405">
        <v>308</v>
      </c>
      <c r="AB1405" t="s">
        <v>47</v>
      </c>
      <c r="AC1405">
        <v>0.307</v>
      </c>
      <c r="AD1405">
        <v>213</v>
      </c>
      <c r="AE1405" t="s">
        <v>56</v>
      </c>
      <c r="AF1405">
        <v>0.21199999999999999</v>
      </c>
      <c r="AG1405">
        <v>30</v>
      </c>
      <c r="AH1405" t="s">
        <v>103</v>
      </c>
      <c r="AI1405">
        <v>2.9000000000000001E-2</v>
      </c>
      <c r="AJ1405" t="s">
        <v>1155</v>
      </c>
    </row>
    <row r="1406" spans="1:36" x14ac:dyDescent="0.25">
      <c r="A1406" t="s">
        <v>712</v>
      </c>
      <c r="B1406">
        <v>872683831</v>
      </c>
      <c r="C1406" t="s">
        <v>713</v>
      </c>
      <c r="D1406" t="s">
        <v>713</v>
      </c>
      <c r="E1406" t="s">
        <v>99</v>
      </c>
      <c r="F1406" t="s">
        <v>143</v>
      </c>
      <c r="I1406" t="s">
        <v>39</v>
      </c>
      <c r="J1406" t="s">
        <v>40</v>
      </c>
      <c r="K1406" t="s">
        <v>41</v>
      </c>
      <c r="L1406" t="s">
        <v>72</v>
      </c>
      <c r="M1406" t="s">
        <v>216</v>
      </c>
      <c r="N1406" t="s">
        <v>43</v>
      </c>
      <c r="O1406" t="s">
        <v>288</v>
      </c>
      <c r="P1406">
        <v>201</v>
      </c>
      <c r="Q1406">
        <v>201</v>
      </c>
      <c r="R1406">
        <v>51</v>
      </c>
      <c r="S1406" t="s">
        <v>45</v>
      </c>
      <c r="T1406">
        <v>0.05</v>
      </c>
      <c r="U1406">
        <v>534</v>
      </c>
      <c r="V1406" t="s">
        <v>113</v>
      </c>
      <c r="W1406">
        <v>0.53300000000000003</v>
      </c>
      <c r="X1406">
        <v>20001</v>
      </c>
      <c r="Y1406" t="s">
        <v>47</v>
      </c>
      <c r="Z1406">
        <v>20</v>
      </c>
      <c r="AA1406">
        <v>261</v>
      </c>
      <c r="AB1406" t="s">
        <v>47</v>
      </c>
      <c r="AC1406">
        <v>0.26</v>
      </c>
      <c r="AD1406">
        <v>542</v>
      </c>
      <c r="AE1406" t="s">
        <v>48</v>
      </c>
      <c r="AF1406">
        <v>0.54100000000000004</v>
      </c>
      <c r="AG1406">
        <v>793</v>
      </c>
      <c r="AH1406" t="s">
        <v>49</v>
      </c>
      <c r="AI1406">
        <v>0.79200000000000004</v>
      </c>
      <c r="AJ1406" t="s">
        <v>50</v>
      </c>
    </row>
    <row r="1407" spans="1:36" x14ac:dyDescent="0.25">
      <c r="A1407" t="s">
        <v>712</v>
      </c>
      <c r="B1407">
        <v>872683831</v>
      </c>
      <c r="C1407" t="s">
        <v>713</v>
      </c>
      <c r="D1407" t="s">
        <v>713</v>
      </c>
      <c r="E1407" t="s">
        <v>99</v>
      </c>
      <c r="F1407" t="s">
        <v>143</v>
      </c>
      <c r="I1407" t="s">
        <v>39</v>
      </c>
      <c r="J1407" t="s">
        <v>40</v>
      </c>
      <c r="K1407" t="s">
        <v>41</v>
      </c>
      <c r="L1407" t="s">
        <v>72</v>
      </c>
      <c r="M1407" t="s">
        <v>216</v>
      </c>
      <c r="N1407" t="s">
        <v>43</v>
      </c>
      <c r="O1407" t="s">
        <v>288</v>
      </c>
      <c r="P1407">
        <v>201</v>
      </c>
      <c r="Q1407">
        <v>201</v>
      </c>
      <c r="R1407">
        <v>21</v>
      </c>
      <c r="S1407" t="s">
        <v>45</v>
      </c>
      <c r="T1407">
        <v>0.02</v>
      </c>
      <c r="U1407">
        <v>420</v>
      </c>
      <c r="V1407" t="s">
        <v>55</v>
      </c>
      <c r="W1407">
        <v>0.41899999999999998</v>
      </c>
      <c r="X1407">
        <v>20001</v>
      </c>
      <c r="Y1407" t="s">
        <v>47</v>
      </c>
      <c r="Z1407">
        <v>20</v>
      </c>
      <c r="AA1407">
        <v>261</v>
      </c>
      <c r="AB1407" t="s">
        <v>47</v>
      </c>
      <c r="AC1407">
        <v>0.26</v>
      </c>
      <c r="AD1407">
        <v>542</v>
      </c>
      <c r="AE1407" t="s">
        <v>48</v>
      </c>
      <c r="AF1407">
        <v>0.54100000000000004</v>
      </c>
      <c r="AG1407">
        <v>793</v>
      </c>
      <c r="AH1407" t="s">
        <v>49</v>
      </c>
      <c r="AI1407">
        <v>0.79200000000000004</v>
      </c>
      <c r="AJ1407" t="s">
        <v>1141</v>
      </c>
    </row>
    <row r="1408" spans="1:36" x14ac:dyDescent="0.25">
      <c r="A1408" t="s">
        <v>712</v>
      </c>
      <c r="B1408">
        <v>872683831</v>
      </c>
      <c r="C1408" t="s">
        <v>713</v>
      </c>
      <c r="D1408" t="s">
        <v>713</v>
      </c>
      <c r="E1408" t="s">
        <v>99</v>
      </c>
      <c r="F1408" t="s">
        <v>143</v>
      </c>
      <c r="I1408" t="s">
        <v>39</v>
      </c>
      <c r="J1408" t="s">
        <v>40</v>
      </c>
      <c r="K1408" t="s">
        <v>41</v>
      </c>
      <c r="L1408" t="s">
        <v>72</v>
      </c>
      <c r="M1408" t="s">
        <v>216</v>
      </c>
      <c r="N1408" t="s">
        <v>43</v>
      </c>
      <c r="O1408" t="s">
        <v>288</v>
      </c>
      <c r="P1408">
        <v>201</v>
      </c>
      <c r="Q1408">
        <v>201</v>
      </c>
      <c r="R1408">
        <v>51</v>
      </c>
      <c r="S1408" t="s">
        <v>45</v>
      </c>
      <c r="T1408">
        <v>0.05</v>
      </c>
      <c r="U1408">
        <v>534</v>
      </c>
      <c r="V1408" t="s">
        <v>113</v>
      </c>
      <c r="W1408">
        <v>0.53300000000000003</v>
      </c>
      <c r="X1408">
        <v>20001</v>
      </c>
      <c r="Y1408" t="s">
        <v>47</v>
      </c>
      <c r="Z1408">
        <v>20</v>
      </c>
      <c r="AA1408">
        <v>261</v>
      </c>
      <c r="AB1408" t="s">
        <v>47</v>
      </c>
      <c r="AC1408">
        <v>0.26</v>
      </c>
      <c r="AD1408">
        <v>542</v>
      </c>
      <c r="AE1408" t="s">
        <v>48</v>
      </c>
      <c r="AF1408">
        <v>0.54100000000000004</v>
      </c>
      <c r="AG1408">
        <v>793</v>
      </c>
      <c r="AH1408" t="s">
        <v>49</v>
      </c>
      <c r="AI1408">
        <v>0.79200000000000004</v>
      </c>
      <c r="AJ1408" t="s">
        <v>1153</v>
      </c>
    </row>
    <row r="1409" spans="1:36" x14ac:dyDescent="0.25">
      <c r="A1409" t="s">
        <v>712</v>
      </c>
      <c r="B1409">
        <v>872683831</v>
      </c>
      <c r="C1409" t="s">
        <v>713</v>
      </c>
      <c r="D1409" t="s">
        <v>713</v>
      </c>
      <c r="E1409" t="s">
        <v>99</v>
      </c>
      <c r="F1409" t="s">
        <v>143</v>
      </c>
      <c r="I1409" t="s">
        <v>39</v>
      </c>
      <c r="J1409" t="s">
        <v>40</v>
      </c>
      <c r="K1409" t="s">
        <v>41</v>
      </c>
      <c r="L1409" t="s">
        <v>72</v>
      </c>
      <c r="M1409" t="s">
        <v>216</v>
      </c>
      <c r="N1409" t="s">
        <v>43</v>
      </c>
      <c r="O1409" t="s">
        <v>288</v>
      </c>
      <c r="P1409">
        <v>201</v>
      </c>
      <c r="Q1409">
        <v>201</v>
      </c>
      <c r="R1409">
        <v>51</v>
      </c>
      <c r="S1409" t="s">
        <v>45</v>
      </c>
      <c r="T1409">
        <v>0.05</v>
      </c>
      <c r="U1409">
        <v>534</v>
      </c>
      <c r="V1409" t="s">
        <v>113</v>
      </c>
      <c r="W1409">
        <v>0.53300000000000003</v>
      </c>
      <c r="X1409">
        <v>20001</v>
      </c>
      <c r="Y1409" t="s">
        <v>47</v>
      </c>
      <c r="Z1409">
        <v>20</v>
      </c>
      <c r="AA1409">
        <v>261</v>
      </c>
      <c r="AB1409" t="s">
        <v>47</v>
      </c>
      <c r="AC1409">
        <v>0.26</v>
      </c>
      <c r="AD1409">
        <v>542</v>
      </c>
      <c r="AE1409" t="s">
        <v>48</v>
      </c>
      <c r="AF1409">
        <v>0.54100000000000004</v>
      </c>
      <c r="AG1409">
        <v>793</v>
      </c>
      <c r="AH1409" t="s">
        <v>49</v>
      </c>
      <c r="AI1409">
        <v>0.79200000000000004</v>
      </c>
      <c r="AJ1409" t="s">
        <v>1154</v>
      </c>
    </row>
    <row r="1410" spans="1:36" x14ac:dyDescent="0.25">
      <c r="A1410" t="s">
        <v>712</v>
      </c>
      <c r="B1410">
        <v>872683831</v>
      </c>
      <c r="C1410" t="s">
        <v>713</v>
      </c>
      <c r="D1410" t="s">
        <v>713</v>
      </c>
      <c r="E1410" t="s">
        <v>99</v>
      </c>
      <c r="F1410" t="s">
        <v>143</v>
      </c>
      <c r="I1410" t="s">
        <v>39</v>
      </c>
      <c r="J1410" t="s">
        <v>40</v>
      </c>
      <c r="K1410" t="s">
        <v>41</v>
      </c>
      <c r="L1410" t="s">
        <v>72</v>
      </c>
      <c r="M1410" t="s">
        <v>216</v>
      </c>
      <c r="N1410" t="s">
        <v>43</v>
      </c>
      <c r="O1410" t="s">
        <v>288</v>
      </c>
      <c r="P1410">
        <v>201</v>
      </c>
      <c r="Q1410">
        <v>201</v>
      </c>
      <c r="S1410" t="s">
        <v>39</v>
      </c>
      <c r="V1410" t="s">
        <v>39</v>
      </c>
      <c r="X1410">
        <v>20001</v>
      </c>
      <c r="Y1410" t="s">
        <v>47</v>
      </c>
      <c r="Z1410">
        <v>20</v>
      </c>
      <c r="AA1410">
        <v>261</v>
      </c>
      <c r="AB1410" t="s">
        <v>47</v>
      </c>
      <c r="AC1410">
        <v>0.26</v>
      </c>
      <c r="AD1410">
        <v>542</v>
      </c>
      <c r="AE1410" t="s">
        <v>48</v>
      </c>
      <c r="AF1410">
        <v>0.54100000000000004</v>
      </c>
      <c r="AG1410">
        <v>793</v>
      </c>
      <c r="AH1410" t="s">
        <v>49</v>
      </c>
      <c r="AI1410">
        <v>0.79200000000000004</v>
      </c>
      <c r="AJ1410" t="s">
        <v>1155</v>
      </c>
    </row>
    <row r="1411" spans="1:36" x14ac:dyDescent="0.25">
      <c r="A1411" t="s">
        <v>710</v>
      </c>
      <c r="B1411">
        <v>881524923</v>
      </c>
      <c r="C1411" t="s">
        <v>711</v>
      </c>
      <c r="D1411" t="s">
        <v>711</v>
      </c>
      <c r="E1411" t="s">
        <v>99</v>
      </c>
      <c r="F1411" t="s">
        <v>111</v>
      </c>
      <c r="I1411" t="s">
        <v>39</v>
      </c>
      <c r="J1411" t="s">
        <v>40</v>
      </c>
      <c r="K1411" t="s">
        <v>41</v>
      </c>
      <c r="L1411" t="s">
        <v>42</v>
      </c>
      <c r="N1411" t="s">
        <v>43</v>
      </c>
      <c r="O1411" t="s">
        <v>283</v>
      </c>
      <c r="P1411">
        <v>201</v>
      </c>
      <c r="Q1411">
        <v>201</v>
      </c>
      <c r="R1411">
        <v>61</v>
      </c>
      <c r="S1411" t="s">
        <v>56</v>
      </c>
      <c r="T1411">
        <v>0.06</v>
      </c>
      <c r="U1411">
        <v>19</v>
      </c>
      <c r="V1411" t="s">
        <v>55</v>
      </c>
      <c r="W1411">
        <v>1.7999999999999999E-2</v>
      </c>
      <c r="X1411">
        <v>6001</v>
      </c>
      <c r="Y1411" t="s">
        <v>47</v>
      </c>
      <c r="Z1411">
        <v>6</v>
      </c>
      <c r="AA1411">
        <v>254</v>
      </c>
      <c r="AB1411" t="s">
        <v>47</v>
      </c>
      <c r="AC1411">
        <v>0.253</v>
      </c>
      <c r="AD1411">
        <v>437</v>
      </c>
      <c r="AE1411" t="s">
        <v>56</v>
      </c>
      <c r="AF1411">
        <v>0.436</v>
      </c>
      <c r="AG1411">
        <v>798</v>
      </c>
      <c r="AH1411" t="s">
        <v>49</v>
      </c>
      <c r="AI1411">
        <v>0.79700000000000004</v>
      </c>
      <c r="AJ1411" t="s">
        <v>50</v>
      </c>
    </row>
    <row r="1412" spans="1:36" x14ac:dyDescent="0.25">
      <c r="A1412" t="s">
        <v>710</v>
      </c>
      <c r="B1412">
        <v>881524923</v>
      </c>
      <c r="C1412" t="s">
        <v>711</v>
      </c>
      <c r="D1412" t="s">
        <v>711</v>
      </c>
      <c r="E1412" t="s">
        <v>99</v>
      </c>
      <c r="F1412" t="s">
        <v>111</v>
      </c>
      <c r="I1412" t="s">
        <v>39</v>
      </c>
      <c r="J1412" t="s">
        <v>40</v>
      </c>
      <c r="K1412" t="s">
        <v>41</v>
      </c>
      <c r="L1412" t="s">
        <v>42</v>
      </c>
      <c r="N1412" t="s">
        <v>43</v>
      </c>
      <c r="O1412" t="s">
        <v>283</v>
      </c>
      <c r="P1412">
        <v>201</v>
      </c>
      <c r="Q1412">
        <v>201</v>
      </c>
      <c r="R1412">
        <v>181</v>
      </c>
      <c r="S1412" t="s">
        <v>56</v>
      </c>
      <c r="T1412">
        <v>0.18</v>
      </c>
      <c r="U1412">
        <v>8</v>
      </c>
      <c r="V1412" t="s">
        <v>55</v>
      </c>
      <c r="W1412">
        <v>7.0000000000000001E-3</v>
      </c>
      <c r="X1412">
        <v>6001</v>
      </c>
      <c r="Y1412" t="s">
        <v>47</v>
      </c>
      <c r="Z1412">
        <v>6</v>
      </c>
      <c r="AA1412">
        <v>254</v>
      </c>
      <c r="AB1412" t="s">
        <v>47</v>
      </c>
      <c r="AC1412">
        <v>0.253</v>
      </c>
      <c r="AD1412">
        <v>437</v>
      </c>
      <c r="AE1412" t="s">
        <v>56</v>
      </c>
      <c r="AF1412">
        <v>0.436</v>
      </c>
      <c r="AG1412">
        <v>798</v>
      </c>
      <c r="AH1412" t="s">
        <v>49</v>
      </c>
      <c r="AI1412">
        <v>0.79700000000000004</v>
      </c>
      <c r="AJ1412" t="s">
        <v>1141</v>
      </c>
    </row>
    <row r="1413" spans="1:36" x14ac:dyDescent="0.25">
      <c r="A1413" t="s">
        <v>710</v>
      </c>
      <c r="B1413">
        <v>881524923</v>
      </c>
      <c r="C1413" t="s">
        <v>711</v>
      </c>
      <c r="D1413" t="s">
        <v>711</v>
      </c>
      <c r="E1413" t="s">
        <v>99</v>
      </c>
      <c r="F1413" t="s">
        <v>111</v>
      </c>
      <c r="I1413" t="s">
        <v>39</v>
      </c>
      <c r="J1413" t="s">
        <v>40</v>
      </c>
      <c r="K1413" t="s">
        <v>41</v>
      </c>
      <c r="L1413" t="s">
        <v>42</v>
      </c>
      <c r="N1413" t="s">
        <v>43</v>
      </c>
      <c r="O1413" t="s">
        <v>283</v>
      </c>
      <c r="P1413">
        <v>201</v>
      </c>
      <c r="Q1413">
        <v>201</v>
      </c>
      <c r="R1413">
        <v>61</v>
      </c>
      <c r="S1413" t="s">
        <v>56</v>
      </c>
      <c r="T1413">
        <v>0.06</v>
      </c>
      <c r="U1413">
        <v>19</v>
      </c>
      <c r="V1413" t="s">
        <v>55</v>
      </c>
      <c r="W1413">
        <v>1.7999999999999999E-2</v>
      </c>
      <c r="X1413">
        <v>6001</v>
      </c>
      <c r="Y1413" t="s">
        <v>47</v>
      </c>
      <c r="Z1413">
        <v>6</v>
      </c>
      <c r="AA1413">
        <v>254</v>
      </c>
      <c r="AB1413" t="s">
        <v>47</v>
      </c>
      <c r="AC1413">
        <v>0.253</v>
      </c>
      <c r="AD1413">
        <v>437</v>
      </c>
      <c r="AE1413" t="s">
        <v>56</v>
      </c>
      <c r="AF1413">
        <v>0.436</v>
      </c>
      <c r="AG1413">
        <v>798</v>
      </c>
      <c r="AH1413" t="s">
        <v>49</v>
      </c>
      <c r="AI1413">
        <v>0.79700000000000004</v>
      </c>
      <c r="AJ1413" t="s">
        <v>1153</v>
      </c>
    </row>
    <row r="1414" spans="1:36" x14ac:dyDescent="0.25">
      <c r="A1414" t="s">
        <v>710</v>
      </c>
      <c r="B1414">
        <v>881524923</v>
      </c>
      <c r="C1414" t="s">
        <v>711</v>
      </c>
      <c r="D1414" t="s">
        <v>711</v>
      </c>
      <c r="E1414" t="s">
        <v>99</v>
      </c>
      <c r="F1414" t="s">
        <v>111</v>
      </c>
      <c r="I1414" t="s">
        <v>39</v>
      </c>
      <c r="J1414" t="s">
        <v>40</v>
      </c>
      <c r="K1414" t="s">
        <v>41</v>
      </c>
      <c r="L1414" t="s">
        <v>42</v>
      </c>
      <c r="N1414" t="s">
        <v>43</v>
      </c>
      <c r="O1414" t="s">
        <v>283</v>
      </c>
      <c r="P1414">
        <v>201</v>
      </c>
      <c r="Q1414">
        <v>201</v>
      </c>
      <c r="R1414">
        <v>61</v>
      </c>
      <c r="S1414" t="s">
        <v>56</v>
      </c>
      <c r="T1414">
        <v>0.06</v>
      </c>
      <c r="U1414">
        <v>19</v>
      </c>
      <c r="V1414" t="s">
        <v>55</v>
      </c>
      <c r="W1414">
        <v>1.7999999999999999E-2</v>
      </c>
      <c r="X1414">
        <v>6001</v>
      </c>
      <c r="Y1414" t="s">
        <v>47</v>
      </c>
      <c r="Z1414">
        <v>6</v>
      </c>
      <c r="AA1414">
        <v>254</v>
      </c>
      <c r="AB1414" t="s">
        <v>47</v>
      </c>
      <c r="AC1414">
        <v>0.253</v>
      </c>
      <c r="AD1414">
        <v>437</v>
      </c>
      <c r="AE1414" t="s">
        <v>56</v>
      </c>
      <c r="AF1414">
        <v>0.436</v>
      </c>
      <c r="AG1414">
        <v>798</v>
      </c>
      <c r="AH1414" t="s">
        <v>49</v>
      </c>
      <c r="AI1414">
        <v>0.79700000000000004</v>
      </c>
      <c r="AJ1414" t="s">
        <v>1154</v>
      </c>
    </row>
    <row r="1415" spans="1:36" x14ac:dyDescent="0.25">
      <c r="A1415" t="s">
        <v>710</v>
      </c>
      <c r="B1415">
        <v>881524923</v>
      </c>
      <c r="C1415" t="s">
        <v>711</v>
      </c>
      <c r="D1415" t="s">
        <v>711</v>
      </c>
      <c r="E1415" t="s">
        <v>99</v>
      </c>
      <c r="F1415" t="s">
        <v>111</v>
      </c>
      <c r="I1415" t="s">
        <v>39</v>
      </c>
      <c r="J1415" t="s">
        <v>40</v>
      </c>
      <c r="K1415" t="s">
        <v>41</v>
      </c>
      <c r="L1415" t="s">
        <v>42</v>
      </c>
      <c r="N1415" t="s">
        <v>43</v>
      </c>
      <c r="O1415" t="s">
        <v>283</v>
      </c>
      <c r="P1415">
        <v>201</v>
      </c>
      <c r="Q1415">
        <v>201</v>
      </c>
      <c r="S1415" t="s">
        <v>39</v>
      </c>
      <c r="V1415" t="s">
        <v>39</v>
      </c>
      <c r="X1415">
        <v>6001</v>
      </c>
      <c r="Y1415" t="s">
        <v>47</v>
      </c>
      <c r="Z1415">
        <v>6</v>
      </c>
      <c r="AA1415">
        <v>254</v>
      </c>
      <c r="AB1415" t="s">
        <v>47</v>
      </c>
      <c r="AC1415">
        <v>0.253</v>
      </c>
      <c r="AD1415">
        <v>437</v>
      </c>
      <c r="AE1415" t="s">
        <v>56</v>
      </c>
      <c r="AF1415">
        <v>0.436</v>
      </c>
      <c r="AG1415">
        <v>798</v>
      </c>
      <c r="AH1415" t="s">
        <v>49</v>
      </c>
      <c r="AI1415">
        <v>0.79700000000000004</v>
      </c>
      <c r="AJ1415" t="s">
        <v>1155</v>
      </c>
    </row>
    <row r="1416" spans="1:36" x14ac:dyDescent="0.25">
      <c r="A1416" t="s">
        <v>714</v>
      </c>
      <c r="B1416">
        <v>855778139</v>
      </c>
      <c r="C1416" t="s">
        <v>715</v>
      </c>
      <c r="D1416" t="s">
        <v>715</v>
      </c>
      <c r="E1416" t="s">
        <v>60</v>
      </c>
      <c r="F1416" t="s">
        <v>88</v>
      </c>
      <c r="I1416" t="s">
        <v>39</v>
      </c>
      <c r="J1416" t="s">
        <v>40</v>
      </c>
      <c r="K1416" t="s">
        <v>41</v>
      </c>
      <c r="L1416" t="s">
        <v>78</v>
      </c>
      <c r="N1416" t="s">
        <v>43</v>
      </c>
      <c r="O1416" t="s">
        <v>295</v>
      </c>
      <c r="P1416">
        <v>201</v>
      </c>
      <c r="Q1416">
        <v>201</v>
      </c>
      <c r="R1416">
        <v>71</v>
      </c>
      <c r="S1416" t="s">
        <v>56</v>
      </c>
      <c r="T1416">
        <v>7.0000000000000007E-2</v>
      </c>
      <c r="U1416">
        <v>168</v>
      </c>
      <c r="V1416" t="s">
        <v>55</v>
      </c>
      <c r="W1416">
        <v>0.16700000000000001</v>
      </c>
      <c r="X1416">
        <v>12001</v>
      </c>
      <c r="Y1416" t="s">
        <v>47</v>
      </c>
      <c r="Z1416">
        <v>12</v>
      </c>
      <c r="AA1416">
        <v>188</v>
      </c>
      <c r="AB1416" t="s">
        <v>47</v>
      </c>
      <c r="AC1416">
        <v>0.187</v>
      </c>
      <c r="AD1416">
        <v>436</v>
      </c>
      <c r="AE1416" t="s">
        <v>56</v>
      </c>
      <c r="AF1416">
        <v>0.435</v>
      </c>
      <c r="AG1416">
        <v>354</v>
      </c>
      <c r="AH1416" t="s">
        <v>57</v>
      </c>
      <c r="AI1416">
        <v>0.35299999999999998</v>
      </c>
      <c r="AJ1416" t="s">
        <v>50</v>
      </c>
    </row>
    <row r="1417" spans="1:36" x14ac:dyDescent="0.25">
      <c r="A1417" t="s">
        <v>714</v>
      </c>
      <c r="B1417">
        <v>855778139</v>
      </c>
      <c r="C1417" t="s">
        <v>715</v>
      </c>
      <c r="D1417" t="s">
        <v>715</v>
      </c>
      <c r="E1417" t="s">
        <v>60</v>
      </c>
      <c r="F1417" t="s">
        <v>88</v>
      </c>
      <c r="I1417" t="s">
        <v>39</v>
      </c>
      <c r="J1417" t="s">
        <v>40</v>
      </c>
      <c r="K1417" t="s">
        <v>41</v>
      </c>
      <c r="L1417" t="s">
        <v>78</v>
      </c>
      <c r="N1417" t="s">
        <v>43</v>
      </c>
      <c r="O1417" t="s">
        <v>295</v>
      </c>
      <c r="P1417">
        <v>201</v>
      </c>
      <c r="Q1417">
        <v>201</v>
      </c>
      <c r="R1417">
        <v>81</v>
      </c>
      <c r="S1417" t="s">
        <v>56</v>
      </c>
      <c r="T1417">
        <v>0.08</v>
      </c>
      <c r="U1417">
        <v>34</v>
      </c>
      <c r="V1417" t="s">
        <v>55</v>
      </c>
      <c r="W1417">
        <v>3.3000000000000002E-2</v>
      </c>
      <c r="X1417">
        <v>12001</v>
      </c>
      <c r="Y1417" t="s">
        <v>47</v>
      </c>
      <c r="Z1417">
        <v>12</v>
      </c>
      <c r="AA1417">
        <v>188</v>
      </c>
      <c r="AB1417" t="s">
        <v>47</v>
      </c>
      <c r="AC1417">
        <v>0.187</v>
      </c>
      <c r="AD1417">
        <v>436</v>
      </c>
      <c r="AE1417" t="s">
        <v>56</v>
      </c>
      <c r="AF1417">
        <v>0.435</v>
      </c>
      <c r="AG1417">
        <v>354</v>
      </c>
      <c r="AH1417" t="s">
        <v>57</v>
      </c>
      <c r="AI1417">
        <v>0.35299999999999998</v>
      </c>
      <c r="AJ1417" t="s">
        <v>1141</v>
      </c>
    </row>
    <row r="1418" spans="1:36" x14ac:dyDescent="0.25">
      <c r="A1418" t="s">
        <v>714</v>
      </c>
      <c r="B1418">
        <v>855778139</v>
      </c>
      <c r="C1418" t="s">
        <v>715</v>
      </c>
      <c r="D1418" t="s">
        <v>715</v>
      </c>
      <c r="E1418" t="s">
        <v>60</v>
      </c>
      <c r="F1418" t="s">
        <v>88</v>
      </c>
      <c r="I1418" t="s">
        <v>39</v>
      </c>
      <c r="J1418" t="s">
        <v>40</v>
      </c>
      <c r="K1418" t="s">
        <v>41</v>
      </c>
      <c r="L1418" t="s">
        <v>78</v>
      </c>
      <c r="N1418" t="s">
        <v>43</v>
      </c>
      <c r="O1418" t="s">
        <v>295</v>
      </c>
      <c r="P1418">
        <v>201</v>
      </c>
      <c r="Q1418">
        <v>201</v>
      </c>
      <c r="R1418">
        <v>71</v>
      </c>
      <c r="S1418" t="s">
        <v>56</v>
      </c>
      <c r="T1418">
        <v>7.0000000000000007E-2</v>
      </c>
      <c r="U1418">
        <v>168</v>
      </c>
      <c r="V1418" t="s">
        <v>55</v>
      </c>
      <c r="W1418">
        <v>0.16700000000000001</v>
      </c>
      <c r="X1418">
        <v>12001</v>
      </c>
      <c r="Y1418" t="s">
        <v>47</v>
      </c>
      <c r="Z1418">
        <v>12</v>
      </c>
      <c r="AA1418">
        <v>188</v>
      </c>
      <c r="AB1418" t="s">
        <v>47</v>
      </c>
      <c r="AC1418">
        <v>0.187</v>
      </c>
      <c r="AD1418">
        <v>436</v>
      </c>
      <c r="AE1418" t="s">
        <v>56</v>
      </c>
      <c r="AF1418">
        <v>0.435</v>
      </c>
      <c r="AG1418">
        <v>354</v>
      </c>
      <c r="AH1418" t="s">
        <v>57</v>
      </c>
      <c r="AI1418">
        <v>0.35299999999999998</v>
      </c>
      <c r="AJ1418" t="s">
        <v>1153</v>
      </c>
    </row>
    <row r="1419" spans="1:36" x14ac:dyDescent="0.25">
      <c r="A1419" t="s">
        <v>714</v>
      </c>
      <c r="B1419">
        <v>855778139</v>
      </c>
      <c r="C1419" t="s">
        <v>715</v>
      </c>
      <c r="D1419" t="s">
        <v>715</v>
      </c>
      <c r="E1419" t="s">
        <v>60</v>
      </c>
      <c r="F1419" t="s">
        <v>88</v>
      </c>
      <c r="I1419" t="s">
        <v>39</v>
      </c>
      <c r="J1419" t="s">
        <v>40</v>
      </c>
      <c r="K1419" t="s">
        <v>41</v>
      </c>
      <c r="L1419" t="s">
        <v>78</v>
      </c>
      <c r="N1419" t="s">
        <v>43</v>
      </c>
      <c r="O1419" t="s">
        <v>295</v>
      </c>
      <c r="P1419">
        <v>201</v>
      </c>
      <c r="Q1419">
        <v>201</v>
      </c>
      <c r="R1419">
        <v>71</v>
      </c>
      <c r="S1419" t="s">
        <v>56</v>
      </c>
      <c r="T1419">
        <v>7.0000000000000007E-2</v>
      </c>
      <c r="U1419">
        <v>168</v>
      </c>
      <c r="V1419" t="s">
        <v>55</v>
      </c>
      <c r="W1419">
        <v>0.16700000000000001</v>
      </c>
      <c r="X1419">
        <v>12001</v>
      </c>
      <c r="Y1419" t="s">
        <v>47</v>
      </c>
      <c r="Z1419">
        <v>12</v>
      </c>
      <c r="AA1419">
        <v>188</v>
      </c>
      <c r="AB1419" t="s">
        <v>47</v>
      </c>
      <c r="AC1419">
        <v>0.187</v>
      </c>
      <c r="AD1419">
        <v>436</v>
      </c>
      <c r="AE1419" t="s">
        <v>56</v>
      </c>
      <c r="AF1419">
        <v>0.435</v>
      </c>
      <c r="AG1419">
        <v>354</v>
      </c>
      <c r="AH1419" t="s">
        <v>57</v>
      </c>
      <c r="AI1419">
        <v>0.35299999999999998</v>
      </c>
      <c r="AJ1419" t="s">
        <v>1154</v>
      </c>
    </row>
    <row r="1420" spans="1:36" x14ac:dyDescent="0.25">
      <c r="A1420" t="s">
        <v>714</v>
      </c>
      <c r="B1420">
        <v>855778139</v>
      </c>
      <c r="C1420" t="s">
        <v>715</v>
      </c>
      <c r="D1420" t="s">
        <v>715</v>
      </c>
      <c r="E1420" t="s">
        <v>60</v>
      </c>
      <c r="F1420" t="s">
        <v>88</v>
      </c>
      <c r="I1420" t="s">
        <v>39</v>
      </c>
      <c r="J1420" t="s">
        <v>40</v>
      </c>
      <c r="K1420" t="s">
        <v>41</v>
      </c>
      <c r="L1420" t="s">
        <v>78</v>
      </c>
      <c r="N1420" t="s">
        <v>43</v>
      </c>
      <c r="O1420" t="s">
        <v>295</v>
      </c>
      <c r="P1420">
        <v>201</v>
      </c>
      <c r="Q1420">
        <v>201</v>
      </c>
      <c r="S1420" t="s">
        <v>39</v>
      </c>
      <c r="V1420" t="s">
        <v>39</v>
      </c>
      <c r="X1420">
        <v>12001</v>
      </c>
      <c r="Y1420" t="s">
        <v>47</v>
      </c>
      <c r="Z1420">
        <v>12</v>
      </c>
      <c r="AA1420">
        <v>188</v>
      </c>
      <c r="AB1420" t="s">
        <v>47</v>
      </c>
      <c r="AC1420">
        <v>0.187</v>
      </c>
      <c r="AD1420">
        <v>436</v>
      </c>
      <c r="AE1420" t="s">
        <v>56</v>
      </c>
      <c r="AF1420">
        <v>0.435</v>
      </c>
      <c r="AG1420">
        <v>354</v>
      </c>
      <c r="AH1420" t="s">
        <v>57</v>
      </c>
      <c r="AI1420">
        <v>0.35299999999999998</v>
      </c>
      <c r="AJ1420" t="s">
        <v>1155</v>
      </c>
    </row>
    <row r="1421" spans="1:36" x14ac:dyDescent="0.25">
      <c r="A1421" t="s">
        <v>175</v>
      </c>
      <c r="B1421">
        <v>853192247</v>
      </c>
      <c r="C1421" t="s">
        <v>176</v>
      </c>
      <c r="D1421" t="s">
        <v>176</v>
      </c>
      <c r="E1421" t="s">
        <v>37</v>
      </c>
      <c r="F1421" t="s">
        <v>136</v>
      </c>
      <c r="I1421" t="s">
        <v>39</v>
      </c>
      <c r="J1421" t="s">
        <v>40</v>
      </c>
      <c r="K1421" t="s">
        <v>41</v>
      </c>
      <c r="L1421" t="s">
        <v>177</v>
      </c>
      <c r="M1421" t="s">
        <v>178</v>
      </c>
      <c r="N1421" t="s">
        <v>43</v>
      </c>
      <c r="O1421" t="s">
        <v>74</v>
      </c>
      <c r="P1421">
        <v>202</v>
      </c>
      <c r="Q1421">
        <v>202</v>
      </c>
      <c r="S1421" t="s">
        <v>39</v>
      </c>
      <c r="V1421" t="s">
        <v>39</v>
      </c>
      <c r="X1421">
        <v>23001</v>
      </c>
      <c r="Y1421" t="s">
        <v>47</v>
      </c>
      <c r="Z1421">
        <v>23</v>
      </c>
      <c r="AA1421">
        <v>866</v>
      </c>
      <c r="AB1421" t="s">
        <v>75</v>
      </c>
      <c r="AC1421">
        <v>0.86499999999999999</v>
      </c>
      <c r="AD1421">
        <v>981</v>
      </c>
      <c r="AE1421" t="s">
        <v>48</v>
      </c>
      <c r="AF1421">
        <v>0.98</v>
      </c>
      <c r="AG1421">
        <v>996</v>
      </c>
      <c r="AH1421" t="s">
        <v>80</v>
      </c>
      <c r="AI1421">
        <v>0.995</v>
      </c>
      <c r="AJ1421" t="s">
        <v>1156</v>
      </c>
    </row>
    <row r="1422" spans="1:36" x14ac:dyDescent="0.25">
      <c r="A1422" t="s">
        <v>175</v>
      </c>
      <c r="B1422">
        <v>853192247</v>
      </c>
      <c r="C1422" t="s">
        <v>176</v>
      </c>
      <c r="D1422" t="s">
        <v>176</v>
      </c>
      <c r="E1422" t="s">
        <v>99</v>
      </c>
      <c r="F1422" t="s">
        <v>136</v>
      </c>
      <c r="I1422" t="s">
        <v>39</v>
      </c>
      <c r="J1422" t="s">
        <v>40</v>
      </c>
      <c r="K1422" t="s">
        <v>41</v>
      </c>
      <c r="L1422" t="s">
        <v>177</v>
      </c>
      <c r="M1422" t="s">
        <v>178</v>
      </c>
      <c r="N1422" t="s">
        <v>43</v>
      </c>
      <c r="O1422" t="s">
        <v>179</v>
      </c>
      <c r="P1422">
        <v>202</v>
      </c>
      <c r="Q1422">
        <v>202</v>
      </c>
      <c r="S1422" t="s">
        <v>39</v>
      </c>
      <c r="V1422" t="s">
        <v>39</v>
      </c>
      <c r="X1422">
        <v>23001</v>
      </c>
      <c r="Y1422" t="s">
        <v>47</v>
      </c>
      <c r="Z1422">
        <v>23</v>
      </c>
      <c r="AA1422">
        <v>837</v>
      </c>
      <c r="AB1422" t="s">
        <v>75</v>
      </c>
      <c r="AC1422">
        <v>0.83599999999999997</v>
      </c>
      <c r="AD1422">
        <v>979</v>
      </c>
      <c r="AE1422" t="s">
        <v>48</v>
      </c>
      <c r="AF1422">
        <v>0.97799999999999998</v>
      </c>
      <c r="AG1422">
        <v>987</v>
      </c>
      <c r="AH1422" t="s">
        <v>80</v>
      </c>
      <c r="AI1422">
        <v>0.98599999999999999</v>
      </c>
      <c r="AJ1422" t="s">
        <v>1156</v>
      </c>
    </row>
    <row r="1423" spans="1:36" x14ac:dyDescent="0.25">
      <c r="A1423" t="s">
        <v>175</v>
      </c>
      <c r="B1423">
        <v>853192247</v>
      </c>
      <c r="C1423" t="s">
        <v>176</v>
      </c>
      <c r="D1423" t="s">
        <v>176</v>
      </c>
      <c r="E1423" t="s">
        <v>60</v>
      </c>
      <c r="F1423" t="s">
        <v>136</v>
      </c>
      <c r="I1423" t="s">
        <v>39</v>
      </c>
      <c r="J1423" t="s">
        <v>40</v>
      </c>
      <c r="K1423" t="s">
        <v>41</v>
      </c>
      <c r="L1423" t="s">
        <v>177</v>
      </c>
      <c r="M1423" t="s">
        <v>178</v>
      </c>
      <c r="N1423" t="s">
        <v>43</v>
      </c>
      <c r="O1423" t="s">
        <v>180</v>
      </c>
      <c r="P1423">
        <v>202</v>
      </c>
      <c r="Q1423">
        <v>202</v>
      </c>
      <c r="S1423" t="s">
        <v>39</v>
      </c>
      <c r="V1423" t="s">
        <v>39</v>
      </c>
      <c r="X1423">
        <v>23001</v>
      </c>
      <c r="Y1423" t="s">
        <v>47</v>
      </c>
      <c r="Z1423">
        <v>23</v>
      </c>
      <c r="AA1423">
        <v>835</v>
      </c>
      <c r="AB1423" t="s">
        <v>75</v>
      </c>
      <c r="AC1423">
        <v>0.83399999999999996</v>
      </c>
      <c r="AD1423">
        <v>981</v>
      </c>
      <c r="AE1423" t="s">
        <v>48</v>
      </c>
      <c r="AF1423">
        <v>0.98</v>
      </c>
      <c r="AG1423">
        <v>996</v>
      </c>
      <c r="AH1423" t="s">
        <v>80</v>
      </c>
      <c r="AI1423">
        <v>0.995</v>
      </c>
      <c r="AJ1423" t="s">
        <v>1156</v>
      </c>
    </row>
    <row r="1424" spans="1:36" x14ac:dyDescent="0.25">
      <c r="A1424" t="s">
        <v>181</v>
      </c>
      <c r="B1424">
        <v>852025856</v>
      </c>
      <c r="C1424" t="s">
        <v>182</v>
      </c>
      <c r="D1424" t="s">
        <v>182</v>
      </c>
      <c r="E1424" t="s">
        <v>37</v>
      </c>
      <c r="F1424" t="s">
        <v>122</v>
      </c>
      <c r="I1424" t="s">
        <v>39</v>
      </c>
      <c r="J1424" t="s">
        <v>40</v>
      </c>
      <c r="K1424" t="s">
        <v>41</v>
      </c>
      <c r="L1424" t="s">
        <v>151</v>
      </c>
      <c r="M1424" t="s">
        <v>183</v>
      </c>
      <c r="N1424" t="s">
        <v>43</v>
      </c>
      <c r="O1424" t="s">
        <v>184</v>
      </c>
      <c r="P1424">
        <v>202</v>
      </c>
      <c r="Q1424">
        <v>202</v>
      </c>
      <c r="S1424" t="s">
        <v>39</v>
      </c>
      <c r="V1424" t="s">
        <v>39</v>
      </c>
      <c r="X1424">
        <v>22001</v>
      </c>
      <c r="Y1424" t="s">
        <v>47</v>
      </c>
      <c r="Z1424">
        <v>22</v>
      </c>
      <c r="AA1424">
        <v>818</v>
      </c>
      <c r="AB1424" t="s">
        <v>75</v>
      </c>
      <c r="AC1424">
        <v>0.81699999999999995</v>
      </c>
      <c r="AD1424">
        <v>965</v>
      </c>
      <c r="AE1424" t="s">
        <v>48</v>
      </c>
      <c r="AF1424">
        <v>0.96399999999999997</v>
      </c>
      <c r="AG1424">
        <v>920</v>
      </c>
      <c r="AH1424" t="s">
        <v>49</v>
      </c>
      <c r="AI1424">
        <v>0.91900000000000004</v>
      </c>
      <c r="AJ1424" t="s">
        <v>1156</v>
      </c>
    </row>
    <row r="1425" spans="1:36" x14ac:dyDescent="0.25">
      <c r="A1425" t="s">
        <v>181</v>
      </c>
      <c r="B1425">
        <v>852025856</v>
      </c>
      <c r="C1425" t="s">
        <v>182</v>
      </c>
      <c r="D1425" t="s">
        <v>182</v>
      </c>
      <c r="E1425" t="s">
        <v>60</v>
      </c>
      <c r="F1425" t="s">
        <v>122</v>
      </c>
      <c r="I1425" t="s">
        <v>39</v>
      </c>
      <c r="J1425" t="s">
        <v>40</v>
      </c>
      <c r="K1425" t="s">
        <v>41</v>
      </c>
      <c r="L1425" t="s">
        <v>151</v>
      </c>
      <c r="M1425" t="s">
        <v>183</v>
      </c>
      <c r="N1425" t="s">
        <v>43</v>
      </c>
      <c r="O1425" t="s">
        <v>119</v>
      </c>
      <c r="P1425">
        <v>202</v>
      </c>
      <c r="Q1425">
        <v>202</v>
      </c>
      <c r="S1425" t="s">
        <v>39</v>
      </c>
      <c r="V1425" t="s">
        <v>39</v>
      </c>
      <c r="X1425">
        <v>22001</v>
      </c>
      <c r="Y1425" t="s">
        <v>47</v>
      </c>
      <c r="Z1425">
        <v>22</v>
      </c>
      <c r="AA1425">
        <v>854</v>
      </c>
      <c r="AB1425" t="s">
        <v>75</v>
      </c>
      <c r="AC1425">
        <v>0.85299999999999998</v>
      </c>
      <c r="AD1425">
        <v>974</v>
      </c>
      <c r="AE1425" t="s">
        <v>48</v>
      </c>
      <c r="AF1425">
        <v>0.97299999999999998</v>
      </c>
      <c r="AG1425">
        <v>958</v>
      </c>
      <c r="AH1425" t="s">
        <v>80</v>
      </c>
      <c r="AI1425">
        <v>0.95699999999999996</v>
      </c>
      <c r="AJ1425" t="s">
        <v>1156</v>
      </c>
    </row>
    <row r="1426" spans="1:36" x14ac:dyDescent="0.25">
      <c r="A1426" t="s">
        <v>706</v>
      </c>
      <c r="B1426">
        <v>856049150</v>
      </c>
      <c r="C1426" t="s">
        <v>707</v>
      </c>
      <c r="D1426" t="s">
        <v>707</v>
      </c>
      <c r="E1426" t="s">
        <v>65</v>
      </c>
      <c r="F1426" t="s">
        <v>83</v>
      </c>
      <c r="I1426" t="s">
        <v>39</v>
      </c>
      <c r="J1426" t="s">
        <v>40</v>
      </c>
      <c r="K1426" t="s">
        <v>41</v>
      </c>
      <c r="L1426" t="s">
        <v>118</v>
      </c>
      <c r="N1426" t="s">
        <v>43</v>
      </c>
      <c r="O1426" t="s">
        <v>708</v>
      </c>
      <c r="P1426">
        <v>202</v>
      </c>
      <c r="Q1426">
        <v>202</v>
      </c>
      <c r="R1426">
        <v>41</v>
      </c>
      <c r="S1426" t="s">
        <v>45</v>
      </c>
      <c r="T1426">
        <v>0.04</v>
      </c>
      <c r="U1426">
        <v>36</v>
      </c>
      <c r="V1426" t="s">
        <v>55</v>
      </c>
      <c r="W1426">
        <v>3.5000000000000003E-2</v>
      </c>
      <c r="X1426">
        <v>11001</v>
      </c>
      <c r="Y1426" t="s">
        <v>47</v>
      </c>
      <c r="Z1426">
        <v>11</v>
      </c>
      <c r="AA1426">
        <v>262</v>
      </c>
      <c r="AB1426" t="s">
        <v>47</v>
      </c>
      <c r="AC1426">
        <v>0.26100000000000001</v>
      </c>
      <c r="AD1426">
        <v>354</v>
      </c>
      <c r="AE1426" t="s">
        <v>56</v>
      </c>
      <c r="AF1426">
        <v>0.35299999999999998</v>
      </c>
      <c r="AG1426">
        <v>239</v>
      </c>
      <c r="AH1426" t="s">
        <v>57</v>
      </c>
      <c r="AI1426">
        <v>0.23799999999999999</v>
      </c>
      <c r="AJ1426" t="s">
        <v>50</v>
      </c>
    </row>
    <row r="1427" spans="1:36" x14ac:dyDescent="0.25">
      <c r="A1427" t="s">
        <v>706</v>
      </c>
      <c r="B1427">
        <v>856049150</v>
      </c>
      <c r="C1427" t="s">
        <v>707</v>
      </c>
      <c r="D1427" t="s">
        <v>707</v>
      </c>
      <c r="E1427" t="s">
        <v>60</v>
      </c>
      <c r="F1427" t="s">
        <v>83</v>
      </c>
      <c r="I1427" t="s">
        <v>39</v>
      </c>
      <c r="J1427" t="s">
        <v>40</v>
      </c>
      <c r="K1427" t="s">
        <v>41</v>
      </c>
      <c r="L1427" t="s">
        <v>118</v>
      </c>
      <c r="N1427" t="s">
        <v>43</v>
      </c>
      <c r="O1427" t="s">
        <v>709</v>
      </c>
      <c r="P1427">
        <v>202</v>
      </c>
      <c r="Q1427">
        <v>202</v>
      </c>
      <c r="R1427">
        <v>621</v>
      </c>
      <c r="S1427" t="s">
        <v>56</v>
      </c>
      <c r="T1427">
        <v>0.62</v>
      </c>
      <c r="U1427">
        <v>4</v>
      </c>
      <c r="V1427" t="s">
        <v>55</v>
      </c>
      <c r="W1427">
        <v>3.0000000000000001E-3</v>
      </c>
      <c r="X1427">
        <v>1001</v>
      </c>
      <c r="Y1427" t="s">
        <v>47</v>
      </c>
      <c r="Z1427">
        <v>1</v>
      </c>
      <c r="AA1427">
        <v>204</v>
      </c>
      <c r="AB1427" t="s">
        <v>47</v>
      </c>
      <c r="AC1427">
        <v>0.20300000000000001</v>
      </c>
      <c r="AD1427">
        <v>228</v>
      </c>
      <c r="AE1427" t="s">
        <v>56</v>
      </c>
      <c r="AF1427">
        <v>0.22700000000000001</v>
      </c>
      <c r="AG1427">
        <v>45</v>
      </c>
      <c r="AH1427" t="s">
        <v>103</v>
      </c>
      <c r="AI1427">
        <v>4.3999999999999997E-2</v>
      </c>
      <c r="AJ1427" t="s">
        <v>50</v>
      </c>
    </row>
    <row r="1428" spans="1:36" x14ac:dyDescent="0.25">
      <c r="A1428" t="s">
        <v>706</v>
      </c>
      <c r="B1428">
        <v>856049150</v>
      </c>
      <c r="C1428" t="s">
        <v>707</v>
      </c>
      <c r="D1428" t="s">
        <v>707</v>
      </c>
      <c r="E1428" t="s">
        <v>65</v>
      </c>
      <c r="F1428" t="s">
        <v>83</v>
      </c>
      <c r="I1428" t="s">
        <v>39</v>
      </c>
      <c r="J1428" t="s">
        <v>40</v>
      </c>
      <c r="K1428" t="s">
        <v>41</v>
      </c>
      <c r="L1428" t="s">
        <v>118</v>
      </c>
      <c r="N1428" t="s">
        <v>43</v>
      </c>
      <c r="O1428" t="s">
        <v>708</v>
      </c>
      <c r="P1428">
        <v>202</v>
      </c>
      <c r="Q1428">
        <v>202</v>
      </c>
      <c r="R1428">
        <v>121</v>
      </c>
      <c r="S1428" t="s">
        <v>56</v>
      </c>
      <c r="T1428">
        <v>0.12</v>
      </c>
      <c r="U1428">
        <v>16</v>
      </c>
      <c r="V1428" t="s">
        <v>55</v>
      </c>
      <c r="W1428">
        <v>1.4999999999999999E-2</v>
      </c>
      <c r="X1428">
        <v>11001</v>
      </c>
      <c r="Y1428" t="s">
        <v>47</v>
      </c>
      <c r="Z1428">
        <v>11</v>
      </c>
      <c r="AA1428">
        <v>262</v>
      </c>
      <c r="AB1428" t="s">
        <v>47</v>
      </c>
      <c r="AC1428">
        <v>0.26100000000000001</v>
      </c>
      <c r="AD1428">
        <v>354</v>
      </c>
      <c r="AE1428" t="s">
        <v>56</v>
      </c>
      <c r="AF1428">
        <v>0.35299999999999998</v>
      </c>
      <c r="AG1428">
        <v>239</v>
      </c>
      <c r="AH1428" t="s">
        <v>57</v>
      </c>
      <c r="AI1428">
        <v>0.23799999999999999</v>
      </c>
      <c r="AJ1428" t="s">
        <v>1141</v>
      </c>
    </row>
    <row r="1429" spans="1:36" x14ac:dyDescent="0.25">
      <c r="A1429" t="s">
        <v>706</v>
      </c>
      <c r="B1429">
        <v>856049150</v>
      </c>
      <c r="C1429" t="s">
        <v>707</v>
      </c>
      <c r="D1429" t="s">
        <v>707</v>
      </c>
      <c r="E1429" t="s">
        <v>60</v>
      </c>
      <c r="F1429" t="s">
        <v>83</v>
      </c>
      <c r="I1429" t="s">
        <v>39</v>
      </c>
      <c r="J1429" t="s">
        <v>40</v>
      </c>
      <c r="K1429" t="s">
        <v>41</v>
      </c>
      <c r="L1429" t="s">
        <v>118</v>
      </c>
      <c r="N1429" t="s">
        <v>43</v>
      </c>
      <c r="O1429" t="s">
        <v>709</v>
      </c>
      <c r="P1429">
        <v>202</v>
      </c>
      <c r="Q1429">
        <v>202</v>
      </c>
      <c r="R1429">
        <v>1001</v>
      </c>
      <c r="S1429" t="s">
        <v>56</v>
      </c>
      <c r="T1429">
        <v>1</v>
      </c>
      <c r="U1429">
        <v>4</v>
      </c>
      <c r="V1429" t="s">
        <v>55</v>
      </c>
      <c r="W1429">
        <v>3.0000000000000001E-3</v>
      </c>
      <c r="X1429">
        <v>1001</v>
      </c>
      <c r="Y1429" t="s">
        <v>47</v>
      </c>
      <c r="Z1429">
        <v>1</v>
      </c>
      <c r="AA1429">
        <v>204</v>
      </c>
      <c r="AB1429" t="s">
        <v>47</v>
      </c>
      <c r="AC1429">
        <v>0.20300000000000001</v>
      </c>
      <c r="AD1429">
        <v>228</v>
      </c>
      <c r="AE1429" t="s">
        <v>56</v>
      </c>
      <c r="AF1429">
        <v>0.22700000000000001</v>
      </c>
      <c r="AG1429">
        <v>45</v>
      </c>
      <c r="AH1429" t="s">
        <v>103</v>
      </c>
      <c r="AI1429">
        <v>4.3999999999999997E-2</v>
      </c>
      <c r="AJ1429" t="s">
        <v>1141</v>
      </c>
    </row>
    <row r="1430" spans="1:36" x14ac:dyDescent="0.25">
      <c r="A1430" t="s">
        <v>706</v>
      </c>
      <c r="B1430">
        <v>856049150</v>
      </c>
      <c r="C1430" t="s">
        <v>707</v>
      </c>
      <c r="D1430" t="s">
        <v>707</v>
      </c>
      <c r="E1430" t="s">
        <v>65</v>
      </c>
      <c r="F1430" t="s">
        <v>83</v>
      </c>
      <c r="I1430" t="s">
        <v>39</v>
      </c>
      <c r="J1430" t="s">
        <v>40</v>
      </c>
      <c r="K1430" t="s">
        <v>41</v>
      </c>
      <c r="L1430" t="s">
        <v>118</v>
      </c>
      <c r="N1430" t="s">
        <v>43</v>
      </c>
      <c r="O1430" t="s">
        <v>708</v>
      </c>
      <c r="P1430">
        <v>202</v>
      </c>
      <c r="Q1430">
        <v>202</v>
      </c>
      <c r="R1430">
        <v>41</v>
      </c>
      <c r="S1430" t="s">
        <v>45</v>
      </c>
      <c r="T1430">
        <v>0.04</v>
      </c>
      <c r="U1430">
        <v>36</v>
      </c>
      <c r="V1430" t="s">
        <v>55</v>
      </c>
      <c r="W1430">
        <v>3.5000000000000003E-2</v>
      </c>
      <c r="X1430">
        <v>11001</v>
      </c>
      <c r="Y1430" t="s">
        <v>47</v>
      </c>
      <c r="Z1430">
        <v>11</v>
      </c>
      <c r="AA1430">
        <v>262</v>
      </c>
      <c r="AB1430" t="s">
        <v>47</v>
      </c>
      <c r="AC1430">
        <v>0.26100000000000001</v>
      </c>
      <c r="AD1430">
        <v>354</v>
      </c>
      <c r="AE1430" t="s">
        <v>56</v>
      </c>
      <c r="AF1430">
        <v>0.35299999999999998</v>
      </c>
      <c r="AG1430">
        <v>239</v>
      </c>
      <c r="AH1430" t="s">
        <v>57</v>
      </c>
      <c r="AI1430">
        <v>0.23799999999999999</v>
      </c>
      <c r="AJ1430" t="s">
        <v>1153</v>
      </c>
    </row>
    <row r="1431" spans="1:36" x14ac:dyDescent="0.25">
      <c r="A1431" t="s">
        <v>706</v>
      </c>
      <c r="B1431">
        <v>856049150</v>
      </c>
      <c r="C1431" t="s">
        <v>707</v>
      </c>
      <c r="D1431" t="s">
        <v>707</v>
      </c>
      <c r="E1431" t="s">
        <v>60</v>
      </c>
      <c r="F1431" t="s">
        <v>83</v>
      </c>
      <c r="I1431" t="s">
        <v>39</v>
      </c>
      <c r="J1431" t="s">
        <v>40</v>
      </c>
      <c r="K1431" t="s">
        <v>41</v>
      </c>
      <c r="L1431" t="s">
        <v>118</v>
      </c>
      <c r="N1431" t="s">
        <v>43</v>
      </c>
      <c r="O1431" t="s">
        <v>709</v>
      </c>
      <c r="P1431">
        <v>202</v>
      </c>
      <c r="Q1431">
        <v>202</v>
      </c>
      <c r="R1431">
        <v>621</v>
      </c>
      <c r="S1431" t="s">
        <v>56</v>
      </c>
      <c r="T1431">
        <v>0.62</v>
      </c>
      <c r="U1431">
        <v>4</v>
      </c>
      <c r="V1431" t="s">
        <v>55</v>
      </c>
      <c r="W1431">
        <v>3.0000000000000001E-3</v>
      </c>
      <c r="X1431">
        <v>1001</v>
      </c>
      <c r="Y1431" t="s">
        <v>47</v>
      </c>
      <c r="Z1431">
        <v>1</v>
      </c>
      <c r="AA1431">
        <v>204</v>
      </c>
      <c r="AB1431" t="s">
        <v>47</v>
      </c>
      <c r="AC1431">
        <v>0.20300000000000001</v>
      </c>
      <c r="AD1431">
        <v>228</v>
      </c>
      <c r="AE1431" t="s">
        <v>56</v>
      </c>
      <c r="AF1431">
        <v>0.22700000000000001</v>
      </c>
      <c r="AG1431">
        <v>45</v>
      </c>
      <c r="AH1431" t="s">
        <v>103</v>
      </c>
      <c r="AI1431">
        <v>4.3999999999999997E-2</v>
      </c>
      <c r="AJ1431" t="s">
        <v>1153</v>
      </c>
    </row>
    <row r="1432" spans="1:36" x14ac:dyDescent="0.25">
      <c r="A1432" t="s">
        <v>706</v>
      </c>
      <c r="B1432">
        <v>856049150</v>
      </c>
      <c r="C1432" t="s">
        <v>707</v>
      </c>
      <c r="D1432" t="s">
        <v>707</v>
      </c>
      <c r="E1432" t="s">
        <v>65</v>
      </c>
      <c r="F1432" t="s">
        <v>83</v>
      </c>
      <c r="I1432" t="s">
        <v>39</v>
      </c>
      <c r="J1432" t="s">
        <v>40</v>
      </c>
      <c r="K1432" t="s">
        <v>41</v>
      </c>
      <c r="L1432" t="s">
        <v>118</v>
      </c>
      <c r="N1432" t="s">
        <v>43</v>
      </c>
      <c r="O1432" t="s">
        <v>708</v>
      </c>
      <c r="P1432">
        <v>202</v>
      </c>
      <c r="Q1432">
        <v>202</v>
      </c>
      <c r="R1432">
        <v>41</v>
      </c>
      <c r="S1432" t="s">
        <v>45</v>
      </c>
      <c r="T1432">
        <v>0.04</v>
      </c>
      <c r="U1432">
        <v>36</v>
      </c>
      <c r="V1432" t="s">
        <v>55</v>
      </c>
      <c r="W1432">
        <v>3.5000000000000003E-2</v>
      </c>
      <c r="X1432">
        <v>11001</v>
      </c>
      <c r="Y1432" t="s">
        <v>47</v>
      </c>
      <c r="Z1432">
        <v>11</v>
      </c>
      <c r="AA1432">
        <v>262</v>
      </c>
      <c r="AB1432" t="s">
        <v>47</v>
      </c>
      <c r="AC1432">
        <v>0.26100000000000001</v>
      </c>
      <c r="AD1432">
        <v>354</v>
      </c>
      <c r="AE1432" t="s">
        <v>56</v>
      </c>
      <c r="AF1432">
        <v>0.35299999999999998</v>
      </c>
      <c r="AG1432">
        <v>239</v>
      </c>
      <c r="AH1432" t="s">
        <v>57</v>
      </c>
      <c r="AI1432">
        <v>0.23799999999999999</v>
      </c>
      <c r="AJ1432" t="s">
        <v>1154</v>
      </c>
    </row>
    <row r="1433" spans="1:36" x14ac:dyDescent="0.25">
      <c r="A1433" t="s">
        <v>706</v>
      </c>
      <c r="B1433">
        <v>856049150</v>
      </c>
      <c r="C1433" t="s">
        <v>707</v>
      </c>
      <c r="D1433" t="s">
        <v>707</v>
      </c>
      <c r="E1433" t="s">
        <v>60</v>
      </c>
      <c r="F1433" t="s">
        <v>83</v>
      </c>
      <c r="I1433" t="s">
        <v>39</v>
      </c>
      <c r="J1433" t="s">
        <v>40</v>
      </c>
      <c r="K1433" t="s">
        <v>41</v>
      </c>
      <c r="L1433" t="s">
        <v>118</v>
      </c>
      <c r="N1433" t="s">
        <v>43</v>
      </c>
      <c r="O1433" t="s">
        <v>709</v>
      </c>
      <c r="P1433">
        <v>202</v>
      </c>
      <c r="Q1433">
        <v>202</v>
      </c>
      <c r="R1433">
        <v>621</v>
      </c>
      <c r="S1433" t="s">
        <v>56</v>
      </c>
      <c r="T1433">
        <v>0.62</v>
      </c>
      <c r="U1433">
        <v>4</v>
      </c>
      <c r="V1433" t="s">
        <v>55</v>
      </c>
      <c r="W1433">
        <v>3.0000000000000001E-3</v>
      </c>
      <c r="X1433">
        <v>1001</v>
      </c>
      <c r="Y1433" t="s">
        <v>47</v>
      </c>
      <c r="Z1433">
        <v>1</v>
      </c>
      <c r="AA1433">
        <v>204</v>
      </c>
      <c r="AB1433" t="s">
        <v>47</v>
      </c>
      <c r="AC1433">
        <v>0.20300000000000001</v>
      </c>
      <c r="AD1433">
        <v>228</v>
      </c>
      <c r="AE1433" t="s">
        <v>56</v>
      </c>
      <c r="AF1433">
        <v>0.22700000000000001</v>
      </c>
      <c r="AG1433">
        <v>45</v>
      </c>
      <c r="AH1433" t="s">
        <v>103</v>
      </c>
      <c r="AI1433">
        <v>4.3999999999999997E-2</v>
      </c>
      <c r="AJ1433" t="s">
        <v>1154</v>
      </c>
    </row>
    <row r="1434" spans="1:36" x14ac:dyDescent="0.25">
      <c r="A1434" t="s">
        <v>706</v>
      </c>
      <c r="B1434">
        <v>856049150</v>
      </c>
      <c r="C1434" t="s">
        <v>707</v>
      </c>
      <c r="D1434" t="s">
        <v>707</v>
      </c>
      <c r="E1434" t="s">
        <v>65</v>
      </c>
      <c r="F1434" t="s">
        <v>83</v>
      </c>
      <c r="I1434" t="s">
        <v>39</v>
      </c>
      <c r="J1434" t="s">
        <v>40</v>
      </c>
      <c r="K1434" t="s">
        <v>41</v>
      </c>
      <c r="L1434" t="s">
        <v>118</v>
      </c>
      <c r="N1434" t="s">
        <v>43</v>
      </c>
      <c r="O1434" t="s">
        <v>708</v>
      </c>
      <c r="P1434">
        <v>202</v>
      </c>
      <c r="Q1434">
        <v>202</v>
      </c>
      <c r="S1434" t="s">
        <v>39</v>
      </c>
      <c r="V1434" t="s">
        <v>39</v>
      </c>
      <c r="X1434">
        <v>11001</v>
      </c>
      <c r="Y1434" t="s">
        <v>47</v>
      </c>
      <c r="Z1434">
        <v>11</v>
      </c>
      <c r="AA1434">
        <v>262</v>
      </c>
      <c r="AB1434" t="s">
        <v>47</v>
      </c>
      <c r="AC1434">
        <v>0.26100000000000001</v>
      </c>
      <c r="AD1434">
        <v>354</v>
      </c>
      <c r="AE1434" t="s">
        <v>56</v>
      </c>
      <c r="AF1434">
        <v>0.35299999999999998</v>
      </c>
      <c r="AG1434">
        <v>239</v>
      </c>
      <c r="AH1434" t="s">
        <v>57</v>
      </c>
      <c r="AI1434">
        <v>0.23799999999999999</v>
      </c>
      <c r="AJ1434" t="s">
        <v>1155</v>
      </c>
    </row>
    <row r="1435" spans="1:36" x14ac:dyDescent="0.25">
      <c r="A1435" t="s">
        <v>706</v>
      </c>
      <c r="B1435">
        <v>856049150</v>
      </c>
      <c r="C1435" t="s">
        <v>707</v>
      </c>
      <c r="D1435" t="s">
        <v>707</v>
      </c>
      <c r="E1435" t="s">
        <v>60</v>
      </c>
      <c r="F1435" t="s">
        <v>83</v>
      </c>
      <c r="I1435" t="s">
        <v>39</v>
      </c>
      <c r="J1435" t="s">
        <v>40</v>
      </c>
      <c r="K1435" t="s">
        <v>41</v>
      </c>
      <c r="L1435" t="s">
        <v>118</v>
      </c>
      <c r="N1435" t="s">
        <v>43</v>
      </c>
      <c r="O1435" t="s">
        <v>709</v>
      </c>
      <c r="P1435">
        <v>202</v>
      </c>
      <c r="Q1435">
        <v>202</v>
      </c>
      <c r="S1435" t="s">
        <v>39</v>
      </c>
      <c r="V1435" t="s">
        <v>39</v>
      </c>
      <c r="X1435">
        <v>1001</v>
      </c>
      <c r="Y1435" t="s">
        <v>47</v>
      </c>
      <c r="Z1435">
        <v>1</v>
      </c>
      <c r="AA1435">
        <v>204</v>
      </c>
      <c r="AB1435" t="s">
        <v>47</v>
      </c>
      <c r="AC1435">
        <v>0.20300000000000001</v>
      </c>
      <c r="AD1435">
        <v>228</v>
      </c>
      <c r="AE1435" t="s">
        <v>56</v>
      </c>
      <c r="AF1435">
        <v>0.22700000000000001</v>
      </c>
      <c r="AG1435">
        <v>45</v>
      </c>
      <c r="AH1435" t="s">
        <v>103</v>
      </c>
      <c r="AI1435">
        <v>4.3999999999999997E-2</v>
      </c>
      <c r="AJ1435" t="s">
        <v>1155</v>
      </c>
    </row>
    <row r="1436" spans="1:36" x14ac:dyDescent="0.25">
      <c r="A1436" t="s">
        <v>704</v>
      </c>
      <c r="B1436">
        <v>858196164</v>
      </c>
      <c r="C1436" t="s">
        <v>705</v>
      </c>
      <c r="D1436" t="s">
        <v>705</v>
      </c>
      <c r="E1436" t="s">
        <v>99</v>
      </c>
      <c r="F1436" t="s">
        <v>111</v>
      </c>
      <c r="I1436" t="s">
        <v>39</v>
      </c>
      <c r="J1436" t="s">
        <v>40</v>
      </c>
      <c r="K1436" t="s">
        <v>41</v>
      </c>
      <c r="L1436" t="s">
        <v>42</v>
      </c>
      <c r="N1436" t="s">
        <v>43</v>
      </c>
      <c r="O1436" t="s">
        <v>283</v>
      </c>
      <c r="P1436">
        <v>203</v>
      </c>
      <c r="Q1436">
        <v>203</v>
      </c>
      <c r="R1436">
        <v>151</v>
      </c>
      <c r="S1436" t="s">
        <v>56</v>
      </c>
      <c r="T1436">
        <v>0.15</v>
      </c>
      <c r="U1436">
        <v>36</v>
      </c>
      <c r="V1436" t="s">
        <v>55</v>
      </c>
      <c r="W1436">
        <v>3.5000000000000003E-2</v>
      </c>
      <c r="X1436">
        <v>12001</v>
      </c>
      <c r="Y1436" t="s">
        <v>47</v>
      </c>
      <c r="Z1436">
        <v>12</v>
      </c>
      <c r="AA1436">
        <v>302</v>
      </c>
      <c r="AB1436" t="s">
        <v>47</v>
      </c>
      <c r="AC1436">
        <v>0.30099999999999999</v>
      </c>
      <c r="AD1436">
        <v>626</v>
      </c>
      <c r="AE1436" t="s">
        <v>48</v>
      </c>
      <c r="AF1436">
        <v>0.625</v>
      </c>
      <c r="AG1436">
        <v>437</v>
      </c>
      <c r="AH1436" t="s">
        <v>57</v>
      </c>
      <c r="AI1436">
        <v>0.436</v>
      </c>
      <c r="AJ1436" t="s">
        <v>50</v>
      </c>
    </row>
    <row r="1437" spans="1:36" x14ac:dyDescent="0.25">
      <c r="A1437" t="s">
        <v>704</v>
      </c>
      <c r="B1437">
        <v>858196164</v>
      </c>
      <c r="C1437" t="s">
        <v>705</v>
      </c>
      <c r="D1437" t="s">
        <v>705</v>
      </c>
      <c r="E1437" t="s">
        <v>99</v>
      </c>
      <c r="F1437" t="s">
        <v>111</v>
      </c>
      <c r="I1437" t="s">
        <v>39</v>
      </c>
      <c r="J1437" t="s">
        <v>40</v>
      </c>
      <c r="K1437" t="s">
        <v>41</v>
      </c>
      <c r="L1437" t="s">
        <v>42</v>
      </c>
      <c r="N1437" t="s">
        <v>43</v>
      </c>
      <c r="O1437" t="s">
        <v>283</v>
      </c>
      <c r="P1437">
        <v>203</v>
      </c>
      <c r="Q1437">
        <v>203</v>
      </c>
      <c r="R1437">
        <v>141</v>
      </c>
      <c r="S1437" t="s">
        <v>56</v>
      </c>
      <c r="T1437">
        <v>0.14000000000000001</v>
      </c>
      <c r="U1437">
        <v>39</v>
      </c>
      <c r="V1437" t="s">
        <v>55</v>
      </c>
      <c r="W1437">
        <v>3.7999999999999999E-2</v>
      </c>
      <c r="X1437">
        <v>12001</v>
      </c>
      <c r="Y1437" t="s">
        <v>47</v>
      </c>
      <c r="Z1437">
        <v>12</v>
      </c>
      <c r="AA1437">
        <v>302</v>
      </c>
      <c r="AB1437" t="s">
        <v>47</v>
      </c>
      <c r="AC1437">
        <v>0.30099999999999999</v>
      </c>
      <c r="AD1437">
        <v>626</v>
      </c>
      <c r="AE1437" t="s">
        <v>48</v>
      </c>
      <c r="AF1437">
        <v>0.625</v>
      </c>
      <c r="AG1437">
        <v>437</v>
      </c>
      <c r="AH1437" t="s">
        <v>57</v>
      </c>
      <c r="AI1437">
        <v>0.436</v>
      </c>
      <c r="AJ1437" t="s">
        <v>1141</v>
      </c>
    </row>
    <row r="1438" spans="1:36" x14ac:dyDescent="0.25">
      <c r="A1438" t="s">
        <v>704</v>
      </c>
      <c r="B1438">
        <v>858196164</v>
      </c>
      <c r="C1438" t="s">
        <v>705</v>
      </c>
      <c r="D1438" t="s">
        <v>705</v>
      </c>
      <c r="E1438" t="s">
        <v>99</v>
      </c>
      <c r="F1438" t="s">
        <v>111</v>
      </c>
      <c r="I1438" t="s">
        <v>39</v>
      </c>
      <c r="J1438" t="s">
        <v>40</v>
      </c>
      <c r="K1438" t="s">
        <v>41</v>
      </c>
      <c r="L1438" t="s">
        <v>42</v>
      </c>
      <c r="N1438" t="s">
        <v>43</v>
      </c>
      <c r="O1438" t="s">
        <v>283</v>
      </c>
      <c r="P1438">
        <v>203</v>
      </c>
      <c r="Q1438">
        <v>203</v>
      </c>
      <c r="R1438">
        <v>151</v>
      </c>
      <c r="S1438" t="s">
        <v>56</v>
      </c>
      <c r="T1438">
        <v>0.15</v>
      </c>
      <c r="U1438">
        <v>36</v>
      </c>
      <c r="V1438" t="s">
        <v>55</v>
      </c>
      <c r="W1438">
        <v>3.5000000000000003E-2</v>
      </c>
      <c r="X1438">
        <v>12001</v>
      </c>
      <c r="Y1438" t="s">
        <v>47</v>
      </c>
      <c r="Z1438">
        <v>12</v>
      </c>
      <c r="AA1438">
        <v>302</v>
      </c>
      <c r="AB1438" t="s">
        <v>47</v>
      </c>
      <c r="AC1438">
        <v>0.30099999999999999</v>
      </c>
      <c r="AD1438">
        <v>626</v>
      </c>
      <c r="AE1438" t="s">
        <v>48</v>
      </c>
      <c r="AF1438">
        <v>0.625</v>
      </c>
      <c r="AG1438">
        <v>437</v>
      </c>
      <c r="AH1438" t="s">
        <v>57</v>
      </c>
      <c r="AI1438">
        <v>0.436</v>
      </c>
      <c r="AJ1438" t="s">
        <v>1153</v>
      </c>
    </row>
    <row r="1439" spans="1:36" x14ac:dyDescent="0.25">
      <c r="A1439" t="s">
        <v>704</v>
      </c>
      <c r="B1439">
        <v>858196164</v>
      </c>
      <c r="C1439" t="s">
        <v>705</v>
      </c>
      <c r="D1439" t="s">
        <v>705</v>
      </c>
      <c r="E1439" t="s">
        <v>99</v>
      </c>
      <c r="F1439" t="s">
        <v>111</v>
      </c>
      <c r="I1439" t="s">
        <v>39</v>
      </c>
      <c r="J1439" t="s">
        <v>40</v>
      </c>
      <c r="K1439" t="s">
        <v>41</v>
      </c>
      <c r="L1439" t="s">
        <v>42</v>
      </c>
      <c r="N1439" t="s">
        <v>43</v>
      </c>
      <c r="O1439" t="s">
        <v>283</v>
      </c>
      <c r="P1439">
        <v>203</v>
      </c>
      <c r="Q1439">
        <v>203</v>
      </c>
      <c r="R1439">
        <v>151</v>
      </c>
      <c r="S1439" t="s">
        <v>56</v>
      </c>
      <c r="T1439">
        <v>0.15</v>
      </c>
      <c r="U1439">
        <v>36</v>
      </c>
      <c r="V1439" t="s">
        <v>55</v>
      </c>
      <c r="W1439">
        <v>3.5000000000000003E-2</v>
      </c>
      <c r="X1439">
        <v>12001</v>
      </c>
      <c r="Y1439" t="s">
        <v>47</v>
      </c>
      <c r="Z1439">
        <v>12</v>
      </c>
      <c r="AA1439">
        <v>302</v>
      </c>
      <c r="AB1439" t="s">
        <v>47</v>
      </c>
      <c r="AC1439">
        <v>0.30099999999999999</v>
      </c>
      <c r="AD1439">
        <v>626</v>
      </c>
      <c r="AE1439" t="s">
        <v>48</v>
      </c>
      <c r="AF1439">
        <v>0.625</v>
      </c>
      <c r="AG1439">
        <v>437</v>
      </c>
      <c r="AH1439" t="s">
        <v>57</v>
      </c>
      <c r="AI1439">
        <v>0.436</v>
      </c>
      <c r="AJ1439" t="s">
        <v>1154</v>
      </c>
    </row>
    <row r="1440" spans="1:36" x14ac:dyDescent="0.25">
      <c r="A1440" t="s">
        <v>704</v>
      </c>
      <c r="B1440">
        <v>858196164</v>
      </c>
      <c r="C1440" t="s">
        <v>705</v>
      </c>
      <c r="D1440" t="s">
        <v>705</v>
      </c>
      <c r="E1440" t="s">
        <v>99</v>
      </c>
      <c r="F1440" t="s">
        <v>111</v>
      </c>
      <c r="I1440" t="s">
        <v>39</v>
      </c>
      <c r="J1440" t="s">
        <v>40</v>
      </c>
      <c r="K1440" t="s">
        <v>41</v>
      </c>
      <c r="L1440" t="s">
        <v>42</v>
      </c>
      <c r="N1440" t="s">
        <v>43</v>
      </c>
      <c r="O1440" t="s">
        <v>283</v>
      </c>
      <c r="P1440">
        <v>203</v>
      </c>
      <c r="Q1440">
        <v>203</v>
      </c>
      <c r="S1440" t="s">
        <v>39</v>
      </c>
      <c r="V1440" t="s">
        <v>39</v>
      </c>
      <c r="X1440">
        <v>12001</v>
      </c>
      <c r="Y1440" t="s">
        <v>47</v>
      </c>
      <c r="Z1440">
        <v>12</v>
      </c>
      <c r="AA1440">
        <v>302</v>
      </c>
      <c r="AB1440" t="s">
        <v>47</v>
      </c>
      <c r="AC1440">
        <v>0.30099999999999999</v>
      </c>
      <c r="AD1440">
        <v>626</v>
      </c>
      <c r="AE1440" t="s">
        <v>48</v>
      </c>
      <c r="AF1440">
        <v>0.625</v>
      </c>
      <c r="AG1440">
        <v>437</v>
      </c>
      <c r="AH1440" t="s">
        <v>57</v>
      </c>
      <c r="AI1440">
        <v>0.436</v>
      </c>
      <c r="AJ1440" t="s">
        <v>1155</v>
      </c>
    </row>
    <row r="1441" spans="1:36" x14ac:dyDescent="0.25">
      <c r="A1441" t="s">
        <v>171</v>
      </c>
      <c r="B1441">
        <v>868825276</v>
      </c>
      <c r="C1441" t="s">
        <v>172</v>
      </c>
      <c r="D1441" t="s">
        <v>172</v>
      </c>
      <c r="E1441" t="s">
        <v>37</v>
      </c>
      <c r="F1441" t="s">
        <v>127</v>
      </c>
      <c r="I1441" t="s">
        <v>39</v>
      </c>
      <c r="J1441" t="s">
        <v>40</v>
      </c>
      <c r="K1441" t="s">
        <v>41</v>
      </c>
      <c r="L1441" t="s">
        <v>173</v>
      </c>
      <c r="N1441" t="s">
        <v>43</v>
      </c>
      <c r="O1441" t="s">
        <v>174</v>
      </c>
      <c r="P1441">
        <v>204</v>
      </c>
      <c r="Q1441">
        <v>204</v>
      </c>
      <c r="S1441" t="s">
        <v>39</v>
      </c>
      <c r="V1441" t="s">
        <v>39</v>
      </c>
      <c r="X1441">
        <v>1</v>
      </c>
      <c r="Y1441" t="s">
        <v>47</v>
      </c>
      <c r="Z1441">
        <v>0</v>
      </c>
      <c r="AA1441">
        <v>287</v>
      </c>
      <c r="AB1441" t="s">
        <v>47</v>
      </c>
      <c r="AC1441">
        <v>0.28599999999999998</v>
      </c>
      <c r="AD1441">
        <v>270</v>
      </c>
      <c r="AE1441" t="s">
        <v>56</v>
      </c>
      <c r="AF1441">
        <v>0.26900000000000002</v>
      </c>
      <c r="AG1441">
        <v>100</v>
      </c>
      <c r="AH1441" t="s">
        <v>103</v>
      </c>
      <c r="AI1441">
        <v>9.9000000000000005E-2</v>
      </c>
      <c r="AJ1441" t="s">
        <v>1156</v>
      </c>
    </row>
    <row r="1442" spans="1:36" x14ac:dyDescent="0.25">
      <c r="A1442" t="s">
        <v>700</v>
      </c>
      <c r="B1442">
        <v>881524753</v>
      </c>
      <c r="C1442" t="s">
        <v>701</v>
      </c>
      <c r="D1442" t="s">
        <v>701</v>
      </c>
      <c r="E1442" t="s">
        <v>65</v>
      </c>
      <c r="F1442" t="s">
        <v>93</v>
      </c>
      <c r="I1442" t="s">
        <v>39</v>
      </c>
      <c r="J1442" t="s">
        <v>40</v>
      </c>
      <c r="K1442" t="s">
        <v>41</v>
      </c>
      <c r="L1442" t="s">
        <v>89</v>
      </c>
      <c r="N1442" t="s">
        <v>43</v>
      </c>
      <c r="O1442" t="s">
        <v>315</v>
      </c>
      <c r="P1442">
        <v>205</v>
      </c>
      <c r="Q1442">
        <v>205</v>
      </c>
      <c r="R1442">
        <v>111</v>
      </c>
      <c r="S1442" t="s">
        <v>56</v>
      </c>
      <c r="T1442">
        <v>0.11</v>
      </c>
      <c r="U1442">
        <v>380</v>
      </c>
      <c r="V1442" t="s">
        <v>55</v>
      </c>
      <c r="W1442">
        <v>0.379</v>
      </c>
      <c r="X1442">
        <v>5001</v>
      </c>
      <c r="Y1442" t="s">
        <v>47</v>
      </c>
      <c r="Z1442">
        <v>5</v>
      </c>
      <c r="AA1442">
        <v>244</v>
      </c>
      <c r="AB1442" t="s">
        <v>47</v>
      </c>
      <c r="AC1442">
        <v>0.24299999999999999</v>
      </c>
      <c r="AD1442">
        <v>422</v>
      </c>
      <c r="AE1442" t="s">
        <v>56</v>
      </c>
      <c r="AF1442">
        <v>0.42099999999999999</v>
      </c>
      <c r="AG1442">
        <v>448</v>
      </c>
      <c r="AH1442" t="s">
        <v>57</v>
      </c>
      <c r="AI1442">
        <v>0.44700000000000001</v>
      </c>
      <c r="AJ1442" t="s">
        <v>50</v>
      </c>
    </row>
    <row r="1443" spans="1:36" x14ac:dyDescent="0.25">
      <c r="A1443" t="s">
        <v>700</v>
      </c>
      <c r="B1443">
        <v>881524753</v>
      </c>
      <c r="C1443" t="s">
        <v>701</v>
      </c>
      <c r="D1443" t="s">
        <v>701</v>
      </c>
      <c r="E1443" t="s">
        <v>65</v>
      </c>
      <c r="F1443" t="s">
        <v>93</v>
      </c>
      <c r="I1443" t="s">
        <v>39</v>
      </c>
      <c r="J1443" t="s">
        <v>40</v>
      </c>
      <c r="K1443" t="s">
        <v>41</v>
      </c>
      <c r="L1443" t="s">
        <v>89</v>
      </c>
      <c r="N1443" t="s">
        <v>43</v>
      </c>
      <c r="O1443" t="s">
        <v>315</v>
      </c>
      <c r="P1443">
        <v>205</v>
      </c>
      <c r="Q1443">
        <v>205</v>
      </c>
      <c r="R1443">
        <v>241</v>
      </c>
      <c r="S1443" t="s">
        <v>56</v>
      </c>
      <c r="T1443">
        <v>0.24</v>
      </c>
      <c r="U1443">
        <v>134</v>
      </c>
      <c r="V1443" t="s">
        <v>55</v>
      </c>
      <c r="W1443">
        <v>0.13300000000000001</v>
      </c>
      <c r="X1443">
        <v>5001</v>
      </c>
      <c r="Y1443" t="s">
        <v>47</v>
      </c>
      <c r="Z1443">
        <v>5</v>
      </c>
      <c r="AA1443">
        <v>244</v>
      </c>
      <c r="AB1443" t="s">
        <v>47</v>
      </c>
      <c r="AC1443">
        <v>0.24299999999999999</v>
      </c>
      <c r="AD1443">
        <v>422</v>
      </c>
      <c r="AE1443" t="s">
        <v>56</v>
      </c>
      <c r="AF1443">
        <v>0.42099999999999999</v>
      </c>
      <c r="AG1443">
        <v>448</v>
      </c>
      <c r="AH1443" t="s">
        <v>57</v>
      </c>
      <c r="AI1443">
        <v>0.44700000000000001</v>
      </c>
      <c r="AJ1443" t="s">
        <v>1141</v>
      </c>
    </row>
    <row r="1444" spans="1:36" x14ac:dyDescent="0.25">
      <c r="A1444" t="s">
        <v>700</v>
      </c>
      <c r="B1444">
        <v>881524753</v>
      </c>
      <c r="C1444" t="s">
        <v>701</v>
      </c>
      <c r="D1444" t="s">
        <v>701</v>
      </c>
      <c r="E1444" t="s">
        <v>65</v>
      </c>
      <c r="F1444" t="s">
        <v>93</v>
      </c>
      <c r="I1444" t="s">
        <v>39</v>
      </c>
      <c r="J1444" t="s">
        <v>40</v>
      </c>
      <c r="K1444" t="s">
        <v>41</v>
      </c>
      <c r="L1444" t="s">
        <v>89</v>
      </c>
      <c r="N1444" t="s">
        <v>43</v>
      </c>
      <c r="O1444" t="s">
        <v>315</v>
      </c>
      <c r="P1444">
        <v>205</v>
      </c>
      <c r="Q1444">
        <v>205</v>
      </c>
      <c r="R1444">
        <v>111</v>
      </c>
      <c r="S1444" t="s">
        <v>56</v>
      </c>
      <c r="T1444">
        <v>0.11</v>
      </c>
      <c r="U1444">
        <v>380</v>
      </c>
      <c r="V1444" t="s">
        <v>55</v>
      </c>
      <c r="W1444">
        <v>0.379</v>
      </c>
      <c r="X1444">
        <v>5001</v>
      </c>
      <c r="Y1444" t="s">
        <v>47</v>
      </c>
      <c r="Z1444">
        <v>5</v>
      </c>
      <c r="AA1444">
        <v>244</v>
      </c>
      <c r="AB1444" t="s">
        <v>47</v>
      </c>
      <c r="AC1444">
        <v>0.24299999999999999</v>
      </c>
      <c r="AD1444">
        <v>422</v>
      </c>
      <c r="AE1444" t="s">
        <v>56</v>
      </c>
      <c r="AF1444">
        <v>0.42099999999999999</v>
      </c>
      <c r="AG1444">
        <v>448</v>
      </c>
      <c r="AH1444" t="s">
        <v>57</v>
      </c>
      <c r="AI1444">
        <v>0.44700000000000001</v>
      </c>
      <c r="AJ1444" t="s">
        <v>1153</v>
      </c>
    </row>
    <row r="1445" spans="1:36" x14ac:dyDescent="0.25">
      <c r="A1445" t="s">
        <v>700</v>
      </c>
      <c r="B1445">
        <v>881524753</v>
      </c>
      <c r="C1445" t="s">
        <v>701</v>
      </c>
      <c r="D1445" t="s">
        <v>701</v>
      </c>
      <c r="E1445" t="s">
        <v>65</v>
      </c>
      <c r="F1445" t="s">
        <v>93</v>
      </c>
      <c r="I1445" t="s">
        <v>39</v>
      </c>
      <c r="J1445" t="s">
        <v>40</v>
      </c>
      <c r="K1445" t="s">
        <v>41</v>
      </c>
      <c r="L1445" t="s">
        <v>89</v>
      </c>
      <c r="N1445" t="s">
        <v>43</v>
      </c>
      <c r="O1445" t="s">
        <v>315</v>
      </c>
      <c r="P1445">
        <v>205</v>
      </c>
      <c r="Q1445">
        <v>205</v>
      </c>
      <c r="R1445">
        <v>111</v>
      </c>
      <c r="S1445" t="s">
        <v>56</v>
      </c>
      <c r="T1445">
        <v>0.11</v>
      </c>
      <c r="U1445">
        <v>380</v>
      </c>
      <c r="V1445" t="s">
        <v>55</v>
      </c>
      <c r="W1445">
        <v>0.379</v>
      </c>
      <c r="X1445">
        <v>5001</v>
      </c>
      <c r="Y1445" t="s">
        <v>47</v>
      </c>
      <c r="Z1445">
        <v>5</v>
      </c>
      <c r="AA1445">
        <v>244</v>
      </c>
      <c r="AB1445" t="s">
        <v>47</v>
      </c>
      <c r="AC1445">
        <v>0.24299999999999999</v>
      </c>
      <c r="AD1445">
        <v>422</v>
      </c>
      <c r="AE1445" t="s">
        <v>56</v>
      </c>
      <c r="AF1445">
        <v>0.42099999999999999</v>
      </c>
      <c r="AG1445">
        <v>448</v>
      </c>
      <c r="AH1445" t="s">
        <v>57</v>
      </c>
      <c r="AI1445">
        <v>0.44700000000000001</v>
      </c>
      <c r="AJ1445" t="s">
        <v>1154</v>
      </c>
    </row>
    <row r="1446" spans="1:36" x14ac:dyDescent="0.25">
      <c r="A1446" t="s">
        <v>700</v>
      </c>
      <c r="B1446">
        <v>881524753</v>
      </c>
      <c r="C1446" t="s">
        <v>701</v>
      </c>
      <c r="D1446" t="s">
        <v>701</v>
      </c>
      <c r="E1446" t="s">
        <v>65</v>
      </c>
      <c r="F1446" t="s">
        <v>93</v>
      </c>
      <c r="I1446" t="s">
        <v>39</v>
      </c>
      <c r="J1446" t="s">
        <v>40</v>
      </c>
      <c r="K1446" t="s">
        <v>41</v>
      </c>
      <c r="L1446" t="s">
        <v>89</v>
      </c>
      <c r="N1446" t="s">
        <v>43</v>
      </c>
      <c r="O1446" t="s">
        <v>315</v>
      </c>
      <c r="P1446">
        <v>205</v>
      </c>
      <c r="Q1446">
        <v>205</v>
      </c>
      <c r="S1446" t="s">
        <v>39</v>
      </c>
      <c r="V1446" t="s">
        <v>39</v>
      </c>
      <c r="X1446">
        <v>5001</v>
      </c>
      <c r="Y1446" t="s">
        <v>47</v>
      </c>
      <c r="Z1446">
        <v>5</v>
      </c>
      <c r="AA1446">
        <v>244</v>
      </c>
      <c r="AB1446" t="s">
        <v>47</v>
      </c>
      <c r="AC1446">
        <v>0.24299999999999999</v>
      </c>
      <c r="AD1446">
        <v>422</v>
      </c>
      <c r="AE1446" t="s">
        <v>56</v>
      </c>
      <c r="AF1446">
        <v>0.42099999999999999</v>
      </c>
      <c r="AG1446">
        <v>448</v>
      </c>
      <c r="AH1446" t="s">
        <v>57</v>
      </c>
      <c r="AI1446">
        <v>0.44700000000000001</v>
      </c>
      <c r="AJ1446" t="s">
        <v>1155</v>
      </c>
    </row>
    <row r="1447" spans="1:36" x14ac:dyDescent="0.25">
      <c r="A1447" t="s">
        <v>702</v>
      </c>
      <c r="B1447">
        <v>855438225</v>
      </c>
      <c r="C1447" t="s">
        <v>703</v>
      </c>
      <c r="D1447" t="s">
        <v>703</v>
      </c>
      <c r="E1447" t="s">
        <v>60</v>
      </c>
      <c r="F1447" t="s">
        <v>88</v>
      </c>
      <c r="I1447" t="s">
        <v>39</v>
      </c>
      <c r="J1447" t="s">
        <v>40</v>
      </c>
      <c r="K1447" t="s">
        <v>41</v>
      </c>
      <c r="L1447" t="s">
        <v>458</v>
      </c>
      <c r="N1447" t="s">
        <v>43</v>
      </c>
      <c r="O1447" t="s">
        <v>375</v>
      </c>
      <c r="P1447">
        <v>205</v>
      </c>
      <c r="Q1447">
        <v>205</v>
      </c>
      <c r="R1447">
        <v>31</v>
      </c>
      <c r="S1447" t="s">
        <v>45</v>
      </c>
      <c r="T1447">
        <v>0.03</v>
      </c>
      <c r="U1447">
        <v>45</v>
      </c>
      <c r="V1447" t="s">
        <v>55</v>
      </c>
      <c r="W1447">
        <v>4.3999999999999997E-2</v>
      </c>
      <c r="X1447">
        <v>13001</v>
      </c>
      <c r="Y1447" t="s">
        <v>47</v>
      </c>
      <c r="Z1447">
        <v>13</v>
      </c>
      <c r="AA1447">
        <v>147</v>
      </c>
      <c r="AB1447" t="s">
        <v>47</v>
      </c>
      <c r="AC1447">
        <v>0.14599999999999999</v>
      </c>
      <c r="AD1447">
        <v>474</v>
      </c>
      <c r="AE1447" t="s">
        <v>56</v>
      </c>
      <c r="AF1447">
        <v>0.47299999999999998</v>
      </c>
      <c r="AG1447">
        <v>433</v>
      </c>
      <c r="AH1447" t="s">
        <v>57</v>
      </c>
      <c r="AI1447">
        <v>0.432</v>
      </c>
      <c r="AJ1447" t="s">
        <v>50</v>
      </c>
    </row>
    <row r="1448" spans="1:36" x14ac:dyDescent="0.25">
      <c r="A1448" t="s">
        <v>702</v>
      </c>
      <c r="B1448">
        <v>855438225</v>
      </c>
      <c r="C1448" t="s">
        <v>703</v>
      </c>
      <c r="D1448" t="s">
        <v>703</v>
      </c>
      <c r="E1448" t="s">
        <v>60</v>
      </c>
      <c r="F1448" t="s">
        <v>88</v>
      </c>
      <c r="I1448" t="s">
        <v>39</v>
      </c>
      <c r="J1448" t="s">
        <v>40</v>
      </c>
      <c r="K1448" t="s">
        <v>41</v>
      </c>
      <c r="L1448" t="s">
        <v>458</v>
      </c>
      <c r="N1448" t="s">
        <v>43</v>
      </c>
      <c r="O1448" t="s">
        <v>375</v>
      </c>
      <c r="P1448">
        <v>205</v>
      </c>
      <c r="Q1448">
        <v>205</v>
      </c>
      <c r="R1448">
        <v>51</v>
      </c>
      <c r="S1448" t="s">
        <v>45</v>
      </c>
      <c r="T1448">
        <v>0.05</v>
      </c>
      <c r="U1448">
        <v>41</v>
      </c>
      <c r="V1448" t="s">
        <v>55</v>
      </c>
      <c r="W1448">
        <v>0.04</v>
      </c>
      <c r="X1448">
        <v>13001</v>
      </c>
      <c r="Y1448" t="s">
        <v>47</v>
      </c>
      <c r="Z1448">
        <v>13</v>
      </c>
      <c r="AA1448">
        <v>147</v>
      </c>
      <c r="AB1448" t="s">
        <v>47</v>
      </c>
      <c r="AC1448">
        <v>0.14599999999999999</v>
      </c>
      <c r="AD1448">
        <v>474</v>
      </c>
      <c r="AE1448" t="s">
        <v>56</v>
      </c>
      <c r="AF1448">
        <v>0.47299999999999998</v>
      </c>
      <c r="AG1448">
        <v>433</v>
      </c>
      <c r="AH1448" t="s">
        <v>57</v>
      </c>
      <c r="AI1448">
        <v>0.432</v>
      </c>
      <c r="AJ1448" t="s">
        <v>1141</v>
      </c>
    </row>
    <row r="1449" spans="1:36" x14ac:dyDescent="0.25">
      <c r="A1449" t="s">
        <v>702</v>
      </c>
      <c r="B1449">
        <v>855438225</v>
      </c>
      <c r="C1449" t="s">
        <v>703</v>
      </c>
      <c r="D1449" t="s">
        <v>703</v>
      </c>
      <c r="E1449" t="s">
        <v>60</v>
      </c>
      <c r="F1449" t="s">
        <v>88</v>
      </c>
      <c r="I1449" t="s">
        <v>39</v>
      </c>
      <c r="J1449" t="s">
        <v>40</v>
      </c>
      <c r="K1449" t="s">
        <v>41</v>
      </c>
      <c r="L1449" t="s">
        <v>458</v>
      </c>
      <c r="N1449" t="s">
        <v>43</v>
      </c>
      <c r="O1449" t="s">
        <v>375</v>
      </c>
      <c r="P1449">
        <v>205</v>
      </c>
      <c r="Q1449">
        <v>205</v>
      </c>
      <c r="R1449">
        <v>31</v>
      </c>
      <c r="S1449" t="s">
        <v>45</v>
      </c>
      <c r="T1449">
        <v>0.03</v>
      </c>
      <c r="U1449">
        <v>45</v>
      </c>
      <c r="V1449" t="s">
        <v>55</v>
      </c>
      <c r="W1449">
        <v>4.3999999999999997E-2</v>
      </c>
      <c r="X1449">
        <v>13001</v>
      </c>
      <c r="Y1449" t="s">
        <v>47</v>
      </c>
      <c r="Z1449">
        <v>13</v>
      </c>
      <c r="AA1449">
        <v>147</v>
      </c>
      <c r="AB1449" t="s">
        <v>47</v>
      </c>
      <c r="AC1449">
        <v>0.14599999999999999</v>
      </c>
      <c r="AD1449">
        <v>474</v>
      </c>
      <c r="AE1449" t="s">
        <v>56</v>
      </c>
      <c r="AF1449">
        <v>0.47299999999999998</v>
      </c>
      <c r="AG1449">
        <v>433</v>
      </c>
      <c r="AH1449" t="s">
        <v>57</v>
      </c>
      <c r="AI1449">
        <v>0.432</v>
      </c>
      <c r="AJ1449" t="s">
        <v>1153</v>
      </c>
    </row>
    <row r="1450" spans="1:36" x14ac:dyDescent="0.25">
      <c r="A1450" t="s">
        <v>702</v>
      </c>
      <c r="B1450">
        <v>855438225</v>
      </c>
      <c r="C1450" t="s">
        <v>703</v>
      </c>
      <c r="D1450" t="s">
        <v>703</v>
      </c>
      <c r="E1450" t="s">
        <v>60</v>
      </c>
      <c r="F1450" t="s">
        <v>88</v>
      </c>
      <c r="I1450" t="s">
        <v>39</v>
      </c>
      <c r="J1450" t="s">
        <v>40</v>
      </c>
      <c r="K1450" t="s">
        <v>41</v>
      </c>
      <c r="L1450" t="s">
        <v>458</v>
      </c>
      <c r="N1450" t="s">
        <v>43</v>
      </c>
      <c r="O1450" t="s">
        <v>375</v>
      </c>
      <c r="P1450">
        <v>205</v>
      </c>
      <c r="Q1450">
        <v>205</v>
      </c>
      <c r="R1450">
        <v>31</v>
      </c>
      <c r="S1450" t="s">
        <v>45</v>
      </c>
      <c r="T1450">
        <v>0.03</v>
      </c>
      <c r="U1450">
        <v>45</v>
      </c>
      <c r="V1450" t="s">
        <v>55</v>
      </c>
      <c r="W1450">
        <v>4.3999999999999997E-2</v>
      </c>
      <c r="X1450">
        <v>13001</v>
      </c>
      <c r="Y1450" t="s">
        <v>47</v>
      </c>
      <c r="Z1450">
        <v>13</v>
      </c>
      <c r="AA1450">
        <v>147</v>
      </c>
      <c r="AB1450" t="s">
        <v>47</v>
      </c>
      <c r="AC1450">
        <v>0.14599999999999999</v>
      </c>
      <c r="AD1450">
        <v>474</v>
      </c>
      <c r="AE1450" t="s">
        <v>56</v>
      </c>
      <c r="AF1450">
        <v>0.47299999999999998</v>
      </c>
      <c r="AG1450">
        <v>433</v>
      </c>
      <c r="AH1450" t="s">
        <v>57</v>
      </c>
      <c r="AI1450">
        <v>0.432</v>
      </c>
      <c r="AJ1450" t="s">
        <v>1154</v>
      </c>
    </row>
    <row r="1451" spans="1:36" x14ac:dyDescent="0.25">
      <c r="A1451" t="s">
        <v>702</v>
      </c>
      <c r="B1451">
        <v>855438225</v>
      </c>
      <c r="C1451" t="s">
        <v>703</v>
      </c>
      <c r="D1451" t="s">
        <v>703</v>
      </c>
      <c r="E1451" t="s">
        <v>60</v>
      </c>
      <c r="F1451" t="s">
        <v>88</v>
      </c>
      <c r="I1451" t="s">
        <v>39</v>
      </c>
      <c r="J1451" t="s">
        <v>40</v>
      </c>
      <c r="K1451" t="s">
        <v>41</v>
      </c>
      <c r="L1451" t="s">
        <v>458</v>
      </c>
      <c r="N1451" t="s">
        <v>43</v>
      </c>
      <c r="O1451" t="s">
        <v>375</v>
      </c>
      <c r="P1451">
        <v>205</v>
      </c>
      <c r="Q1451">
        <v>205</v>
      </c>
      <c r="S1451" t="s">
        <v>39</v>
      </c>
      <c r="V1451" t="s">
        <v>39</v>
      </c>
      <c r="X1451">
        <v>13001</v>
      </c>
      <c r="Y1451" t="s">
        <v>47</v>
      </c>
      <c r="Z1451">
        <v>13</v>
      </c>
      <c r="AA1451">
        <v>147</v>
      </c>
      <c r="AB1451" t="s">
        <v>47</v>
      </c>
      <c r="AC1451">
        <v>0.14599999999999999</v>
      </c>
      <c r="AD1451">
        <v>474</v>
      </c>
      <c r="AE1451" t="s">
        <v>56</v>
      </c>
      <c r="AF1451">
        <v>0.47299999999999998</v>
      </c>
      <c r="AG1451">
        <v>433</v>
      </c>
      <c r="AH1451" t="s">
        <v>57</v>
      </c>
      <c r="AI1451">
        <v>0.432</v>
      </c>
      <c r="AJ1451" t="s">
        <v>1155</v>
      </c>
    </row>
    <row r="1452" spans="1:36" x14ac:dyDescent="0.25">
      <c r="A1452" t="s">
        <v>698</v>
      </c>
      <c r="B1452">
        <v>861104938</v>
      </c>
      <c r="C1452" t="s">
        <v>699</v>
      </c>
      <c r="D1452" t="s">
        <v>699</v>
      </c>
      <c r="E1452" t="s">
        <v>65</v>
      </c>
      <c r="F1452" t="s">
        <v>93</v>
      </c>
      <c r="I1452" t="s">
        <v>39</v>
      </c>
      <c r="J1452" t="s">
        <v>40</v>
      </c>
      <c r="K1452" t="s">
        <v>41</v>
      </c>
      <c r="L1452" t="s">
        <v>78</v>
      </c>
      <c r="N1452" t="s">
        <v>43</v>
      </c>
      <c r="O1452" t="s">
        <v>483</v>
      </c>
      <c r="P1452">
        <v>206</v>
      </c>
      <c r="Q1452">
        <v>206</v>
      </c>
      <c r="R1452">
        <v>791</v>
      </c>
      <c r="S1452" t="s">
        <v>56</v>
      </c>
      <c r="T1452">
        <v>0.79</v>
      </c>
      <c r="U1452">
        <v>8</v>
      </c>
      <c r="V1452" t="s">
        <v>55</v>
      </c>
      <c r="W1452">
        <v>7.0000000000000001E-3</v>
      </c>
      <c r="X1452">
        <v>1001</v>
      </c>
      <c r="Y1452" t="s">
        <v>47</v>
      </c>
      <c r="Z1452">
        <v>1</v>
      </c>
      <c r="AA1452">
        <v>131</v>
      </c>
      <c r="AB1452" t="s">
        <v>47</v>
      </c>
      <c r="AC1452">
        <v>0.13</v>
      </c>
      <c r="AD1452">
        <v>100</v>
      </c>
      <c r="AE1452" t="s">
        <v>56</v>
      </c>
      <c r="AF1452">
        <v>9.9000000000000005E-2</v>
      </c>
      <c r="AG1452">
        <v>3</v>
      </c>
      <c r="AH1452" t="s">
        <v>103</v>
      </c>
      <c r="AI1452">
        <v>2E-3</v>
      </c>
      <c r="AJ1452" t="s">
        <v>50</v>
      </c>
    </row>
    <row r="1453" spans="1:36" x14ac:dyDescent="0.25">
      <c r="A1453" t="s">
        <v>698</v>
      </c>
      <c r="B1453">
        <v>861104938</v>
      </c>
      <c r="C1453" t="s">
        <v>699</v>
      </c>
      <c r="D1453" t="s">
        <v>699</v>
      </c>
      <c r="E1453" t="s">
        <v>65</v>
      </c>
      <c r="F1453" t="s">
        <v>93</v>
      </c>
      <c r="I1453" t="s">
        <v>39</v>
      </c>
      <c r="J1453" t="s">
        <v>40</v>
      </c>
      <c r="K1453" t="s">
        <v>41</v>
      </c>
      <c r="L1453" t="s">
        <v>78</v>
      </c>
      <c r="N1453" t="s">
        <v>43</v>
      </c>
      <c r="O1453" t="s">
        <v>483</v>
      </c>
      <c r="P1453">
        <v>206</v>
      </c>
      <c r="Q1453">
        <v>206</v>
      </c>
      <c r="R1453">
        <v>1001</v>
      </c>
      <c r="S1453" t="s">
        <v>56</v>
      </c>
      <c r="T1453">
        <v>1</v>
      </c>
      <c r="U1453">
        <v>4</v>
      </c>
      <c r="V1453" t="s">
        <v>55</v>
      </c>
      <c r="W1453">
        <v>3.0000000000000001E-3</v>
      </c>
      <c r="X1453">
        <v>1001</v>
      </c>
      <c r="Y1453" t="s">
        <v>47</v>
      </c>
      <c r="Z1453">
        <v>1</v>
      </c>
      <c r="AA1453">
        <v>131</v>
      </c>
      <c r="AB1453" t="s">
        <v>47</v>
      </c>
      <c r="AC1453">
        <v>0.13</v>
      </c>
      <c r="AD1453">
        <v>100</v>
      </c>
      <c r="AE1453" t="s">
        <v>56</v>
      </c>
      <c r="AF1453">
        <v>9.9000000000000005E-2</v>
      </c>
      <c r="AG1453">
        <v>3</v>
      </c>
      <c r="AH1453" t="s">
        <v>103</v>
      </c>
      <c r="AI1453">
        <v>2E-3</v>
      </c>
      <c r="AJ1453" t="s">
        <v>1141</v>
      </c>
    </row>
    <row r="1454" spans="1:36" x14ac:dyDescent="0.25">
      <c r="A1454" t="s">
        <v>698</v>
      </c>
      <c r="B1454">
        <v>861104938</v>
      </c>
      <c r="C1454" t="s">
        <v>699</v>
      </c>
      <c r="D1454" t="s">
        <v>699</v>
      </c>
      <c r="E1454" t="s">
        <v>65</v>
      </c>
      <c r="F1454" t="s">
        <v>93</v>
      </c>
      <c r="I1454" t="s">
        <v>39</v>
      </c>
      <c r="J1454" t="s">
        <v>40</v>
      </c>
      <c r="K1454" t="s">
        <v>41</v>
      </c>
      <c r="L1454" t="s">
        <v>78</v>
      </c>
      <c r="N1454" t="s">
        <v>43</v>
      </c>
      <c r="O1454" t="s">
        <v>483</v>
      </c>
      <c r="P1454">
        <v>206</v>
      </c>
      <c r="Q1454">
        <v>206</v>
      </c>
      <c r="R1454">
        <v>791</v>
      </c>
      <c r="S1454" t="s">
        <v>56</v>
      </c>
      <c r="T1454">
        <v>0.79</v>
      </c>
      <c r="U1454">
        <v>8</v>
      </c>
      <c r="V1454" t="s">
        <v>55</v>
      </c>
      <c r="W1454">
        <v>7.0000000000000001E-3</v>
      </c>
      <c r="X1454">
        <v>1001</v>
      </c>
      <c r="Y1454" t="s">
        <v>47</v>
      </c>
      <c r="Z1454">
        <v>1</v>
      </c>
      <c r="AA1454">
        <v>131</v>
      </c>
      <c r="AB1454" t="s">
        <v>47</v>
      </c>
      <c r="AC1454">
        <v>0.13</v>
      </c>
      <c r="AD1454">
        <v>100</v>
      </c>
      <c r="AE1454" t="s">
        <v>56</v>
      </c>
      <c r="AF1454">
        <v>9.9000000000000005E-2</v>
      </c>
      <c r="AG1454">
        <v>3</v>
      </c>
      <c r="AH1454" t="s">
        <v>103</v>
      </c>
      <c r="AI1454">
        <v>2E-3</v>
      </c>
      <c r="AJ1454" t="s">
        <v>1153</v>
      </c>
    </row>
    <row r="1455" spans="1:36" x14ac:dyDescent="0.25">
      <c r="A1455" t="s">
        <v>698</v>
      </c>
      <c r="B1455">
        <v>861104938</v>
      </c>
      <c r="C1455" t="s">
        <v>699</v>
      </c>
      <c r="D1455" t="s">
        <v>699</v>
      </c>
      <c r="E1455" t="s">
        <v>65</v>
      </c>
      <c r="F1455" t="s">
        <v>93</v>
      </c>
      <c r="I1455" t="s">
        <v>39</v>
      </c>
      <c r="J1455" t="s">
        <v>40</v>
      </c>
      <c r="K1455" t="s">
        <v>41</v>
      </c>
      <c r="L1455" t="s">
        <v>78</v>
      </c>
      <c r="N1455" t="s">
        <v>43</v>
      </c>
      <c r="O1455" t="s">
        <v>483</v>
      </c>
      <c r="P1455">
        <v>206</v>
      </c>
      <c r="Q1455">
        <v>206</v>
      </c>
      <c r="R1455">
        <v>791</v>
      </c>
      <c r="S1455" t="s">
        <v>56</v>
      </c>
      <c r="T1455">
        <v>0.79</v>
      </c>
      <c r="U1455">
        <v>8</v>
      </c>
      <c r="V1455" t="s">
        <v>55</v>
      </c>
      <c r="W1455">
        <v>7.0000000000000001E-3</v>
      </c>
      <c r="X1455">
        <v>1001</v>
      </c>
      <c r="Y1455" t="s">
        <v>47</v>
      </c>
      <c r="Z1455">
        <v>1</v>
      </c>
      <c r="AA1455">
        <v>131</v>
      </c>
      <c r="AB1455" t="s">
        <v>47</v>
      </c>
      <c r="AC1455">
        <v>0.13</v>
      </c>
      <c r="AD1455">
        <v>100</v>
      </c>
      <c r="AE1455" t="s">
        <v>56</v>
      </c>
      <c r="AF1455">
        <v>9.9000000000000005E-2</v>
      </c>
      <c r="AG1455">
        <v>3</v>
      </c>
      <c r="AH1455" t="s">
        <v>103</v>
      </c>
      <c r="AI1455">
        <v>2E-3</v>
      </c>
      <c r="AJ1455" t="s">
        <v>1154</v>
      </c>
    </row>
    <row r="1456" spans="1:36" x14ac:dyDescent="0.25">
      <c r="A1456" t="s">
        <v>698</v>
      </c>
      <c r="B1456">
        <v>861104938</v>
      </c>
      <c r="C1456" t="s">
        <v>699</v>
      </c>
      <c r="D1456" t="s">
        <v>699</v>
      </c>
      <c r="E1456" t="s">
        <v>65</v>
      </c>
      <c r="F1456" t="s">
        <v>93</v>
      </c>
      <c r="I1456" t="s">
        <v>39</v>
      </c>
      <c r="J1456" t="s">
        <v>40</v>
      </c>
      <c r="K1456" t="s">
        <v>41</v>
      </c>
      <c r="L1456" t="s">
        <v>78</v>
      </c>
      <c r="N1456" t="s">
        <v>43</v>
      </c>
      <c r="O1456" t="s">
        <v>483</v>
      </c>
      <c r="P1456">
        <v>206</v>
      </c>
      <c r="Q1456">
        <v>206</v>
      </c>
      <c r="S1456" t="s">
        <v>39</v>
      </c>
      <c r="V1456" t="s">
        <v>39</v>
      </c>
      <c r="X1456">
        <v>1001</v>
      </c>
      <c r="Y1456" t="s">
        <v>47</v>
      </c>
      <c r="Z1456">
        <v>1</v>
      </c>
      <c r="AA1456">
        <v>131</v>
      </c>
      <c r="AB1456" t="s">
        <v>47</v>
      </c>
      <c r="AC1456">
        <v>0.13</v>
      </c>
      <c r="AD1456">
        <v>100</v>
      </c>
      <c r="AE1456" t="s">
        <v>56</v>
      </c>
      <c r="AF1456">
        <v>9.9000000000000005E-2</v>
      </c>
      <c r="AG1456">
        <v>3</v>
      </c>
      <c r="AH1456" t="s">
        <v>103</v>
      </c>
      <c r="AI1456">
        <v>2E-3</v>
      </c>
      <c r="AJ1456" t="s">
        <v>1155</v>
      </c>
    </row>
    <row r="1457" spans="1:36" x14ac:dyDescent="0.25">
      <c r="A1457" t="s">
        <v>695</v>
      </c>
      <c r="B1457">
        <v>863666236</v>
      </c>
      <c r="C1457" t="s">
        <v>696</v>
      </c>
      <c r="D1457" t="s">
        <v>696</v>
      </c>
      <c r="E1457" t="s">
        <v>60</v>
      </c>
      <c r="F1457" t="s">
        <v>229</v>
      </c>
      <c r="I1457" t="s">
        <v>39</v>
      </c>
      <c r="J1457" t="s">
        <v>40</v>
      </c>
      <c r="K1457" t="s">
        <v>41</v>
      </c>
      <c r="L1457" t="s">
        <v>173</v>
      </c>
      <c r="N1457" t="s">
        <v>43</v>
      </c>
      <c r="O1457" t="s">
        <v>697</v>
      </c>
      <c r="P1457">
        <v>206</v>
      </c>
      <c r="Q1457">
        <v>206</v>
      </c>
      <c r="R1457">
        <v>1</v>
      </c>
      <c r="S1457" t="s">
        <v>45</v>
      </c>
      <c r="T1457">
        <v>0</v>
      </c>
      <c r="U1457">
        <v>583</v>
      </c>
      <c r="V1457" t="s">
        <v>113</v>
      </c>
      <c r="W1457">
        <v>0.58199999999999996</v>
      </c>
      <c r="X1457">
        <v>23001</v>
      </c>
      <c r="Y1457" t="s">
        <v>47</v>
      </c>
      <c r="Z1457">
        <v>23</v>
      </c>
      <c r="AA1457">
        <v>518</v>
      </c>
      <c r="AB1457" t="s">
        <v>75</v>
      </c>
      <c r="AC1457">
        <v>0.51700000000000002</v>
      </c>
      <c r="AD1457">
        <v>725</v>
      </c>
      <c r="AE1457" t="s">
        <v>48</v>
      </c>
      <c r="AF1457">
        <v>0.72399999999999998</v>
      </c>
      <c r="AG1457">
        <v>722</v>
      </c>
      <c r="AH1457" t="s">
        <v>49</v>
      </c>
      <c r="AI1457">
        <v>0.72099999999999997</v>
      </c>
      <c r="AJ1457" t="s">
        <v>50</v>
      </c>
    </row>
    <row r="1458" spans="1:36" x14ac:dyDescent="0.25">
      <c r="A1458" t="s">
        <v>695</v>
      </c>
      <c r="B1458">
        <v>863666236</v>
      </c>
      <c r="C1458" t="s">
        <v>696</v>
      </c>
      <c r="D1458" t="s">
        <v>696</v>
      </c>
      <c r="E1458" t="s">
        <v>60</v>
      </c>
      <c r="F1458" t="s">
        <v>229</v>
      </c>
      <c r="I1458" t="s">
        <v>39</v>
      </c>
      <c r="J1458" t="s">
        <v>40</v>
      </c>
      <c r="K1458" t="s">
        <v>41</v>
      </c>
      <c r="L1458" t="s">
        <v>173</v>
      </c>
      <c r="N1458" t="s">
        <v>43</v>
      </c>
      <c r="O1458" t="s">
        <v>697</v>
      </c>
      <c r="P1458">
        <v>206</v>
      </c>
      <c r="Q1458">
        <v>206</v>
      </c>
      <c r="R1458">
        <v>1</v>
      </c>
      <c r="S1458" t="s">
        <v>45</v>
      </c>
      <c r="T1458">
        <v>0</v>
      </c>
      <c r="U1458">
        <v>572</v>
      </c>
      <c r="V1458" t="s">
        <v>113</v>
      </c>
      <c r="W1458">
        <v>0.57099999999999995</v>
      </c>
      <c r="X1458">
        <v>23001</v>
      </c>
      <c r="Y1458" t="s">
        <v>47</v>
      </c>
      <c r="Z1458">
        <v>23</v>
      </c>
      <c r="AA1458">
        <v>518</v>
      </c>
      <c r="AB1458" t="s">
        <v>75</v>
      </c>
      <c r="AC1458">
        <v>0.51700000000000002</v>
      </c>
      <c r="AD1458">
        <v>725</v>
      </c>
      <c r="AE1458" t="s">
        <v>48</v>
      </c>
      <c r="AF1458">
        <v>0.72399999999999998</v>
      </c>
      <c r="AG1458">
        <v>722</v>
      </c>
      <c r="AH1458" t="s">
        <v>49</v>
      </c>
      <c r="AI1458">
        <v>0.72099999999999997</v>
      </c>
      <c r="AJ1458" t="s">
        <v>1141</v>
      </c>
    </row>
    <row r="1459" spans="1:36" x14ac:dyDescent="0.25">
      <c r="A1459" t="s">
        <v>695</v>
      </c>
      <c r="B1459">
        <v>863666236</v>
      </c>
      <c r="C1459" t="s">
        <v>696</v>
      </c>
      <c r="D1459" t="s">
        <v>696</v>
      </c>
      <c r="E1459" t="s">
        <v>60</v>
      </c>
      <c r="F1459" t="s">
        <v>229</v>
      </c>
      <c r="I1459" t="s">
        <v>39</v>
      </c>
      <c r="J1459" t="s">
        <v>40</v>
      </c>
      <c r="K1459" t="s">
        <v>41</v>
      </c>
      <c r="L1459" t="s">
        <v>173</v>
      </c>
      <c r="N1459" t="s">
        <v>43</v>
      </c>
      <c r="O1459" t="s">
        <v>697</v>
      </c>
      <c r="P1459">
        <v>206</v>
      </c>
      <c r="Q1459">
        <v>206</v>
      </c>
      <c r="R1459">
        <v>1</v>
      </c>
      <c r="S1459" t="s">
        <v>45</v>
      </c>
      <c r="T1459">
        <v>0</v>
      </c>
      <c r="U1459">
        <v>583</v>
      </c>
      <c r="V1459" t="s">
        <v>113</v>
      </c>
      <c r="W1459">
        <v>0.58199999999999996</v>
      </c>
      <c r="X1459">
        <v>23001</v>
      </c>
      <c r="Y1459" t="s">
        <v>47</v>
      </c>
      <c r="Z1459">
        <v>23</v>
      </c>
      <c r="AA1459">
        <v>518</v>
      </c>
      <c r="AB1459" t="s">
        <v>75</v>
      </c>
      <c r="AC1459">
        <v>0.51700000000000002</v>
      </c>
      <c r="AD1459">
        <v>725</v>
      </c>
      <c r="AE1459" t="s">
        <v>48</v>
      </c>
      <c r="AF1459">
        <v>0.72399999999999998</v>
      </c>
      <c r="AG1459">
        <v>722</v>
      </c>
      <c r="AH1459" t="s">
        <v>49</v>
      </c>
      <c r="AI1459">
        <v>0.72099999999999997</v>
      </c>
      <c r="AJ1459" t="s">
        <v>1153</v>
      </c>
    </row>
    <row r="1460" spans="1:36" x14ac:dyDescent="0.25">
      <c r="A1460" t="s">
        <v>695</v>
      </c>
      <c r="B1460">
        <v>863666236</v>
      </c>
      <c r="C1460" t="s">
        <v>696</v>
      </c>
      <c r="D1460" t="s">
        <v>696</v>
      </c>
      <c r="E1460" t="s">
        <v>60</v>
      </c>
      <c r="F1460" t="s">
        <v>229</v>
      </c>
      <c r="I1460" t="s">
        <v>39</v>
      </c>
      <c r="J1460" t="s">
        <v>40</v>
      </c>
      <c r="K1460" t="s">
        <v>41</v>
      </c>
      <c r="L1460" t="s">
        <v>173</v>
      </c>
      <c r="N1460" t="s">
        <v>43</v>
      </c>
      <c r="O1460" t="s">
        <v>697</v>
      </c>
      <c r="P1460">
        <v>206</v>
      </c>
      <c r="Q1460">
        <v>206</v>
      </c>
      <c r="R1460">
        <v>1</v>
      </c>
      <c r="S1460" t="s">
        <v>45</v>
      </c>
      <c r="T1460">
        <v>0</v>
      </c>
      <c r="U1460">
        <v>583</v>
      </c>
      <c r="V1460" t="s">
        <v>113</v>
      </c>
      <c r="W1460">
        <v>0.58199999999999996</v>
      </c>
      <c r="X1460">
        <v>23001</v>
      </c>
      <c r="Y1460" t="s">
        <v>47</v>
      </c>
      <c r="Z1460">
        <v>23</v>
      </c>
      <c r="AA1460">
        <v>518</v>
      </c>
      <c r="AB1460" t="s">
        <v>75</v>
      </c>
      <c r="AC1460">
        <v>0.51700000000000002</v>
      </c>
      <c r="AD1460">
        <v>725</v>
      </c>
      <c r="AE1460" t="s">
        <v>48</v>
      </c>
      <c r="AF1460">
        <v>0.72399999999999998</v>
      </c>
      <c r="AG1460">
        <v>722</v>
      </c>
      <c r="AH1460" t="s">
        <v>49</v>
      </c>
      <c r="AI1460">
        <v>0.72099999999999997</v>
      </c>
      <c r="AJ1460" t="s">
        <v>1154</v>
      </c>
    </row>
    <row r="1461" spans="1:36" x14ac:dyDescent="0.25">
      <c r="A1461" t="s">
        <v>695</v>
      </c>
      <c r="B1461">
        <v>863666236</v>
      </c>
      <c r="C1461" t="s">
        <v>696</v>
      </c>
      <c r="D1461" t="s">
        <v>696</v>
      </c>
      <c r="E1461" t="s">
        <v>60</v>
      </c>
      <c r="F1461" t="s">
        <v>229</v>
      </c>
      <c r="I1461" t="s">
        <v>39</v>
      </c>
      <c r="J1461" t="s">
        <v>40</v>
      </c>
      <c r="K1461" t="s">
        <v>41</v>
      </c>
      <c r="L1461" t="s">
        <v>173</v>
      </c>
      <c r="N1461" t="s">
        <v>43</v>
      </c>
      <c r="O1461" t="s">
        <v>697</v>
      </c>
      <c r="P1461">
        <v>206</v>
      </c>
      <c r="Q1461">
        <v>206</v>
      </c>
      <c r="S1461" t="s">
        <v>39</v>
      </c>
      <c r="V1461" t="s">
        <v>39</v>
      </c>
      <c r="X1461">
        <v>23001</v>
      </c>
      <c r="Y1461" t="s">
        <v>47</v>
      </c>
      <c r="Z1461">
        <v>23</v>
      </c>
      <c r="AA1461">
        <v>518</v>
      </c>
      <c r="AB1461" t="s">
        <v>75</v>
      </c>
      <c r="AC1461">
        <v>0.51700000000000002</v>
      </c>
      <c r="AD1461">
        <v>725</v>
      </c>
      <c r="AE1461" t="s">
        <v>48</v>
      </c>
      <c r="AF1461">
        <v>0.72399999999999998</v>
      </c>
      <c r="AG1461">
        <v>722</v>
      </c>
      <c r="AH1461" t="s">
        <v>49</v>
      </c>
      <c r="AI1461">
        <v>0.72099999999999997</v>
      </c>
      <c r="AJ1461" t="s">
        <v>1155</v>
      </c>
    </row>
    <row r="1462" spans="1:36" x14ac:dyDescent="0.25">
      <c r="A1462" t="s">
        <v>168</v>
      </c>
      <c r="B1462">
        <v>865475472</v>
      </c>
      <c r="C1462" t="s">
        <v>169</v>
      </c>
      <c r="D1462" t="s">
        <v>169</v>
      </c>
      <c r="E1462" t="s">
        <v>65</v>
      </c>
      <c r="F1462" t="s">
        <v>93</v>
      </c>
      <c r="I1462" t="s">
        <v>39</v>
      </c>
      <c r="J1462" t="s">
        <v>40</v>
      </c>
      <c r="K1462" t="s">
        <v>41</v>
      </c>
      <c r="L1462" t="s">
        <v>78</v>
      </c>
      <c r="N1462" t="s">
        <v>43</v>
      </c>
      <c r="O1462" t="s">
        <v>170</v>
      </c>
      <c r="P1462">
        <v>206</v>
      </c>
      <c r="Q1462">
        <v>206</v>
      </c>
      <c r="S1462" t="s">
        <v>39</v>
      </c>
      <c r="V1462" t="s">
        <v>39</v>
      </c>
      <c r="X1462">
        <v>20001</v>
      </c>
      <c r="Y1462" t="s">
        <v>47</v>
      </c>
      <c r="Z1462">
        <v>20</v>
      </c>
      <c r="AA1462">
        <v>459</v>
      </c>
      <c r="AB1462" t="s">
        <v>47</v>
      </c>
      <c r="AC1462">
        <v>0.45800000000000002</v>
      </c>
      <c r="AD1462">
        <v>651</v>
      </c>
      <c r="AE1462" t="s">
        <v>48</v>
      </c>
      <c r="AF1462">
        <v>0.65</v>
      </c>
      <c r="AG1462">
        <v>517</v>
      </c>
      <c r="AH1462" t="s">
        <v>57</v>
      </c>
      <c r="AI1462">
        <v>0.51600000000000001</v>
      </c>
      <c r="AJ1462" t="s">
        <v>1156</v>
      </c>
    </row>
    <row r="1463" spans="1:36" x14ac:dyDescent="0.25">
      <c r="A1463" t="s">
        <v>164</v>
      </c>
      <c r="B1463">
        <v>881457038</v>
      </c>
      <c r="C1463" t="s">
        <v>165</v>
      </c>
      <c r="D1463" t="s">
        <v>165</v>
      </c>
      <c r="E1463" t="s">
        <v>65</v>
      </c>
      <c r="F1463" t="s">
        <v>166</v>
      </c>
      <c r="I1463" t="s">
        <v>39</v>
      </c>
      <c r="J1463" t="s">
        <v>40</v>
      </c>
      <c r="K1463" t="s">
        <v>41</v>
      </c>
      <c r="L1463" t="s">
        <v>78</v>
      </c>
      <c r="N1463" t="s">
        <v>43</v>
      </c>
      <c r="O1463" t="s">
        <v>167</v>
      </c>
      <c r="P1463">
        <v>207</v>
      </c>
      <c r="Q1463">
        <v>207</v>
      </c>
      <c r="S1463" t="s">
        <v>39</v>
      </c>
      <c r="V1463" t="s">
        <v>39</v>
      </c>
      <c r="X1463">
        <v>2001</v>
      </c>
      <c r="Y1463" t="s">
        <v>47</v>
      </c>
      <c r="Z1463">
        <v>2</v>
      </c>
      <c r="AA1463">
        <v>189</v>
      </c>
      <c r="AB1463" t="s">
        <v>47</v>
      </c>
      <c r="AC1463">
        <v>0.188</v>
      </c>
      <c r="AD1463">
        <v>55</v>
      </c>
      <c r="AE1463" t="s">
        <v>56</v>
      </c>
      <c r="AF1463">
        <v>5.3999999999999999E-2</v>
      </c>
      <c r="AG1463">
        <v>1</v>
      </c>
      <c r="AH1463" t="s">
        <v>103</v>
      </c>
      <c r="AI1463">
        <v>0</v>
      </c>
      <c r="AJ1463" t="s">
        <v>1156</v>
      </c>
    </row>
    <row r="1464" spans="1:36" x14ac:dyDescent="0.25">
      <c r="A1464" t="s">
        <v>160</v>
      </c>
      <c r="B1464">
        <v>852475749</v>
      </c>
      <c r="C1464" t="s">
        <v>161</v>
      </c>
      <c r="D1464" t="s">
        <v>161</v>
      </c>
      <c r="E1464" t="s">
        <v>99</v>
      </c>
      <c r="F1464" t="s">
        <v>143</v>
      </c>
      <c r="I1464" t="s">
        <v>39</v>
      </c>
      <c r="J1464" t="s">
        <v>40</v>
      </c>
      <c r="K1464" t="s">
        <v>41</v>
      </c>
      <c r="L1464" t="s">
        <v>162</v>
      </c>
      <c r="N1464" t="s">
        <v>43</v>
      </c>
      <c r="O1464" t="s">
        <v>163</v>
      </c>
      <c r="P1464">
        <v>208</v>
      </c>
      <c r="Q1464">
        <v>208</v>
      </c>
      <c r="S1464" t="s">
        <v>39</v>
      </c>
      <c r="V1464" t="s">
        <v>39</v>
      </c>
      <c r="X1464">
        <v>1</v>
      </c>
      <c r="Y1464" t="s">
        <v>47</v>
      </c>
      <c r="Z1464">
        <v>0</v>
      </c>
      <c r="AA1464">
        <v>152</v>
      </c>
      <c r="AB1464" t="s">
        <v>47</v>
      </c>
      <c r="AC1464">
        <v>0.151</v>
      </c>
      <c r="AD1464">
        <v>226</v>
      </c>
      <c r="AE1464" t="s">
        <v>56</v>
      </c>
      <c r="AF1464">
        <v>0.22500000000000001</v>
      </c>
      <c r="AG1464">
        <v>40</v>
      </c>
      <c r="AH1464" t="s">
        <v>103</v>
      </c>
      <c r="AI1464">
        <v>3.9E-2</v>
      </c>
      <c r="AJ1464" t="s">
        <v>1156</v>
      </c>
    </row>
    <row r="1465" spans="1:36" x14ac:dyDescent="0.25">
      <c r="A1465" t="s">
        <v>157</v>
      </c>
      <c r="B1465">
        <v>856319491</v>
      </c>
      <c r="C1465" t="s">
        <v>158</v>
      </c>
      <c r="D1465" t="s">
        <v>158</v>
      </c>
      <c r="E1465" t="s">
        <v>65</v>
      </c>
      <c r="F1465" t="s">
        <v>93</v>
      </c>
      <c r="I1465" t="s">
        <v>39</v>
      </c>
      <c r="J1465" t="s">
        <v>40</v>
      </c>
      <c r="K1465" t="s">
        <v>41</v>
      </c>
      <c r="L1465" t="s">
        <v>53</v>
      </c>
      <c r="N1465" t="s">
        <v>43</v>
      </c>
      <c r="O1465" t="s">
        <v>159</v>
      </c>
      <c r="P1465">
        <v>208</v>
      </c>
      <c r="Q1465">
        <v>208</v>
      </c>
      <c r="S1465" t="s">
        <v>39</v>
      </c>
      <c r="V1465" t="s">
        <v>39</v>
      </c>
      <c r="X1465">
        <v>1001</v>
      </c>
      <c r="Y1465" t="s">
        <v>47</v>
      </c>
      <c r="Z1465">
        <v>1</v>
      </c>
      <c r="AA1465">
        <v>152</v>
      </c>
      <c r="AB1465" t="s">
        <v>47</v>
      </c>
      <c r="AC1465">
        <v>0.151</v>
      </c>
      <c r="AD1465">
        <v>381</v>
      </c>
      <c r="AE1465" t="s">
        <v>56</v>
      </c>
      <c r="AF1465">
        <v>0.38</v>
      </c>
      <c r="AG1465">
        <v>131</v>
      </c>
      <c r="AH1465" t="s">
        <v>103</v>
      </c>
      <c r="AI1465">
        <v>0.13</v>
      </c>
      <c r="AJ1465" t="s">
        <v>1156</v>
      </c>
    </row>
    <row r="1466" spans="1:36" x14ac:dyDescent="0.25">
      <c r="A1466" t="s">
        <v>149</v>
      </c>
      <c r="B1466">
        <v>851632058</v>
      </c>
      <c r="C1466" t="s">
        <v>150</v>
      </c>
      <c r="D1466" t="s">
        <v>150</v>
      </c>
      <c r="E1466" t="s">
        <v>65</v>
      </c>
      <c r="F1466" t="s">
        <v>100</v>
      </c>
      <c r="I1466" t="s">
        <v>39</v>
      </c>
      <c r="J1466" t="s">
        <v>40</v>
      </c>
      <c r="K1466" t="s">
        <v>41</v>
      </c>
      <c r="L1466" t="s">
        <v>151</v>
      </c>
      <c r="M1466" t="s">
        <v>152</v>
      </c>
      <c r="N1466" t="s">
        <v>43</v>
      </c>
      <c r="O1466" t="s">
        <v>153</v>
      </c>
      <c r="P1466">
        <v>209</v>
      </c>
      <c r="Q1466">
        <v>209</v>
      </c>
      <c r="S1466" t="s">
        <v>39</v>
      </c>
      <c r="V1466" t="s">
        <v>39</v>
      </c>
      <c r="X1466">
        <v>1</v>
      </c>
      <c r="Y1466" t="s">
        <v>47</v>
      </c>
      <c r="Z1466">
        <v>0</v>
      </c>
      <c r="AA1466">
        <v>180</v>
      </c>
      <c r="AB1466" t="s">
        <v>47</v>
      </c>
      <c r="AC1466">
        <v>0.17899999999999999</v>
      </c>
      <c r="AD1466">
        <v>1</v>
      </c>
      <c r="AE1466" t="s">
        <v>56</v>
      </c>
      <c r="AF1466">
        <v>0</v>
      </c>
      <c r="AG1466">
        <v>23</v>
      </c>
      <c r="AH1466" t="s">
        <v>103</v>
      </c>
      <c r="AI1466">
        <v>2.1999999999999999E-2</v>
      </c>
      <c r="AJ1466" t="s">
        <v>1156</v>
      </c>
    </row>
    <row r="1467" spans="1:36" x14ac:dyDescent="0.25">
      <c r="A1467" t="s">
        <v>154</v>
      </c>
      <c r="B1467">
        <v>868227617</v>
      </c>
      <c r="C1467" t="s">
        <v>155</v>
      </c>
      <c r="D1467" t="s">
        <v>155</v>
      </c>
      <c r="E1467" t="s">
        <v>99</v>
      </c>
      <c r="F1467" t="s">
        <v>143</v>
      </c>
      <c r="I1467" t="s">
        <v>39</v>
      </c>
      <c r="J1467" t="s">
        <v>40</v>
      </c>
      <c r="K1467" t="s">
        <v>41</v>
      </c>
      <c r="L1467" t="s">
        <v>78</v>
      </c>
      <c r="N1467" t="s">
        <v>43</v>
      </c>
      <c r="O1467" t="s">
        <v>156</v>
      </c>
      <c r="P1467">
        <v>209</v>
      </c>
      <c r="Q1467">
        <v>209</v>
      </c>
      <c r="S1467" t="s">
        <v>39</v>
      </c>
      <c r="V1467" t="s">
        <v>39</v>
      </c>
      <c r="X1467">
        <v>18001</v>
      </c>
      <c r="Y1467" t="s">
        <v>47</v>
      </c>
      <c r="Z1467">
        <v>18</v>
      </c>
      <c r="AA1467">
        <v>362</v>
      </c>
      <c r="AB1467" t="s">
        <v>47</v>
      </c>
      <c r="AC1467">
        <v>0.36099999999999999</v>
      </c>
      <c r="AD1467">
        <v>756</v>
      </c>
      <c r="AE1467" t="s">
        <v>48</v>
      </c>
      <c r="AF1467">
        <v>0.755</v>
      </c>
      <c r="AG1467">
        <v>549</v>
      </c>
      <c r="AH1467" t="s">
        <v>49</v>
      </c>
      <c r="AI1467">
        <v>0.54800000000000004</v>
      </c>
      <c r="AJ1467" t="s">
        <v>1156</v>
      </c>
    </row>
    <row r="1468" spans="1:36" x14ac:dyDescent="0.25">
      <c r="A1468" t="s">
        <v>691</v>
      </c>
      <c r="B1468">
        <v>872683815</v>
      </c>
      <c r="C1468" t="s">
        <v>692</v>
      </c>
      <c r="D1468" t="s">
        <v>692</v>
      </c>
      <c r="E1468" t="s">
        <v>65</v>
      </c>
      <c r="F1468" t="s">
        <v>93</v>
      </c>
      <c r="I1468" t="s">
        <v>39</v>
      </c>
      <c r="J1468" t="s">
        <v>40</v>
      </c>
      <c r="K1468" t="s">
        <v>41</v>
      </c>
      <c r="L1468" t="s">
        <v>406</v>
      </c>
      <c r="M1468" t="s">
        <v>73</v>
      </c>
      <c r="N1468" t="s">
        <v>43</v>
      </c>
      <c r="O1468" t="s">
        <v>315</v>
      </c>
      <c r="P1468">
        <v>209</v>
      </c>
      <c r="Q1468">
        <v>209</v>
      </c>
      <c r="R1468">
        <v>111</v>
      </c>
      <c r="S1468" t="s">
        <v>56</v>
      </c>
      <c r="T1468">
        <v>0.11</v>
      </c>
      <c r="U1468">
        <v>968</v>
      </c>
      <c r="V1468" t="s">
        <v>46</v>
      </c>
      <c r="W1468">
        <v>0.96699999999999997</v>
      </c>
      <c r="X1468">
        <v>23001</v>
      </c>
      <c r="Y1468" t="s">
        <v>47</v>
      </c>
      <c r="Z1468">
        <v>23</v>
      </c>
      <c r="AA1468">
        <v>521</v>
      </c>
      <c r="AB1468" t="s">
        <v>75</v>
      </c>
      <c r="AC1468">
        <v>0.52</v>
      </c>
      <c r="AD1468">
        <v>733</v>
      </c>
      <c r="AE1468" t="s">
        <v>48</v>
      </c>
      <c r="AF1468">
        <v>0.73199999999999998</v>
      </c>
      <c r="AG1468">
        <v>637</v>
      </c>
      <c r="AH1468" t="s">
        <v>49</v>
      </c>
      <c r="AI1468">
        <v>0.63600000000000001</v>
      </c>
      <c r="AJ1468" t="s">
        <v>50</v>
      </c>
    </row>
    <row r="1469" spans="1:36" x14ac:dyDescent="0.25">
      <c r="A1469" t="s">
        <v>691</v>
      </c>
      <c r="B1469">
        <v>872683815</v>
      </c>
      <c r="C1469" t="s">
        <v>692</v>
      </c>
      <c r="D1469" t="s">
        <v>692</v>
      </c>
      <c r="E1469" t="s">
        <v>65</v>
      </c>
      <c r="F1469" t="s">
        <v>93</v>
      </c>
      <c r="I1469" t="s">
        <v>39</v>
      </c>
      <c r="J1469" t="s">
        <v>40</v>
      </c>
      <c r="K1469" t="s">
        <v>41</v>
      </c>
      <c r="L1469" t="s">
        <v>406</v>
      </c>
      <c r="M1469" t="s">
        <v>73</v>
      </c>
      <c r="N1469" t="s">
        <v>43</v>
      </c>
      <c r="O1469" t="s">
        <v>315</v>
      </c>
      <c r="P1469">
        <v>209</v>
      </c>
      <c r="Q1469">
        <v>209</v>
      </c>
      <c r="R1469">
        <v>121</v>
      </c>
      <c r="S1469" t="s">
        <v>56</v>
      </c>
      <c r="T1469">
        <v>0.12</v>
      </c>
      <c r="U1469">
        <v>979</v>
      </c>
      <c r="V1469" t="s">
        <v>46</v>
      </c>
      <c r="W1469">
        <v>0.97799999999999998</v>
      </c>
      <c r="X1469">
        <v>23001</v>
      </c>
      <c r="Y1469" t="s">
        <v>47</v>
      </c>
      <c r="Z1469">
        <v>23</v>
      </c>
      <c r="AA1469">
        <v>521</v>
      </c>
      <c r="AB1469" t="s">
        <v>75</v>
      </c>
      <c r="AC1469">
        <v>0.52</v>
      </c>
      <c r="AD1469">
        <v>733</v>
      </c>
      <c r="AE1469" t="s">
        <v>48</v>
      </c>
      <c r="AF1469">
        <v>0.73199999999999998</v>
      </c>
      <c r="AG1469">
        <v>637</v>
      </c>
      <c r="AH1469" t="s">
        <v>49</v>
      </c>
      <c r="AI1469">
        <v>0.63600000000000001</v>
      </c>
      <c r="AJ1469" t="s">
        <v>1141</v>
      </c>
    </row>
    <row r="1470" spans="1:36" x14ac:dyDescent="0.25">
      <c r="A1470" t="s">
        <v>691</v>
      </c>
      <c r="B1470">
        <v>872683815</v>
      </c>
      <c r="C1470" t="s">
        <v>692</v>
      </c>
      <c r="D1470" t="s">
        <v>692</v>
      </c>
      <c r="E1470" t="s">
        <v>65</v>
      </c>
      <c r="F1470" t="s">
        <v>93</v>
      </c>
      <c r="I1470" t="s">
        <v>39</v>
      </c>
      <c r="J1470" t="s">
        <v>40</v>
      </c>
      <c r="K1470" t="s">
        <v>41</v>
      </c>
      <c r="L1470" t="s">
        <v>406</v>
      </c>
      <c r="M1470" t="s">
        <v>73</v>
      </c>
      <c r="N1470" t="s">
        <v>43</v>
      </c>
      <c r="O1470" t="s">
        <v>315</v>
      </c>
      <c r="P1470">
        <v>209</v>
      </c>
      <c r="Q1470">
        <v>209</v>
      </c>
      <c r="R1470">
        <v>111</v>
      </c>
      <c r="S1470" t="s">
        <v>56</v>
      </c>
      <c r="T1470">
        <v>0.11</v>
      </c>
      <c r="U1470">
        <v>968</v>
      </c>
      <c r="V1470" t="s">
        <v>46</v>
      </c>
      <c r="W1470">
        <v>0.96699999999999997</v>
      </c>
      <c r="X1470">
        <v>23001</v>
      </c>
      <c r="Y1470" t="s">
        <v>47</v>
      </c>
      <c r="Z1470">
        <v>23</v>
      </c>
      <c r="AA1470">
        <v>521</v>
      </c>
      <c r="AB1470" t="s">
        <v>75</v>
      </c>
      <c r="AC1470">
        <v>0.52</v>
      </c>
      <c r="AD1470">
        <v>733</v>
      </c>
      <c r="AE1470" t="s">
        <v>48</v>
      </c>
      <c r="AF1470">
        <v>0.73199999999999998</v>
      </c>
      <c r="AG1470">
        <v>637</v>
      </c>
      <c r="AH1470" t="s">
        <v>49</v>
      </c>
      <c r="AI1470">
        <v>0.63600000000000001</v>
      </c>
      <c r="AJ1470" t="s">
        <v>1153</v>
      </c>
    </row>
    <row r="1471" spans="1:36" x14ac:dyDescent="0.25">
      <c r="A1471" t="s">
        <v>691</v>
      </c>
      <c r="B1471">
        <v>872683815</v>
      </c>
      <c r="C1471" t="s">
        <v>692</v>
      </c>
      <c r="D1471" t="s">
        <v>692</v>
      </c>
      <c r="E1471" t="s">
        <v>65</v>
      </c>
      <c r="F1471" t="s">
        <v>93</v>
      </c>
      <c r="I1471" t="s">
        <v>39</v>
      </c>
      <c r="J1471" t="s">
        <v>40</v>
      </c>
      <c r="K1471" t="s">
        <v>41</v>
      </c>
      <c r="L1471" t="s">
        <v>406</v>
      </c>
      <c r="M1471" t="s">
        <v>73</v>
      </c>
      <c r="N1471" t="s">
        <v>43</v>
      </c>
      <c r="O1471" t="s">
        <v>315</v>
      </c>
      <c r="P1471">
        <v>209</v>
      </c>
      <c r="Q1471">
        <v>209</v>
      </c>
      <c r="R1471">
        <v>111</v>
      </c>
      <c r="S1471" t="s">
        <v>56</v>
      </c>
      <c r="T1471">
        <v>0.11</v>
      </c>
      <c r="U1471">
        <v>968</v>
      </c>
      <c r="V1471" t="s">
        <v>46</v>
      </c>
      <c r="W1471">
        <v>0.96699999999999997</v>
      </c>
      <c r="X1471">
        <v>23001</v>
      </c>
      <c r="Y1471" t="s">
        <v>47</v>
      </c>
      <c r="Z1471">
        <v>23</v>
      </c>
      <c r="AA1471">
        <v>521</v>
      </c>
      <c r="AB1471" t="s">
        <v>75</v>
      </c>
      <c r="AC1471">
        <v>0.52</v>
      </c>
      <c r="AD1471">
        <v>733</v>
      </c>
      <c r="AE1471" t="s">
        <v>48</v>
      </c>
      <c r="AF1471">
        <v>0.73199999999999998</v>
      </c>
      <c r="AG1471">
        <v>637</v>
      </c>
      <c r="AH1471" t="s">
        <v>49</v>
      </c>
      <c r="AI1471">
        <v>0.63600000000000001</v>
      </c>
      <c r="AJ1471" t="s">
        <v>1154</v>
      </c>
    </row>
    <row r="1472" spans="1:36" x14ac:dyDescent="0.25">
      <c r="A1472" t="s">
        <v>691</v>
      </c>
      <c r="B1472">
        <v>872683815</v>
      </c>
      <c r="C1472" t="s">
        <v>692</v>
      </c>
      <c r="D1472" t="s">
        <v>692</v>
      </c>
      <c r="E1472" t="s">
        <v>65</v>
      </c>
      <c r="F1472" t="s">
        <v>93</v>
      </c>
      <c r="I1472" t="s">
        <v>39</v>
      </c>
      <c r="J1472" t="s">
        <v>40</v>
      </c>
      <c r="K1472" t="s">
        <v>41</v>
      </c>
      <c r="L1472" t="s">
        <v>406</v>
      </c>
      <c r="M1472" t="s">
        <v>73</v>
      </c>
      <c r="N1472" t="s">
        <v>43</v>
      </c>
      <c r="O1472" t="s">
        <v>315</v>
      </c>
      <c r="P1472">
        <v>209</v>
      </c>
      <c r="Q1472">
        <v>209</v>
      </c>
      <c r="S1472" t="s">
        <v>39</v>
      </c>
      <c r="V1472" t="s">
        <v>39</v>
      </c>
      <c r="X1472">
        <v>23001</v>
      </c>
      <c r="Y1472" t="s">
        <v>47</v>
      </c>
      <c r="Z1472">
        <v>23</v>
      </c>
      <c r="AA1472">
        <v>521</v>
      </c>
      <c r="AB1472" t="s">
        <v>75</v>
      </c>
      <c r="AC1472">
        <v>0.52</v>
      </c>
      <c r="AD1472">
        <v>733</v>
      </c>
      <c r="AE1472" t="s">
        <v>48</v>
      </c>
      <c r="AF1472">
        <v>0.73199999999999998</v>
      </c>
      <c r="AG1472">
        <v>637</v>
      </c>
      <c r="AH1472" t="s">
        <v>49</v>
      </c>
      <c r="AI1472">
        <v>0.63600000000000001</v>
      </c>
      <c r="AJ1472" t="s">
        <v>1155</v>
      </c>
    </row>
    <row r="1473" spans="1:36" x14ac:dyDescent="0.25">
      <c r="A1473" t="s">
        <v>693</v>
      </c>
      <c r="B1473">
        <v>856414883</v>
      </c>
      <c r="C1473" t="s">
        <v>694</v>
      </c>
      <c r="D1473" t="s">
        <v>694</v>
      </c>
      <c r="E1473" t="s">
        <v>65</v>
      </c>
      <c r="F1473" t="s">
        <v>166</v>
      </c>
      <c r="I1473" t="s">
        <v>39</v>
      </c>
      <c r="J1473" t="s">
        <v>40</v>
      </c>
      <c r="K1473" t="s">
        <v>41</v>
      </c>
      <c r="L1473" t="s">
        <v>118</v>
      </c>
      <c r="N1473" t="s">
        <v>43</v>
      </c>
      <c r="O1473" t="s">
        <v>84</v>
      </c>
      <c r="P1473">
        <v>209</v>
      </c>
      <c r="Q1473">
        <v>209</v>
      </c>
      <c r="R1473">
        <v>41</v>
      </c>
      <c r="S1473" t="s">
        <v>45</v>
      </c>
      <c r="T1473">
        <v>0.04</v>
      </c>
      <c r="U1473">
        <v>147</v>
      </c>
      <c r="V1473" t="s">
        <v>55</v>
      </c>
      <c r="W1473">
        <v>0.14599999999999999</v>
      </c>
      <c r="X1473">
        <v>21001</v>
      </c>
      <c r="Y1473" t="s">
        <v>47</v>
      </c>
      <c r="Z1473">
        <v>21</v>
      </c>
      <c r="AA1473">
        <v>415</v>
      </c>
      <c r="AB1473" t="s">
        <v>47</v>
      </c>
      <c r="AC1473">
        <v>0.41399999999999998</v>
      </c>
      <c r="AD1473">
        <v>623</v>
      </c>
      <c r="AE1473" t="s">
        <v>48</v>
      </c>
      <c r="AF1473">
        <v>0.622</v>
      </c>
      <c r="AG1473">
        <v>800</v>
      </c>
      <c r="AH1473" t="s">
        <v>49</v>
      </c>
      <c r="AI1473">
        <v>0.79900000000000004</v>
      </c>
      <c r="AJ1473" t="s">
        <v>50</v>
      </c>
    </row>
    <row r="1474" spans="1:36" x14ac:dyDescent="0.25">
      <c r="A1474" t="s">
        <v>693</v>
      </c>
      <c r="B1474">
        <v>856414883</v>
      </c>
      <c r="C1474" t="s">
        <v>694</v>
      </c>
      <c r="D1474" t="s">
        <v>694</v>
      </c>
      <c r="E1474" t="s">
        <v>65</v>
      </c>
      <c r="F1474" t="s">
        <v>166</v>
      </c>
      <c r="I1474" t="s">
        <v>39</v>
      </c>
      <c r="J1474" t="s">
        <v>40</v>
      </c>
      <c r="K1474" t="s">
        <v>41</v>
      </c>
      <c r="L1474" t="s">
        <v>118</v>
      </c>
      <c r="N1474" t="s">
        <v>43</v>
      </c>
      <c r="O1474" t="s">
        <v>84</v>
      </c>
      <c r="P1474">
        <v>209</v>
      </c>
      <c r="Q1474">
        <v>209</v>
      </c>
      <c r="R1474">
        <v>81</v>
      </c>
      <c r="S1474" t="s">
        <v>56</v>
      </c>
      <c r="T1474">
        <v>0.08</v>
      </c>
      <c r="U1474">
        <v>97</v>
      </c>
      <c r="V1474" t="s">
        <v>55</v>
      </c>
      <c r="W1474">
        <v>9.6000000000000002E-2</v>
      </c>
      <c r="X1474">
        <v>21001</v>
      </c>
      <c r="Y1474" t="s">
        <v>47</v>
      </c>
      <c r="Z1474">
        <v>21</v>
      </c>
      <c r="AA1474">
        <v>415</v>
      </c>
      <c r="AB1474" t="s">
        <v>47</v>
      </c>
      <c r="AC1474">
        <v>0.41399999999999998</v>
      </c>
      <c r="AD1474">
        <v>623</v>
      </c>
      <c r="AE1474" t="s">
        <v>48</v>
      </c>
      <c r="AF1474">
        <v>0.622</v>
      </c>
      <c r="AG1474">
        <v>800</v>
      </c>
      <c r="AH1474" t="s">
        <v>49</v>
      </c>
      <c r="AI1474">
        <v>0.79900000000000004</v>
      </c>
      <c r="AJ1474" t="s">
        <v>1141</v>
      </c>
    </row>
    <row r="1475" spans="1:36" x14ac:dyDescent="0.25">
      <c r="A1475" t="s">
        <v>693</v>
      </c>
      <c r="B1475">
        <v>856414883</v>
      </c>
      <c r="C1475" t="s">
        <v>694</v>
      </c>
      <c r="D1475" t="s">
        <v>694</v>
      </c>
      <c r="E1475" t="s">
        <v>65</v>
      </c>
      <c r="F1475" t="s">
        <v>166</v>
      </c>
      <c r="I1475" t="s">
        <v>39</v>
      </c>
      <c r="J1475" t="s">
        <v>40</v>
      </c>
      <c r="K1475" t="s">
        <v>41</v>
      </c>
      <c r="L1475" t="s">
        <v>118</v>
      </c>
      <c r="N1475" t="s">
        <v>43</v>
      </c>
      <c r="O1475" t="s">
        <v>84</v>
      </c>
      <c r="P1475">
        <v>209</v>
      </c>
      <c r="Q1475">
        <v>209</v>
      </c>
      <c r="R1475">
        <v>41</v>
      </c>
      <c r="S1475" t="s">
        <v>45</v>
      </c>
      <c r="T1475">
        <v>0.04</v>
      </c>
      <c r="U1475">
        <v>147</v>
      </c>
      <c r="V1475" t="s">
        <v>55</v>
      </c>
      <c r="W1475">
        <v>0.14599999999999999</v>
      </c>
      <c r="X1475">
        <v>21001</v>
      </c>
      <c r="Y1475" t="s">
        <v>47</v>
      </c>
      <c r="Z1475">
        <v>21</v>
      </c>
      <c r="AA1475">
        <v>415</v>
      </c>
      <c r="AB1475" t="s">
        <v>47</v>
      </c>
      <c r="AC1475">
        <v>0.41399999999999998</v>
      </c>
      <c r="AD1475">
        <v>623</v>
      </c>
      <c r="AE1475" t="s">
        <v>48</v>
      </c>
      <c r="AF1475">
        <v>0.622</v>
      </c>
      <c r="AG1475">
        <v>800</v>
      </c>
      <c r="AH1475" t="s">
        <v>49</v>
      </c>
      <c r="AI1475">
        <v>0.79900000000000004</v>
      </c>
      <c r="AJ1475" t="s">
        <v>1153</v>
      </c>
    </row>
    <row r="1476" spans="1:36" x14ac:dyDescent="0.25">
      <c r="A1476" t="s">
        <v>693</v>
      </c>
      <c r="B1476">
        <v>856414883</v>
      </c>
      <c r="C1476" t="s">
        <v>694</v>
      </c>
      <c r="D1476" t="s">
        <v>694</v>
      </c>
      <c r="E1476" t="s">
        <v>65</v>
      </c>
      <c r="F1476" t="s">
        <v>166</v>
      </c>
      <c r="I1476" t="s">
        <v>39</v>
      </c>
      <c r="J1476" t="s">
        <v>40</v>
      </c>
      <c r="K1476" t="s">
        <v>41</v>
      </c>
      <c r="L1476" t="s">
        <v>118</v>
      </c>
      <c r="N1476" t="s">
        <v>43</v>
      </c>
      <c r="O1476" t="s">
        <v>84</v>
      </c>
      <c r="P1476">
        <v>209</v>
      </c>
      <c r="Q1476">
        <v>209</v>
      </c>
      <c r="R1476">
        <v>41</v>
      </c>
      <c r="S1476" t="s">
        <v>45</v>
      </c>
      <c r="T1476">
        <v>0.04</v>
      </c>
      <c r="U1476">
        <v>147</v>
      </c>
      <c r="V1476" t="s">
        <v>55</v>
      </c>
      <c r="W1476">
        <v>0.14599999999999999</v>
      </c>
      <c r="X1476">
        <v>21001</v>
      </c>
      <c r="Y1476" t="s">
        <v>47</v>
      </c>
      <c r="Z1476">
        <v>21</v>
      </c>
      <c r="AA1476">
        <v>415</v>
      </c>
      <c r="AB1476" t="s">
        <v>47</v>
      </c>
      <c r="AC1476">
        <v>0.41399999999999998</v>
      </c>
      <c r="AD1476">
        <v>623</v>
      </c>
      <c r="AE1476" t="s">
        <v>48</v>
      </c>
      <c r="AF1476">
        <v>0.622</v>
      </c>
      <c r="AG1476">
        <v>800</v>
      </c>
      <c r="AH1476" t="s">
        <v>49</v>
      </c>
      <c r="AI1476">
        <v>0.79900000000000004</v>
      </c>
      <c r="AJ1476" t="s">
        <v>1154</v>
      </c>
    </row>
    <row r="1477" spans="1:36" x14ac:dyDescent="0.25">
      <c r="A1477" t="s">
        <v>693</v>
      </c>
      <c r="B1477">
        <v>856414883</v>
      </c>
      <c r="C1477" t="s">
        <v>694</v>
      </c>
      <c r="D1477" t="s">
        <v>694</v>
      </c>
      <c r="E1477" t="s">
        <v>65</v>
      </c>
      <c r="F1477" t="s">
        <v>166</v>
      </c>
      <c r="I1477" t="s">
        <v>39</v>
      </c>
      <c r="J1477" t="s">
        <v>40</v>
      </c>
      <c r="K1477" t="s">
        <v>41</v>
      </c>
      <c r="L1477" t="s">
        <v>118</v>
      </c>
      <c r="N1477" t="s">
        <v>43</v>
      </c>
      <c r="O1477" t="s">
        <v>84</v>
      </c>
      <c r="P1477">
        <v>209</v>
      </c>
      <c r="Q1477">
        <v>209</v>
      </c>
      <c r="S1477" t="s">
        <v>39</v>
      </c>
      <c r="V1477" t="s">
        <v>39</v>
      </c>
      <c r="X1477">
        <v>21001</v>
      </c>
      <c r="Y1477" t="s">
        <v>47</v>
      </c>
      <c r="Z1477">
        <v>21</v>
      </c>
      <c r="AA1477">
        <v>415</v>
      </c>
      <c r="AB1477" t="s">
        <v>47</v>
      </c>
      <c r="AC1477">
        <v>0.41399999999999998</v>
      </c>
      <c r="AD1477">
        <v>623</v>
      </c>
      <c r="AE1477" t="s">
        <v>48</v>
      </c>
      <c r="AF1477">
        <v>0.622</v>
      </c>
      <c r="AG1477">
        <v>800</v>
      </c>
      <c r="AH1477" t="s">
        <v>49</v>
      </c>
      <c r="AI1477">
        <v>0.79900000000000004</v>
      </c>
      <c r="AJ1477" t="s">
        <v>1155</v>
      </c>
    </row>
    <row r="1478" spans="1:36" x14ac:dyDescent="0.25">
      <c r="A1478" t="s">
        <v>147</v>
      </c>
      <c r="B1478">
        <v>851900399</v>
      </c>
      <c r="C1478" t="s">
        <v>148</v>
      </c>
      <c r="D1478" t="s">
        <v>148</v>
      </c>
      <c r="E1478" t="s">
        <v>60</v>
      </c>
      <c r="F1478" t="s">
        <v>61</v>
      </c>
      <c r="I1478" t="s">
        <v>39</v>
      </c>
      <c r="J1478" t="s">
        <v>40</v>
      </c>
      <c r="K1478" t="s">
        <v>41</v>
      </c>
      <c r="L1478" t="s">
        <v>42</v>
      </c>
      <c r="N1478" t="s">
        <v>43</v>
      </c>
      <c r="O1478" t="s">
        <v>62</v>
      </c>
      <c r="P1478">
        <v>210</v>
      </c>
      <c r="Q1478">
        <v>210</v>
      </c>
      <c r="S1478" t="s">
        <v>39</v>
      </c>
      <c r="V1478" t="s">
        <v>39</v>
      </c>
      <c r="X1478">
        <v>1</v>
      </c>
      <c r="Y1478" t="s">
        <v>47</v>
      </c>
      <c r="Z1478">
        <v>0</v>
      </c>
      <c r="AA1478">
        <v>131</v>
      </c>
      <c r="AB1478" t="s">
        <v>47</v>
      </c>
      <c r="AC1478">
        <v>0.13</v>
      </c>
      <c r="AD1478">
        <v>147</v>
      </c>
      <c r="AE1478" t="s">
        <v>56</v>
      </c>
      <c r="AF1478">
        <v>0.14599999999999999</v>
      </c>
      <c r="AG1478">
        <v>17</v>
      </c>
      <c r="AH1478" t="s">
        <v>103</v>
      </c>
      <c r="AI1478">
        <v>1.6E-2</v>
      </c>
      <c r="AJ1478" t="s">
        <v>1156</v>
      </c>
    </row>
    <row r="1479" spans="1:36" x14ac:dyDescent="0.25">
      <c r="A1479" t="s">
        <v>144</v>
      </c>
      <c r="B1479">
        <v>881456626</v>
      </c>
      <c r="C1479" t="s">
        <v>145</v>
      </c>
      <c r="D1479" t="s">
        <v>145</v>
      </c>
      <c r="E1479" t="s">
        <v>65</v>
      </c>
      <c r="F1479" t="s">
        <v>66</v>
      </c>
      <c r="I1479" t="s">
        <v>39</v>
      </c>
      <c r="J1479" t="s">
        <v>40</v>
      </c>
      <c r="K1479" t="s">
        <v>41</v>
      </c>
      <c r="L1479" t="s">
        <v>42</v>
      </c>
      <c r="N1479" t="s">
        <v>43</v>
      </c>
      <c r="O1479" t="s">
        <v>146</v>
      </c>
      <c r="P1479">
        <v>210</v>
      </c>
      <c r="Q1479">
        <v>210</v>
      </c>
      <c r="S1479" t="s">
        <v>39</v>
      </c>
      <c r="V1479" t="s">
        <v>39</v>
      </c>
      <c r="X1479">
        <v>4001</v>
      </c>
      <c r="Y1479" t="s">
        <v>47</v>
      </c>
      <c r="Z1479">
        <v>4</v>
      </c>
      <c r="AA1479">
        <v>256</v>
      </c>
      <c r="AB1479" t="s">
        <v>47</v>
      </c>
      <c r="AC1479">
        <v>0.255</v>
      </c>
      <c r="AD1479">
        <v>299</v>
      </c>
      <c r="AE1479" t="s">
        <v>56</v>
      </c>
      <c r="AF1479">
        <v>0.29799999999999999</v>
      </c>
      <c r="AG1479">
        <v>189</v>
      </c>
      <c r="AH1479" t="s">
        <v>103</v>
      </c>
      <c r="AI1479">
        <v>0.188</v>
      </c>
      <c r="AJ1479" t="s">
        <v>1156</v>
      </c>
    </row>
    <row r="1480" spans="1:36" x14ac:dyDescent="0.25">
      <c r="A1480" t="s">
        <v>686</v>
      </c>
      <c r="B1480">
        <v>863812304</v>
      </c>
      <c r="C1480" t="s">
        <v>687</v>
      </c>
      <c r="D1480" t="s">
        <v>687</v>
      </c>
      <c r="E1480" t="s">
        <v>99</v>
      </c>
      <c r="F1480" t="s">
        <v>143</v>
      </c>
      <c r="I1480" t="s">
        <v>39</v>
      </c>
      <c r="J1480" t="s">
        <v>40</v>
      </c>
      <c r="K1480" t="s">
        <v>41</v>
      </c>
      <c r="L1480" t="s">
        <v>78</v>
      </c>
      <c r="N1480" t="s">
        <v>43</v>
      </c>
      <c r="O1480" t="s">
        <v>434</v>
      </c>
      <c r="P1480">
        <v>211</v>
      </c>
      <c r="Q1480">
        <v>211</v>
      </c>
      <c r="R1480">
        <v>41</v>
      </c>
      <c r="S1480" t="s">
        <v>45</v>
      </c>
      <c r="T1480">
        <v>0.04</v>
      </c>
      <c r="U1480">
        <v>901</v>
      </c>
      <c r="V1480" t="s">
        <v>113</v>
      </c>
      <c r="W1480">
        <v>0.9</v>
      </c>
      <c r="X1480">
        <v>23001</v>
      </c>
      <c r="Y1480" t="s">
        <v>47</v>
      </c>
      <c r="Z1480">
        <v>23</v>
      </c>
      <c r="AA1480">
        <v>519</v>
      </c>
      <c r="AB1480" t="s">
        <v>75</v>
      </c>
      <c r="AC1480">
        <v>0.51800000000000002</v>
      </c>
      <c r="AD1480">
        <v>609</v>
      </c>
      <c r="AE1480" t="s">
        <v>48</v>
      </c>
      <c r="AF1480">
        <v>0.60799999999999998</v>
      </c>
      <c r="AG1480">
        <v>783</v>
      </c>
      <c r="AH1480" t="s">
        <v>49</v>
      </c>
      <c r="AI1480">
        <v>0.78200000000000003</v>
      </c>
      <c r="AJ1480" t="s">
        <v>50</v>
      </c>
    </row>
    <row r="1481" spans="1:36" x14ac:dyDescent="0.25">
      <c r="A1481" t="s">
        <v>686</v>
      </c>
      <c r="B1481">
        <v>863812304</v>
      </c>
      <c r="C1481" t="s">
        <v>687</v>
      </c>
      <c r="D1481" t="s">
        <v>687</v>
      </c>
      <c r="E1481" t="s">
        <v>99</v>
      </c>
      <c r="F1481" t="s">
        <v>143</v>
      </c>
      <c r="I1481" t="s">
        <v>39</v>
      </c>
      <c r="J1481" t="s">
        <v>40</v>
      </c>
      <c r="K1481" t="s">
        <v>41</v>
      </c>
      <c r="L1481" t="s">
        <v>78</v>
      </c>
      <c r="N1481" t="s">
        <v>43</v>
      </c>
      <c r="O1481" t="s">
        <v>434</v>
      </c>
      <c r="P1481">
        <v>211</v>
      </c>
      <c r="Q1481">
        <v>211</v>
      </c>
      <c r="R1481">
        <v>51</v>
      </c>
      <c r="S1481" t="s">
        <v>56</v>
      </c>
      <c r="T1481">
        <v>0.05</v>
      </c>
      <c r="U1481">
        <v>817</v>
      </c>
      <c r="V1481" t="s">
        <v>113</v>
      </c>
      <c r="W1481">
        <v>0.81599999999999995</v>
      </c>
      <c r="X1481">
        <v>23001</v>
      </c>
      <c r="Y1481" t="s">
        <v>47</v>
      </c>
      <c r="Z1481">
        <v>23</v>
      </c>
      <c r="AA1481">
        <v>519</v>
      </c>
      <c r="AB1481" t="s">
        <v>75</v>
      </c>
      <c r="AC1481">
        <v>0.51800000000000002</v>
      </c>
      <c r="AD1481">
        <v>609</v>
      </c>
      <c r="AE1481" t="s">
        <v>48</v>
      </c>
      <c r="AF1481">
        <v>0.60799999999999998</v>
      </c>
      <c r="AG1481">
        <v>783</v>
      </c>
      <c r="AH1481" t="s">
        <v>49</v>
      </c>
      <c r="AI1481">
        <v>0.78200000000000003</v>
      </c>
      <c r="AJ1481" t="s">
        <v>1141</v>
      </c>
    </row>
    <row r="1482" spans="1:36" x14ac:dyDescent="0.25">
      <c r="A1482" t="s">
        <v>686</v>
      </c>
      <c r="B1482">
        <v>863812304</v>
      </c>
      <c r="C1482" t="s">
        <v>687</v>
      </c>
      <c r="D1482" t="s">
        <v>687</v>
      </c>
      <c r="E1482" t="s">
        <v>99</v>
      </c>
      <c r="F1482" t="s">
        <v>143</v>
      </c>
      <c r="I1482" t="s">
        <v>39</v>
      </c>
      <c r="J1482" t="s">
        <v>40</v>
      </c>
      <c r="K1482" t="s">
        <v>41</v>
      </c>
      <c r="L1482" t="s">
        <v>78</v>
      </c>
      <c r="N1482" t="s">
        <v>43</v>
      </c>
      <c r="O1482" t="s">
        <v>434</v>
      </c>
      <c r="P1482">
        <v>211</v>
      </c>
      <c r="Q1482">
        <v>211</v>
      </c>
      <c r="R1482">
        <v>41</v>
      </c>
      <c r="S1482" t="s">
        <v>45</v>
      </c>
      <c r="T1482">
        <v>0.04</v>
      </c>
      <c r="U1482">
        <v>901</v>
      </c>
      <c r="V1482" t="s">
        <v>113</v>
      </c>
      <c r="W1482">
        <v>0.9</v>
      </c>
      <c r="X1482">
        <v>23001</v>
      </c>
      <c r="Y1482" t="s">
        <v>47</v>
      </c>
      <c r="Z1482">
        <v>23</v>
      </c>
      <c r="AA1482">
        <v>519</v>
      </c>
      <c r="AB1482" t="s">
        <v>75</v>
      </c>
      <c r="AC1482">
        <v>0.51800000000000002</v>
      </c>
      <c r="AD1482">
        <v>609</v>
      </c>
      <c r="AE1482" t="s">
        <v>48</v>
      </c>
      <c r="AF1482">
        <v>0.60799999999999998</v>
      </c>
      <c r="AG1482">
        <v>783</v>
      </c>
      <c r="AH1482" t="s">
        <v>49</v>
      </c>
      <c r="AI1482">
        <v>0.78200000000000003</v>
      </c>
      <c r="AJ1482" t="s">
        <v>1153</v>
      </c>
    </row>
    <row r="1483" spans="1:36" x14ac:dyDescent="0.25">
      <c r="A1483" t="s">
        <v>686</v>
      </c>
      <c r="B1483">
        <v>863812304</v>
      </c>
      <c r="C1483" t="s">
        <v>687</v>
      </c>
      <c r="D1483" t="s">
        <v>687</v>
      </c>
      <c r="E1483" t="s">
        <v>99</v>
      </c>
      <c r="F1483" t="s">
        <v>143</v>
      </c>
      <c r="I1483" t="s">
        <v>39</v>
      </c>
      <c r="J1483" t="s">
        <v>40</v>
      </c>
      <c r="K1483" t="s">
        <v>41</v>
      </c>
      <c r="L1483" t="s">
        <v>78</v>
      </c>
      <c r="N1483" t="s">
        <v>43</v>
      </c>
      <c r="O1483" t="s">
        <v>434</v>
      </c>
      <c r="P1483">
        <v>211</v>
      </c>
      <c r="Q1483">
        <v>211</v>
      </c>
      <c r="R1483">
        <v>41</v>
      </c>
      <c r="S1483" t="s">
        <v>45</v>
      </c>
      <c r="T1483">
        <v>0.04</v>
      </c>
      <c r="U1483">
        <v>901</v>
      </c>
      <c r="V1483" t="s">
        <v>113</v>
      </c>
      <c r="W1483">
        <v>0.9</v>
      </c>
      <c r="X1483">
        <v>23001</v>
      </c>
      <c r="Y1483" t="s">
        <v>47</v>
      </c>
      <c r="Z1483">
        <v>23</v>
      </c>
      <c r="AA1483">
        <v>519</v>
      </c>
      <c r="AB1483" t="s">
        <v>75</v>
      </c>
      <c r="AC1483">
        <v>0.51800000000000002</v>
      </c>
      <c r="AD1483">
        <v>609</v>
      </c>
      <c r="AE1483" t="s">
        <v>48</v>
      </c>
      <c r="AF1483">
        <v>0.60799999999999998</v>
      </c>
      <c r="AG1483">
        <v>783</v>
      </c>
      <c r="AH1483" t="s">
        <v>49</v>
      </c>
      <c r="AI1483">
        <v>0.78200000000000003</v>
      </c>
      <c r="AJ1483" t="s">
        <v>1154</v>
      </c>
    </row>
    <row r="1484" spans="1:36" x14ac:dyDescent="0.25">
      <c r="A1484" t="s">
        <v>686</v>
      </c>
      <c r="B1484">
        <v>863812304</v>
      </c>
      <c r="C1484" t="s">
        <v>687</v>
      </c>
      <c r="D1484" t="s">
        <v>687</v>
      </c>
      <c r="E1484" t="s">
        <v>99</v>
      </c>
      <c r="F1484" t="s">
        <v>143</v>
      </c>
      <c r="I1484" t="s">
        <v>39</v>
      </c>
      <c r="J1484" t="s">
        <v>40</v>
      </c>
      <c r="K1484" t="s">
        <v>41</v>
      </c>
      <c r="L1484" t="s">
        <v>78</v>
      </c>
      <c r="N1484" t="s">
        <v>43</v>
      </c>
      <c r="O1484" t="s">
        <v>434</v>
      </c>
      <c r="P1484">
        <v>211</v>
      </c>
      <c r="Q1484">
        <v>211</v>
      </c>
      <c r="S1484" t="s">
        <v>39</v>
      </c>
      <c r="V1484" t="s">
        <v>39</v>
      </c>
      <c r="X1484">
        <v>23001</v>
      </c>
      <c r="Y1484" t="s">
        <v>47</v>
      </c>
      <c r="Z1484">
        <v>23</v>
      </c>
      <c r="AA1484">
        <v>519</v>
      </c>
      <c r="AB1484" t="s">
        <v>75</v>
      </c>
      <c r="AC1484">
        <v>0.51800000000000002</v>
      </c>
      <c r="AD1484">
        <v>609</v>
      </c>
      <c r="AE1484" t="s">
        <v>48</v>
      </c>
      <c r="AF1484">
        <v>0.60799999999999998</v>
      </c>
      <c r="AG1484">
        <v>783</v>
      </c>
      <c r="AH1484" t="s">
        <v>49</v>
      </c>
      <c r="AI1484">
        <v>0.78200000000000003</v>
      </c>
      <c r="AJ1484" t="s">
        <v>1155</v>
      </c>
    </row>
    <row r="1485" spans="1:36" x14ac:dyDescent="0.25">
      <c r="A1485" t="s">
        <v>688</v>
      </c>
      <c r="B1485">
        <v>856508557</v>
      </c>
      <c r="C1485" t="s">
        <v>689</v>
      </c>
      <c r="D1485" t="s">
        <v>689</v>
      </c>
      <c r="E1485" t="s">
        <v>65</v>
      </c>
      <c r="F1485" t="s">
        <v>93</v>
      </c>
      <c r="I1485" t="s">
        <v>39</v>
      </c>
      <c r="J1485" t="s">
        <v>40</v>
      </c>
      <c r="K1485" t="s">
        <v>41</v>
      </c>
      <c r="L1485" t="s">
        <v>72</v>
      </c>
      <c r="M1485" t="s">
        <v>47</v>
      </c>
      <c r="N1485" t="s">
        <v>43</v>
      </c>
      <c r="O1485" t="s">
        <v>690</v>
      </c>
      <c r="P1485">
        <v>211</v>
      </c>
      <c r="Q1485">
        <v>211</v>
      </c>
      <c r="R1485">
        <v>11</v>
      </c>
      <c r="S1485" t="s">
        <v>45</v>
      </c>
      <c r="T1485">
        <v>0.01</v>
      </c>
      <c r="U1485">
        <v>999</v>
      </c>
      <c r="V1485" t="s">
        <v>46</v>
      </c>
      <c r="W1485">
        <v>0.998</v>
      </c>
      <c r="X1485">
        <v>25001</v>
      </c>
      <c r="Y1485" t="s">
        <v>47</v>
      </c>
      <c r="Z1485">
        <v>25</v>
      </c>
      <c r="AA1485">
        <v>552</v>
      </c>
      <c r="AB1485" t="s">
        <v>75</v>
      </c>
      <c r="AC1485">
        <v>0.55100000000000005</v>
      </c>
      <c r="AD1485">
        <v>749</v>
      </c>
      <c r="AE1485" t="s">
        <v>48</v>
      </c>
      <c r="AF1485">
        <v>0.748</v>
      </c>
      <c r="AG1485">
        <v>833</v>
      </c>
      <c r="AH1485" t="s">
        <v>49</v>
      </c>
      <c r="AI1485">
        <v>0.83199999999999996</v>
      </c>
      <c r="AJ1485" t="s">
        <v>50</v>
      </c>
    </row>
    <row r="1486" spans="1:36" x14ac:dyDescent="0.25">
      <c r="A1486" t="s">
        <v>688</v>
      </c>
      <c r="B1486">
        <v>856508557</v>
      </c>
      <c r="C1486" t="s">
        <v>689</v>
      </c>
      <c r="D1486" t="s">
        <v>689</v>
      </c>
      <c r="E1486" t="s">
        <v>65</v>
      </c>
      <c r="F1486" t="s">
        <v>93</v>
      </c>
      <c r="I1486" t="s">
        <v>39</v>
      </c>
      <c r="J1486" t="s">
        <v>40</v>
      </c>
      <c r="K1486" t="s">
        <v>41</v>
      </c>
      <c r="L1486" t="s">
        <v>72</v>
      </c>
      <c r="M1486" t="s">
        <v>47</v>
      </c>
      <c r="N1486" t="s">
        <v>43</v>
      </c>
      <c r="O1486" t="s">
        <v>690</v>
      </c>
      <c r="P1486">
        <v>211</v>
      </c>
      <c r="Q1486">
        <v>211</v>
      </c>
      <c r="R1486">
        <v>31</v>
      </c>
      <c r="S1486" t="s">
        <v>45</v>
      </c>
      <c r="T1486">
        <v>0.03</v>
      </c>
      <c r="U1486">
        <v>998</v>
      </c>
      <c r="V1486" t="s">
        <v>46</v>
      </c>
      <c r="W1486">
        <v>0.997</v>
      </c>
      <c r="X1486">
        <v>25001</v>
      </c>
      <c r="Y1486" t="s">
        <v>47</v>
      </c>
      <c r="Z1486">
        <v>25</v>
      </c>
      <c r="AA1486">
        <v>552</v>
      </c>
      <c r="AB1486" t="s">
        <v>75</v>
      </c>
      <c r="AC1486">
        <v>0.55100000000000005</v>
      </c>
      <c r="AD1486">
        <v>749</v>
      </c>
      <c r="AE1486" t="s">
        <v>48</v>
      </c>
      <c r="AF1486">
        <v>0.748</v>
      </c>
      <c r="AG1486">
        <v>833</v>
      </c>
      <c r="AH1486" t="s">
        <v>49</v>
      </c>
      <c r="AI1486">
        <v>0.83199999999999996</v>
      </c>
      <c r="AJ1486" t="s">
        <v>1141</v>
      </c>
    </row>
    <row r="1487" spans="1:36" x14ac:dyDescent="0.25">
      <c r="A1487" t="s">
        <v>688</v>
      </c>
      <c r="B1487">
        <v>856508557</v>
      </c>
      <c r="C1487" t="s">
        <v>689</v>
      </c>
      <c r="D1487" t="s">
        <v>689</v>
      </c>
      <c r="E1487" t="s">
        <v>65</v>
      </c>
      <c r="F1487" t="s">
        <v>93</v>
      </c>
      <c r="I1487" t="s">
        <v>39</v>
      </c>
      <c r="J1487" t="s">
        <v>40</v>
      </c>
      <c r="K1487" t="s">
        <v>41</v>
      </c>
      <c r="L1487" t="s">
        <v>72</v>
      </c>
      <c r="M1487" t="s">
        <v>47</v>
      </c>
      <c r="N1487" t="s">
        <v>43</v>
      </c>
      <c r="O1487" t="s">
        <v>690</v>
      </c>
      <c r="P1487">
        <v>211</v>
      </c>
      <c r="Q1487">
        <v>211</v>
      </c>
      <c r="R1487">
        <v>11</v>
      </c>
      <c r="S1487" t="s">
        <v>45</v>
      </c>
      <c r="T1487">
        <v>0.01</v>
      </c>
      <c r="U1487">
        <v>999</v>
      </c>
      <c r="V1487" t="s">
        <v>46</v>
      </c>
      <c r="W1487">
        <v>0.998</v>
      </c>
      <c r="X1487">
        <v>25001</v>
      </c>
      <c r="Y1487" t="s">
        <v>47</v>
      </c>
      <c r="Z1487">
        <v>25</v>
      </c>
      <c r="AA1487">
        <v>552</v>
      </c>
      <c r="AB1487" t="s">
        <v>75</v>
      </c>
      <c r="AC1487">
        <v>0.55100000000000005</v>
      </c>
      <c r="AD1487">
        <v>749</v>
      </c>
      <c r="AE1487" t="s">
        <v>48</v>
      </c>
      <c r="AF1487">
        <v>0.748</v>
      </c>
      <c r="AG1487">
        <v>833</v>
      </c>
      <c r="AH1487" t="s">
        <v>49</v>
      </c>
      <c r="AI1487">
        <v>0.83199999999999996</v>
      </c>
      <c r="AJ1487" t="s">
        <v>1153</v>
      </c>
    </row>
    <row r="1488" spans="1:36" x14ac:dyDescent="0.25">
      <c r="A1488" t="s">
        <v>688</v>
      </c>
      <c r="B1488">
        <v>856508557</v>
      </c>
      <c r="C1488" t="s">
        <v>689</v>
      </c>
      <c r="D1488" t="s">
        <v>689</v>
      </c>
      <c r="E1488" t="s">
        <v>65</v>
      </c>
      <c r="F1488" t="s">
        <v>93</v>
      </c>
      <c r="I1488" t="s">
        <v>39</v>
      </c>
      <c r="J1488" t="s">
        <v>40</v>
      </c>
      <c r="K1488" t="s">
        <v>41</v>
      </c>
      <c r="L1488" t="s">
        <v>72</v>
      </c>
      <c r="M1488" t="s">
        <v>47</v>
      </c>
      <c r="N1488" t="s">
        <v>43</v>
      </c>
      <c r="O1488" t="s">
        <v>690</v>
      </c>
      <c r="P1488">
        <v>211</v>
      </c>
      <c r="Q1488">
        <v>211</v>
      </c>
      <c r="R1488">
        <v>11</v>
      </c>
      <c r="S1488" t="s">
        <v>45</v>
      </c>
      <c r="T1488">
        <v>0.01</v>
      </c>
      <c r="U1488">
        <v>999</v>
      </c>
      <c r="V1488" t="s">
        <v>46</v>
      </c>
      <c r="W1488">
        <v>0.998</v>
      </c>
      <c r="X1488">
        <v>25001</v>
      </c>
      <c r="Y1488" t="s">
        <v>47</v>
      </c>
      <c r="Z1488">
        <v>25</v>
      </c>
      <c r="AA1488">
        <v>552</v>
      </c>
      <c r="AB1488" t="s">
        <v>75</v>
      </c>
      <c r="AC1488">
        <v>0.55100000000000005</v>
      </c>
      <c r="AD1488">
        <v>749</v>
      </c>
      <c r="AE1488" t="s">
        <v>48</v>
      </c>
      <c r="AF1488">
        <v>0.748</v>
      </c>
      <c r="AG1488">
        <v>833</v>
      </c>
      <c r="AH1488" t="s">
        <v>49</v>
      </c>
      <c r="AI1488">
        <v>0.83199999999999996</v>
      </c>
      <c r="AJ1488" t="s">
        <v>1154</v>
      </c>
    </row>
    <row r="1489" spans="1:36" x14ac:dyDescent="0.25">
      <c r="A1489" t="s">
        <v>688</v>
      </c>
      <c r="B1489">
        <v>856508557</v>
      </c>
      <c r="C1489" t="s">
        <v>689</v>
      </c>
      <c r="D1489" t="s">
        <v>689</v>
      </c>
      <c r="E1489" t="s">
        <v>65</v>
      </c>
      <c r="F1489" t="s">
        <v>93</v>
      </c>
      <c r="I1489" t="s">
        <v>39</v>
      </c>
      <c r="J1489" t="s">
        <v>40</v>
      </c>
      <c r="K1489" t="s">
        <v>41</v>
      </c>
      <c r="L1489" t="s">
        <v>72</v>
      </c>
      <c r="M1489" t="s">
        <v>47</v>
      </c>
      <c r="N1489" t="s">
        <v>43</v>
      </c>
      <c r="O1489" t="s">
        <v>690</v>
      </c>
      <c r="P1489">
        <v>211</v>
      </c>
      <c r="Q1489">
        <v>211</v>
      </c>
      <c r="S1489" t="s">
        <v>39</v>
      </c>
      <c r="V1489" t="s">
        <v>39</v>
      </c>
      <c r="X1489">
        <v>25001</v>
      </c>
      <c r="Y1489" t="s">
        <v>47</v>
      </c>
      <c r="Z1489">
        <v>25</v>
      </c>
      <c r="AA1489">
        <v>552</v>
      </c>
      <c r="AB1489" t="s">
        <v>75</v>
      </c>
      <c r="AC1489">
        <v>0.55100000000000005</v>
      </c>
      <c r="AD1489">
        <v>749</v>
      </c>
      <c r="AE1489" t="s">
        <v>48</v>
      </c>
      <c r="AF1489">
        <v>0.748</v>
      </c>
      <c r="AG1489">
        <v>833</v>
      </c>
      <c r="AH1489" t="s">
        <v>49</v>
      </c>
      <c r="AI1489">
        <v>0.83199999999999996</v>
      </c>
      <c r="AJ1489" t="s">
        <v>1155</v>
      </c>
    </row>
    <row r="1490" spans="1:36" x14ac:dyDescent="0.25">
      <c r="A1490" t="s">
        <v>141</v>
      </c>
      <c r="B1490">
        <v>865700496</v>
      </c>
      <c r="C1490" t="s">
        <v>142</v>
      </c>
      <c r="D1490" t="s">
        <v>142</v>
      </c>
      <c r="E1490" t="s">
        <v>99</v>
      </c>
      <c r="F1490" t="s">
        <v>143</v>
      </c>
      <c r="I1490" t="s">
        <v>39</v>
      </c>
      <c r="J1490" t="s">
        <v>40</v>
      </c>
      <c r="K1490" t="s">
        <v>41</v>
      </c>
      <c r="L1490" t="s">
        <v>42</v>
      </c>
      <c r="N1490" t="s">
        <v>43</v>
      </c>
      <c r="O1490" t="s">
        <v>38</v>
      </c>
      <c r="P1490">
        <v>212</v>
      </c>
      <c r="Q1490">
        <v>212</v>
      </c>
      <c r="S1490" t="s">
        <v>39</v>
      </c>
      <c r="V1490" t="s">
        <v>39</v>
      </c>
      <c r="X1490">
        <v>16001</v>
      </c>
      <c r="Y1490" t="s">
        <v>47</v>
      </c>
      <c r="Z1490">
        <v>16</v>
      </c>
      <c r="AA1490">
        <v>322</v>
      </c>
      <c r="AB1490" t="s">
        <v>47</v>
      </c>
      <c r="AC1490">
        <v>0.32100000000000001</v>
      </c>
      <c r="AD1490">
        <v>584</v>
      </c>
      <c r="AE1490" t="s">
        <v>48</v>
      </c>
      <c r="AF1490">
        <v>0.58299999999999996</v>
      </c>
      <c r="AG1490">
        <v>833</v>
      </c>
      <c r="AH1490" t="s">
        <v>49</v>
      </c>
      <c r="AI1490">
        <v>0.83199999999999996</v>
      </c>
      <c r="AJ1490" t="s">
        <v>1156</v>
      </c>
    </row>
    <row r="1491" spans="1:36" x14ac:dyDescent="0.25">
      <c r="A1491" t="s">
        <v>682</v>
      </c>
      <c r="B1491">
        <v>866210565</v>
      </c>
      <c r="C1491" t="s">
        <v>683</v>
      </c>
      <c r="D1491" t="s">
        <v>683</v>
      </c>
      <c r="E1491" t="s">
        <v>99</v>
      </c>
      <c r="F1491" t="s">
        <v>214</v>
      </c>
      <c r="I1491" t="s">
        <v>39</v>
      </c>
      <c r="J1491" t="s">
        <v>40</v>
      </c>
      <c r="K1491" t="s">
        <v>41</v>
      </c>
      <c r="L1491" t="s">
        <v>78</v>
      </c>
      <c r="N1491" t="s">
        <v>43</v>
      </c>
      <c r="O1491" t="s">
        <v>490</v>
      </c>
      <c r="P1491">
        <v>212</v>
      </c>
      <c r="Q1491">
        <v>212</v>
      </c>
      <c r="R1491">
        <v>1</v>
      </c>
      <c r="S1491" t="s">
        <v>45</v>
      </c>
      <c r="T1491">
        <v>0</v>
      </c>
      <c r="U1491">
        <v>1001</v>
      </c>
      <c r="V1491" t="s">
        <v>46</v>
      </c>
      <c r="W1491">
        <v>1</v>
      </c>
      <c r="X1491">
        <v>26001</v>
      </c>
      <c r="Y1491" t="s">
        <v>47</v>
      </c>
      <c r="Z1491">
        <v>26</v>
      </c>
      <c r="AA1491">
        <v>759</v>
      </c>
      <c r="AB1491" t="s">
        <v>75</v>
      </c>
      <c r="AC1491">
        <v>0.75800000000000001</v>
      </c>
      <c r="AD1491">
        <v>844</v>
      </c>
      <c r="AE1491" t="s">
        <v>48</v>
      </c>
      <c r="AF1491">
        <v>0.84299999999999997</v>
      </c>
      <c r="AG1491">
        <v>976</v>
      </c>
      <c r="AH1491" t="s">
        <v>80</v>
      </c>
      <c r="AI1491">
        <v>0.97499999999999998</v>
      </c>
      <c r="AJ1491" t="s">
        <v>50</v>
      </c>
    </row>
    <row r="1492" spans="1:36" x14ac:dyDescent="0.25">
      <c r="A1492" t="s">
        <v>682</v>
      </c>
      <c r="B1492">
        <v>866210565</v>
      </c>
      <c r="C1492" t="s">
        <v>683</v>
      </c>
      <c r="D1492" t="s">
        <v>683</v>
      </c>
      <c r="E1492" t="s">
        <v>65</v>
      </c>
      <c r="F1492" t="s">
        <v>214</v>
      </c>
      <c r="I1492" t="s">
        <v>39</v>
      </c>
      <c r="J1492" t="s">
        <v>40</v>
      </c>
      <c r="K1492" t="s">
        <v>41</v>
      </c>
      <c r="L1492" t="s">
        <v>78</v>
      </c>
      <c r="N1492" t="s">
        <v>43</v>
      </c>
      <c r="O1492" t="s">
        <v>159</v>
      </c>
      <c r="P1492">
        <v>212</v>
      </c>
      <c r="Q1492">
        <v>212</v>
      </c>
      <c r="R1492">
        <v>1</v>
      </c>
      <c r="S1492" t="s">
        <v>45</v>
      </c>
      <c r="T1492">
        <v>0</v>
      </c>
      <c r="U1492">
        <v>1000</v>
      </c>
      <c r="V1492" t="s">
        <v>46</v>
      </c>
      <c r="W1492">
        <v>0.999</v>
      </c>
      <c r="X1492">
        <v>25001</v>
      </c>
      <c r="Y1492" t="s">
        <v>47</v>
      </c>
      <c r="Z1492">
        <v>25</v>
      </c>
      <c r="AA1492">
        <v>760</v>
      </c>
      <c r="AB1492" t="s">
        <v>75</v>
      </c>
      <c r="AC1492">
        <v>0.75900000000000001</v>
      </c>
      <c r="AD1492">
        <v>827</v>
      </c>
      <c r="AE1492" t="s">
        <v>48</v>
      </c>
      <c r="AF1492">
        <v>0.82599999999999996</v>
      </c>
      <c r="AG1492">
        <v>955</v>
      </c>
      <c r="AH1492" t="s">
        <v>80</v>
      </c>
      <c r="AI1492">
        <v>0.95399999999999996</v>
      </c>
      <c r="AJ1492" t="s">
        <v>50</v>
      </c>
    </row>
    <row r="1493" spans="1:36" x14ac:dyDescent="0.25">
      <c r="A1493" t="s">
        <v>682</v>
      </c>
      <c r="B1493">
        <v>866210565</v>
      </c>
      <c r="C1493" t="s">
        <v>683</v>
      </c>
      <c r="D1493" t="s">
        <v>683</v>
      </c>
      <c r="E1493" t="s">
        <v>99</v>
      </c>
      <c r="F1493" t="s">
        <v>214</v>
      </c>
      <c r="I1493" t="s">
        <v>39</v>
      </c>
      <c r="J1493" t="s">
        <v>40</v>
      </c>
      <c r="K1493" t="s">
        <v>41</v>
      </c>
      <c r="L1493" t="s">
        <v>78</v>
      </c>
      <c r="N1493" t="s">
        <v>43</v>
      </c>
      <c r="O1493" t="s">
        <v>490</v>
      </c>
      <c r="P1493">
        <v>212</v>
      </c>
      <c r="Q1493">
        <v>212</v>
      </c>
      <c r="R1493">
        <v>1</v>
      </c>
      <c r="S1493" t="s">
        <v>45</v>
      </c>
      <c r="T1493">
        <v>0</v>
      </c>
      <c r="U1493">
        <v>1001</v>
      </c>
      <c r="V1493" t="s">
        <v>46</v>
      </c>
      <c r="W1493">
        <v>1</v>
      </c>
      <c r="X1493">
        <v>26001</v>
      </c>
      <c r="Y1493" t="s">
        <v>47</v>
      </c>
      <c r="Z1493">
        <v>26</v>
      </c>
      <c r="AA1493">
        <v>759</v>
      </c>
      <c r="AB1493" t="s">
        <v>75</v>
      </c>
      <c r="AC1493">
        <v>0.75800000000000001</v>
      </c>
      <c r="AD1493">
        <v>844</v>
      </c>
      <c r="AE1493" t="s">
        <v>48</v>
      </c>
      <c r="AF1493">
        <v>0.84299999999999997</v>
      </c>
      <c r="AG1493">
        <v>976</v>
      </c>
      <c r="AH1493" t="s">
        <v>80</v>
      </c>
      <c r="AI1493">
        <v>0.97499999999999998</v>
      </c>
      <c r="AJ1493" t="s">
        <v>1141</v>
      </c>
    </row>
    <row r="1494" spans="1:36" x14ac:dyDescent="0.25">
      <c r="A1494" t="s">
        <v>682</v>
      </c>
      <c r="B1494">
        <v>866210565</v>
      </c>
      <c r="C1494" t="s">
        <v>683</v>
      </c>
      <c r="D1494" t="s">
        <v>683</v>
      </c>
      <c r="E1494" t="s">
        <v>65</v>
      </c>
      <c r="F1494" t="s">
        <v>214</v>
      </c>
      <c r="I1494" t="s">
        <v>39</v>
      </c>
      <c r="J1494" t="s">
        <v>40</v>
      </c>
      <c r="K1494" t="s">
        <v>41</v>
      </c>
      <c r="L1494" t="s">
        <v>78</v>
      </c>
      <c r="N1494" t="s">
        <v>43</v>
      </c>
      <c r="O1494" t="s">
        <v>159</v>
      </c>
      <c r="P1494">
        <v>212</v>
      </c>
      <c r="Q1494">
        <v>212</v>
      </c>
      <c r="R1494">
        <v>1</v>
      </c>
      <c r="S1494" t="s">
        <v>45</v>
      </c>
      <c r="T1494">
        <v>0</v>
      </c>
      <c r="U1494">
        <v>999</v>
      </c>
      <c r="V1494" t="s">
        <v>46</v>
      </c>
      <c r="W1494">
        <v>0.998</v>
      </c>
      <c r="X1494">
        <v>25001</v>
      </c>
      <c r="Y1494" t="s">
        <v>47</v>
      </c>
      <c r="Z1494">
        <v>25</v>
      </c>
      <c r="AA1494">
        <v>760</v>
      </c>
      <c r="AB1494" t="s">
        <v>75</v>
      </c>
      <c r="AC1494">
        <v>0.75900000000000001</v>
      </c>
      <c r="AD1494">
        <v>827</v>
      </c>
      <c r="AE1494" t="s">
        <v>48</v>
      </c>
      <c r="AF1494">
        <v>0.82599999999999996</v>
      </c>
      <c r="AG1494">
        <v>955</v>
      </c>
      <c r="AH1494" t="s">
        <v>80</v>
      </c>
      <c r="AI1494">
        <v>0.95399999999999996</v>
      </c>
      <c r="AJ1494" t="s">
        <v>1141</v>
      </c>
    </row>
    <row r="1495" spans="1:36" x14ac:dyDescent="0.25">
      <c r="A1495" t="s">
        <v>682</v>
      </c>
      <c r="B1495">
        <v>866210565</v>
      </c>
      <c r="C1495" t="s">
        <v>683</v>
      </c>
      <c r="D1495" t="s">
        <v>683</v>
      </c>
      <c r="E1495" t="s">
        <v>99</v>
      </c>
      <c r="F1495" t="s">
        <v>214</v>
      </c>
      <c r="I1495" t="s">
        <v>39</v>
      </c>
      <c r="J1495" t="s">
        <v>40</v>
      </c>
      <c r="K1495" t="s">
        <v>41</v>
      </c>
      <c r="L1495" t="s">
        <v>78</v>
      </c>
      <c r="N1495" t="s">
        <v>43</v>
      </c>
      <c r="O1495" t="s">
        <v>490</v>
      </c>
      <c r="P1495">
        <v>212</v>
      </c>
      <c r="Q1495">
        <v>212</v>
      </c>
      <c r="R1495">
        <v>1</v>
      </c>
      <c r="S1495" t="s">
        <v>45</v>
      </c>
      <c r="T1495">
        <v>0</v>
      </c>
      <c r="U1495">
        <v>1001</v>
      </c>
      <c r="V1495" t="s">
        <v>46</v>
      </c>
      <c r="W1495">
        <v>1</v>
      </c>
      <c r="X1495">
        <v>26001</v>
      </c>
      <c r="Y1495" t="s">
        <v>47</v>
      </c>
      <c r="Z1495">
        <v>26</v>
      </c>
      <c r="AA1495">
        <v>759</v>
      </c>
      <c r="AB1495" t="s">
        <v>75</v>
      </c>
      <c r="AC1495">
        <v>0.75800000000000001</v>
      </c>
      <c r="AD1495">
        <v>844</v>
      </c>
      <c r="AE1495" t="s">
        <v>48</v>
      </c>
      <c r="AF1495">
        <v>0.84299999999999997</v>
      </c>
      <c r="AG1495">
        <v>976</v>
      </c>
      <c r="AH1495" t="s">
        <v>80</v>
      </c>
      <c r="AI1495">
        <v>0.97499999999999998</v>
      </c>
      <c r="AJ1495" t="s">
        <v>1153</v>
      </c>
    </row>
    <row r="1496" spans="1:36" x14ac:dyDescent="0.25">
      <c r="A1496" t="s">
        <v>682</v>
      </c>
      <c r="B1496">
        <v>866210565</v>
      </c>
      <c r="C1496" t="s">
        <v>683</v>
      </c>
      <c r="D1496" t="s">
        <v>683</v>
      </c>
      <c r="E1496" t="s">
        <v>65</v>
      </c>
      <c r="F1496" t="s">
        <v>214</v>
      </c>
      <c r="I1496" t="s">
        <v>39</v>
      </c>
      <c r="J1496" t="s">
        <v>40</v>
      </c>
      <c r="K1496" t="s">
        <v>41</v>
      </c>
      <c r="L1496" t="s">
        <v>78</v>
      </c>
      <c r="N1496" t="s">
        <v>43</v>
      </c>
      <c r="O1496" t="s">
        <v>159</v>
      </c>
      <c r="P1496">
        <v>212</v>
      </c>
      <c r="Q1496">
        <v>212</v>
      </c>
      <c r="R1496">
        <v>1</v>
      </c>
      <c r="S1496" t="s">
        <v>45</v>
      </c>
      <c r="T1496">
        <v>0</v>
      </c>
      <c r="U1496">
        <v>1000</v>
      </c>
      <c r="V1496" t="s">
        <v>46</v>
      </c>
      <c r="W1496">
        <v>0.999</v>
      </c>
      <c r="X1496">
        <v>25001</v>
      </c>
      <c r="Y1496" t="s">
        <v>47</v>
      </c>
      <c r="Z1496">
        <v>25</v>
      </c>
      <c r="AA1496">
        <v>760</v>
      </c>
      <c r="AB1496" t="s">
        <v>75</v>
      </c>
      <c r="AC1496">
        <v>0.75900000000000001</v>
      </c>
      <c r="AD1496">
        <v>827</v>
      </c>
      <c r="AE1496" t="s">
        <v>48</v>
      </c>
      <c r="AF1496">
        <v>0.82599999999999996</v>
      </c>
      <c r="AG1496">
        <v>955</v>
      </c>
      <c r="AH1496" t="s">
        <v>80</v>
      </c>
      <c r="AI1496">
        <v>0.95399999999999996</v>
      </c>
      <c r="AJ1496" t="s">
        <v>1153</v>
      </c>
    </row>
    <row r="1497" spans="1:36" x14ac:dyDescent="0.25">
      <c r="A1497" t="s">
        <v>682</v>
      </c>
      <c r="B1497">
        <v>866210565</v>
      </c>
      <c r="C1497" t="s">
        <v>683</v>
      </c>
      <c r="D1497" t="s">
        <v>683</v>
      </c>
      <c r="E1497" t="s">
        <v>99</v>
      </c>
      <c r="F1497" t="s">
        <v>214</v>
      </c>
      <c r="I1497" t="s">
        <v>39</v>
      </c>
      <c r="J1497" t="s">
        <v>40</v>
      </c>
      <c r="K1497" t="s">
        <v>41</v>
      </c>
      <c r="L1497" t="s">
        <v>78</v>
      </c>
      <c r="N1497" t="s">
        <v>43</v>
      </c>
      <c r="O1497" t="s">
        <v>490</v>
      </c>
      <c r="P1497">
        <v>212</v>
      </c>
      <c r="Q1497">
        <v>212</v>
      </c>
      <c r="R1497">
        <v>1</v>
      </c>
      <c r="S1497" t="s">
        <v>45</v>
      </c>
      <c r="T1497">
        <v>0</v>
      </c>
      <c r="U1497">
        <v>1001</v>
      </c>
      <c r="V1497" t="s">
        <v>46</v>
      </c>
      <c r="W1497">
        <v>1</v>
      </c>
      <c r="X1497">
        <v>26001</v>
      </c>
      <c r="Y1497" t="s">
        <v>47</v>
      </c>
      <c r="Z1497">
        <v>26</v>
      </c>
      <c r="AA1497">
        <v>759</v>
      </c>
      <c r="AB1497" t="s">
        <v>75</v>
      </c>
      <c r="AC1497">
        <v>0.75800000000000001</v>
      </c>
      <c r="AD1497">
        <v>844</v>
      </c>
      <c r="AE1497" t="s">
        <v>48</v>
      </c>
      <c r="AF1497">
        <v>0.84299999999999997</v>
      </c>
      <c r="AG1497">
        <v>976</v>
      </c>
      <c r="AH1497" t="s">
        <v>80</v>
      </c>
      <c r="AI1497">
        <v>0.97499999999999998</v>
      </c>
      <c r="AJ1497" t="s">
        <v>1154</v>
      </c>
    </row>
    <row r="1498" spans="1:36" x14ac:dyDescent="0.25">
      <c r="A1498" t="s">
        <v>682</v>
      </c>
      <c r="B1498">
        <v>866210565</v>
      </c>
      <c r="C1498" t="s">
        <v>683</v>
      </c>
      <c r="D1498" t="s">
        <v>683</v>
      </c>
      <c r="E1498" t="s">
        <v>65</v>
      </c>
      <c r="F1498" t="s">
        <v>214</v>
      </c>
      <c r="I1498" t="s">
        <v>39</v>
      </c>
      <c r="J1498" t="s">
        <v>40</v>
      </c>
      <c r="K1498" t="s">
        <v>41</v>
      </c>
      <c r="L1498" t="s">
        <v>78</v>
      </c>
      <c r="N1498" t="s">
        <v>43</v>
      </c>
      <c r="O1498" t="s">
        <v>159</v>
      </c>
      <c r="P1498">
        <v>212</v>
      </c>
      <c r="Q1498">
        <v>212</v>
      </c>
      <c r="R1498">
        <v>1</v>
      </c>
      <c r="S1498" t="s">
        <v>45</v>
      </c>
      <c r="T1498">
        <v>0</v>
      </c>
      <c r="U1498">
        <v>1000</v>
      </c>
      <c r="V1498" t="s">
        <v>46</v>
      </c>
      <c r="W1498">
        <v>0.999</v>
      </c>
      <c r="X1498">
        <v>25001</v>
      </c>
      <c r="Y1498" t="s">
        <v>47</v>
      </c>
      <c r="Z1498">
        <v>25</v>
      </c>
      <c r="AA1498">
        <v>760</v>
      </c>
      <c r="AB1498" t="s">
        <v>75</v>
      </c>
      <c r="AC1498">
        <v>0.75900000000000001</v>
      </c>
      <c r="AD1498">
        <v>827</v>
      </c>
      <c r="AE1498" t="s">
        <v>48</v>
      </c>
      <c r="AF1498">
        <v>0.82599999999999996</v>
      </c>
      <c r="AG1498">
        <v>955</v>
      </c>
      <c r="AH1498" t="s">
        <v>80</v>
      </c>
      <c r="AI1498">
        <v>0.95399999999999996</v>
      </c>
      <c r="AJ1498" t="s">
        <v>1154</v>
      </c>
    </row>
    <row r="1499" spans="1:36" x14ac:dyDescent="0.25">
      <c r="A1499" t="s">
        <v>682</v>
      </c>
      <c r="B1499">
        <v>866210565</v>
      </c>
      <c r="C1499" t="s">
        <v>683</v>
      </c>
      <c r="D1499" t="s">
        <v>683</v>
      </c>
      <c r="E1499" t="s">
        <v>99</v>
      </c>
      <c r="F1499" t="s">
        <v>214</v>
      </c>
      <c r="I1499" t="s">
        <v>39</v>
      </c>
      <c r="J1499" t="s">
        <v>40</v>
      </c>
      <c r="K1499" t="s">
        <v>41</v>
      </c>
      <c r="L1499" t="s">
        <v>78</v>
      </c>
      <c r="N1499" t="s">
        <v>43</v>
      </c>
      <c r="O1499" t="s">
        <v>490</v>
      </c>
      <c r="P1499">
        <v>212</v>
      </c>
      <c r="Q1499">
        <v>212</v>
      </c>
      <c r="S1499" t="s">
        <v>39</v>
      </c>
      <c r="V1499" t="s">
        <v>39</v>
      </c>
      <c r="X1499">
        <v>26001</v>
      </c>
      <c r="Y1499" t="s">
        <v>47</v>
      </c>
      <c r="Z1499">
        <v>26</v>
      </c>
      <c r="AA1499">
        <v>759</v>
      </c>
      <c r="AB1499" t="s">
        <v>75</v>
      </c>
      <c r="AC1499">
        <v>0.75800000000000001</v>
      </c>
      <c r="AD1499">
        <v>844</v>
      </c>
      <c r="AE1499" t="s">
        <v>48</v>
      </c>
      <c r="AF1499">
        <v>0.84299999999999997</v>
      </c>
      <c r="AG1499">
        <v>976</v>
      </c>
      <c r="AH1499" t="s">
        <v>80</v>
      </c>
      <c r="AI1499">
        <v>0.97499999999999998</v>
      </c>
      <c r="AJ1499" t="s">
        <v>1155</v>
      </c>
    </row>
    <row r="1500" spans="1:36" x14ac:dyDescent="0.25">
      <c r="A1500" t="s">
        <v>682</v>
      </c>
      <c r="B1500">
        <v>866210565</v>
      </c>
      <c r="C1500" t="s">
        <v>683</v>
      </c>
      <c r="D1500" t="s">
        <v>683</v>
      </c>
      <c r="E1500" t="s">
        <v>65</v>
      </c>
      <c r="F1500" t="s">
        <v>214</v>
      </c>
      <c r="I1500" t="s">
        <v>39</v>
      </c>
      <c r="J1500" t="s">
        <v>40</v>
      </c>
      <c r="K1500" t="s">
        <v>41</v>
      </c>
      <c r="L1500" t="s">
        <v>78</v>
      </c>
      <c r="N1500" t="s">
        <v>43</v>
      </c>
      <c r="O1500" t="s">
        <v>159</v>
      </c>
      <c r="P1500">
        <v>212</v>
      </c>
      <c r="Q1500">
        <v>212</v>
      </c>
      <c r="S1500" t="s">
        <v>39</v>
      </c>
      <c r="V1500" t="s">
        <v>39</v>
      </c>
      <c r="X1500">
        <v>25001</v>
      </c>
      <c r="Y1500" t="s">
        <v>47</v>
      </c>
      <c r="Z1500">
        <v>25</v>
      </c>
      <c r="AA1500">
        <v>760</v>
      </c>
      <c r="AB1500" t="s">
        <v>75</v>
      </c>
      <c r="AC1500">
        <v>0.75900000000000001</v>
      </c>
      <c r="AD1500">
        <v>827</v>
      </c>
      <c r="AE1500" t="s">
        <v>48</v>
      </c>
      <c r="AF1500">
        <v>0.82599999999999996</v>
      </c>
      <c r="AG1500">
        <v>955</v>
      </c>
      <c r="AH1500" t="s">
        <v>80</v>
      </c>
      <c r="AI1500">
        <v>0.95399999999999996</v>
      </c>
      <c r="AJ1500" t="s">
        <v>1155</v>
      </c>
    </row>
    <row r="1501" spans="1:36" x14ac:dyDescent="0.25">
      <c r="A1501" t="s">
        <v>684</v>
      </c>
      <c r="B1501">
        <v>855448008</v>
      </c>
      <c r="C1501" t="s">
        <v>685</v>
      </c>
      <c r="D1501" t="s">
        <v>685</v>
      </c>
      <c r="E1501" t="s">
        <v>99</v>
      </c>
      <c r="F1501" t="s">
        <v>143</v>
      </c>
      <c r="I1501" t="s">
        <v>39</v>
      </c>
      <c r="J1501" t="s">
        <v>40</v>
      </c>
      <c r="K1501" t="s">
        <v>41</v>
      </c>
      <c r="L1501" t="s">
        <v>118</v>
      </c>
      <c r="N1501" t="s">
        <v>43</v>
      </c>
      <c r="O1501" t="s">
        <v>163</v>
      </c>
      <c r="P1501">
        <v>212</v>
      </c>
      <c r="Q1501">
        <v>212</v>
      </c>
      <c r="R1501">
        <v>141</v>
      </c>
      <c r="S1501" t="s">
        <v>56</v>
      </c>
      <c r="T1501">
        <v>0.14000000000000001</v>
      </c>
      <c r="U1501">
        <v>512</v>
      </c>
      <c r="V1501" t="s">
        <v>113</v>
      </c>
      <c r="W1501">
        <v>0.51100000000000001</v>
      </c>
      <c r="X1501">
        <v>21001</v>
      </c>
      <c r="Y1501" t="s">
        <v>47</v>
      </c>
      <c r="Z1501">
        <v>21</v>
      </c>
      <c r="AA1501">
        <v>236</v>
      </c>
      <c r="AB1501" t="s">
        <v>47</v>
      </c>
      <c r="AC1501">
        <v>0.23499999999999999</v>
      </c>
      <c r="AD1501">
        <v>536</v>
      </c>
      <c r="AE1501" t="s">
        <v>48</v>
      </c>
      <c r="AF1501">
        <v>0.53500000000000003</v>
      </c>
      <c r="AG1501">
        <v>342</v>
      </c>
      <c r="AH1501" t="s">
        <v>57</v>
      </c>
      <c r="AI1501">
        <v>0.34100000000000003</v>
      </c>
      <c r="AJ1501" t="s">
        <v>50</v>
      </c>
    </row>
    <row r="1502" spans="1:36" x14ac:dyDescent="0.25">
      <c r="A1502" t="s">
        <v>684</v>
      </c>
      <c r="B1502">
        <v>855448008</v>
      </c>
      <c r="C1502" t="s">
        <v>685</v>
      </c>
      <c r="D1502" t="s">
        <v>685</v>
      </c>
      <c r="E1502" t="s">
        <v>99</v>
      </c>
      <c r="F1502" t="s">
        <v>143</v>
      </c>
      <c r="I1502" t="s">
        <v>39</v>
      </c>
      <c r="J1502" t="s">
        <v>40</v>
      </c>
      <c r="K1502" t="s">
        <v>41</v>
      </c>
      <c r="L1502" t="s">
        <v>118</v>
      </c>
      <c r="N1502" t="s">
        <v>43</v>
      </c>
      <c r="O1502" t="s">
        <v>163</v>
      </c>
      <c r="P1502">
        <v>212</v>
      </c>
      <c r="Q1502">
        <v>212</v>
      </c>
      <c r="R1502">
        <v>91</v>
      </c>
      <c r="S1502" t="s">
        <v>56</v>
      </c>
      <c r="T1502">
        <v>0.09</v>
      </c>
      <c r="U1502">
        <v>379</v>
      </c>
      <c r="V1502" t="s">
        <v>55</v>
      </c>
      <c r="W1502">
        <v>0.378</v>
      </c>
      <c r="X1502">
        <v>21001</v>
      </c>
      <c r="Y1502" t="s">
        <v>47</v>
      </c>
      <c r="Z1502">
        <v>21</v>
      </c>
      <c r="AA1502">
        <v>236</v>
      </c>
      <c r="AB1502" t="s">
        <v>47</v>
      </c>
      <c r="AC1502">
        <v>0.23499999999999999</v>
      </c>
      <c r="AD1502">
        <v>536</v>
      </c>
      <c r="AE1502" t="s">
        <v>48</v>
      </c>
      <c r="AF1502">
        <v>0.53500000000000003</v>
      </c>
      <c r="AG1502">
        <v>342</v>
      </c>
      <c r="AH1502" t="s">
        <v>57</v>
      </c>
      <c r="AI1502">
        <v>0.34100000000000003</v>
      </c>
      <c r="AJ1502" t="s">
        <v>1141</v>
      </c>
    </row>
    <row r="1503" spans="1:36" x14ac:dyDescent="0.25">
      <c r="A1503" t="s">
        <v>684</v>
      </c>
      <c r="B1503">
        <v>855448008</v>
      </c>
      <c r="C1503" t="s">
        <v>685</v>
      </c>
      <c r="D1503" t="s">
        <v>685</v>
      </c>
      <c r="E1503" t="s">
        <v>99</v>
      </c>
      <c r="F1503" t="s">
        <v>143</v>
      </c>
      <c r="I1503" t="s">
        <v>39</v>
      </c>
      <c r="J1503" t="s">
        <v>40</v>
      </c>
      <c r="K1503" t="s">
        <v>41</v>
      </c>
      <c r="L1503" t="s">
        <v>118</v>
      </c>
      <c r="N1503" t="s">
        <v>43</v>
      </c>
      <c r="O1503" t="s">
        <v>163</v>
      </c>
      <c r="P1503">
        <v>212</v>
      </c>
      <c r="Q1503">
        <v>212</v>
      </c>
      <c r="R1503">
        <v>141</v>
      </c>
      <c r="S1503" t="s">
        <v>56</v>
      </c>
      <c r="T1503">
        <v>0.14000000000000001</v>
      </c>
      <c r="U1503">
        <v>512</v>
      </c>
      <c r="V1503" t="s">
        <v>113</v>
      </c>
      <c r="W1503">
        <v>0.51100000000000001</v>
      </c>
      <c r="X1503">
        <v>21001</v>
      </c>
      <c r="Y1503" t="s">
        <v>47</v>
      </c>
      <c r="Z1503">
        <v>21</v>
      </c>
      <c r="AA1503">
        <v>236</v>
      </c>
      <c r="AB1503" t="s">
        <v>47</v>
      </c>
      <c r="AC1503">
        <v>0.23499999999999999</v>
      </c>
      <c r="AD1503">
        <v>536</v>
      </c>
      <c r="AE1503" t="s">
        <v>48</v>
      </c>
      <c r="AF1503">
        <v>0.53500000000000003</v>
      </c>
      <c r="AG1503">
        <v>342</v>
      </c>
      <c r="AH1503" t="s">
        <v>57</v>
      </c>
      <c r="AI1503">
        <v>0.34100000000000003</v>
      </c>
      <c r="AJ1503" t="s">
        <v>1153</v>
      </c>
    </row>
    <row r="1504" spans="1:36" x14ac:dyDescent="0.25">
      <c r="A1504" t="s">
        <v>684</v>
      </c>
      <c r="B1504">
        <v>855448008</v>
      </c>
      <c r="C1504" t="s">
        <v>685</v>
      </c>
      <c r="D1504" t="s">
        <v>685</v>
      </c>
      <c r="E1504" t="s">
        <v>99</v>
      </c>
      <c r="F1504" t="s">
        <v>143</v>
      </c>
      <c r="I1504" t="s">
        <v>39</v>
      </c>
      <c r="J1504" t="s">
        <v>40</v>
      </c>
      <c r="K1504" t="s">
        <v>41</v>
      </c>
      <c r="L1504" t="s">
        <v>118</v>
      </c>
      <c r="N1504" t="s">
        <v>43</v>
      </c>
      <c r="O1504" t="s">
        <v>163</v>
      </c>
      <c r="P1504">
        <v>212</v>
      </c>
      <c r="Q1504">
        <v>212</v>
      </c>
      <c r="R1504">
        <v>141</v>
      </c>
      <c r="S1504" t="s">
        <v>56</v>
      </c>
      <c r="T1504">
        <v>0.14000000000000001</v>
      </c>
      <c r="U1504">
        <v>512</v>
      </c>
      <c r="V1504" t="s">
        <v>113</v>
      </c>
      <c r="W1504">
        <v>0.51100000000000001</v>
      </c>
      <c r="X1504">
        <v>21001</v>
      </c>
      <c r="Y1504" t="s">
        <v>47</v>
      </c>
      <c r="Z1504">
        <v>21</v>
      </c>
      <c r="AA1504">
        <v>236</v>
      </c>
      <c r="AB1504" t="s">
        <v>47</v>
      </c>
      <c r="AC1504">
        <v>0.23499999999999999</v>
      </c>
      <c r="AD1504">
        <v>536</v>
      </c>
      <c r="AE1504" t="s">
        <v>48</v>
      </c>
      <c r="AF1504">
        <v>0.53500000000000003</v>
      </c>
      <c r="AG1504">
        <v>342</v>
      </c>
      <c r="AH1504" t="s">
        <v>57</v>
      </c>
      <c r="AI1504">
        <v>0.34100000000000003</v>
      </c>
      <c r="AJ1504" t="s">
        <v>1154</v>
      </c>
    </row>
    <row r="1505" spans="1:36" x14ac:dyDescent="0.25">
      <c r="A1505" t="s">
        <v>684</v>
      </c>
      <c r="B1505">
        <v>855448008</v>
      </c>
      <c r="C1505" t="s">
        <v>685</v>
      </c>
      <c r="D1505" t="s">
        <v>685</v>
      </c>
      <c r="E1505" t="s">
        <v>99</v>
      </c>
      <c r="F1505" t="s">
        <v>143</v>
      </c>
      <c r="I1505" t="s">
        <v>39</v>
      </c>
      <c r="J1505" t="s">
        <v>40</v>
      </c>
      <c r="K1505" t="s">
        <v>41</v>
      </c>
      <c r="L1505" t="s">
        <v>118</v>
      </c>
      <c r="N1505" t="s">
        <v>43</v>
      </c>
      <c r="O1505" t="s">
        <v>163</v>
      </c>
      <c r="P1505">
        <v>212</v>
      </c>
      <c r="Q1505">
        <v>212</v>
      </c>
      <c r="S1505" t="s">
        <v>39</v>
      </c>
      <c r="V1505" t="s">
        <v>39</v>
      </c>
      <c r="X1505">
        <v>21001</v>
      </c>
      <c r="Y1505" t="s">
        <v>47</v>
      </c>
      <c r="Z1505">
        <v>21</v>
      </c>
      <c r="AA1505">
        <v>236</v>
      </c>
      <c r="AB1505" t="s">
        <v>47</v>
      </c>
      <c r="AC1505">
        <v>0.23499999999999999</v>
      </c>
      <c r="AD1505">
        <v>536</v>
      </c>
      <c r="AE1505" t="s">
        <v>48</v>
      </c>
      <c r="AF1505">
        <v>0.53500000000000003</v>
      </c>
      <c r="AG1505">
        <v>342</v>
      </c>
      <c r="AH1505" t="s">
        <v>57</v>
      </c>
      <c r="AI1505">
        <v>0.34100000000000003</v>
      </c>
      <c r="AJ1505" t="s">
        <v>1155</v>
      </c>
    </row>
    <row r="1506" spans="1:36" x14ac:dyDescent="0.25">
      <c r="A1506" t="s">
        <v>134</v>
      </c>
      <c r="B1506">
        <v>856357770</v>
      </c>
      <c r="C1506" t="s">
        <v>135</v>
      </c>
      <c r="D1506" t="s">
        <v>135</v>
      </c>
      <c r="E1506" t="s">
        <v>37</v>
      </c>
      <c r="F1506" t="s">
        <v>136</v>
      </c>
      <c r="I1506" t="s">
        <v>39</v>
      </c>
      <c r="J1506" t="s">
        <v>40</v>
      </c>
      <c r="K1506" t="s">
        <v>41</v>
      </c>
      <c r="L1506" t="s">
        <v>137</v>
      </c>
      <c r="M1506" t="s">
        <v>47</v>
      </c>
      <c r="N1506" t="s">
        <v>43</v>
      </c>
      <c r="O1506" t="s">
        <v>138</v>
      </c>
      <c r="P1506">
        <v>212</v>
      </c>
      <c r="Q1506">
        <v>212</v>
      </c>
      <c r="S1506" t="s">
        <v>39</v>
      </c>
      <c r="V1506" t="s">
        <v>39</v>
      </c>
      <c r="X1506">
        <v>14001</v>
      </c>
      <c r="Y1506" t="s">
        <v>47</v>
      </c>
      <c r="Z1506">
        <v>14</v>
      </c>
      <c r="AA1506">
        <v>401</v>
      </c>
      <c r="AB1506" t="s">
        <v>47</v>
      </c>
      <c r="AC1506">
        <v>0.4</v>
      </c>
      <c r="AD1506">
        <v>762</v>
      </c>
      <c r="AE1506" t="s">
        <v>48</v>
      </c>
      <c r="AF1506">
        <v>0.76100000000000001</v>
      </c>
      <c r="AG1506">
        <v>771</v>
      </c>
      <c r="AH1506" t="s">
        <v>49</v>
      </c>
      <c r="AI1506">
        <v>0.77</v>
      </c>
      <c r="AJ1506" t="s">
        <v>1156</v>
      </c>
    </row>
    <row r="1507" spans="1:36" x14ac:dyDescent="0.25">
      <c r="A1507" t="s">
        <v>134</v>
      </c>
      <c r="B1507">
        <v>856357770</v>
      </c>
      <c r="C1507" t="s">
        <v>135</v>
      </c>
      <c r="D1507" t="s">
        <v>135</v>
      </c>
      <c r="E1507" t="s">
        <v>99</v>
      </c>
      <c r="F1507" t="s">
        <v>136</v>
      </c>
      <c r="I1507" t="s">
        <v>39</v>
      </c>
      <c r="J1507" t="s">
        <v>40</v>
      </c>
      <c r="K1507" t="s">
        <v>41</v>
      </c>
      <c r="L1507" t="s">
        <v>137</v>
      </c>
      <c r="M1507" t="s">
        <v>47</v>
      </c>
      <c r="N1507" t="s">
        <v>43</v>
      </c>
      <c r="O1507" t="s">
        <v>139</v>
      </c>
      <c r="P1507">
        <v>212</v>
      </c>
      <c r="Q1507">
        <v>212</v>
      </c>
      <c r="S1507" t="s">
        <v>39</v>
      </c>
      <c r="V1507" t="s">
        <v>39</v>
      </c>
      <c r="X1507">
        <v>18001</v>
      </c>
      <c r="Y1507" t="s">
        <v>47</v>
      </c>
      <c r="Z1507">
        <v>18</v>
      </c>
      <c r="AA1507">
        <v>278</v>
      </c>
      <c r="AB1507" t="s">
        <v>47</v>
      </c>
      <c r="AC1507">
        <v>0.27700000000000002</v>
      </c>
      <c r="AD1507">
        <v>591</v>
      </c>
      <c r="AE1507" t="s">
        <v>48</v>
      </c>
      <c r="AF1507">
        <v>0.59</v>
      </c>
      <c r="AG1507">
        <v>634</v>
      </c>
      <c r="AH1507" t="s">
        <v>49</v>
      </c>
      <c r="AI1507">
        <v>0.63300000000000001</v>
      </c>
      <c r="AJ1507" t="s">
        <v>1156</v>
      </c>
    </row>
    <row r="1508" spans="1:36" x14ac:dyDescent="0.25">
      <c r="A1508" t="s">
        <v>134</v>
      </c>
      <c r="B1508">
        <v>856357770</v>
      </c>
      <c r="C1508" t="s">
        <v>135</v>
      </c>
      <c r="D1508" t="s">
        <v>135</v>
      </c>
      <c r="E1508" t="s">
        <v>60</v>
      </c>
      <c r="F1508" t="s">
        <v>136</v>
      </c>
      <c r="I1508" t="s">
        <v>39</v>
      </c>
      <c r="J1508" t="s">
        <v>40</v>
      </c>
      <c r="K1508" t="s">
        <v>41</v>
      </c>
      <c r="L1508" t="s">
        <v>137</v>
      </c>
      <c r="M1508" t="s">
        <v>47</v>
      </c>
      <c r="N1508" t="s">
        <v>43</v>
      </c>
      <c r="O1508" t="s">
        <v>140</v>
      </c>
      <c r="P1508">
        <v>212</v>
      </c>
      <c r="Q1508">
        <v>212</v>
      </c>
      <c r="S1508" t="s">
        <v>39</v>
      </c>
      <c r="V1508" t="s">
        <v>39</v>
      </c>
      <c r="X1508">
        <v>19001</v>
      </c>
      <c r="Y1508" t="s">
        <v>47</v>
      </c>
      <c r="Z1508">
        <v>19</v>
      </c>
      <c r="AA1508">
        <v>392</v>
      </c>
      <c r="AB1508" t="s">
        <v>47</v>
      </c>
      <c r="AC1508">
        <v>0.39100000000000001</v>
      </c>
      <c r="AD1508">
        <v>723</v>
      </c>
      <c r="AE1508" t="s">
        <v>48</v>
      </c>
      <c r="AF1508">
        <v>0.72199999999999998</v>
      </c>
      <c r="AG1508">
        <v>864</v>
      </c>
      <c r="AH1508" t="s">
        <v>49</v>
      </c>
      <c r="AI1508">
        <v>0.86299999999999999</v>
      </c>
      <c r="AJ1508" t="s">
        <v>1156</v>
      </c>
    </row>
    <row r="1509" spans="1:36" x14ac:dyDescent="0.25">
      <c r="A1509" t="s">
        <v>125</v>
      </c>
      <c r="B1509">
        <v>886368341</v>
      </c>
      <c r="C1509" t="s">
        <v>126</v>
      </c>
      <c r="D1509" t="s">
        <v>126</v>
      </c>
      <c r="E1509" t="s">
        <v>37</v>
      </c>
      <c r="F1509" t="s">
        <v>127</v>
      </c>
      <c r="I1509" t="s">
        <v>39</v>
      </c>
      <c r="J1509" t="s">
        <v>40</v>
      </c>
      <c r="K1509" t="s">
        <v>41</v>
      </c>
      <c r="N1509" t="s">
        <v>43</v>
      </c>
      <c r="O1509" t="s">
        <v>128</v>
      </c>
      <c r="P1509">
        <v>213</v>
      </c>
      <c r="Q1509">
        <v>213</v>
      </c>
      <c r="S1509" t="s">
        <v>39</v>
      </c>
      <c r="V1509" t="s">
        <v>39</v>
      </c>
      <c r="X1509">
        <v>1</v>
      </c>
      <c r="Y1509" t="s">
        <v>47</v>
      </c>
      <c r="Z1509">
        <v>0</v>
      </c>
      <c r="AA1509">
        <v>184</v>
      </c>
      <c r="AB1509" t="s">
        <v>47</v>
      </c>
      <c r="AC1509">
        <v>0.183</v>
      </c>
      <c r="AD1509">
        <v>410</v>
      </c>
      <c r="AE1509" t="s">
        <v>56</v>
      </c>
      <c r="AF1509">
        <v>0.40899999999999997</v>
      </c>
      <c r="AG1509">
        <v>100</v>
      </c>
      <c r="AH1509" t="s">
        <v>103</v>
      </c>
      <c r="AI1509">
        <v>9.9000000000000005E-2</v>
      </c>
      <c r="AJ1509" t="s">
        <v>1156</v>
      </c>
    </row>
    <row r="1510" spans="1:36" x14ac:dyDescent="0.25">
      <c r="A1510" t="s">
        <v>129</v>
      </c>
      <c r="B1510">
        <v>855604639</v>
      </c>
      <c r="C1510" t="s">
        <v>130</v>
      </c>
      <c r="D1510" t="s">
        <v>130</v>
      </c>
      <c r="E1510" t="s">
        <v>99</v>
      </c>
      <c r="F1510" t="s">
        <v>100</v>
      </c>
      <c r="I1510" t="s">
        <v>39</v>
      </c>
      <c r="J1510" t="s">
        <v>40</v>
      </c>
      <c r="K1510" t="s">
        <v>41</v>
      </c>
      <c r="L1510" t="s">
        <v>131</v>
      </c>
      <c r="M1510" t="s">
        <v>73</v>
      </c>
      <c r="N1510" t="s">
        <v>43</v>
      </c>
      <c r="O1510" t="s">
        <v>132</v>
      </c>
      <c r="P1510">
        <v>213</v>
      </c>
      <c r="Q1510">
        <v>213</v>
      </c>
      <c r="S1510" t="s">
        <v>39</v>
      </c>
      <c r="V1510" t="s">
        <v>39</v>
      </c>
      <c r="X1510">
        <v>7001</v>
      </c>
      <c r="Y1510" t="s">
        <v>47</v>
      </c>
      <c r="Z1510">
        <v>7</v>
      </c>
      <c r="AA1510">
        <v>169</v>
      </c>
      <c r="AB1510" t="s">
        <v>47</v>
      </c>
      <c r="AC1510">
        <v>0.16800000000000001</v>
      </c>
      <c r="AD1510">
        <v>519</v>
      </c>
      <c r="AE1510" t="s">
        <v>48</v>
      </c>
      <c r="AF1510">
        <v>0.51800000000000002</v>
      </c>
      <c r="AG1510">
        <v>457</v>
      </c>
      <c r="AH1510" t="s">
        <v>57</v>
      </c>
      <c r="AI1510">
        <v>0.45600000000000002</v>
      </c>
      <c r="AJ1510" t="s">
        <v>1156</v>
      </c>
    </row>
    <row r="1511" spans="1:36" x14ac:dyDescent="0.25">
      <c r="A1511" t="s">
        <v>129</v>
      </c>
      <c r="B1511">
        <v>855604639</v>
      </c>
      <c r="C1511" t="s">
        <v>130</v>
      </c>
      <c r="D1511" t="s">
        <v>130</v>
      </c>
      <c r="E1511" t="s">
        <v>65</v>
      </c>
      <c r="F1511" t="s">
        <v>100</v>
      </c>
      <c r="I1511" t="s">
        <v>39</v>
      </c>
      <c r="J1511" t="s">
        <v>40</v>
      </c>
      <c r="K1511" t="s">
        <v>41</v>
      </c>
      <c r="L1511" t="s">
        <v>131</v>
      </c>
      <c r="M1511" t="s">
        <v>73</v>
      </c>
      <c r="N1511" t="s">
        <v>43</v>
      </c>
      <c r="O1511" t="s">
        <v>133</v>
      </c>
      <c r="P1511">
        <v>213</v>
      </c>
      <c r="Q1511">
        <v>213</v>
      </c>
      <c r="S1511" t="s">
        <v>39</v>
      </c>
      <c r="V1511" t="s">
        <v>39</v>
      </c>
      <c r="X1511">
        <v>15001</v>
      </c>
      <c r="Y1511" t="s">
        <v>47</v>
      </c>
      <c r="Z1511">
        <v>15</v>
      </c>
      <c r="AA1511">
        <v>354</v>
      </c>
      <c r="AB1511" t="s">
        <v>47</v>
      </c>
      <c r="AC1511">
        <v>0.35299999999999998</v>
      </c>
      <c r="AD1511">
        <v>639</v>
      </c>
      <c r="AE1511" t="s">
        <v>48</v>
      </c>
      <c r="AF1511">
        <v>0.63800000000000001</v>
      </c>
      <c r="AG1511">
        <v>878</v>
      </c>
      <c r="AH1511" t="s">
        <v>49</v>
      </c>
      <c r="AI1511">
        <v>0.877</v>
      </c>
      <c r="AJ1511" t="s">
        <v>1156</v>
      </c>
    </row>
    <row r="1512" spans="1:36" x14ac:dyDescent="0.25">
      <c r="A1512" t="s">
        <v>120</v>
      </c>
      <c r="B1512">
        <v>860649750</v>
      </c>
      <c r="C1512" t="s">
        <v>121</v>
      </c>
      <c r="D1512" t="s">
        <v>121</v>
      </c>
      <c r="E1512" t="s">
        <v>37</v>
      </c>
      <c r="F1512" t="s">
        <v>122</v>
      </c>
      <c r="I1512" t="s">
        <v>39</v>
      </c>
      <c r="J1512" t="s">
        <v>40</v>
      </c>
      <c r="K1512" t="s">
        <v>41</v>
      </c>
      <c r="L1512" t="s">
        <v>78</v>
      </c>
      <c r="N1512" t="s">
        <v>43</v>
      </c>
      <c r="O1512" t="s">
        <v>123</v>
      </c>
      <c r="P1512">
        <v>214</v>
      </c>
      <c r="Q1512">
        <v>214</v>
      </c>
      <c r="S1512" t="s">
        <v>39</v>
      </c>
      <c r="V1512" t="s">
        <v>39</v>
      </c>
      <c r="X1512">
        <v>1</v>
      </c>
      <c r="Y1512" t="s">
        <v>47</v>
      </c>
      <c r="Z1512">
        <v>0</v>
      </c>
      <c r="AA1512">
        <v>388</v>
      </c>
      <c r="AB1512" t="s">
        <v>47</v>
      </c>
      <c r="AC1512">
        <v>0.38700000000000001</v>
      </c>
      <c r="AD1512">
        <v>544</v>
      </c>
      <c r="AE1512" t="s">
        <v>48</v>
      </c>
      <c r="AF1512">
        <v>0.54300000000000004</v>
      </c>
      <c r="AG1512">
        <v>891</v>
      </c>
      <c r="AH1512" t="s">
        <v>49</v>
      </c>
      <c r="AI1512">
        <v>0.89</v>
      </c>
      <c r="AJ1512" t="s">
        <v>1156</v>
      </c>
    </row>
    <row r="1513" spans="1:36" x14ac:dyDescent="0.25">
      <c r="A1513" t="s">
        <v>120</v>
      </c>
      <c r="B1513">
        <v>860649750</v>
      </c>
      <c r="C1513" t="s">
        <v>121</v>
      </c>
      <c r="D1513" t="s">
        <v>121</v>
      </c>
      <c r="E1513" t="s">
        <v>60</v>
      </c>
      <c r="F1513" t="s">
        <v>122</v>
      </c>
      <c r="I1513" t="s">
        <v>39</v>
      </c>
      <c r="J1513" t="s">
        <v>40</v>
      </c>
      <c r="K1513" t="s">
        <v>41</v>
      </c>
      <c r="L1513" t="s">
        <v>78</v>
      </c>
      <c r="N1513" t="s">
        <v>43</v>
      </c>
      <c r="O1513" t="s">
        <v>124</v>
      </c>
      <c r="P1513">
        <v>214</v>
      </c>
      <c r="Q1513">
        <v>214</v>
      </c>
      <c r="S1513" t="s">
        <v>39</v>
      </c>
      <c r="V1513" t="s">
        <v>39</v>
      </c>
      <c r="X1513">
        <v>1</v>
      </c>
      <c r="Y1513" t="s">
        <v>47</v>
      </c>
      <c r="Z1513">
        <v>0</v>
      </c>
      <c r="AA1513">
        <v>414</v>
      </c>
      <c r="AB1513" t="s">
        <v>47</v>
      </c>
      <c r="AC1513">
        <v>0.41299999999999998</v>
      </c>
      <c r="AD1513">
        <v>747</v>
      </c>
      <c r="AE1513" t="s">
        <v>48</v>
      </c>
      <c r="AF1513">
        <v>0.746</v>
      </c>
      <c r="AG1513">
        <v>980</v>
      </c>
      <c r="AH1513" t="s">
        <v>80</v>
      </c>
      <c r="AI1513">
        <v>0.97899999999999998</v>
      </c>
      <c r="AJ1513" t="s">
        <v>1156</v>
      </c>
    </row>
    <row r="1514" spans="1:36" x14ac:dyDescent="0.25">
      <c r="A1514" t="s">
        <v>114</v>
      </c>
      <c r="B1514">
        <v>881456318</v>
      </c>
      <c r="C1514" t="s">
        <v>115</v>
      </c>
      <c r="D1514" t="s">
        <v>115</v>
      </c>
      <c r="E1514" t="s">
        <v>37</v>
      </c>
      <c r="F1514" t="s">
        <v>71</v>
      </c>
      <c r="I1514" t="s">
        <v>39</v>
      </c>
      <c r="J1514" t="s">
        <v>40</v>
      </c>
      <c r="K1514" t="s">
        <v>41</v>
      </c>
      <c r="L1514" t="s">
        <v>89</v>
      </c>
      <c r="N1514" t="s">
        <v>43</v>
      </c>
      <c r="O1514" t="s">
        <v>74</v>
      </c>
      <c r="P1514">
        <v>215</v>
      </c>
      <c r="Q1514">
        <v>215</v>
      </c>
      <c r="S1514" t="s">
        <v>39</v>
      </c>
      <c r="V1514" t="s">
        <v>39</v>
      </c>
      <c r="X1514">
        <v>9001</v>
      </c>
      <c r="Y1514" t="s">
        <v>47</v>
      </c>
      <c r="Z1514">
        <v>9</v>
      </c>
      <c r="AA1514">
        <v>282</v>
      </c>
      <c r="AB1514" t="s">
        <v>47</v>
      </c>
      <c r="AC1514">
        <v>0.28100000000000003</v>
      </c>
      <c r="AD1514">
        <v>430</v>
      </c>
      <c r="AE1514" t="s">
        <v>56</v>
      </c>
      <c r="AF1514">
        <v>0.42899999999999999</v>
      </c>
      <c r="AG1514">
        <v>272</v>
      </c>
      <c r="AH1514" t="s">
        <v>57</v>
      </c>
      <c r="AI1514">
        <v>0.27100000000000002</v>
      </c>
      <c r="AJ1514" t="s">
        <v>1156</v>
      </c>
    </row>
    <row r="1515" spans="1:36" x14ac:dyDescent="0.25">
      <c r="A1515" t="s">
        <v>116</v>
      </c>
      <c r="B1515">
        <v>855567227</v>
      </c>
      <c r="C1515" t="s">
        <v>117</v>
      </c>
      <c r="D1515" t="s">
        <v>117</v>
      </c>
      <c r="E1515" t="s">
        <v>60</v>
      </c>
      <c r="F1515" t="s">
        <v>61</v>
      </c>
      <c r="I1515" t="s">
        <v>39</v>
      </c>
      <c r="J1515" t="s">
        <v>40</v>
      </c>
      <c r="K1515" t="s">
        <v>41</v>
      </c>
      <c r="L1515" t="s">
        <v>118</v>
      </c>
      <c r="N1515" t="s">
        <v>43</v>
      </c>
      <c r="O1515" t="s">
        <v>119</v>
      </c>
      <c r="P1515">
        <v>215</v>
      </c>
      <c r="Q1515">
        <v>215</v>
      </c>
      <c r="S1515" t="s">
        <v>39</v>
      </c>
      <c r="V1515" t="s">
        <v>39</v>
      </c>
      <c r="X1515">
        <v>6001</v>
      </c>
      <c r="Y1515" t="s">
        <v>47</v>
      </c>
      <c r="Z1515">
        <v>6</v>
      </c>
      <c r="AA1515">
        <v>312</v>
      </c>
      <c r="AB1515" t="s">
        <v>47</v>
      </c>
      <c r="AC1515">
        <v>0.311</v>
      </c>
      <c r="AD1515">
        <v>458</v>
      </c>
      <c r="AE1515" t="s">
        <v>56</v>
      </c>
      <c r="AF1515">
        <v>0.45700000000000002</v>
      </c>
      <c r="AG1515">
        <v>232</v>
      </c>
      <c r="AH1515" t="s">
        <v>57</v>
      </c>
      <c r="AI1515">
        <v>0.23100000000000001</v>
      </c>
      <c r="AJ1515" t="s">
        <v>1156</v>
      </c>
    </row>
    <row r="1516" spans="1:36" x14ac:dyDescent="0.25">
      <c r="A1516" t="s">
        <v>105</v>
      </c>
      <c r="B1516">
        <v>860747397</v>
      </c>
      <c r="C1516" t="s">
        <v>106</v>
      </c>
      <c r="D1516" t="s">
        <v>106</v>
      </c>
      <c r="E1516" t="s">
        <v>99</v>
      </c>
      <c r="F1516" t="s">
        <v>107</v>
      </c>
      <c r="I1516" t="s">
        <v>39</v>
      </c>
      <c r="J1516" t="s">
        <v>40</v>
      </c>
      <c r="K1516" t="s">
        <v>41</v>
      </c>
      <c r="L1516" t="s">
        <v>78</v>
      </c>
      <c r="N1516" t="s">
        <v>43</v>
      </c>
      <c r="O1516" t="s">
        <v>108</v>
      </c>
      <c r="P1516">
        <v>216</v>
      </c>
      <c r="Q1516">
        <v>216</v>
      </c>
      <c r="S1516" t="s">
        <v>39</v>
      </c>
      <c r="V1516" t="s">
        <v>39</v>
      </c>
      <c r="X1516">
        <v>24001</v>
      </c>
      <c r="Y1516" t="s">
        <v>47</v>
      </c>
      <c r="Z1516">
        <v>24</v>
      </c>
      <c r="AA1516">
        <v>808</v>
      </c>
      <c r="AB1516" t="s">
        <v>75</v>
      </c>
      <c r="AC1516">
        <v>0.80700000000000005</v>
      </c>
      <c r="AD1516">
        <v>926</v>
      </c>
      <c r="AE1516" t="s">
        <v>48</v>
      </c>
      <c r="AF1516">
        <v>0.92500000000000004</v>
      </c>
      <c r="AG1516">
        <v>995</v>
      </c>
      <c r="AH1516" t="s">
        <v>80</v>
      </c>
      <c r="AI1516">
        <v>0.99399999999999999</v>
      </c>
      <c r="AJ1516" t="s">
        <v>1156</v>
      </c>
    </row>
    <row r="1517" spans="1:36" x14ac:dyDescent="0.25">
      <c r="A1517" t="s">
        <v>109</v>
      </c>
      <c r="B1517">
        <v>881456282</v>
      </c>
      <c r="C1517" t="s">
        <v>110</v>
      </c>
      <c r="D1517" t="s">
        <v>110</v>
      </c>
      <c r="E1517" t="s">
        <v>99</v>
      </c>
      <c r="F1517" t="s">
        <v>111</v>
      </c>
      <c r="I1517" t="s">
        <v>39</v>
      </c>
      <c r="J1517" t="s">
        <v>40</v>
      </c>
      <c r="K1517" t="s">
        <v>41</v>
      </c>
      <c r="L1517" t="s">
        <v>42</v>
      </c>
      <c r="N1517" t="s">
        <v>43</v>
      </c>
      <c r="O1517" t="s">
        <v>112</v>
      </c>
      <c r="P1517">
        <v>216</v>
      </c>
      <c r="Q1517">
        <v>216</v>
      </c>
      <c r="S1517" t="s">
        <v>39</v>
      </c>
      <c r="V1517" t="s">
        <v>39</v>
      </c>
      <c r="X1517">
        <v>19001</v>
      </c>
      <c r="Y1517" t="s">
        <v>47</v>
      </c>
      <c r="Z1517">
        <v>19</v>
      </c>
      <c r="AA1517">
        <v>643</v>
      </c>
      <c r="AB1517" t="s">
        <v>75</v>
      </c>
      <c r="AC1517">
        <v>0.64200000000000002</v>
      </c>
      <c r="AD1517">
        <v>829</v>
      </c>
      <c r="AE1517" t="s">
        <v>48</v>
      </c>
      <c r="AF1517">
        <v>0.82799999999999996</v>
      </c>
      <c r="AG1517">
        <v>916</v>
      </c>
      <c r="AH1517" t="s">
        <v>49</v>
      </c>
      <c r="AI1517">
        <v>0.91500000000000004</v>
      </c>
      <c r="AJ1517" t="s">
        <v>1156</v>
      </c>
    </row>
    <row r="1518" spans="1:36" x14ac:dyDescent="0.25">
      <c r="A1518" t="s">
        <v>680</v>
      </c>
      <c r="B1518">
        <v>855664318</v>
      </c>
      <c r="C1518" t="s">
        <v>681</v>
      </c>
      <c r="D1518" t="s">
        <v>681</v>
      </c>
      <c r="E1518" t="s">
        <v>37</v>
      </c>
      <c r="F1518" t="s">
        <v>127</v>
      </c>
      <c r="I1518" t="s">
        <v>39</v>
      </c>
      <c r="J1518" t="s">
        <v>40</v>
      </c>
      <c r="K1518" t="s">
        <v>41</v>
      </c>
      <c r="L1518" t="s">
        <v>131</v>
      </c>
      <c r="M1518" t="s">
        <v>335</v>
      </c>
      <c r="N1518" t="s">
        <v>344</v>
      </c>
      <c r="O1518" t="s">
        <v>111</v>
      </c>
      <c r="P1518">
        <v>216</v>
      </c>
      <c r="Q1518">
        <v>216</v>
      </c>
      <c r="R1518">
        <v>1</v>
      </c>
      <c r="S1518" t="s">
        <v>45</v>
      </c>
      <c r="T1518">
        <v>0</v>
      </c>
      <c r="U1518">
        <v>1000</v>
      </c>
      <c r="V1518" t="s">
        <v>46</v>
      </c>
      <c r="W1518">
        <v>0.999</v>
      </c>
      <c r="X1518">
        <v>31001</v>
      </c>
      <c r="Y1518" t="s">
        <v>345</v>
      </c>
      <c r="Z1518">
        <v>31</v>
      </c>
      <c r="AA1518">
        <v>897</v>
      </c>
      <c r="AB1518" t="s">
        <v>75</v>
      </c>
      <c r="AC1518">
        <v>0.89600000000000002</v>
      </c>
      <c r="AD1518">
        <v>937</v>
      </c>
      <c r="AE1518" t="s">
        <v>48</v>
      </c>
      <c r="AF1518">
        <v>0.93600000000000005</v>
      </c>
      <c r="AG1518">
        <v>994</v>
      </c>
      <c r="AH1518" t="s">
        <v>80</v>
      </c>
      <c r="AI1518">
        <v>0.99299999999999999</v>
      </c>
      <c r="AJ1518" t="s">
        <v>50</v>
      </c>
    </row>
    <row r="1519" spans="1:36" x14ac:dyDescent="0.25">
      <c r="A1519" t="s">
        <v>680</v>
      </c>
      <c r="B1519">
        <v>855664318</v>
      </c>
      <c r="C1519" t="s">
        <v>681</v>
      </c>
      <c r="D1519" t="s">
        <v>681</v>
      </c>
      <c r="E1519" t="s">
        <v>37</v>
      </c>
      <c r="F1519" t="s">
        <v>127</v>
      </c>
      <c r="I1519" t="s">
        <v>39</v>
      </c>
      <c r="J1519" t="s">
        <v>40</v>
      </c>
      <c r="K1519" t="s">
        <v>41</v>
      </c>
      <c r="L1519" t="s">
        <v>131</v>
      </c>
      <c r="M1519" t="s">
        <v>335</v>
      </c>
      <c r="N1519" t="s">
        <v>344</v>
      </c>
      <c r="O1519" t="s">
        <v>111</v>
      </c>
      <c r="P1519">
        <v>216</v>
      </c>
      <c r="Q1519">
        <v>216</v>
      </c>
      <c r="R1519">
        <v>1</v>
      </c>
      <c r="S1519" t="s">
        <v>45</v>
      </c>
      <c r="T1519">
        <v>0</v>
      </c>
      <c r="U1519">
        <v>1001</v>
      </c>
      <c r="V1519" t="s">
        <v>46</v>
      </c>
      <c r="W1519">
        <v>1</v>
      </c>
      <c r="X1519">
        <v>31001</v>
      </c>
      <c r="Y1519" t="s">
        <v>345</v>
      </c>
      <c r="Z1519">
        <v>31</v>
      </c>
      <c r="AA1519">
        <v>897</v>
      </c>
      <c r="AB1519" t="s">
        <v>75</v>
      </c>
      <c r="AC1519">
        <v>0.89600000000000002</v>
      </c>
      <c r="AD1519">
        <v>937</v>
      </c>
      <c r="AE1519" t="s">
        <v>48</v>
      </c>
      <c r="AF1519">
        <v>0.93600000000000005</v>
      </c>
      <c r="AG1519">
        <v>994</v>
      </c>
      <c r="AH1519" t="s">
        <v>80</v>
      </c>
      <c r="AI1519">
        <v>0.99299999999999999</v>
      </c>
      <c r="AJ1519" t="s">
        <v>1141</v>
      </c>
    </row>
    <row r="1520" spans="1:36" x14ac:dyDescent="0.25">
      <c r="A1520" t="s">
        <v>680</v>
      </c>
      <c r="B1520">
        <v>855664318</v>
      </c>
      <c r="C1520" t="s">
        <v>681</v>
      </c>
      <c r="D1520" t="s">
        <v>681</v>
      </c>
      <c r="E1520" t="s">
        <v>37</v>
      </c>
      <c r="F1520" t="s">
        <v>127</v>
      </c>
      <c r="I1520" t="s">
        <v>39</v>
      </c>
      <c r="J1520" t="s">
        <v>40</v>
      </c>
      <c r="K1520" t="s">
        <v>41</v>
      </c>
      <c r="L1520" t="s">
        <v>131</v>
      </c>
      <c r="M1520" t="s">
        <v>335</v>
      </c>
      <c r="N1520" t="s">
        <v>344</v>
      </c>
      <c r="O1520" t="s">
        <v>111</v>
      </c>
      <c r="P1520">
        <v>216</v>
      </c>
      <c r="Q1520">
        <v>216</v>
      </c>
      <c r="R1520">
        <v>1</v>
      </c>
      <c r="S1520" t="s">
        <v>45</v>
      </c>
      <c r="T1520">
        <v>0</v>
      </c>
      <c r="U1520">
        <v>1000</v>
      </c>
      <c r="V1520" t="s">
        <v>46</v>
      </c>
      <c r="W1520">
        <v>0.999</v>
      </c>
      <c r="X1520">
        <v>31001</v>
      </c>
      <c r="Y1520" t="s">
        <v>345</v>
      </c>
      <c r="Z1520">
        <v>31</v>
      </c>
      <c r="AA1520">
        <v>897</v>
      </c>
      <c r="AB1520" t="s">
        <v>75</v>
      </c>
      <c r="AC1520">
        <v>0.89600000000000002</v>
      </c>
      <c r="AD1520">
        <v>937</v>
      </c>
      <c r="AE1520" t="s">
        <v>48</v>
      </c>
      <c r="AF1520">
        <v>0.93600000000000005</v>
      </c>
      <c r="AG1520">
        <v>994</v>
      </c>
      <c r="AH1520" t="s">
        <v>80</v>
      </c>
      <c r="AI1520">
        <v>0.99299999999999999</v>
      </c>
      <c r="AJ1520" t="s">
        <v>1153</v>
      </c>
    </row>
    <row r="1521" spans="1:36" x14ac:dyDescent="0.25">
      <c r="A1521" t="s">
        <v>680</v>
      </c>
      <c r="B1521">
        <v>855664318</v>
      </c>
      <c r="C1521" t="s">
        <v>681</v>
      </c>
      <c r="D1521" t="s">
        <v>681</v>
      </c>
      <c r="E1521" t="s">
        <v>37</v>
      </c>
      <c r="F1521" t="s">
        <v>127</v>
      </c>
      <c r="I1521" t="s">
        <v>39</v>
      </c>
      <c r="J1521" t="s">
        <v>40</v>
      </c>
      <c r="K1521" t="s">
        <v>41</v>
      </c>
      <c r="L1521" t="s">
        <v>131</v>
      </c>
      <c r="M1521" t="s">
        <v>335</v>
      </c>
      <c r="N1521" t="s">
        <v>344</v>
      </c>
      <c r="O1521" t="s">
        <v>111</v>
      </c>
      <c r="P1521">
        <v>216</v>
      </c>
      <c r="Q1521">
        <v>216</v>
      </c>
      <c r="R1521">
        <v>1</v>
      </c>
      <c r="S1521" t="s">
        <v>45</v>
      </c>
      <c r="T1521">
        <v>0</v>
      </c>
      <c r="U1521">
        <v>1000</v>
      </c>
      <c r="V1521" t="s">
        <v>46</v>
      </c>
      <c r="W1521">
        <v>0.999</v>
      </c>
      <c r="X1521">
        <v>31001</v>
      </c>
      <c r="Y1521" t="s">
        <v>345</v>
      </c>
      <c r="Z1521">
        <v>31</v>
      </c>
      <c r="AA1521">
        <v>897</v>
      </c>
      <c r="AB1521" t="s">
        <v>75</v>
      </c>
      <c r="AC1521">
        <v>0.89600000000000002</v>
      </c>
      <c r="AD1521">
        <v>937</v>
      </c>
      <c r="AE1521" t="s">
        <v>48</v>
      </c>
      <c r="AF1521">
        <v>0.93600000000000005</v>
      </c>
      <c r="AG1521">
        <v>994</v>
      </c>
      <c r="AH1521" t="s">
        <v>80</v>
      </c>
      <c r="AI1521">
        <v>0.99299999999999999</v>
      </c>
      <c r="AJ1521" t="s">
        <v>1154</v>
      </c>
    </row>
    <row r="1522" spans="1:36" x14ac:dyDescent="0.25">
      <c r="A1522" t="s">
        <v>680</v>
      </c>
      <c r="B1522">
        <v>855664318</v>
      </c>
      <c r="C1522" t="s">
        <v>681</v>
      </c>
      <c r="D1522" t="s">
        <v>681</v>
      </c>
      <c r="E1522" t="s">
        <v>37</v>
      </c>
      <c r="F1522" t="s">
        <v>127</v>
      </c>
      <c r="I1522" t="s">
        <v>39</v>
      </c>
      <c r="J1522" t="s">
        <v>40</v>
      </c>
      <c r="K1522" t="s">
        <v>41</v>
      </c>
      <c r="L1522" t="s">
        <v>131</v>
      </c>
      <c r="M1522" t="s">
        <v>335</v>
      </c>
      <c r="N1522" t="s">
        <v>344</v>
      </c>
      <c r="O1522" t="s">
        <v>111</v>
      </c>
      <c r="P1522">
        <v>216</v>
      </c>
      <c r="Q1522">
        <v>216</v>
      </c>
      <c r="S1522" t="s">
        <v>39</v>
      </c>
      <c r="V1522" t="s">
        <v>39</v>
      </c>
      <c r="X1522">
        <v>31001</v>
      </c>
      <c r="Y1522" t="s">
        <v>345</v>
      </c>
      <c r="Z1522">
        <v>31</v>
      </c>
      <c r="AA1522">
        <v>897</v>
      </c>
      <c r="AB1522" t="s">
        <v>75</v>
      </c>
      <c r="AC1522">
        <v>0.89600000000000002</v>
      </c>
      <c r="AD1522">
        <v>937</v>
      </c>
      <c r="AE1522" t="s">
        <v>48</v>
      </c>
      <c r="AF1522">
        <v>0.93600000000000005</v>
      </c>
      <c r="AG1522">
        <v>994</v>
      </c>
      <c r="AH1522" t="s">
        <v>80</v>
      </c>
      <c r="AI1522">
        <v>0.99299999999999999</v>
      </c>
      <c r="AJ1522" t="s">
        <v>1155</v>
      </c>
    </row>
    <row r="1523" spans="1:36" x14ac:dyDescent="0.25">
      <c r="A1523" t="s">
        <v>677</v>
      </c>
      <c r="B1523">
        <v>871216036</v>
      </c>
      <c r="C1523" t="s">
        <v>678</v>
      </c>
      <c r="D1523" t="s">
        <v>678</v>
      </c>
      <c r="E1523" t="s">
        <v>37</v>
      </c>
      <c r="F1523" t="s">
        <v>191</v>
      </c>
      <c r="I1523" t="s">
        <v>39</v>
      </c>
      <c r="J1523" t="s">
        <v>40</v>
      </c>
      <c r="K1523" t="s">
        <v>41</v>
      </c>
      <c r="L1523" t="s">
        <v>94</v>
      </c>
      <c r="M1523" t="s">
        <v>679</v>
      </c>
      <c r="N1523" t="s">
        <v>43</v>
      </c>
      <c r="O1523" t="s">
        <v>556</v>
      </c>
      <c r="P1523">
        <v>218</v>
      </c>
      <c r="Q1523">
        <v>218</v>
      </c>
      <c r="R1523">
        <v>1</v>
      </c>
      <c r="S1523" t="s">
        <v>45</v>
      </c>
      <c r="T1523">
        <v>0</v>
      </c>
      <c r="U1523">
        <v>994</v>
      </c>
      <c r="V1523" t="s">
        <v>46</v>
      </c>
      <c r="W1523">
        <v>0.99299999999999999</v>
      </c>
      <c r="X1523">
        <v>26001</v>
      </c>
      <c r="Y1523" t="s">
        <v>47</v>
      </c>
      <c r="Z1523">
        <v>26</v>
      </c>
      <c r="AA1523">
        <v>759</v>
      </c>
      <c r="AB1523" t="s">
        <v>75</v>
      </c>
      <c r="AC1523">
        <v>0.75800000000000001</v>
      </c>
      <c r="AD1523">
        <v>954</v>
      </c>
      <c r="AE1523" t="s">
        <v>48</v>
      </c>
      <c r="AF1523">
        <v>0.95299999999999996</v>
      </c>
      <c r="AG1523">
        <v>987</v>
      </c>
      <c r="AH1523" t="s">
        <v>80</v>
      </c>
      <c r="AI1523">
        <v>0.98599999999999999</v>
      </c>
      <c r="AJ1523" t="s">
        <v>50</v>
      </c>
    </row>
    <row r="1524" spans="1:36" x14ac:dyDescent="0.25">
      <c r="A1524" t="s">
        <v>677</v>
      </c>
      <c r="B1524">
        <v>871216036</v>
      </c>
      <c r="C1524" t="s">
        <v>678</v>
      </c>
      <c r="D1524" t="s">
        <v>678</v>
      </c>
      <c r="E1524" t="s">
        <v>37</v>
      </c>
      <c r="F1524" t="s">
        <v>191</v>
      </c>
      <c r="I1524" t="s">
        <v>39</v>
      </c>
      <c r="J1524" t="s">
        <v>40</v>
      </c>
      <c r="K1524" t="s">
        <v>41</v>
      </c>
      <c r="L1524" t="s">
        <v>94</v>
      </c>
      <c r="M1524" t="s">
        <v>679</v>
      </c>
      <c r="N1524" t="s">
        <v>43</v>
      </c>
      <c r="O1524" t="s">
        <v>556</v>
      </c>
      <c r="P1524">
        <v>218</v>
      </c>
      <c r="Q1524">
        <v>218</v>
      </c>
      <c r="R1524">
        <v>1</v>
      </c>
      <c r="S1524" t="s">
        <v>45</v>
      </c>
      <c r="T1524">
        <v>0</v>
      </c>
      <c r="U1524">
        <v>996</v>
      </c>
      <c r="V1524" t="s">
        <v>46</v>
      </c>
      <c r="W1524">
        <v>0.995</v>
      </c>
      <c r="X1524">
        <v>26001</v>
      </c>
      <c r="Y1524" t="s">
        <v>47</v>
      </c>
      <c r="Z1524">
        <v>26</v>
      </c>
      <c r="AA1524">
        <v>759</v>
      </c>
      <c r="AB1524" t="s">
        <v>75</v>
      </c>
      <c r="AC1524">
        <v>0.75800000000000001</v>
      </c>
      <c r="AD1524">
        <v>954</v>
      </c>
      <c r="AE1524" t="s">
        <v>48</v>
      </c>
      <c r="AF1524">
        <v>0.95299999999999996</v>
      </c>
      <c r="AG1524">
        <v>987</v>
      </c>
      <c r="AH1524" t="s">
        <v>80</v>
      </c>
      <c r="AI1524">
        <v>0.98599999999999999</v>
      </c>
      <c r="AJ1524" t="s">
        <v>1141</v>
      </c>
    </row>
    <row r="1525" spans="1:36" x14ac:dyDescent="0.25">
      <c r="A1525" t="s">
        <v>677</v>
      </c>
      <c r="B1525">
        <v>871216036</v>
      </c>
      <c r="C1525" t="s">
        <v>678</v>
      </c>
      <c r="D1525" t="s">
        <v>678</v>
      </c>
      <c r="E1525" t="s">
        <v>37</v>
      </c>
      <c r="F1525" t="s">
        <v>191</v>
      </c>
      <c r="I1525" t="s">
        <v>39</v>
      </c>
      <c r="J1525" t="s">
        <v>40</v>
      </c>
      <c r="K1525" t="s">
        <v>41</v>
      </c>
      <c r="L1525" t="s">
        <v>94</v>
      </c>
      <c r="M1525" t="s">
        <v>679</v>
      </c>
      <c r="N1525" t="s">
        <v>43</v>
      </c>
      <c r="O1525" t="s">
        <v>556</v>
      </c>
      <c r="P1525">
        <v>218</v>
      </c>
      <c r="Q1525">
        <v>218</v>
      </c>
      <c r="R1525">
        <v>1</v>
      </c>
      <c r="S1525" t="s">
        <v>45</v>
      </c>
      <c r="T1525">
        <v>0</v>
      </c>
      <c r="U1525">
        <v>994</v>
      </c>
      <c r="V1525" t="s">
        <v>46</v>
      </c>
      <c r="W1525">
        <v>0.99299999999999999</v>
      </c>
      <c r="X1525">
        <v>26001</v>
      </c>
      <c r="Y1525" t="s">
        <v>47</v>
      </c>
      <c r="Z1525">
        <v>26</v>
      </c>
      <c r="AA1525">
        <v>759</v>
      </c>
      <c r="AB1525" t="s">
        <v>75</v>
      </c>
      <c r="AC1525">
        <v>0.75800000000000001</v>
      </c>
      <c r="AD1525">
        <v>954</v>
      </c>
      <c r="AE1525" t="s">
        <v>48</v>
      </c>
      <c r="AF1525">
        <v>0.95299999999999996</v>
      </c>
      <c r="AG1525">
        <v>987</v>
      </c>
      <c r="AH1525" t="s">
        <v>80</v>
      </c>
      <c r="AI1525">
        <v>0.98599999999999999</v>
      </c>
      <c r="AJ1525" t="s">
        <v>1153</v>
      </c>
    </row>
    <row r="1526" spans="1:36" x14ac:dyDescent="0.25">
      <c r="A1526" t="s">
        <v>677</v>
      </c>
      <c r="B1526">
        <v>871216036</v>
      </c>
      <c r="C1526" t="s">
        <v>678</v>
      </c>
      <c r="D1526" t="s">
        <v>678</v>
      </c>
      <c r="E1526" t="s">
        <v>37</v>
      </c>
      <c r="F1526" t="s">
        <v>191</v>
      </c>
      <c r="I1526" t="s">
        <v>39</v>
      </c>
      <c r="J1526" t="s">
        <v>40</v>
      </c>
      <c r="K1526" t="s">
        <v>41</v>
      </c>
      <c r="L1526" t="s">
        <v>94</v>
      </c>
      <c r="M1526" t="s">
        <v>679</v>
      </c>
      <c r="N1526" t="s">
        <v>43</v>
      </c>
      <c r="O1526" t="s">
        <v>556</v>
      </c>
      <c r="P1526">
        <v>218</v>
      </c>
      <c r="Q1526">
        <v>218</v>
      </c>
      <c r="R1526">
        <v>1</v>
      </c>
      <c r="S1526" t="s">
        <v>45</v>
      </c>
      <c r="T1526">
        <v>0</v>
      </c>
      <c r="U1526">
        <v>994</v>
      </c>
      <c r="V1526" t="s">
        <v>46</v>
      </c>
      <c r="W1526">
        <v>0.99299999999999999</v>
      </c>
      <c r="X1526">
        <v>26001</v>
      </c>
      <c r="Y1526" t="s">
        <v>47</v>
      </c>
      <c r="Z1526">
        <v>26</v>
      </c>
      <c r="AA1526">
        <v>759</v>
      </c>
      <c r="AB1526" t="s">
        <v>75</v>
      </c>
      <c r="AC1526">
        <v>0.75800000000000001</v>
      </c>
      <c r="AD1526">
        <v>954</v>
      </c>
      <c r="AE1526" t="s">
        <v>48</v>
      </c>
      <c r="AF1526">
        <v>0.95299999999999996</v>
      </c>
      <c r="AG1526">
        <v>987</v>
      </c>
      <c r="AH1526" t="s">
        <v>80</v>
      </c>
      <c r="AI1526">
        <v>0.98599999999999999</v>
      </c>
      <c r="AJ1526" t="s">
        <v>1154</v>
      </c>
    </row>
    <row r="1527" spans="1:36" x14ac:dyDescent="0.25">
      <c r="A1527" t="s">
        <v>677</v>
      </c>
      <c r="B1527">
        <v>871216036</v>
      </c>
      <c r="C1527" t="s">
        <v>678</v>
      </c>
      <c r="D1527" t="s">
        <v>678</v>
      </c>
      <c r="E1527" t="s">
        <v>37</v>
      </c>
      <c r="F1527" t="s">
        <v>191</v>
      </c>
      <c r="I1527" t="s">
        <v>39</v>
      </c>
      <c r="J1527" t="s">
        <v>40</v>
      </c>
      <c r="K1527" t="s">
        <v>41</v>
      </c>
      <c r="L1527" t="s">
        <v>94</v>
      </c>
      <c r="M1527" t="s">
        <v>679</v>
      </c>
      <c r="N1527" t="s">
        <v>43</v>
      </c>
      <c r="O1527" t="s">
        <v>556</v>
      </c>
      <c r="P1527">
        <v>218</v>
      </c>
      <c r="Q1527">
        <v>218</v>
      </c>
      <c r="S1527" t="s">
        <v>39</v>
      </c>
      <c r="V1527" t="s">
        <v>39</v>
      </c>
      <c r="X1527">
        <v>26001</v>
      </c>
      <c r="Y1527" t="s">
        <v>47</v>
      </c>
      <c r="Z1527">
        <v>26</v>
      </c>
      <c r="AA1527">
        <v>759</v>
      </c>
      <c r="AB1527" t="s">
        <v>75</v>
      </c>
      <c r="AC1527">
        <v>0.75800000000000001</v>
      </c>
      <c r="AD1527">
        <v>954</v>
      </c>
      <c r="AE1527" t="s">
        <v>48</v>
      </c>
      <c r="AF1527">
        <v>0.95299999999999996</v>
      </c>
      <c r="AG1527">
        <v>987</v>
      </c>
      <c r="AH1527" t="s">
        <v>80</v>
      </c>
      <c r="AI1527">
        <v>0.98599999999999999</v>
      </c>
      <c r="AJ1527" t="s">
        <v>1155</v>
      </c>
    </row>
    <row r="1528" spans="1:36" x14ac:dyDescent="0.25">
      <c r="A1528" t="s">
        <v>91</v>
      </c>
      <c r="B1528">
        <v>872548050</v>
      </c>
      <c r="C1528" t="s">
        <v>92</v>
      </c>
      <c r="D1528" t="s">
        <v>92</v>
      </c>
      <c r="E1528" t="s">
        <v>65</v>
      </c>
      <c r="F1528" t="s">
        <v>93</v>
      </c>
      <c r="I1528" t="s">
        <v>39</v>
      </c>
      <c r="J1528" t="s">
        <v>40</v>
      </c>
      <c r="K1528" t="s">
        <v>41</v>
      </c>
      <c r="L1528" t="s">
        <v>94</v>
      </c>
      <c r="M1528" t="s">
        <v>95</v>
      </c>
      <c r="N1528" t="s">
        <v>43</v>
      </c>
      <c r="O1528" t="s">
        <v>96</v>
      </c>
      <c r="P1528">
        <v>218</v>
      </c>
      <c r="Q1528">
        <v>218</v>
      </c>
      <c r="S1528" t="s">
        <v>39</v>
      </c>
      <c r="V1528" t="s">
        <v>39</v>
      </c>
      <c r="X1528">
        <v>19001</v>
      </c>
      <c r="Y1528" t="s">
        <v>47</v>
      </c>
      <c r="Z1528">
        <v>19</v>
      </c>
      <c r="AA1528">
        <v>669</v>
      </c>
      <c r="AB1528" t="s">
        <v>75</v>
      </c>
      <c r="AC1528">
        <v>0.66800000000000004</v>
      </c>
      <c r="AD1528">
        <v>730</v>
      </c>
      <c r="AE1528" t="s">
        <v>48</v>
      </c>
      <c r="AF1528">
        <v>0.72899999999999998</v>
      </c>
      <c r="AG1528">
        <v>532</v>
      </c>
      <c r="AH1528" t="s">
        <v>49</v>
      </c>
      <c r="AI1528">
        <v>0.53100000000000003</v>
      </c>
      <c r="AJ1528" t="s">
        <v>1156</v>
      </c>
    </row>
    <row r="1529" spans="1:36" x14ac:dyDescent="0.25">
      <c r="A1529" t="s">
        <v>97</v>
      </c>
      <c r="B1529">
        <v>852756420</v>
      </c>
      <c r="C1529" t="s">
        <v>98</v>
      </c>
      <c r="D1529" t="s">
        <v>98</v>
      </c>
      <c r="E1529" t="s">
        <v>99</v>
      </c>
      <c r="F1529" t="s">
        <v>100</v>
      </c>
      <c r="I1529" t="s">
        <v>39</v>
      </c>
      <c r="J1529" t="s">
        <v>40</v>
      </c>
      <c r="K1529" t="s">
        <v>41</v>
      </c>
      <c r="L1529" t="s">
        <v>101</v>
      </c>
      <c r="M1529" t="s">
        <v>47</v>
      </c>
      <c r="N1529" t="s">
        <v>43</v>
      </c>
      <c r="O1529" t="s">
        <v>102</v>
      </c>
      <c r="P1529">
        <v>218</v>
      </c>
      <c r="Q1529">
        <v>218</v>
      </c>
      <c r="S1529" t="s">
        <v>39</v>
      </c>
      <c r="V1529" t="s">
        <v>39</v>
      </c>
      <c r="X1529">
        <v>1</v>
      </c>
      <c r="Y1529" t="s">
        <v>47</v>
      </c>
      <c r="Z1529">
        <v>0</v>
      </c>
      <c r="AA1529">
        <v>297</v>
      </c>
      <c r="AB1529" t="s">
        <v>47</v>
      </c>
      <c r="AC1529">
        <v>0.29599999999999999</v>
      </c>
      <c r="AD1529">
        <v>248</v>
      </c>
      <c r="AE1529" t="s">
        <v>56</v>
      </c>
      <c r="AF1529">
        <v>0.247</v>
      </c>
      <c r="AG1529">
        <v>49</v>
      </c>
      <c r="AH1529" t="s">
        <v>103</v>
      </c>
      <c r="AI1529">
        <v>4.8000000000000001E-2</v>
      </c>
      <c r="AJ1529" t="s">
        <v>1156</v>
      </c>
    </row>
    <row r="1530" spans="1:36" x14ac:dyDescent="0.25">
      <c r="A1530" t="s">
        <v>97</v>
      </c>
      <c r="B1530">
        <v>852756420</v>
      </c>
      <c r="C1530" t="s">
        <v>98</v>
      </c>
      <c r="D1530" t="s">
        <v>98</v>
      </c>
      <c r="E1530" t="s">
        <v>65</v>
      </c>
      <c r="F1530" t="s">
        <v>100</v>
      </c>
      <c r="I1530" t="s">
        <v>39</v>
      </c>
      <c r="J1530" t="s">
        <v>40</v>
      </c>
      <c r="K1530" t="s">
        <v>41</v>
      </c>
      <c r="L1530" t="s">
        <v>101</v>
      </c>
      <c r="M1530" t="s">
        <v>47</v>
      </c>
      <c r="N1530" t="s">
        <v>43</v>
      </c>
      <c r="O1530" t="s">
        <v>104</v>
      </c>
      <c r="P1530">
        <v>218</v>
      </c>
      <c r="Q1530">
        <v>218</v>
      </c>
      <c r="S1530" t="s">
        <v>39</v>
      </c>
      <c r="V1530" t="s">
        <v>39</v>
      </c>
      <c r="X1530">
        <v>1</v>
      </c>
      <c r="Y1530" t="s">
        <v>47</v>
      </c>
      <c r="Z1530">
        <v>0</v>
      </c>
      <c r="AA1530">
        <v>304</v>
      </c>
      <c r="AB1530" t="s">
        <v>47</v>
      </c>
      <c r="AC1530">
        <v>0.30299999999999999</v>
      </c>
      <c r="AD1530">
        <v>285</v>
      </c>
      <c r="AE1530" t="s">
        <v>56</v>
      </c>
      <c r="AF1530">
        <v>0.28399999999999997</v>
      </c>
      <c r="AG1530">
        <v>50</v>
      </c>
      <c r="AH1530" t="s">
        <v>103</v>
      </c>
      <c r="AI1530">
        <v>4.9000000000000002E-2</v>
      </c>
      <c r="AJ1530" t="s">
        <v>1156</v>
      </c>
    </row>
    <row r="1531" spans="1:36" x14ac:dyDescent="0.25">
      <c r="A1531" t="s">
        <v>86</v>
      </c>
      <c r="B1531">
        <v>881456077</v>
      </c>
      <c r="C1531" t="s">
        <v>87</v>
      </c>
      <c r="D1531" t="s">
        <v>87</v>
      </c>
      <c r="E1531" t="s">
        <v>60</v>
      </c>
      <c r="F1531" t="s">
        <v>88</v>
      </c>
      <c r="I1531" t="s">
        <v>39</v>
      </c>
      <c r="J1531" t="s">
        <v>40</v>
      </c>
      <c r="K1531" t="s">
        <v>41</v>
      </c>
      <c r="L1531" t="s">
        <v>89</v>
      </c>
      <c r="N1531" t="s">
        <v>43</v>
      </c>
      <c r="O1531" t="s">
        <v>90</v>
      </c>
      <c r="P1531">
        <v>219</v>
      </c>
      <c r="Q1531">
        <v>219</v>
      </c>
      <c r="S1531" t="s">
        <v>39</v>
      </c>
      <c r="V1531" t="s">
        <v>39</v>
      </c>
      <c r="X1531">
        <v>24001</v>
      </c>
      <c r="Y1531" t="s">
        <v>47</v>
      </c>
      <c r="Z1531">
        <v>24</v>
      </c>
      <c r="AA1531">
        <v>846</v>
      </c>
      <c r="AB1531" t="s">
        <v>75</v>
      </c>
      <c r="AC1531">
        <v>0.84499999999999997</v>
      </c>
      <c r="AD1531">
        <v>985</v>
      </c>
      <c r="AE1531" t="s">
        <v>48</v>
      </c>
      <c r="AF1531">
        <v>0.98399999999999999</v>
      </c>
      <c r="AG1531">
        <v>996</v>
      </c>
      <c r="AH1531" t="s">
        <v>80</v>
      </c>
      <c r="AI1531">
        <v>0.995</v>
      </c>
      <c r="AJ1531" t="s">
        <v>1156</v>
      </c>
    </row>
    <row r="1532" spans="1:36" x14ac:dyDescent="0.25">
      <c r="A1532" t="s">
        <v>674</v>
      </c>
      <c r="B1532">
        <v>869994293</v>
      </c>
      <c r="C1532" t="s">
        <v>675</v>
      </c>
      <c r="D1532" t="s">
        <v>675</v>
      </c>
      <c r="E1532" t="s">
        <v>37</v>
      </c>
      <c r="F1532" t="s">
        <v>127</v>
      </c>
      <c r="I1532" t="s">
        <v>39</v>
      </c>
      <c r="J1532" t="s">
        <v>40</v>
      </c>
      <c r="K1532" t="s">
        <v>41</v>
      </c>
      <c r="L1532" t="s">
        <v>78</v>
      </c>
      <c r="N1532" t="s">
        <v>43</v>
      </c>
      <c r="O1532" t="s">
        <v>676</v>
      </c>
      <c r="P1532">
        <v>220</v>
      </c>
      <c r="Q1532">
        <v>220</v>
      </c>
      <c r="R1532">
        <v>1</v>
      </c>
      <c r="S1532" t="s">
        <v>45</v>
      </c>
      <c r="T1532">
        <v>0</v>
      </c>
      <c r="U1532">
        <v>84</v>
      </c>
      <c r="V1532" t="s">
        <v>55</v>
      </c>
      <c r="W1532">
        <v>8.3000000000000004E-2</v>
      </c>
      <c r="X1532">
        <v>16001</v>
      </c>
      <c r="Y1532" t="s">
        <v>47</v>
      </c>
      <c r="Z1532">
        <v>16</v>
      </c>
      <c r="AA1532">
        <v>152</v>
      </c>
      <c r="AB1532" t="s">
        <v>47</v>
      </c>
      <c r="AC1532">
        <v>0.151</v>
      </c>
      <c r="AD1532">
        <v>329</v>
      </c>
      <c r="AE1532" t="s">
        <v>56</v>
      </c>
      <c r="AF1532">
        <v>0.32800000000000001</v>
      </c>
      <c r="AG1532">
        <v>52</v>
      </c>
      <c r="AH1532" t="s">
        <v>103</v>
      </c>
      <c r="AI1532">
        <v>5.0999999999999997E-2</v>
      </c>
      <c r="AJ1532" t="s">
        <v>50</v>
      </c>
    </row>
    <row r="1533" spans="1:36" x14ac:dyDescent="0.25">
      <c r="A1533" t="s">
        <v>674</v>
      </c>
      <c r="B1533">
        <v>869994293</v>
      </c>
      <c r="C1533" t="s">
        <v>675</v>
      </c>
      <c r="D1533" t="s">
        <v>675</v>
      </c>
      <c r="E1533" t="s">
        <v>37</v>
      </c>
      <c r="F1533" t="s">
        <v>127</v>
      </c>
      <c r="I1533" t="s">
        <v>39</v>
      </c>
      <c r="J1533" t="s">
        <v>40</v>
      </c>
      <c r="K1533" t="s">
        <v>41</v>
      </c>
      <c r="L1533" t="s">
        <v>78</v>
      </c>
      <c r="N1533" t="s">
        <v>43</v>
      </c>
      <c r="O1533" t="s">
        <v>676</v>
      </c>
      <c r="P1533">
        <v>220</v>
      </c>
      <c r="Q1533">
        <v>220</v>
      </c>
      <c r="R1533">
        <v>11</v>
      </c>
      <c r="S1533" t="s">
        <v>45</v>
      </c>
      <c r="T1533">
        <v>0.01</v>
      </c>
      <c r="U1533">
        <v>18</v>
      </c>
      <c r="V1533" t="s">
        <v>55</v>
      </c>
      <c r="W1533">
        <v>1.7000000000000001E-2</v>
      </c>
      <c r="X1533">
        <v>16001</v>
      </c>
      <c r="Y1533" t="s">
        <v>47</v>
      </c>
      <c r="Z1533">
        <v>16</v>
      </c>
      <c r="AA1533">
        <v>152</v>
      </c>
      <c r="AB1533" t="s">
        <v>47</v>
      </c>
      <c r="AC1533">
        <v>0.151</v>
      </c>
      <c r="AD1533">
        <v>329</v>
      </c>
      <c r="AE1533" t="s">
        <v>56</v>
      </c>
      <c r="AF1533">
        <v>0.32800000000000001</v>
      </c>
      <c r="AG1533">
        <v>52</v>
      </c>
      <c r="AH1533" t="s">
        <v>103</v>
      </c>
      <c r="AI1533">
        <v>5.0999999999999997E-2</v>
      </c>
      <c r="AJ1533" t="s">
        <v>1141</v>
      </c>
    </row>
    <row r="1534" spans="1:36" x14ac:dyDescent="0.25">
      <c r="A1534" t="s">
        <v>674</v>
      </c>
      <c r="B1534">
        <v>869994293</v>
      </c>
      <c r="C1534" t="s">
        <v>675</v>
      </c>
      <c r="D1534" t="s">
        <v>675</v>
      </c>
      <c r="E1534" t="s">
        <v>37</v>
      </c>
      <c r="F1534" t="s">
        <v>127</v>
      </c>
      <c r="I1534" t="s">
        <v>39</v>
      </c>
      <c r="J1534" t="s">
        <v>40</v>
      </c>
      <c r="K1534" t="s">
        <v>41</v>
      </c>
      <c r="L1534" t="s">
        <v>78</v>
      </c>
      <c r="N1534" t="s">
        <v>43</v>
      </c>
      <c r="O1534" t="s">
        <v>676</v>
      </c>
      <c r="P1534">
        <v>220</v>
      </c>
      <c r="Q1534">
        <v>220</v>
      </c>
      <c r="R1534">
        <v>1</v>
      </c>
      <c r="S1534" t="s">
        <v>45</v>
      </c>
      <c r="T1534">
        <v>0</v>
      </c>
      <c r="U1534">
        <v>84</v>
      </c>
      <c r="V1534" t="s">
        <v>55</v>
      </c>
      <c r="W1534">
        <v>8.3000000000000004E-2</v>
      </c>
      <c r="X1534">
        <v>16001</v>
      </c>
      <c r="Y1534" t="s">
        <v>47</v>
      </c>
      <c r="Z1534">
        <v>16</v>
      </c>
      <c r="AA1534">
        <v>152</v>
      </c>
      <c r="AB1534" t="s">
        <v>47</v>
      </c>
      <c r="AC1534">
        <v>0.151</v>
      </c>
      <c r="AD1534">
        <v>329</v>
      </c>
      <c r="AE1534" t="s">
        <v>56</v>
      </c>
      <c r="AF1534">
        <v>0.32800000000000001</v>
      </c>
      <c r="AG1534">
        <v>52</v>
      </c>
      <c r="AH1534" t="s">
        <v>103</v>
      </c>
      <c r="AI1534">
        <v>5.0999999999999997E-2</v>
      </c>
      <c r="AJ1534" t="s">
        <v>1153</v>
      </c>
    </row>
    <row r="1535" spans="1:36" x14ac:dyDescent="0.25">
      <c r="A1535" t="s">
        <v>674</v>
      </c>
      <c r="B1535">
        <v>869994293</v>
      </c>
      <c r="C1535" t="s">
        <v>675</v>
      </c>
      <c r="D1535" t="s">
        <v>675</v>
      </c>
      <c r="E1535" t="s">
        <v>37</v>
      </c>
      <c r="F1535" t="s">
        <v>127</v>
      </c>
      <c r="I1535" t="s">
        <v>39</v>
      </c>
      <c r="J1535" t="s">
        <v>40</v>
      </c>
      <c r="K1535" t="s">
        <v>41</v>
      </c>
      <c r="L1535" t="s">
        <v>78</v>
      </c>
      <c r="N1535" t="s">
        <v>43</v>
      </c>
      <c r="O1535" t="s">
        <v>676</v>
      </c>
      <c r="P1535">
        <v>220</v>
      </c>
      <c r="Q1535">
        <v>220</v>
      </c>
      <c r="R1535">
        <v>1</v>
      </c>
      <c r="S1535" t="s">
        <v>45</v>
      </c>
      <c r="T1535">
        <v>0</v>
      </c>
      <c r="U1535">
        <v>84</v>
      </c>
      <c r="V1535" t="s">
        <v>55</v>
      </c>
      <c r="W1535">
        <v>8.3000000000000004E-2</v>
      </c>
      <c r="X1535">
        <v>16001</v>
      </c>
      <c r="Y1535" t="s">
        <v>47</v>
      </c>
      <c r="Z1535">
        <v>16</v>
      </c>
      <c r="AA1535">
        <v>152</v>
      </c>
      <c r="AB1535" t="s">
        <v>47</v>
      </c>
      <c r="AC1535">
        <v>0.151</v>
      </c>
      <c r="AD1535">
        <v>329</v>
      </c>
      <c r="AE1535" t="s">
        <v>56</v>
      </c>
      <c r="AF1535">
        <v>0.32800000000000001</v>
      </c>
      <c r="AG1535">
        <v>52</v>
      </c>
      <c r="AH1535" t="s">
        <v>103</v>
      </c>
      <c r="AI1535">
        <v>5.0999999999999997E-2</v>
      </c>
      <c r="AJ1535" t="s">
        <v>1154</v>
      </c>
    </row>
    <row r="1536" spans="1:36" x14ac:dyDescent="0.25">
      <c r="A1536" t="s">
        <v>674</v>
      </c>
      <c r="B1536">
        <v>869994293</v>
      </c>
      <c r="C1536" t="s">
        <v>675</v>
      </c>
      <c r="D1536" t="s">
        <v>675</v>
      </c>
      <c r="E1536" t="s">
        <v>37</v>
      </c>
      <c r="F1536" t="s">
        <v>127</v>
      </c>
      <c r="I1536" t="s">
        <v>39</v>
      </c>
      <c r="J1536" t="s">
        <v>40</v>
      </c>
      <c r="K1536" t="s">
        <v>41</v>
      </c>
      <c r="L1536" t="s">
        <v>78</v>
      </c>
      <c r="N1536" t="s">
        <v>43</v>
      </c>
      <c r="O1536" t="s">
        <v>676</v>
      </c>
      <c r="P1536">
        <v>220</v>
      </c>
      <c r="Q1536">
        <v>220</v>
      </c>
      <c r="S1536" t="s">
        <v>39</v>
      </c>
      <c r="V1536" t="s">
        <v>39</v>
      </c>
      <c r="X1536">
        <v>16001</v>
      </c>
      <c r="Y1536" t="s">
        <v>47</v>
      </c>
      <c r="Z1536">
        <v>16</v>
      </c>
      <c r="AA1536">
        <v>152</v>
      </c>
      <c r="AB1536" t="s">
        <v>47</v>
      </c>
      <c r="AC1536">
        <v>0.151</v>
      </c>
      <c r="AD1536">
        <v>329</v>
      </c>
      <c r="AE1536" t="s">
        <v>56</v>
      </c>
      <c r="AF1536">
        <v>0.32800000000000001</v>
      </c>
      <c r="AG1536">
        <v>52</v>
      </c>
      <c r="AH1536" t="s">
        <v>103</v>
      </c>
      <c r="AI1536">
        <v>5.0999999999999997E-2</v>
      </c>
      <c r="AJ1536" t="s">
        <v>1155</v>
      </c>
    </row>
    <row r="1537" spans="1:36" x14ac:dyDescent="0.25">
      <c r="A1537" t="s">
        <v>671</v>
      </c>
      <c r="B1537">
        <v>853288233</v>
      </c>
      <c r="C1537" t="s">
        <v>672</v>
      </c>
      <c r="D1537" t="s">
        <v>672</v>
      </c>
      <c r="E1537" t="s">
        <v>60</v>
      </c>
      <c r="F1537" t="s">
        <v>61</v>
      </c>
      <c r="I1537" t="s">
        <v>39</v>
      </c>
      <c r="J1537" t="s">
        <v>40</v>
      </c>
      <c r="K1537" t="s">
        <v>41</v>
      </c>
      <c r="L1537" t="s">
        <v>673</v>
      </c>
      <c r="N1537" t="s">
        <v>43</v>
      </c>
      <c r="O1537" t="s">
        <v>180</v>
      </c>
      <c r="P1537">
        <v>221</v>
      </c>
      <c r="Q1537">
        <v>221</v>
      </c>
      <c r="R1537">
        <v>1</v>
      </c>
      <c r="S1537" t="s">
        <v>45</v>
      </c>
      <c r="T1537">
        <v>0</v>
      </c>
      <c r="U1537">
        <v>194</v>
      </c>
      <c r="V1537" t="s">
        <v>55</v>
      </c>
      <c r="W1537">
        <v>0.193</v>
      </c>
      <c r="X1537">
        <v>19001</v>
      </c>
      <c r="Y1537" t="s">
        <v>47</v>
      </c>
      <c r="Z1537">
        <v>19</v>
      </c>
      <c r="AA1537">
        <v>610</v>
      </c>
      <c r="AB1537" t="s">
        <v>75</v>
      </c>
      <c r="AC1537">
        <v>0.60899999999999999</v>
      </c>
      <c r="AD1537">
        <v>623</v>
      </c>
      <c r="AE1537" t="s">
        <v>48</v>
      </c>
      <c r="AF1537">
        <v>0.622</v>
      </c>
      <c r="AG1537">
        <v>917</v>
      </c>
      <c r="AH1537" t="s">
        <v>49</v>
      </c>
      <c r="AI1537">
        <v>0.91600000000000004</v>
      </c>
      <c r="AJ1537" t="s">
        <v>50</v>
      </c>
    </row>
    <row r="1538" spans="1:36" x14ac:dyDescent="0.25">
      <c r="A1538" t="s">
        <v>671</v>
      </c>
      <c r="B1538">
        <v>853288233</v>
      </c>
      <c r="C1538" t="s">
        <v>672</v>
      </c>
      <c r="D1538" t="s">
        <v>672</v>
      </c>
      <c r="E1538" t="s">
        <v>60</v>
      </c>
      <c r="F1538" t="s">
        <v>61</v>
      </c>
      <c r="I1538" t="s">
        <v>39</v>
      </c>
      <c r="J1538" t="s">
        <v>40</v>
      </c>
      <c r="K1538" t="s">
        <v>41</v>
      </c>
      <c r="L1538" t="s">
        <v>673</v>
      </c>
      <c r="N1538" t="s">
        <v>43</v>
      </c>
      <c r="O1538" t="s">
        <v>180</v>
      </c>
      <c r="P1538">
        <v>221</v>
      </c>
      <c r="Q1538">
        <v>221</v>
      </c>
      <c r="R1538">
        <v>1</v>
      </c>
      <c r="S1538" t="s">
        <v>45</v>
      </c>
      <c r="T1538">
        <v>0</v>
      </c>
      <c r="U1538">
        <v>326</v>
      </c>
      <c r="V1538" t="s">
        <v>55</v>
      </c>
      <c r="W1538">
        <v>0.32500000000000001</v>
      </c>
      <c r="X1538">
        <v>19001</v>
      </c>
      <c r="Y1538" t="s">
        <v>47</v>
      </c>
      <c r="Z1538">
        <v>19</v>
      </c>
      <c r="AA1538">
        <v>610</v>
      </c>
      <c r="AB1538" t="s">
        <v>75</v>
      </c>
      <c r="AC1538">
        <v>0.60899999999999999</v>
      </c>
      <c r="AD1538">
        <v>623</v>
      </c>
      <c r="AE1538" t="s">
        <v>48</v>
      </c>
      <c r="AF1538">
        <v>0.622</v>
      </c>
      <c r="AG1538">
        <v>917</v>
      </c>
      <c r="AH1538" t="s">
        <v>49</v>
      </c>
      <c r="AI1538">
        <v>0.91600000000000004</v>
      </c>
      <c r="AJ1538" t="s">
        <v>1141</v>
      </c>
    </row>
    <row r="1539" spans="1:36" x14ac:dyDescent="0.25">
      <c r="A1539" t="s">
        <v>671</v>
      </c>
      <c r="B1539">
        <v>853288233</v>
      </c>
      <c r="C1539" t="s">
        <v>672</v>
      </c>
      <c r="D1539" t="s">
        <v>672</v>
      </c>
      <c r="E1539" t="s">
        <v>60</v>
      </c>
      <c r="F1539" t="s">
        <v>61</v>
      </c>
      <c r="I1539" t="s">
        <v>39</v>
      </c>
      <c r="J1539" t="s">
        <v>40</v>
      </c>
      <c r="K1539" t="s">
        <v>41</v>
      </c>
      <c r="L1539" t="s">
        <v>673</v>
      </c>
      <c r="N1539" t="s">
        <v>43</v>
      </c>
      <c r="O1539" t="s">
        <v>180</v>
      </c>
      <c r="P1539">
        <v>221</v>
      </c>
      <c r="Q1539">
        <v>221</v>
      </c>
      <c r="R1539">
        <v>1</v>
      </c>
      <c r="S1539" t="s">
        <v>45</v>
      </c>
      <c r="T1539">
        <v>0</v>
      </c>
      <c r="U1539">
        <v>194</v>
      </c>
      <c r="V1539" t="s">
        <v>55</v>
      </c>
      <c r="W1539">
        <v>0.193</v>
      </c>
      <c r="X1539">
        <v>19001</v>
      </c>
      <c r="Y1539" t="s">
        <v>47</v>
      </c>
      <c r="Z1539">
        <v>19</v>
      </c>
      <c r="AA1539">
        <v>610</v>
      </c>
      <c r="AB1539" t="s">
        <v>75</v>
      </c>
      <c r="AC1539">
        <v>0.60899999999999999</v>
      </c>
      <c r="AD1539">
        <v>623</v>
      </c>
      <c r="AE1539" t="s">
        <v>48</v>
      </c>
      <c r="AF1539">
        <v>0.622</v>
      </c>
      <c r="AG1539">
        <v>917</v>
      </c>
      <c r="AH1539" t="s">
        <v>49</v>
      </c>
      <c r="AI1539">
        <v>0.91600000000000004</v>
      </c>
      <c r="AJ1539" t="s">
        <v>1153</v>
      </c>
    </row>
    <row r="1540" spans="1:36" x14ac:dyDescent="0.25">
      <c r="A1540" t="s">
        <v>671</v>
      </c>
      <c r="B1540">
        <v>853288233</v>
      </c>
      <c r="C1540" t="s">
        <v>672</v>
      </c>
      <c r="D1540" t="s">
        <v>672</v>
      </c>
      <c r="E1540" t="s">
        <v>60</v>
      </c>
      <c r="F1540" t="s">
        <v>61</v>
      </c>
      <c r="I1540" t="s">
        <v>39</v>
      </c>
      <c r="J1540" t="s">
        <v>40</v>
      </c>
      <c r="K1540" t="s">
        <v>41</v>
      </c>
      <c r="L1540" t="s">
        <v>673</v>
      </c>
      <c r="N1540" t="s">
        <v>43</v>
      </c>
      <c r="O1540" t="s">
        <v>180</v>
      </c>
      <c r="P1540">
        <v>221</v>
      </c>
      <c r="Q1540">
        <v>221</v>
      </c>
      <c r="R1540">
        <v>1</v>
      </c>
      <c r="S1540" t="s">
        <v>45</v>
      </c>
      <c r="T1540">
        <v>0</v>
      </c>
      <c r="U1540">
        <v>194</v>
      </c>
      <c r="V1540" t="s">
        <v>55</v>
      </c>
      <c r="W1540">
        <v>0.193</v>
      </c>
      <c r="X1540">
        <v>19001</v>
      </c>
      <c r="Y1540" t="s">
        <v>47</v>
      </c>
      <c r="Z1540">
        <v>19</v>
      </c>
      <c r="AA1540">
        <v>610</v>
      </c>
      <c r="AB1540" t="s">
        <v>75</v>
      </c>
      <c r="AC1540">
        <v>0.60899999999999999</v>
      </c>
      <c r="AD1540">
        <v>623</v>
      </c>
      <c r="AE1540" t="s">
        <v>48</v>
      </c>
      <c r="AF1540">
        <v>0.622</v>
      </c>
      <c r="AG1540">
        <v>917</v>
      </c>
      <c r="AH1540" t="s">
        <v>49</v>
      </c>
      <c r="AI1540">
        <v>0.91600000000000004</v>
      </c>
      <c r="AJ1540" t="s">
        <v>1154</v>
      </c>
    </row>
    <row r="1541" spans="1:36" x14ac:dyDescent="0.25">
      <c r="A1541" t="s">
        <v>671</v>
      </c>
      <c r="B1541">
        <v>853288233</v>
      </c>
      <c r="C1541" t="s">
        <v>672</v>
      </c>
      <c r="D1541" t="s">
        <v>672</v>
      </c>
      <c r="E1541" t="s">
        <v>60</v>
      </c>
      <c r="F1541" t="s">
        <v>61</v>
      </c>
      <c r="I1541" t="s">
        <v>39</v>
      </c>
      <c r="J1541" t="s">
        <v>40</v>
      </c>
      <c r="K1541" t="s">
        <v>41</v>
      </c>
      <c r="L1541" t="s">
        <v>673</v>
      </c>
      <c r="N1541" t="s">
        <v>43</v>
      </c>
      <c r="O1541" t="s">
        <v>180</v>
      </c>
      <c r="P1541">
        <v>221</v>
      </c>
      <c r="Q1541">
        <v>221</v>
      </c>
      <c r="S1541" t="s">
        <v>39</v>
      </c>
      <c r="V1541" t="s">
        <v>39</v>
      </c>
      <c r="X1541">
        <v>19001</v>
      </c>
      <c r="Y1541" t="s">
        <v>47</v>
      </c>
      <c r="Z1541">
        <v>19</v>
      </c>
      <c r="AA1541">
        <v>610</v>
      </c>
      <c r="AB1541" t="s">
        <v>75</v>
      </c>
      <c r="AC1541">
        <v>0.60899999999999999</v>
      </c>
      <c r="AD1541">
        <v>623</v>
      </c>
      <c r="AE1541" t="s">
        <v>48</v>
      </c>
      <c r="AF1541">
        <v>0.622</v>
      </c>
      <c r="AG1541">
        <v>917</v>
      </c>
      <c r="AH1541" t="s">
        <v>49</v>
      </c>
      <c r="AI1541">
        <v>0.91600000000000004</v>
      </c>
      <c r="AJ1541" t="s">
        <v>1155</v>
      </c>
    </row>
    <row r="1542" spans="1:36" x14ac:dyDescent="0.25">
      <c r="A1542" t="s">
        <v>81</v>
      </c>
      <c r="B1542">
        <v>869699185</v>
      </c>
      <c r="C1542" t="s">
        <v>82</v>
      </c>
      <c r="D1542" t="s">
        <v>82</v>
      </c>
      <c r="E1542" t="s">
        <v>65</v>
      </c>
      <c r="F1542" t="s">
        <v>83</v>
      </c>
      <c r="I1542" t="s">
        <v>39</v>
      </c>
      <c r="J1542" t="s">
        <v>40</v>
      </c>
      <c r="K1542" t="s">
        <v>41</v>
      </c>
      <c r="L1542" t="s">
        <v>42</v>
      </c>
      <c r="N1542" t="s">
        <v>43</v>
      </c>
      <c r="O1542" t="s">
        <v>84</v>
      </c>
      <c r="P1542">
        <v>222</v>
      </c>
      <c r="Q1542">
        <v>222</v>
      </c>
      <c r="S1542" t="s">
        <v>39</v>
      </c>
      <c r="V1542" t="s">
        <v>39</v>
      </c>
      <c r="X1542">
        <v>13001</v>
      </c>
      <c r="Y1542" t="s">
        <v>47</v>
      </c>
      <c r="Z1542">
        <v>13</v>
      </c>
      <c r="AA1542">
        <v>307</v>
      </c>
      <c r="AB1542" t="s">
        <v>47</v>
      </c>
      <c r="AC1542">
        <v>0.30599999999999999</v>
      </c>
      <c r="AD1542">
        <v>478</v>
      </c>
      <c r="AE1542" t="s">
        <v>56</v>
      </c>
      <c r="AF1542">
        <v>0.47699999999999998</v>
      </c>
      <c r="AG1542">
        <v>757</v>
      </c>
      <c r="AH1542" t="s">
        <v>49</v>
      </c>
      <c r="AI1542">
        <v>0.75600000000000001</v>
      </c>
      <c r="AJ1542" t="s">
        <v>1156</v>
      </c>
    </row>
    <row r="1543" spans="1:36" x14ac:dyDescent="0.25">
      <c r="A1543" t="s">
        <v>81</v>
      </c>
      <c r="B1543">
        <v>869699185</v>
      </c>
      <c r="C1543" t="s">
        <v>82</v>
      </c>
      <c r="D1543" t="s">
        <v>82</v>
      </c>
      <c r="E1543" t="s">
        <v>60</v>
      </c>
      <c r="F1543" t="s">
        <v>83</v>
      </c>
      <c r="I1543" t="s">
        <v>39</v>
      </c>
      <c r="J1543" t="s">
        <v>40</v>
      </c>
      <c r="K1543" t="s">
        <v>41</v>
      </c>
      <c r="L1543" t="s">
        <v>42</v>
      </c>
      <c r="N1543" t="s">
        <v>43</v>
      </c>
      <c r="O1543" t="s">
        <v>85</v>
      </c>
      <c r="P1543">
        <v>222</v>
      </c>
      <c r="Q1543">
        <v>222</v>
      </c>
      <c r="S1543" t="s">
        <v>39</v>
      </c>
      <c r="V1543" t="s">
        <v>39</v>
      </c>
      <c r="X1543">
        <v>10001</v>
      </c>
      <c r="Y1543" t="s">
        <v>47</v>
      </c>
      <c r="Z1543">
        <v>10</v>
      </c>
      <c r="AA1543">
        <v>262</v>
      </c>
      <c r="AB1543" t="s">
        <v>47</v>
      </c>
      <c r="AC1543">
        <v>0.26100000000000001</v>
      </c>
      <c r="AD1543">
        <v>451</v>
      </c>
      <c r="AE1543" t="s">
        <v>56</v>
      </c>
      <c r="AF1543">
        <v>0.45</v>
      </c>
      <c r="AG1543">
        <v>418</v>
      </c>
      <c r="AH1543" t="s">
        <v>57</v>
      </c>
      <c r="AI1543">
        <v>0.41699999999999998</v>
      </c>
      <c r="AJ1543" t="s">
        <v>1156</v>
      </c>
    </row>
    <row r="1544" spans="1:36" x14ac:dyDescent="0.25">
      <c r="A1544" t="s">
        <v>669</v>
      </c>
      <c r="B1544">
        <v>872683673</v>
      </c>
      <c r="C1544" t="s">
        <v>670</v>
      </c>
      <c r="D1544" t="s">
        <v>670</v>
      </c>
      <c r="E1544" t="s">
        <v>65</v>
      </c>
      <c r="F1544" t="s">
        <v>93</v>
      </c>
      <c r="I1544" t="s">
        <v>39</v>
      </c>
      <c r="J1544" t="s">
        <v>40</v>
      </c>
      <c r="K1544" t="s">
        <v>41</v>
      </c>
      <c r="L1544" t="s">
        <v>72</v>
      </c>
      <c r="M1544" t="s">
        <v>47</v>
      </c>
      <c r="N1544" t="s">
        <v>43</v>
      </c>
      <c r="O1544" t="s">
        <v>483</v>
      </c>
      <c r="P1544">
        <v>222</v>
      </c>
      <c r="Q1544">
        <v>222</v>
      </c>
      <c r="R1544">
        <v>21</v>
      </c>
      <c r="S1544" t="s">
        <v>45</v>
      </c>
      <c r="T1544">
        <v>0.02</v>
      </c>
      <c r="U1544">
        <v>930</v>
      </c>
      <c r="V1544" t="s">
        <v>46</v>
      </c>
      <c r="W1544">
        <v>0.92900000000000005</v>
      </c>
      <c r="X1544">
        <v>23001</v>
      </c>
      <c r="Y1544" t="s">
        <v>47</v>
      </c>
      <c r="Z1544">
        <v>23</v>
      </c>
      <c r="AA1544">
        <v>948</v>
      </c>
      <c r="AB1544" t="s">
        <v>75</v>
      </c>
      <c r="AC1544">
        <v>0.94699999999999995</v>
      </c>
      <c r="AD1544">
        <v>967</v>
      </c>
      <c r="AE1544" t="s">
        <v>48</v>
      </c>
      <c r="AF1544">
        <v>0.96599999999999997</v>
      </c>
      <c r="AG1544">
        <v>972</v>
      </c>
      <c r="AH1544" t="s">
        <v>80</v>
      </c>
      <c r="AI1544">
        <v>0.97099999999999997</v>
      </c>
      <c r="AJ1544" t="s">
        <v>50</v>
      </c>
    </row>
    <row r="1545" spans="1:36" x14ac:dyDescent="0.25">
      <c r="A1545" t="s">
        <v>669</v>
      </c>
      <c r="B1545">
        <v>872683673</v>
      </c>
      <c r="C1545" t="s">
        <v>670</v>
      </c>
      <c r="D1545" t="s">
        <v>670</v>
      </c>
      <c r="E1545" t="s">
        <v>65</v>
      </c>
      <c r="F1545" t="s">
        <v>93</v>
      </c>
      <c r="I1545" t="s">
        <v>39</v>
      </c>
      <c r="J1545" t="s">
        <v>40</v>
      </c>
      <c r="K1545" t="s">
        <v>41</v>
      </c>
      <c r="L1545" t="s">
        <v>72</v>
      </c>
      <c r="M1545" t="s">
        <v>47</v>
      </c>
      <c r="N1545" t="s">
        <v>43</v>
      </c>
      <c r="O1545" t="s">
        <v>483</v>
      </c>
      <c r="P1545">
        <v>222</v>
      </c>
      <c r="Q1545">
        <v>222</v>
      </c>
      <c r="R1545">
        <v>41</v>
      </c>
      <c r="S1545" t="s">
        <v>45</v>
      </c>
      <c r="T1545">
        <v>0.04</v>
      </c>
      <c r="U1545">
        <v>953</v>
      </c>
      <c r="V1545" t="s">
        <v>46</v>
      </c>
      <c r="W1545">
        <v>0.95199999999999996</v>
      </c>
      <c r="X1545">
        <v>23001</v>
      </c>
      <c r="Y1545" t="s">
        <v>47</v>
      </c>
      <c r="Z1545">
        <v>23</v>
      </c>
      <c r="AA1545">
        <v>948</v>
      </c>
      <c r="AB1545" t="s">
        <v>75</v>
      </c>
      <c r="AC1545">
        <v>0.94699999999999995</v>
      </c>
      <c r="AD1545">
        <v>967</v>
      </c>
      <c r="AE1545" t="s">
        <v>48</v>
      </c>
      <c r="AF1545">
        <v>0.96599999999999997</v>
      </c>
      <c r="AG1545">
        <v>972</v>
      </c>
      <c r="AH1545" t="s">
        <v>80</v>
      </c>
      <c r="AI1545">
        <v>0.97099999999999997</v>
      </c>
      <c r="AJ1545" t="s">
        <v>1141</v>
      </c>
    </row>
    <row r="1546" spans="1:36" x14ac:dyDescent="0.25">
      <c r="A1546" t="s">
        <v>669</v>
      </c>
      <c r="B1546">
        <v>872683673</v>
      </c>
      <c r="C1546" t="s">
        <v>670</v>
      </c>
      <c r="D1546" t="s">
        <v>670</v>
      </c>
      <c r="E1546" t="s">
        <v>65</v>
      </c>
      <c r="F1546" t="s">
        <v>93</v>
      </c>
      <c r="I1546" t="s">
        <v>39</v>
      </c>
      <c r="J1546" t="s">
        <v>40</v>
      </c>
      <c r="K1546" t="s">
        <v>41</v>
      </c>
      <c r="L1546" t="s">
        <v>72</v>
      </c>
      <c r="M1546" t="s">
        <v>47</v>
      </c>
      <c r="N1546" t="s">
        <v>43</v>
      </c>
      <c r="O1546" t="s">
        <v>483</v>
      </c>
      <c r="P1546">
        <v>222</v>
      </c>
      <c r="Q1546">
        <v>222</v>
      </c>
      <c r="R1546">
        <v>21</v>
      </c>
      <c r="S1546" t="s">
        <v>45</v>
      </c>
      <c r="T1546">
        <v>0.02</v>
      </c>
      <c r="U1546">
        <v>930</v>
      </c>
      <c r="V1546" t="s">
        <v>46</v>
      </c>
      <c r="W1546">
        <v>0.92900000000000005</v>
      </c>
      <c r="X1546">
        <v>23001</v>
      </c>
      <c r="Y1546" t="s">
        <v>47</v>
      </c>
      <c r="Z1546">
        <v>23</v>
      </c>
      <c r="AA1546">
        <v>948</v>
      </c>
      <c r="AB1546" t="s">
        <v>75</v>
      </c>
      <c r="AC1546">
        <v>0.94699999999999995</v>
      </c>
      <c r="AD1546">
        <v>967</v>
      </c>
      <c r="AE1546" t="s">
        <v>48</v>
      </c>
      <c r="AF1546">
        <v>0.96599999999999997</v>
      </c>
      <c r="AG1546">
        <v>972</v>
      </c>
      <c r="AH1546" t="s">
        <v>80</v>
      </c>
      <c r="AI1546">
        <v>0.97099999999999997</v>
      </c>
      <c r="AJ1546" t="s">
        <v>1153</v>
      </c>
    </row>
    <row r="1547" spans="1:36" x14ac:dyDescent="0.25">
      <c r="A1547" t="s">
        <v>669</v>
      </c>
      <c r="B1547">
        <v>872683673</v>
      </c>
      <c r="C1547" t="s">
        <v>670</v>
      </c>
      <c r="D1547" t="s">
        <v>670</v>
      </c>
      <c r="E1547" t="s">
        <v>65</v>
      </c>
      <c r="F1547" t="s">
        <v>93</v>
      </c>
      <c r="I1547" t="s">
        <v>39</v>
      </c>
      <c r="J1547" t="s">
        <v>40</v>
      </c>
      <c r="K1547" t="s">
        <v>41</v>
      </c>
      <c r="L1547" t="s">
        <v>72</v>
      </c>
      <c r="M1547" t="s">
        <v>47</v>
      </c>
      <c r="N1547" t="s">
        <v>43</v>
      </c>
      <c r="O1547" t="s">
        <v>483</v>
      </c>
      <c r="P1547">
        <v>222</v>
      </c>
      <c r="Q1547">
        <v>222</v>
      </c>
      <c r="R1547">
        <v>21</v>
      </c>
      <c r="S1547" t="s">
        <v>45</v>
      </c>
      <c r="T1547">
        <v>0.02</v>
      </c>
      <c r="U1547">
        <v>930</v>
      </c>
      <c r="V1547" t="s">
        <v>46</v>
      </c>
      <c r="W1547">
        <v>0.92900000000000005</v>
      </c>
      <c r="X1547">
        <v>23001</v>
      </c>
      <c r="Y1547" t="s">
        <v>47</v>
      </c>
      <c r="Z1547">
        <v>23</v>
      </c>
      <c r="AA1547">
        <v>948</v>
      </c>
      <c r="AB1547" t="s">
        <v>75</v>
      </c>
      <c r="AC1547">
        <v>0.94699999999999995</v>
      </c>
      <c r="AD1547">
        <v>967</v>
      </c>
      <c r="AE1547" t="s">
        <v>48</v>
      </c>
      <c r="AF1547">
        <v>0.96599999999999997</v>
      </c>
      <c r="AG1547">
        <v>972</v>
      </c>
      <c r="AH1547" t="s">
        <v>80</v>
      </c>
      <c r="AI1547">
        <v>0.97099999999999997</v>
      </c>
      <c r="AJ1547" t="s">
        <v>1154</v>
      </c>
    </row>
    <row r="1548" spans="1:36" x14ac:dyDescent="0.25">
      <c r="A1548" t="s">
        <v>669</v>
      </c>
      <c r="B1548">
        <v>872683673</v>
      </c>
      <c r="C1548" t="s">
        <v>670</v>
      </c>
      <c r="D1548" t="s">
        <v>670</v>
      </c>
      <c r="E1548" t="s">
        <v>65</v>
      </c>
      <c r="F1548" t="s">
        <v>93</v>
      </c>
      <c r="I1548" t="s">
        <v>39</v>
      </c>
      <c r="J1548" t="s">
        <v>40</v>
      </c>
      <c r="K1548" t="s">
        <v>41</v>
      </c>
      <c r="L1548" t="s">
        <v>72</v>
      </c>
      <c r="M1548" t="s">
        <v>47</v>
      </c>
      <c r="N1548" t="s">
        <v>43</v>
      </c>
      <c r="O1548" t="s">
        <v>483</v>
      </c>
      <c r="P1548">
        <v>222</v>
      </c>
      <c r="Q1548">
        <v>222</v>
      </c>
      <c r="S1548" t="s">
        <v>39</v>
      </c>
      <c r="V1548" t="s">
        <v>39</v>
      </c>
      <c r="X1548">
        <v>23001</v>
      </c>
      <c r="Y1548" t="s">
        <v>47</v>
      </c>
      <c r="Z1548">
        <v>23</v>
      </c>
      <c r="AA1548">
        <v>948</v>
      </c>
      <c r="AB1548" t="s">
        <v>75</v>
      </c>
      <c r="AC1548">
        <v>0.94699999999999995</v>
      </c>
      <c r="AD1548">
        <v>967</v>
      </c>
      <c r="AE1548" t="s">
        <v>48</v>
      </c>
      <c r="AF1548">
        <v>0.96599999999999997</v>
      </c>
      <c r="AG1548">
        <v>972</v>
      </c>
      <c r="AH1548" t="s">
        <v>80</v>
      </c>
      <c r="AI1548">
        <v>0.97099999999999997</v>
      </c>
      <c r="AJ1548" t="s">
        <v>1155</v>
      </c>
    </row>
    <row r="1549" spans="1:36" x14ac:dyDescent="0.25">
      <c r="A1549" t="s">
        <v>666</v>
      </c>
      <c r="B1549">
        <v>856536578</v>
      </c>
      <c r="C1549" t="s">
        <v>667</v>
      </c>
      <c r="D1549" t="s">
        <v>667</v>
      </c>
      <c r="E1549" t="s">
        <v>65</v>
      </c>
      <c r="F1549" t="s">
        <v>93</v>
      </c>
      <c r="I1549" t="s">
        <v>39</v>
      </c>
      <c r="J1549" t="s">
        <v>40</v>
      </c>
      <c r="K1549" t="s">
        <v>41</v>
      </c>
      <c r="L1549" t="s">
        <v>42</v>
      </c>
      <c r="N1549" t="s">
        <v>43</v>
      </c>
      <c r="O1549" t="s">
        <v>668</v>
      </c>
      <c r="P1549">
        <v>222</v>
      </c>
      <c r="Q1549">
        <v>222</v>
      </c>
      <c r="R1549">
        <v>1</v>
      </c>
      <c r="S1549" t="s">
        <v>45</v>
      </c>
      <c r="T1549">
        <v>0</v>
      </c>
      <c r="U1549">
        <v>1001</v>
      </c>
      <c r="V1549" t="s">
        <v>46</v>
      </c>
      <c r="W1549">
        <v>1</v>
      </c>
      <c r="X1549">
        <v>25001</v>
      </c>
      <c r="Y1549" t="s">
        <v>47</v>
      </c>
      <c r="Z1549">
        <v>25</v>
      </c>
      <c r="AA1549">
        <v>969</v>
      </c>
      <c r="AB1549" t="s">
        <v>75</v>
      </c>
      <c r="AC1549">
        <v>0.96799999999999997</v>
      </c>
      <c r="AD1549">
        <v>973</v>
      </c>
      <c r="AE1549" t="s">
        <v>48</v>
      </c>
      <c r="AF1549">
        <v>0.97199999999999998</v>
      </c>
      <c r="AG1549">
        <v>987</v>
      </c>
      <c r="AH1549" t="s">
        <v>80</v>
      </c>
      <c r="AI1549">
        <v>0.98599999999999999</v>
      </c>
      <c r="AJ1549" t="s">
        <v>50</v>
      </c>
    </row>
    <row r="1550" spans="1:36" x14ac:dyDescent="0.25">
      <c r="A1550" t="s">
        <v>666</v>
      </c>
      <c r="B1550">
        <v>856536578</v>
      </c>
      <c r="C1550" t="s">
        <v>667</v>
      </c>
      <c r="D1550" t="s">
        <v>667</v>
      </c>
      <c r="E1550" t="s">
        <v>65</v>
      </c>
      <c r="F1550" t="s">
        <v>93</v>
      </c>
      <c r="I1550" t="s">
        <v>39</v>
      </c>
      <c r="J1550" t="s">
        <v>40</v>
      </c>
      <c r="K1550" t="s">
        <v>41</v>
      </c>
      <c r="L1550" t="s">
        <v>42</v>
      </c>
      <c r="N1550" t="s">
        <v>43</v>
      </c>
      <c r="O1550" t="s">
        <v>668</v>
      </c>
      <c r="P1550">
        <v>222</v>
      </c>
      <c r="Q1550">
        <v>222</v>
      </c>
      <c r="R1550">
        <v>1</v>
      </c>
      <c r="S1550" t="s">
        <v>45</v>
      </c>
      <c r="T1550">
        <v>0</v>
      </c>
      <c r="U1550">
        <v>1001</v>
      </c>
      <c r="V1550" t="s">
        <v>46</v>
      </c>
      <c r="W1550">
        <v>1</v>
      </c>
      <c r="X1550">
        <v>25001</v>
      </c>
      <c r="Y1550" t="s">
        <v>47</v>
      </c>
      <c r="Z1550">
        <v>25</v>
      </c>
      <c r="AA1550">
        <v>969</v>
      </c>
      <c r="AB1550" t="s">
        <v>75</v>
      </c>
      <c r="AC1550">
        <v>0.96799999999999997</v>
      </c>
      <c r="AD1550">
        <v>973</v>
      </c>
      <c r="AE1550" t="s">
        <v>48</v>
      </c>
      <c r="AF1550">
        <v>0.97199999999999998</v>
      </c>
      <c r="AG1550">
        <v>987</v>
      </c>
      <c r="AH1550" t="s">
        <v>80</v>
      </c>
      <c r="AI1550">
        <v>0.98599999999999999</v>
      </c>
      <c r="AJ1550" t="s">
        <v>1141</v>
      </c>
    </row>
    <row r="1551" spans="1:36" x14ac:dyDescent="0.25">
      <c r="A1551" t="s">
        <v>666</v>
      </c>
      <c r="B1551">
        <v>856536578</v>
      </c>
      <c r="C1551" t="s">
        <v>667</v>
      </c>
      <c r="D1551" t="s">
        <v>667</v>
      </c>
      <c r="E1551" t="s">
        <v>65</v>
      </c>
      <c r="F1551" t="s">
        <v>93</v>
      </c>
      <c r="I1551" t="s">
        <v>39</v>
      </c>
      <c r="J1551" t="s">
        <v>40</v>
      </c>
      <c r="K1551" t="s">
        <v>41</v>
      </c>
      <c r="L1551" t="s">
        <v>42</v>
      </c>
      <c r="N1551" t="s">
        <v>43</v>
      </c>
      <c r="O1551" t="s">
        <v>668</v>
      </c>
      <c r="P1551">
        <v>222</v>
      </c>
      <c r="Q1551">
        <v>222</v>
      </c>
      <c r="R1551">
        <v>1</v>
      </c>
      <c r="S1551" t="s">
        <v>45</v>
      </c>
      <c r="T1551">
        <v>0</v>
      </c>
      <c r="U1551">
        <v>1001</v>
      </c>
      <c r="V1551" t="s">
        <v>46</v>
      </c>
      <c r="W1551">
        <v>1</v>
      </c>
      <c r="X1551">
        <v>25001</v>
      </c>
      <c r="Y1551" t="s">
        <v>47</v>
      </c>
      <c r="Z1551">
        <v>25</v>
      </c>
      <c r="AA1551">
        <v>969</v>
      </c>
      <c r="AB1551" t="s">
        <v>75</v>
      </c>
      <c r="AC1551">
        <v>0.96799999999999997</v>
      </c>
      <c r="AD1551">
        <v>973</v>
      </c>
      <c r="AE1551" t="s">
        <v>48</v>
      </c>
      <c r="AF1551">
        <v>0.97199999999999998</v>
      </c>
      <c r="AG1551">
        <v>987</v>
      </c>
      <c r="AH1551" t="s">
        <v>80</v>
      </c>
      <c r="AI1551">
        <v>0.98599999999999999</v>
      </c>
      <c r="AJ1551" t="s">
        <v>1153</v>
      </c>
    </row>
    <row r="1552" spans="1:36" x14ac:dyDescent="0.25">
      <c r="A1552" t="s">
        <v>666</v>
      </c>
      <c r="B1552">
        <v>856536578</v>
      </c>
      <c r="C1552" t="s">
        <v>667</v>
      </c>
      <c r="D1552" t="s">
        <v>667</v>
      </c>
      <c r="E1552" t="s">
        <v>65</v>
      </c>
      <c r="F1552" t="s">
        <v>93</v>
      </c>
      <c r="I1552" t="s">
        <v>39</v>
      </c>
      <c r="J1552" t="s">
        <v>40</v>
      </c>
      <c r="K1552" t="s">
        <v>41</v>
      </c>
      <c r="L1552" t="s">
        <v>42</v>
      </c>
      <c r="N1552" t="s">
        <v>43</v>
      </c>
      <c r="O1552" t="s">
        <v>668</v>
      </c>
      <c r="P1552">
        <v>222</v>
      </c>
      <c r="Q1552">
        <v>222</v>
      </c>
      <c r="R1552">
        <v>1</v>
      </c>
      <c r="S1552" t="s">
        <v>45</v>
      </c>
      <c r="T1552">
        <v>0</v>
      </c>
      <c r="U1552">
        <v>1001</v>
      </c>
      <c r="V1552" t="s">
        <v>46</v>
      </c>
      <c r="W1552">
        <v>1</v>
      </c>
      <c r="X1552">
        <v>25001</v>
      </c>
      <c r="Y1552" t="s">
        <v>47</v>
      </c>
      <c r="Z1552">
        <v>25</v>
      </c>
      <c r="AA1552">
        <v>969</v>
      </c>
      <c r="AB1552" t="s">
        <v>75</v>
      </c>
      <c r="AC1552">
        <v>0.96799999999999997</v>
      </c>
      <c r="AD1552">
        <v>973</v>
      </c>
      <c r="AE1552" t="s">
        <v>48</v>
      </c>
      <c r="AF1552">
        <v>0.97199999999999998</v>
      </c>
      <c r="AG1552">
        <v>987</v>
      </c>
      <c r="AH1552" t="s">
        <v>80</v>
      </c>
      <c r="AI1552">
        <v>0.98599999999999999</v>
      </c>
      <c r="AJ1552" t="s">
        <v>1154</v>
      </c>
    </row>
    <row r="1553" spans="1:36" x14ac:dyDescent="0.25">
      <c r="A1553" t="s">
        <v>666</v>
      </c>
      <c r="B1553">
        <v>856536578</v>
      </c>
      <c r="C1553" t="s">
        <v>667</v>
      </c>
      <c r="D1553" t="s">
        <v>667</v>
      </c>
      <c r="E1553" t="s">
        <v>65</v>
      </c>
      <c r="F1553" t="s">
        <v>93</v>
      </c>
      <c r="I1553" t="s">
        <v>39</v>
      </c>
      <c r="J1553" t="s">
        <v>40</v>
      </c>
      <c r="K1553" t="s">
        <v>41</v>
      </c>
      <c r="L1553" t="s">
        <v>42</v>
      </c>
      <c r="N1553" t="s">
        <v>43</v>
      </c>
      <c r="O1553" t="s">
        <v>668</v>
      </c>
      <c r="P1553">
        <v>222</v>
      </c>
      <c r="Q1553">
        <v>222</v>
      </c>
      <c r="S1553" t="s">
        <v>39</v>
      </c>
      <c r="V1553" t="s">
        <v>39</v>
      </c>
      <c r="X1553">
        <v>25001</v>
      </c>
      <c r="Y1553" t="s">
        <v>47</v>
      </c>
      <c r="Z1553">
        <v>25</v>
      </c>
      <c r="AA1553">
        <v>969</v>
      </c>
      <c r="AB1553" t="s">
        <v>75</v>
      </c>
      <c r="AC1553">
        <v>0.96799999999999997</v>
      </c>
      <c r="AD1553">
        <v>973</v>
      </c>
      <c r="AE1553" t="s">
        <v>48</v>
      </c>
      <c r="AF1553">
        <v>0.97199999999999998</v>
      </c>
      <c r="AG1553">
        <v>987</v>
      </c>
      <c r="AH1553" t="s">
        <v>80</v>
      </c>
      <c r="AI1553">
        <v>0.98599999999999999</v>
      </c>
      <c r="AJ1553" t="s">
        <v>1155</v>
      </c>
    </row>
    <row r="1554" spans="1:36" x14ac:dyDescent="0.25">
      <c r="A1554" t="s">
        <v>76</v>
      </c>
      <c r="B1554">
        <v>870007704</v>
      </c>
      <c r="C1554" t="s">
        <v>77</v>
      </c>
      <c r="D1554" t="s">
        <v>77</v>
      </c>
      <c r="E1554" t="s">
        <v>37</v>
      </c>
      <c r="F1554" t="s">
        <v>38</v>
      </c>
      <c r="I1554" t="s">
        <v>39</v>
      </c>
      <c r="J1554" t="s">
        <v>40</v>
      </c>
      <c r="K1554" t="s">
        <v>41</v>
      </c>
      <c r="L1554" t="s">
        <v>78</v>
      </c>
      <c r="N1554" t="s">
        <v>43</v>
      </c>
      <c r="O1554" t="s">
        <v>79</v>
      </c>
      <c r="P1554">
        <v>223</v>
      </c>
      <c r="Q1554">
        <v>223</v>
      </c>
      <c r="S1554" t="s">
        <v>39</v>
      </c>
      <c r="V1554" t="s">
        <v>39</v>
      </c>
      <c r="X1554">
        <v>24001</v>
      </c>
      <c r="Y1554" t="s">
        <v>47</v>
      </c>
      <c r="Z1554">
        <v>24</v>
      </c>
      <c r="AA1554">
        <v>468</v>
      </c>
      <c r="AB1554" t="s">
        <v>47</v>
      </c>
      <c r="AC1554">
        <v>0.46700000000000003</v>
      </c>
      <c r="AD1554">
        <v>848</v>
      </c>
      <c r="AE1554" t="s">
        <v>48</v>
      </c>
      <c r="AF1554">
        <v>0.84699999999999998</v>
      </c>
      <c r="AG1554">
        <v>955</v>
      </c>
      <c r="AH1554" t="s">
        <v>80</v>
      </c>
      <c r="AI1554">
        <v>0.95399999999999996</v>
      </c>
      <c r="AJ1554" t="s">
        <v>1156</v>
      </c>
    </row>
    <row r="1555" spans="1:36" x14ac:dyDescent="0.25">
      <c r="A1555" t="s">
        <v>69</v>
      </c>
      <c r="B1555">
        <v>886368162</v>
      </c>
      <c r="C1555" t="s">
        <v>70</v>
      </c>
      <c r="D1555" t="s">
        <v>70</v>
      </c>
      <c r="E1555" t="s">
        <v>37</v>
      </c>
      <c r="F1555" t="s">
        <v>71</v>
      </c>
      <c r="I1555" t="s">
        <v>39</v>
      </c>
      <c r="J1555" t="s">
        <v>40</v>
      </c>
      <c r="K1555" t="s">
        <v>41</v>
      </c>
      <c r="L1555" t="s">
        <v>72</v>
      </c>
      <c r="M1555" t="s">
        <v>73</v>
      </c>
      <c r="N1555" t="s">
        <v>43</v>
      </c>
      <c r="O1555" t="s">
        <v>74</v>
      </c>
      <c r="P1555">
        <v>224</v>
      </c>
      <c r="Q1555">
        <v>224</v>
      </c>
      <c r="S1555" t="s">
        <v>39</v>
      </c>
      <c r="V1555" t="s">
        <v>39</v>
      </c>
      <c r="X1555">
        <v>28001</v>
      </c>
      <c r="Y1555" t="s">
        <v>47</v>
      </c>
      <c r="Z1555">
        <v>28</v>
      </c>
      <c r="AA1555">
        <v>844</v>
      </c>
      <c r="AB1555" t="s">
        <v>75</v>
      </c>
      <c r="AC1555">
        <v>0.84299999999999997</v>
      </c>
      <c r="AD1555">
        <v>968</v>
      </c>
      <c r="AE1555" t="s">
        <v>48</v>
      </c>
      <c r="AF1555">
        <v>0.96699999999999997</v>
      </c>
      <c r="AG1555">
        <v>917</v>
      </c>
      <c r="AH1555" t="s">
        <v>49</v>
      </c>
      <c r="AI1555">
        <v>0.91600000000000004</v>
      </c>
      <c r="AJ1555" t="s">
        <v>1156</v>
      </c>
    </row>
    <row r="1556" spans="1:36" x14ac:dyDescent="0.25">
      <c r="A1556" t="s">
        <v>63</v>
      </c>
      <c r="B1556">
        <v>851709500</v>
      </c>
      <c r="C1556" t="s">
        <v>64</v>
      </c>
      <c r="D1556" t="s">
        <v>64</v>
      </c>
      <c r="E1556" t="s">
        <v>65</v>
      </c>
      <c r="F1556" t="s">
        <v>66</v>
      </c>
      <c r="I1556" t="s">
        <v>39</v>
      </c>
      <c r="J1556" t="s">
        <v>40</v>
      </c>
      <c r="K1556" t="s">
        <v>41</v>
      </c>
      <c r="L1556" t="s">
        <v>67</v>
      </c>
      <c r="N1556" t="s">
        <v>43</v>
      </c>
      <c r="O1556" t="s">
        <v>68</v>
      </c>
      <c r="P1556">
        <v>225</v>
      </c>
      <c r="Q1556">
        <v>225</v>
      </c>
      <c r="S1556" t="s">
        <v>39</v>
      </c>
      <c r="V1556" t="s">
        <v>39</v>
      </c>
      <c r="X1556">
        <v>23001</v>
      </c>
      <c r="Y1556" t="s">
        <v>47</v>
      </c>
      <c r="Z1556">
        <v>23</v>
      </c>
      <c r="AA1556">
        <v>320</v>
      </c>
      <c r="AB1556" t="s">
        <v>47</v>
      </c>
      <c r="AC1556">
        <v>0.31900000000000001</v>
      </c>
      <c r="AD1556">
        <v>647</v>
      </c>
      <c r="AE1556" t="s">
        <v>48</v>
      </c>
      <c r="AF1556">
        <v>0.64600000000000002</v>
      </c>
      <c r="AG1556">
        <v>906</v>
      </c>
      <c r="AH1556" t="s">
        <v>49</v>
      </c>
      <c r="AI1556">
        <v>0.90500000000000003</v>
      </c>
      <c r="AJ1556" t="s">
        <v>1156</v>
      </c>
    </row>
    <row r="1557" spans="1:36" x14ac:dyDescent="0.25">
      <c r="A1557" t="s">
        <v>664</v>
      </c>
      <c r="B1557">
        <v>870477400</v>
      </c>
      <c r="C1557" t="s">
        <v>665</v>
      </c>
      <c r="D1557" t="s">
        <v>665</v>
      </c>
      <c r="E1557" t="s">
        <v>37</v>
      </c>
      <c r="F1557" t="s">
        <v>127</v>
      </c>
      <c r="I1557" t="s">
        <v>39</v>
      </c>
      <c r="J1557" t="s">
        <v>40</v>
      </c>
      <c r="K1557" t="s">
        <v>41</v>
      </c>
      <c r="L1557" t="s">
        <v>173</v>
      </c>
      <c r="N1557" t="s">
        <v>43</v>
      </c>
      <c r="O1557" t="s">
        <v>293</v>
      </c>
      <c r="P1557">
        <v>226</v>
      </c>
      <c r="Q1557">
        <v>226</v>
      </c>
      <c r="R1557">
        <v>1001</v>
      </c>
      <c r="S1557" t="s">
        <v>56</v>
      </c>
      <c r="T1557">
        <v>1</v>
      </c>
      <c r="U1557">
        <v>1</v>
      </c>
      <c r="V1557" t="s">
        <v>55</v>
      </c>
      <c r="W1557">
        <v>0</v>
      </c>
      <c r="X1557">
        <v>1</v>
      </c>
      <c r="Y1557" t="s">
        <v>47</v>
      </c>
      <c r="Z1557">
        <v>0</v>
      </c>
      <c r="AA1557">
        <v>215</v>
      </c>
      <c r="AB1557" t="s">
        <v>47</v>
      </c>
      <c r="AC1557">
        <v>0.214</v>
      </c>
      <c r="AD1557">
        <v>314</v>
      </c>
      <c r="AE1557" t="s">
        <v>56</v>
      </c>
      <c r="AF1557">
        <v>0.313</v>
      </c>
      <c r="AG1557">
        <v>125</v>
      </c>
      <c r="AH1557" t="s">
        <v>103</v>
      </c>
      <c r="AI1557">
        <v>0.124</v>
      </c>
      <c r="AJ1557" t="s">
        <v>50</v>
      </c>
    </row>
    <row r="1558" spans="1:36" x14ac:dyDescent="0.25">
      <c r="A1558" t="s">
        <v>664</v>
      </c>
      <c r="B1558">
        <v>870477400</v>
      </c>
      <c r="C1558" t="s">
        <v>665</v>
      </c>
      <c r="D1558" t="s">
        <v>665</v>
      </c>
      <c r="E1558" t="s">
        <v>37</v>
      </c>
      <c r="F1558" t="s">
        <v>127</v>
      </c>
      <c r="I1558" t="s">
        <v>39</v>
      </c>
      <c r="J1558" t="s">
        <v>40</v>
      </c>
      <c r="K1558" t="s">
        <v>41</v>
      </c>
      <c r="L1558" t="s">
        <v>173</v>
      </c>
      <c r="N1558" t="s">
        <v>43</v>
      </c>
      <c r="O1558" t="s">
        <v>293</v>
      </c>
      <c r="P1558">
        <v>226</v>
      </c>
      <c r="Q1558">
        <v>226</v>
      </c>
      <c r="R1558">
        <v>541</v>
      </c>
      <c r="S1558" t="s">
        <v>56</v>
      </c>
      <c r="T1558">
        <v>0.54</v>
      </c>
      <c r="U1558">
        <v>1</v>
      </c>
      <c r="V1558" t="s">
        <v>55</v>
      </c>
      <c r="W1558">
        <v>0</v>
      </c>
      <c r="X1558">
        <v>1</v>
      </c>
      <c r="Y1558" t="s">
        <v>47</v>
      </c>
      <c r="Z1558">
        <v>0</v>
      </c>
      <c r="AA1558">
        <v>215</v>
      </c>
      <c r="AB1558" t="s">
        <v>47</v>
      </c>
      <c r="AC1558">
        <v>0.214</v>
      </c>
      <c r="AD1558">
        <v>314</v>
      </c>
      <c r="AE1558" t="s">
        <v>56</v>
      </c>
      <c r="AF1558">
        <v>0.313</v>
      </c>
      <c r="AG1558">
        <v>125</v>
      </c>
      <c r="AH1558" t="s">
        <v>103</v>
      </c>
      <c r="AI1558">
        <v>0.124</v>
      </c>
      <c r="AJ1558" t="s">
        <v>1141</v>
      </c>
    </row>
    <row r="1559" spans="1:36" x14ac:dyDescent="0.25">
      <c r="A1559" t="s">
        <v>664</v>
      </c>
      <c r="B1559">
        <v>870477400</v>
      </c>
      <c r="C1559" t="s">
        <v>665</v>
      </c>
      <c r="D1559" t="s">
        <v>665</v>
      </c>
      <c r="E1559" t="s">
        <v>37</v>
      </c>
      <c r="F1559" t="s">
        <v>127</v>
      </c>
      <c r="I1559" t="s">
        <v>39</v>
      </c>
      <c r="J1559" t="s">
        <v>40</v>
      </c>
      <c r="K1559" t="s">
        <v>41</v>
      </c>
      <c r="L1559" t="s">
        <v>173</v>
      </c>
      <c r="N1559" t="s">
        <v>43</v>
      </c>
      <c r="O1559" t="s">
        <v>293</v>
      </c>
      <c r="P1559">
        <v>226</v>
      </c>
      <c r="Q1559">
        <v>226</v>
      </c>
      <c r="R1559">
        <v>1001</v>
      </c>
      <c r="S1559" t="s">
        <v>56</v>
      </c>
      <c r="T1559">
        <v>1</v>
      </c>
      <c r="U1559">
        <v>1</v>
      </c>
      <c r="V1559" t="s">
        <v>55</v>
      </c>
      <c r="W1559">
        <v>0</v>
      </c>
      <c r="X1559">
        <v>1</v>
      </c>
      <c r="Y1559" t="s">
        <v>47</v>
      </c>
      <c r="Z1559">
        <v>0</v>
      </c>
      <c r="AA1559">
        <v>215</v>
      </c>
      <c r="AB1559" t="s">
        <v>47</v>
      </c>
      <c r="AC1559">
        <v>0.214</v>
      </c>
      <c r="AD1559">
        <v>314</v>
      </c>
      <c r="AE1559" t="s">
        <v>56</v>
      </c>
      <c r="AF1559">
        <v>0.313</v>
      </c>
      <c r="AG1559">
        <v>125</v>
      </c>
      <c r="AH1559" t="s">
        <v>103</v>
      </c>
      <c r="AI1559">
        <v>0.124</v>
      </c>
      <c r="AJ1559" t="s">
        <v>1153</v>
      </c>
    </row>
    <row r="1560" spans="1:36" x14ac:dyDescent="0.25">
      <c r="A1560" t="s">
        <v>664</v>
      </c>
      <c r="B1560">
        <v>870477400</v>
      </c>
      <c r="C1560" t="s">
        <v>665</v>
      </c>
      <c r="D1560" t="s">
        <v>665</v>
      </c>
      <c r="E1560" t="s">
        <v>37</v>
      </c>
      <c r="F1560" t="s">
        <v>127</v>
      </c>
      <c r="I1560" t="s">
        <v>39</v>
      </c>
      <c r="J1560" t="s">
        <v>40</v>
      </c>
      <c r="K1560" t="s">
        <v>41</v>
      </c>
      <c r="L1560" t="s">
        <v>173</v>
      </c>
      <c r="N1560" t="s">
        <v>43</v>
      </c>
      <c r="O1560" t="s">
        <v>293</v>
      </c>
      <c r="P1560">
        <v>226</v>
      </c>
      <c r="Q1560">
        <v>226</v>
      </c>
      <c r="R1560">
        <v>1001</v>
      </c>
      <c r="S1560" t="s">
        <v>56</v>
      </c>
      <c r="T1560">
        <v>1</v>
      </c>
      <c r="U1560">
        <v>1</v>
      </c>
      <c r="V1560" t="s">
        <v>55</v>
      </c>
      <c r="W1560">
        <v>0</v>
      </c>
      <c r="X1560">
        <v>1</v>
      </c>
      <c r="Y1560" t="s">
        <v>47</v>
      </c>
      <c r="Z1560">
        <v>0</v>
      </c>
      <c r="AA1560">
        <v>215</v>
      </c>
      <c r="AB1560" t="s">
        <v>47</v>
      </c>
      <c r="AC1560">
        <v>0.214</v>
      </c>
      <c r="AD1560">
        <v>314</v>
      </c>
      <c r="AE1560" t="s">
        <v>56</v>
      </c>
      <c r="AF1560">
        <v>0.313</v>
      </c>
      <c r="AG1560">
        <v>125</v>
      </c>
      <c r="AH1560" t="s">
        <v>103</v>
      </c>
      <c r="AI1560">
        <v>0.124</v>
      </c>
      <c r="AJ1560" t="s">
        <v>1154</v>
      </c>
    </row>
    <row r="1561" spans="1:36" x14ac:dyDescent="0.25">
      <c r="A1561" t="s">
        <v>664</v>
      </c>
      <c r="B1561">
        <v>870477400</v>
      </c>
      <c r="C1561" t="s">
        <v>665</v>
      </c>
      <c r="D1561" t="s">
        <v>665</v>
      </c>
      <c r="E1561" t="s">
        <v>37</v>
      </c>
      <c r="F1561" t="s">
        <v>127</v>
      </c>
      <c r="I1561" t="s">
        <v>39</v>
      </c>
      <c r="J1561" t="s">
        <v>40</v>
      </c>
      <c r="K1561" t="s">
        <v>41</v>
      </c>
      <c r="L1561" t="s">
        <v>173</v>
      </c>
      <c r="N1561" t="s">
        <v>43</v>
      </c>
      <c r="O1561" t="s">
        <v>293</v>
      </c>
      <c r="P1561">
        <v>226</v>
      </c>
      <c r="Q1561">
        <v>226</v>
      </c>
      <c r="S1561" t="s">
        <v>39</v>
      </c>
      <c r="V1561" t="s">
        <v>39</v>
      </c>
      <c r="X1561">
        <v>1</v>
      </c>
      <c r="Y1561" t="s">
        <v>47</v>
      </c>
      <c r="Z1561">
        <v>0</v>
      </c>
      <c r="AA1561">
        <v>215</v>
      </c>
      <c r="AB1561" t="s">
        <v>47</v>
      </c>
      <c r="AC1561">
        <v>0.214</v>
      </c>
      <c r="AD1561">
        <v>314</v>
      </c>
      <c r="AE1561" t="s">
        <v>56</v>
      </c>
      <c r="AF1561">
        <v>0.313</v>
      </c>
      <c r="AG1561">
        <v>125</v>
      </c>
      <c r="AH1561" t="s">
        <v>103</v>
      </c>
      <c r="AI1561">
        <v>0.124</v>
      </c>
      <c r="AJ1561" t="s">
        <v>1155</v>
      </c>
    </row>
    <row r="1562" spans="1:36" x14ac:dyDescent="0.25">
      <c r="A1562" t="s">
        <v>662</v>
      </c>
      <c r="B1562">
        <v>873005359</v>
      </c>
      <c r="C1562" t="s">
        <v>663</v>
      </c>
      <c r="D1562" t="s">
        <v>663</v>
      </c>
      <c r="E1562" t="s">
        <v>99</v>
      </c>
      <c r="F1562" t="s">
        <v>143</v>
      </c>
      <c r="I1562" t="s">
        <v>39</v>
      </c>
      <c r="J1562" t="s">
        <v>40</v>
      </c>
      <c r="K1562" t="s">
        <v>41</v>
      </c>
      <c r="L1562" t="s">
        <v>72</v>
      </c>
      <c r="M1562" t="s">
        <v>73</v>
      </c>
      <c r="N1562" t="s">
        <v>43</v>
      </c>
      <c r="O1562" t="s">
        <v>288</v>
      </c>
      <c r="P1562">
        <v>226</v>
      </c>
      <c r="Q1562">
        <v>226</v>
      </c>
      <c r="R1562">
        <v>501</v>
      </c>
      <c r="S1562" t="s">
        <v>56</v>
      </c>
      <c r="T1562">
        <v>0.5</v>
      </c>
      <c r="U1562">
        <v>2</v>
      </c>
      <c r="V1562" t="s">
        <v>55</v>
      </c>
      <c r="W1562">
        <v>1E-3</v>
      </c>
      <c r="X1562">
        <v>1</v>
      </c>
      <c r="Y1562" t="s">
        <v>47</v>
      </c>
      <c r="Z1562">
        <v>0</v>
      </c>
      <c r="AA1562">
        <v>163</v>
      </c>
      <c r="AB1562" t="s">
        <v>47</v>
      </c>
      <c r="AC1562">
        <v>0.16200000000000001</v>
      </c>
      <c r="AD1562">
        <v>408</v>
      </c>
      <c r="AE1562" t="s">
        <v>56</v>
      </c>
      <c r="AF1562">
        <v>0.40699999999999997</v>
      </c>
      <c r="AG1562">
        <v>239</v>
      </c>
      <c r="AH1562" t="s">
        <v>57</v>
      </c>
      <c r="AI1562">
        <v>0.23799999999999999</v>
      </c>
      <c r="AJ1562" t="s">
        <v>50</v>
      </c>
    </row>
    <row r="1563" spans="1:36" x14ac:dyDescent="0.25">
      <c r="A1563" t="s">
        <v>662</v>
      </c>
      <c r="B1563">
        <v>873005359</v>
      </c>
      <c r="C1563" t="s">
        <v>663</v>
      </c>
      <c r="D1563" t="s">
        <v>663</v>
      </c>
      <c r="E1563" t="s">
        <v>99</v>
      </c>
      <c r="F1563" t="s">
        <v>143</v>
      </c>
      <c r="I1563" t="s">
        <v>39</v>
      </c>
      <c r="J1563" t="s">
        <v>40</v>
      </c>
      <c r="K1563" t="s">
        <v>41</v>
      </c>
      <c r="L1563" t="s">
        <v>72</v>
      </c>
      <c r="M1563" t="s">
        <v>73</v>
      </c>
      <c r="N1563" t="s">
        <v>43</v>
      </c>
      <c r="O1563" t="s">
        <v>288</v>
      </c>
      <c r="P1563">
        <v>226</v>
      </c>
      <c r="Q1563">
        <v>226</v>
      </c>
      <c r="R1563">
        <v>151</v>
      </c>
      <c r="S1563" t="s">
        <v>56</v>
      </c>
      <c r="T1563">
        <v>0.15</v>
      </c>
      <c r="U1563">
        <v>86</v>
      </c>
      <c r="V1563" t="s">
        <v>55</v>
      </c>
      <c r="W1563">
        <v>8.5000000000000006E-2</v>
      </c>
      <c r="X1563">
        <v>1</v>
      </c>
      <c r="Y1563" t="s">
        <v>47</v>
      </c>
      <c r="Z1563">
        <v>0</v>
      </c>
      <c r="AA1563">
        <v>163</v>
      </c>
      <c r="AB1563" t="s">
        <v>47</v>
      </c>
      <c r="AC1563">
        <v>0.16200000000000001</v>
      </c>
      <c r="AD1563">
        <v>408</v>
      </c>
      <c r="AE1563" t="s">
        <v>56</v>
      </c>
      <c r="AF1563">
        <v>0.40699999999999997</v>
      </c>
      <c r="AG1563">
        <v>239</v>
      </c>
      <c r="AH1563" t="s">
        <v>57</v>
      </c>
      <c r="AI1563">
        <v>0.23799999999999999</v>
      </c>
      <c r="AJ1563" t="s">
        <v>1141</v>
      </c>
    </row>
    <row r="1564" spans="1:36" x14ac:dyDescent="0.25">
      <c r="A1564" t="s">
        <v>662</v>
      </c>
      <c r="B1564">
        <v>873005359</v>
      </c>
      <c r="C1564" t="s">
        <v>663</v>
      </c>
      <c r="D1564" t="s">
        <v>663</v>
      </c>
      <c r="E1564" t="s">
        <v>99</v>
      </c>
      <c r="F1564" t="s">
        <v>143</v>
      </c>
      <c r="I1564" t="s">
        <v>39</v>
      </c>
      <c r="J1564" t="s">
        <v>40</v>
      </c>
      <c r="K1564" t="s">
        <v>41</v>
      </c>
      <c r="L1564" t="s">
        <v>72</v>
      </c>
      <c r="M1564" t="s">
        <v>73</v>
      </c>
      <c r="N1564" t="s">
        <v>43</v>
      </c>
      <c r="O1564" t="s">
        <v>288</v>
      </c>
      <c r="P1564">
        <v>226</v>
      </c>
      <c r="Q1564">
        <v>226</v>
      </c>
      <c r="R1564">
        <v>501</v>
      </c>
      <c r="S1564" t="s">
        <v>56</v>
      </c>
      <c r="T1564">
        <v>0.5</v>
      </c>
      <c r="U1564">
        <v>2</v>
      </c>
      <c r="V1564" t="s">
        <v>55</v>
      </c>
      <c r="W1564">
        <v>1E-3</v>
      </c>
      <c r="X1564">
        <v>1</v>
      </c>
      <c r="Y1564" t="s">
        <v>47</v>
      </c>
      <c r="Z1564">
        <v>0</v>
      </c>
      <c r="AA1564">
        <v>163</v>
      </c>
      <c r="AB1564" t="s">
        <v>47</v>
      </c>
      <c r="AC1564">
        <v>0.16200000000000001</v>
      </c>
      <c r="AD1564">
        <v>408</v>
      </c>
      <c r="AE1564" t="s">
        <v>56</v>
      </c>
      <c r="AF1564">
        <v>0.40699999999999997</v>
      </c>
      <c r="AG1564">
        <v>239</v>
      </c>
      <c r="AH1564" t="s">
        <v>57</v>
      </c>
      <c r="AI1564">
        <v>0.23799999999999999</v>
      </c>
      <c r="AJ1564" t="s">
        <v>1153</v>
      </c>
    </row>
    <row r="1565" spans="1:36" x14ac:dyDescent="0.25">
      <c r="A1565" t="s">
        <v>662</v>
      </c>
      <c r="B1565">
        <v>873005359</v>
      </c>
      <c r="C1565" t="s">
        <v>663</v>
      </c>
      <c r="D1565" t="s">
        <v>663</v>
      </c>
      <c r="E1565" t="s">
        <v>99</v>
      </c>
      <c r="F1565" t="s">
        <v>143</v>
      </c>
      <c r="I1565" t="s">
        <v>39</v>
      </c>
      <c r="J1565" t="s">
        <v>40</v>
      </c>
      <c r="K1565" t="s">
        <v>41</v>
      </c>
      <c r="L1565" t="s">
        <v>72</v>
      </c>
      <c r="M1565" t="s">
        <v>73</v>
      </c>
      <c r="N1565" t="s">
        <v>43</v>
      </c>
      <c r="O1565" t="s">
        <v>288</v>
      </c>
      <c r="P1565">
        <v>226</v>
      </c>
      <c r="Q1565">
        <v>226</v>
      </c>
      <c r="R1565">
        <v>501</v>
      </c>
      <c r="S1565" t="s">
        <v>56</v>
      </c>
      <c r="T1565">
        <v>0.5</v>
      </c>
      <c r="U1565">
        <v>2</v>
      </c>
      <c r="V1565" t="s">
        <v>55</v>
      </c>
      <c r="W1565">
        <v>1E-3</v>
      </c>
      <c r="X1565">
        <v>1</v>
      </c>
      <c r="Y1565" t="s">
        <v>47</v>
      </c>
      <c r="Z1565">
        <v>0</v>
      </c>
      <c r="AA1565">
        <v>163</v>
      </c>
      <c r="AB1565" t="s">
        <v>47</v>
      </c>
      <c r="AC1565">
        <v>0.16200000000000001</v>
      </c>
      <c r="AD1565">
        <v>408</v>
      </c>
      <c r="AE1565" t="s">
        <v>56</v>
      </c>
      <c r="AF1565">
        <v>0.40699999999999997</v>
      </c>
      <c r="AG1565">
        <v>239</v>
      </c>
      <c r="AH1565" t="s">
        <v>57</v>
      </c>
      <c r="AI1565">
        <v>0.23799999999999999</v>
      </c>
      <c r="AJ1565" t="s">
        <v>1154</v>
      </c>
    </row>
    <row r="1566" spans="1:36" x14ac:dyDescent="0.25">
      <c r="A1566" t="s">
        <v>662</v>
      </c>
      <c r="B1566">
        <v>873005359</v>
      </c>
      <c r="C1566" t="s">
        <v>663</v>
      </c>
      <c r="D1566" t="s">
        <v>663</v>
      </c>
      <c r="E1566" t="s">
        <v>99</v>
      </c>
      <c r="F1566" t="s">
        <v>143</v>
      </c>
      <c r="I1566" t="s">
        <v>39</v>
      </c>
      <c r="J1566" t="s">
        <v>40</v>
      </c>
      <c r="K1566" t="s">
        <v>41</v>
      </c>
      <c r="L1566" t="s">
        <v>72</v>
      </c>
      <c r="M1566" t="s">
        <v>73</v>
      </c>
      <c r="N1566" t="s">
        <v>43</v>
      </c>
      <c r="O1566" t="s">
        <v>288</v>
      </c>
      <c r="P1566">
        <v>226</v>
      </c>
      <c r="Q1566">
        <v>226</v>
      </c>
      <c r="S1566" t="s">
        <v>39</v>
      </c>
      <c r="V1566" t="s">
        <v>39</v>
      </c>
      <c r="X1566">
        <v>1</v>
      </c>
      <c r="Y1566" t="s">
        <v>47</v>
      </c>
      <c r="Z1566">
        <v>0</v>
      </c>
      <c r="AA1566">
        <v>163</v>
      </c>
      <c r="AB1566" t="s">
        <v>47</v>
      </c>
      <c r="AC1566">
        <v>0.16200000000000001</v>
      </c>
      <c r="AD1566">
        <v>408</v>
      </c>
      <c r="AE1566" t="s">
        <v>56</v>
      </c>
      <c r="AF1566">
        <v>0.40699999999999997</v>
      </c>
      <c r="AG1566">
        <v>239</v>
      </c>
      <c r="AH1566" t="s">
        <v>57</v>
      </c>
      <c r="AI1566">
        <v>0.23799999999999999</v>
      </c>
      <c r="AJ1566" t="s">
        <v>1155</v>
      </c>
    </row>
    <row r="1567" spans="1:36" x14ac:dyDescent="0.25">
      <c r="A1567" t="s">
        <v>58</v>
      </c>
      <c r="B1567">
        <v>881455834</v>
      </c>
      <c r="C1567" t="s">
        <v>59</v>
      </c>
      <c r="D1567" t="s">
        <v>59</v>
      </c>
      <c r="E1567" t="s">
        <v>60</v>
      </c>
      <c r="F1567" t="s">
        <v>61</v>
      </c>
      <c r="I1567" t="s">
        <v>39</v>
      </c>
      <c r="J1567" t="s">
        <v>40</v>
      </c>
      <c r="K1567" t="s">
        <v>41</v>
      </c>
      <c r="L1567" t="s">
        <v>42</v>
      </c>
      <c r="N1567" t="s">
        <v>43</v>
      </c>
      <c r="O1567" t="s">
        <v>62</v>
      </c>
      <c r="P1567">
        <v>226</v>
      </c>
      <c r="Q1567">
        <v>226</v>
      </c>
      <c r="S1567" t="s">
        <v>39</v>
      </c>
      <c r="V1567" t="s">
        <v>39</v>
      </c>
      <c r="X1567">
        <v>12001</v>
      </c>
      <c r="Y1567" t="s">
        <v>47</v>
      </c>
      <c r="Z1567">
        <v>12</v>
      </c>
      <c r="AA1567">
        <v>162</v>
      </c>
      <c r="AB1567" t="s">
        <v>47</v>
      </c>
      <c r="AC1567">
        <v>0.161</v>
      </c>
      <c r="AD1567">
        <v>334</v>
      </c>
      <c r="AE1567" t="s">
        <v>56</v>
      </c>
      <c r="AF1567">
        <v>0.33300000000000002</v>
      </c>
      <c r="AG1567">
        <v>325</v>
      </c>
      <c r="AH1567" t="s">
        <v>57</v>
      </c>
      <c r="AI1567">
        <v>0.32400000000000001</v>
      </c>
      <c r="AJ1567" t="s">
        <v>1156</v>
      </c>
    </row>
    <row r="1568" spans="1:36" x14ac:dyDescent="0.25">
      <c r="A1568" t="s">
        <v>51</v>
      </c>
      <c r="B1568">
        <v>853220073</v>
      </c>
      <c r="C1568" t="s">
        <v>52</v>
      </c>
      <c r="D1568" t="s">
        <v>52</v>
      </c>
      <c r="E1568" t="s">
        <v>37</v>
      </c>
      <c r="F1568" t="s">
        <v>38</v>
      </c>
      <c r="I1568" t="s">
        <v>39</v>
      </c>
      <c r="J1568" t="s">
        <v>40</v>
      </c>
      <c r="K1568" t="s">
        <v>41</v>
      </c>
      <c r="L1568" t="s">
        <v>53</v>
      </c>
      <c r="N1568" t="s">
        <v>43</v>
      </c>
      <c r="O1568" t="s">
        <v>54</v>
      </c>
      <c r="P1568">
        <v>226</v>
      </c>
      <c r="Q1568">
        <v>226</v>
      </c>
      <c r="S1568" t="s">
        <v>39</v>
      </c>
      <c r="V1568" t="s">
        <v>39</v>
      </c>
      <c r="X1568">
        <v>17001</v>
      </c>
      <c r="Y1568" t="s">
        <v>47</v>
      </c>
      <c r="Z1568">
        <v>17</v>
      </c>
      <c r="AA1568">
        <v>162</v>
      </c>
      <c r="AB1568" t="s">
        <v>47</v>
      </c>
      <c r="AC1568">
        <v>0.161</v>
      </c>
      <c r="AD1568">
        <v>402</v>
      </c>
      <c r="AE1568" t="s">
        <v>56</v>
      </c>
      <c r="AF1568">
        <v>0.40100000000000002</v>
      </c>
      <c r="AG1568">
        <v>289</v>
      </c>
      <c r="AH1568" t="s">
        <v>57</v>
      </c>
      <c r="AI1568">
        <v>0.28799999999999998</v>
      </c>
      <c r="AJ1568" t="s">
        <v>1156</v>
      </c>
    </row>
    <row r="1569" spans="1:36" x14ac:dyDescent="0.25">
      <c r="A1569" t="s">
        <v>660</v>
      </c>
      <c r="B1569">
        <v>872380170</v>
      </c>
      <c r="C1569" t="s">
        <v>661</v>
      </c>
      <c r="D1569" t="s">
        <v>661</v>
      </c>
      <c r="E1569" t="s">
        <v>37</v>
      </c>
      <c r="F1569" t="s">
        <v>38</v>
      </c>
      <c r="I1569" t="s">
        <v>39</v>
      </c>
      <c r="J1569" t="s">
        <v>40</v>
      </c>
      <c r="K1569" t="s">
        <v>41</v>
      </c>
      <c r="L1569" t="s">
        <v>173</v>
      </c>
      <c r="N1569" t="s">
        <v>43</v>
      </c>
      <c r="O1569" t="s">
        <v>139</v>
      </c>
      <c r="P1569">
        <v>227</v>
      </c>
      <c r="Q1569">
        <v>227</v>
      </c>
      <c r="R1569">
        <v>1</v>
      </c>
      <c r="S1569" t="s">
        <v>45</v>
      </c>
      <c r="T1569">
        <v>0</v>
      </c>
      <c r="U1569">
        <v>893</v>
      </c>
      <c r="V1569" t="s">
        <v>113</v>
      </c>
      <c r="W1569">
        <v>0.89200000000000002</v>
      </c>
      <c r="X1569">
        <v>19001</v>
      </c>
      <c r="Y1569" t="s">
        <v>47</v>
      </c>
      <c r="Z1569">
        <v>19</v>
      </c>
      <c r="AA1569">
        <v>538</v>
      </c>
      <c r="AB1569" t="s">
        <v>75</v>
      </c>
      <c r="AC1569">
        <v>0.53700000000000003</v>
      </c>
      <c r="AD1569">
        <v>859</v>
      </c>
      <c r="AE1569" t="s">
        <v>48</v>
      </c>
      <c r="AF1569">
        <v>0.85799999999999998</v>
      </c>
      <c r="AG1569">
        <v>955</v>
      </c>
      <c r="AH1569" t="s">
        <v>80</v>
      </c>
      <c r="AI1569">
        <v>0.95399999999999996</v>
      </c>
      <c r="AJ1569" t="s">
        <v>50</v>
      </c>
    </row>
    <row r="1570" spans="1:36" x14ac:dyDescent="0.25">
      <c r="A1570" t="s">
        <v>660</v>
      </c>
      <c r="B1570">
        <v>872380170</v>
      </c>
      <c r="C1570" t="s">
        <v>661</v>
      </c>
      <c r="D1570" t="s">
        <v>661</v>
      </c>
      <c r="E1570" t="s">
        <v>37</v>
      </c>
      <c r="F1570" t="s">
        <v>38</v>
      </c>
      <c r="I1570" t="s">
        <v>39</v>
      </c>
      <c r="J1570" t="s">
        <v>40</v>
      </c>
      <c r="K1570" t="s">
        <v>41</v>
      </c>
      <c r="L1570" t="s">
        <v>173</v>
      </c>
      <c r="N1570" t="s">
        <v>43</v>
      </c>
      <c r="O1570" t="s">
        <v>139</v>
      </c>
      <c r="P1570">
        <v>227</v>
      </c>
      <c r="Q1570">
        <v>227</v>
      </c>
      <c r="R1570">
        <v>1</v>
      </c>
      <c r="S1570" t="s">
        <v>45</v>
      </c>
      <c r="T1570">
        <v>0</v>
      </c>
      <c r="U1570">
        <v>827</v>
      </c>
      <c r="V1570" t="s">
        <v>113</v>
      </c>
      <c r="W1570">
        <v>0.82599999999999996</v>
      </c>
      <c r="X1570">
        <v>19001</v>
      </c>
      <c r="Y1570" t="s">
        <v>47</v>
      </c>
      <c r="Z1570">
        <v>19</v>
      </c>
      <c r="AA1570">
        <v>538</v>
      </c>
      <c r="AB1570" t="s">
        <v>75</v>
      </c>
      <c r="AC1570">
        <v>0.53700000000000003</v>
      </c>
      <c r="AD1570">
        <v>859</v>
      </c>
      <c r="AE1570" t="s">
        <v>48</v>
      </c>
      <c r="AF1570">
        <v>0.85799999999999998</v>
      </c>
      <c r="AG1570">
        <v>955</v>
      </c>
      <c r="AH1570" t="s">
        <v>80</v>
      </c>
      <c r="AI1570">
        <v>0.95399999999999996</v>
      </c>
      <c r="AJ1570" t="s">
        <v>1141</v>
      </c>
    </row>
    <row r="1571" spans="1:36" x14ac:dyDescent="0.25">
      <c r="A1571" t="s">
        <v>660</v>
      </c>
      <c r="B1571">
        <v>872380170</v>
      </c>
      <c r="C1571" t="s">
        <v>661</v>
      </c>
      <c r="D1571" t="s">
        <v>661</v>
      </c>
      <c r="E1571" t="s">
        <v>37</v>
      </c>
      <c r="F1571" t="s">
        <v>38</v>
      </c>
      <c r="I1571" t="s">
        <v>39</v>
      </c>
      <c r="J1571" t="s">
        <v>40</v>
      </c>
      <c r="K1571" t="s">
        <v>41</v>
      </c>
      <c r="L1571" t="s">
        <v>173</v>
      </c>
      <c r="N1571" t="s">
        <v>43</v>
      </c>
      <c r="O1571" t="s">
        <v>139</v>
      </c>
      <c r="P1571">
        <v>227</v>
      </c>
      <c r="Q1571">
        <v>227</v>
      </c>
      <c r="R1571">
        <v>1</v>
      </c>
      <c r="S1571" t="s">
        <v>45</v>
      </c>
      <c r="T1571">
        <v>0</v>
      </c>
      <c r="U1571">
        <v>893</v>
      </c>
      <c r="V1571" t="s">
        <v>113</v>
      </c>
      <c r="W1571">
        <v>0.89200000000000002</v>
      </c>
      <c r="X1571">
        <v>19001</v>
      </c>
      <c r="Y1571" t="s">
        <v>47</v>
      </c>
      <c r="Z1571">
        <v>19</v>
      </c>
      <c r="AA1571">
        <v>538</v>
      </c>
      <c r="AB1571" t="s">
        <v>75</v>
      </c>
      <c r="AC1571">
        <v>0.53700000000000003</v>
      </c>
      <c r="AD1571">
        <v>859</v>
      </c>
      <c r="AE1571" t="s">
        <v>48</v>
      </c>
      <c r="AF1571">
        <v>0.85799999999999998</v>
      </c>
      <c r="AG1571">
        <v>955</v>
      </c>
      <c r="AH1571" t="s">
        <v>80</v>
      </c>
      <c r="AI1571">
        <v>0.95399999999999996</v>
      </c>
      <c r="AJ1571" t="s">
        <v>1153</v>
      </c>
    </row>
    <row r="1572" spans="1:36" x14ac:dyDescent="0.25">
      <c r="A1572" t="s">
        <v>660</v>
      </c>
      <c r="B1572">
        <v>872380170</v>
      </c>
      <c r="C1572" t="s">
        <v>661</v>
      </c>
      <c r="D1572" t="s">
        <v>661</v>
      </c>
      <c r="E1572" t="s">
        <v>37</v>
      </c>
      <c r="F1572" t="s">
        <v>38</v>
      </c>
      <c r="I1572" t="s">
        <v>39</v>
      </c>
      <c r="J1572" t="s">
        <v>40</v>
      </c>
      <c r="K1572" t="s">
        <v>41</v>
      </c>
      <c r="L1572" t="s">
        <v>173</v>
      </c>
      <c r="N1572" t="s">
        <v>43</v>
      </c>
      <c r="O1572" t="s">
        <v>139</v>
      </c>
      <c r="P1572">
        <v>227</v>
      </c>
      <c r="Q1572">
        <v>227</v>
      </c>
      <c r="R1572">
        <v>1</v>
      </c>
      <c r="S1572" t="s">
        <v>45</v>
      </c>
      <c r="T1572">
        <v>0</v>
      </c>
      <c r="U1572">
        <v>893</v>
      </c>
      <c r="V1572" t="s">
        <v>113</v>
      </c>
      <c r="W1572">
        <v>0.89200000000000002</v>
      </c>
      <c r="X1572">
        <v>19001</v>
      </c>
      <c r="Y1572" t="s">
        <v>47</v>
      </c>
      <c r="Z1572">
        <v>19</v>
      </c>
      <c r="AA1572">
        <v>538</v>
      </c>
      <c r="AB1572" t="s">
        <v>75</v>
      </c>
      <c r="AC1572">
        <v>0.53700000000000003</v>
      </c>
      <c r="AD1572">
        <v>859</v>
      </c>
      <c r="AE1572" t="s">
        <v>48</v>
      </c>
      <c r="AF1572">
        <v>0.85799999999999998</v>
      </c>
      <c r="AG1572">
        <v>955</v>
      </c>
      <c r="AH1572" t="s">
        <v>80</v>
      </c>
      <c r="AI1572">
        <v>0.95399999999999996</v>
      </c>
      <c r="AJ1572" t="s">
        <v>1154</v>
      </c>
    </row>
    <row r="1573" spans="1:36" x14ac:dyDescent="0.25">
      <c r="A1573" t="s">
        <v>660</v>
      </c>
      <c r="B1573">
        <v>872380170</v>
      </c>
      <c r="C1573" t="s">
        <v>661</v>
      </c>
      <c r="D1573" t="s">
        <v>661</v>
      </c>
      <c r="E1573" t="s">
        <v>37</v>
      </c>
      <c r="F1573" t="s">
        <v>38</v>
      </c>
      <c r="I1573" t="s">
        <v>39</v>
      </c>
      <c r="J1573" t="s">
        <v>40</v>
      </c>
      <c r="K1573" t="s">
        <v>41</v>
      </c>
      <c r="L1573" t="s">
        <v>173</v>
      </c>
      <c r="N1573" t="s">
        <v>43</v>
      </c>
      <c r="O1573" t="s">
        <v>139</v>
      </c>
      <c r="P1573">
        <v>227</v>
      </c>
      <c r="Q1573">
        <v>227</v>
      </c>
      <c r="S1573" t="s">
        <v>39</v>
      </c>
      <c r="V1573" t="s">
        <v>39</v>
      </c>
      <c r="X1573">
        <v>19001</v>
      </c>
      <c r="Y1573" t="s">
        <v>47</v>
      </c>
      <c r="Z1573">
        <v>19</v>
      </c>
      <c r="AA1573">
        <v>538</v>
      </c>
      <c r="AB1573" t="s">
        <v>75</v>
      </c>
      <c r="AC1573">
        <v>0.53700000000000003</v>
      </c>
      <c r="AD1573">
        <v>859</v>
      </c>
      <c r="AE1573" t="s">
        <v>48</v>
      </c>
      <c r="AF1573">
        <v>0.85799999999999998</v>
      </c>
      <c r="AG1573">
        <v>955</v>
      </c>
      <c r="AH1573" t="s">
        <v>80</v>
      </c>
      <c r="AI1573">
        <v>0.95399999999999996</v>
      </c>
      <c r="AJ1573" t="s">
        <v>1155</v>
      </c>
    </row>
    <row r="1574" spans="1:36" x14ac:dyDescent="0.25">
      <c r="A1574" t="s">
        <v>35</v>
      </c>
      <c r="B1574">
        <v>872999713</v>
      </c>
      <c r="C1574" t="s">
        <v>36</v>
      </c>
      <c r="D1574" t="s">
        <v>36</v>
      </c>
      <c r="E1574" t="s">
        <v>37</v>
      </c>
      <c r="F1574" t="s">
        <v>38</v>
      </c>
      <c r="I1574" t="s">
        <v>39</v>
      </c>
      <c r="J1574" t="s">
        <v>40</v>
      </c>
      <c r="K1574" t="s">
        <v>41</v>
      </c>
      <c r="L1574" t="s">
        <v>42</v>
      </c>
      <c r="N1574" t="s">
        <v>43</v>
      </c>
      <c r="O1574" t="s">
        <v>44</v>
      </c>
      <c r="P1574">
        <v>227</v>
      </c>
      <c r="Q1574">
        <v>227</v>
      </c>
      <c r="S1574" t="s">
        <v>39</v>
      </c>
      <c r="V1574" t="s">
        <v>39</v>
      </c>
      <c r="X1574">
        <v>20001</v>
      </c>
      <c r="Y1574" t="s">
        <v>47</v>
      </c>
      <c r="Z1574">
        <v>20</v>
      </c>
      <c r="AA1574">
        <v>307</v>
      </c>
      <c r="AB1574" t="s">
        <v>47</v>
      </c>
      <c r="AC1574">
        <v>0.30599999999999999</v>
      </c>
      <c r="AD1574">
        <v>653</v>
      </c>
      <c r="AE1574" t="s">
        <v>48</v>
      </c>
      <c r="AF1574">
        <v>0.65200000000000002</v>
      </c>
      <c r="AG1574">
        <v>796</v>
      </c>
      <c r="AH1574" t="s">
        <v>49</v>
      </c>
      <c r="AI1574">
        <v>0.79500000000000004</v>
      </c>
      <c r="AJ1574" t="s">
        <v>1156</v>
      </c>
    </row>
    <row r="1575" spans="1:36" x14ac:dyDescent="0.25">
      <c r="A1575" t="s">
        <v>657</v>
      </c>
      <c r="B1575">
        <v>853192245</v>
      </c>
      <c r="C1575" t="s">
        <v>658</v>
      </c>
      <c r="D1575" t="s">
        <v>658</v>
      </c>
      <c r="E1575" t="s">
        <v>60</v>
      </c>
      <c r="F1575" t="s">
        <v>88</v>
      </c>
      <c r="I1575" t="s">
        <v>39</v>
      </c>
      <c r="J1575" t="s">
        <v>40</v>
      </c>
      <c r="K1575" t="s">
        <v>41</v>
      </c>
      <c r="L1575" t="s">
        <v>131</v>
      </c>
      <c r="M1575" t="s">
        <v>659</v>
      </c>
      <c r="N1575" t="s">
        <v>43</v>
      </c>
      <c r="O1575" t="s">
        <v>194</v>
      </c>
      <c r="P1575">
        <v>228</v>
      </c>
      <c r="Q1575">
        <v>228</v>
      </c>
      <c r="R1575">
        <v>771</v>
      </c>
      <c r="S1575" t="s">
        <v>56</v>
      </c>
      <c r="T1575">
        <v>0.77</v>
      </c>
      <c r="U1575">
        <v>1</v>
      </c>
      <c r="V1575" t="s">
        <v>55</v>
      </c>
      <c r="W1575">
        <v>0</v>
      </c>
      <c r="X1575">
        <v>1</v>
      </c>
      <c r="Y1575" t="s">
        <v>47</v>
      </c>
      <c r="Z1575">
        <v>0</v>
      </c>
      <c r="AA1575">
        <v>458</v>
      </c>
      <c r="AB1575" t="s">
        <v>47</v>
      </c>
      <c r="AC1575">
        <v>0.45700000000000002</v>
      </c>
      <c r="AD1575">
        <v>174</v>
      </c>
      <c r="AE1575" t="s">
        <v>56</v>
      </c>
      <c r="AF1575">
        <v>0.17299999999999999</v>
      </c>
      <c r="AG1575">
        <v>22</v>
      </c>
      <c r="AH1575" t="s">
        <v>103</v>
      </c>
      <c r="AI1575">
        <v>2.1000000000000001E-2</v>
      </c>
      <c r="AJ1575" t="s">
        <v>50</v>
      </c>
    </row>
    <row r="1576" spans="1:36" x14ac:dyDescent="0.25">
      <c r="A1576" t="s">
        <v>657</v>
      </c>
      <c r="B1576">
        <v>853192245</v>
      </c>
      <c r="C1576" t="s">
        <v>658</v>
      </c>
      <c r="D1576" t="s">
        <v>658</v>
      </c>
      <c r="E1576" t="s">
        <v>60</v>
      </c>
      <c r="F1576" t="s">
        <v>88</v>
      </c>
      <c r="I1576" t="s">
        <v>39</v>
      </c>
      <c r="J1576" t="s">
        <v>40</v>
      </c>
      <c r="K1576" t="s">
        <v>41</v>
      </c>
      <c r="L1576" t="s">
        <v>131</v>
      </c>
      <c r="M1576" t="s">
        <v>659</v>
      </c>
      <c r="N1576" t="s">
        <v>43</v>
      </c>
      <c r="O1576" t="s">
        <v>194</v>
      </c>
      <c r="P1576">
        <v>228</v>
      </c>
      <c r="Q1576">
        <v>228</v>
      </c>
      <c r="R1576">
        <v>881</v>
      </c>
      <c r="S1576" t="s">
        <v>56</v>
      </c>
      <c r="T1576">
        <v>0.88</v>
      </c>
      <c r="U1576">
        <v>1</v>
      </c>
      <c r="V1576" t="s">
        <v>55</v>
      </c>
      <c r="W1576">
        <v>0</v>
      </c>
      <c r="X1576">
        <v>1</v>
      </c>
      <c r="Y1576" t="s">
        <v>47</v>
      </c>
      <c r="Z1576">
        <v>0</v>
      </c>
      <c r="AA1576">
        <v>458</v>
      </c>
      <c r="AB1576" t="s">
        <v>47</v>
      </c>
      <c r="AC1576">
        <v>0.45700000000000002</v>
      </c>
      <c r="AD1576">
        <v>174</v>
      </c>
      <c r="AE1576" t="s">
        <v>56</v>
      </c>
      <c r="AF1576">
        <v>0.17299999999999999</v>
      </c>
      <c r="AG1576">
        <v>22</v>
      </c>
      <c r="AH1576" t="s">
        <v>103</v>
      </c>
      <c r="AI1576">
        <v>2.1000000000000001E-2</v>
      </c>
      <c r="AJ1576" t="s">
        <v>1141</v>
      </c>
    </row>
    <row r="1577" spans="1:36" x14ac:dyDescent="0.25">
      <c r="A1577" t="s">
        <v>657</v>
      </c>
      <c r="B1577">
        <v>853192245</v>
      </c>
      <c r="C1577" t="s">
        <v>658</v>
      </c>
      <c r="D1577" t="s">
        <v>658</v>
      </c>
      <c r="E1577" t="s">
        <v>60</v>
      </c>
      <c r="F1577" t="s">
        <v>88</v>
      </c>
      <c r="I1577" t="s">
        <v>39</v>
      </c>
      <c r="J1577" t="s">
        <v>40</v>
      </c>
      <c r="K1577" t="s">
        <v>41</v>
      </c>
      <c r="L1577" t="s">
        <v>131</v>
      </c>
      <c r="M1577" t="s">
        <v>659</v>
      </c>
      <c r="N1577" t="s">
        <v>43</v>
      </c>
      <c r="O1577" t="s">
        <v>194</v>
      </c>
      <c r="P1577">
        <v>228</v>
      </c>
      <c r="Q1577">
        <v>228</v>
      </c>
      <c r="R1577">
        <v>771</v>
      </c>
      <c r="S1577" t="s">
        <v>56</v>
      </c>
      <c r="T1577">
        <v>0.77</v>
      </c>
      <c r="U1577">
        <v>1</v>
      </c>
      <c r="V1577" t="s">
        <v>55</v>
      </c>
      <c r="W1577">
        <v>0</v>
      </c>
      <c r="X1577">
        <v>1</v>
      </c>
      <c r="Y1577" t="s">
        <v>47</v>
      </c>
      <c r="Z1577">
        <v>0</v>
      </c>
      <c r="AA1577">
        <v>458</v>
      </c>
      <c r="AB1577" t="s">
        <v>47</v>
      </c>
      <c r="AC1577">
        <v>0.45700000000000002</v>
      </c>
      <c r="AD1577">
        <v>174</v>
      </c>
      <c r="AE1577" t="s">
        <v>56</v>
      </c>
      <c r="AF1577">
        <v>0.17299999999999999</v>
      </c>
      <c r="AG1577">
        <v>22</v>
      </c>
      <c r="AH1577" t="s">
        <v>103</v>
      </c>
      <c r="AI1577">
        <v>2.1000000000000001E-2</v>
      </c>
      <c r="AJ1577" t="s">
        <v>1153</v>
      </c>
    </row>
    <row r="1578" spans="1:36" x14ac:dyDescent="0.25">
      <c r="A1578" t="s">
        <v>657</v>
      </c>
      <c r="B1578">
        <v>853192245</v>
      </c>
      <c r="C1578" t="s">
        <v>658</v>
      </c>
      <c r="D1578" t="s">
        <v>658</v>
      </c>
      <c r="E1578" t="s">
        <v>60</v>
      </c>
      <c r="F1578" t="s">
        <v>88</v>
      </c>
      <c r="I1578" t="s">
        <v>39</v>
      </c>
      <c r="J1578" t="s">
        <v>40</v>
      </c>
      <c r="K1578" t="s">
        <v>41</v>
      </c>
      <c r="L1578" t="s">
        <v>131</v>
      </c>
      <c r="M1578" t="s">
        <v>659</v>
      </c>
      <c r="N1578" t="s">
        <v>43</v>
      </c>
      <c r="O1578" t="s">
        <v>194</v>
      </c>
      <c r="P1578">
        <v>228</v>
      </c>
      <c r="Q1578">
        <v>228</v>
      </c>
      <c r="R1578">
        <v>771</v>
      </c>
      <c r="S1578" t="s">
        <v>56</v>
      </c>
      <c r="T1578">
        <v>0.77</v>
      </c>
      <c r="U1578">
        <v>1</v>
      </c>
      <c r="V1578" t="s">
        <v>55</v>
      </c>
      <c r="W1578">
        <v>0</v>
      </c>
      <c r="X1578">
        <v>1</v>
      </c>
      <c r="Y1578" t="s">
        <v>47</v>
      </c>
      <c r="Z1578">
        <v>0</v>
      </c>
      <c r="AA1578">
        <v>458</v>
      </c>
      <c r="AB1578" t="s">
        <v>47</v>
      </c>
      <c r="AC1578">
        <v>0.45700000000000002</v>
      </c>
      <c r="AD1578">
        <v>174</v>
      </c>
      <c r="AE1578" t="s">
        <v>56</v>
      </c>
      <c r="AF1578">
        <v>0.17299999999999999</v>
      </c>
      <c r="AG1578">
        <v>22</v>
      </c>
      <c r="AH1578" t="s">
        <v>103</v>
      </c>
      <c r="AI1578">
        <v>2.1000000000000001E-2</v>
      </c>
      <c r="AJ1578" t="s">
        <v>1154</v>
      </c>
    </row>
    <row r="1579" spans="1:36" x14ac:dyDescent="0.25">
      <c r="A1579" t="s">
        <v>657</v>
      </c>
      <c r="B1579">
        <v>853192245</v>
      </c>
      <c r="C1579" t="s">
        <v>658</v>
      </c>
      <c r="D1579" t="s">
        <v>658</v>
      </c>
      <c r="E1579" t="s">
        <v>60</v>
      </c>
      <c r="F1579" t="s">
        <v>88</v>
      </c>
      <c r="I1579" t="s">
        <v>39</v>
      </c>
      <c r="J1579" t="s">
        <v>40</v>
      </c>
      <c r="K1579" t="s">
        <v>41</v>
      </c>
      <c r="L1579" t="s">
        <v>131</v>
      </c>
      <c r="M1579" t="s">
        <v>659</v>
      </c>
      <c r="N1579" t="s">
        <v>43</v>
      </c>
      <c r="O1579" t="s">
        <v>194</v>
      </c>
      <c r="P1579">
        <v>228</v>
      </c>
      <c r="Q1579">
        <v>228</v>
      </c>
      <c r="S1579" t="s">
        <v>39</v>
      </c>
      <c r="V1579" t="s">
        <v>39</v>
      </c>
      <c r="X1579">
        <v>1</v>
      </c>
      <c r="Y1579" t="s">
        <v>47</v>
      </c>
      <c r="Z1579">
        <v>0</v>
      </c>
      <c r="AA1579">
        <v>458</v>
      </c>
      <c r="AB1579" t="s">
        <v>47</v>
      </c>
      <c r="AC1579">
        <v>0.45700000000000002</v>
      </c>
      <c r="AD1579">
        <v>174</v>
      </c>
      <c r="AE1579" t="s">
        <v>56</v>
      </c>
      <c r="AF1579">
        <v>0.17299999999999999</v>
      </c>
      <c r="AG1579">
        <v>22</v>
      </c>
      <c r="AH1579" t="s">
        <v>103</v>
      </c>
      <c r="AI1579">
        <v>2.1000000000000001E-2</v>
      </c>
      <c r="AJ1579" t="s">
        <v>1155</v>
      </c>
    </row>
    <row r="1580" spans="1:36" x14ac:dyDescent="0.25">
      <c r="A1580" t="s">
        <v>655</v>
      </c>
      <c r="B1580">
        <v>881507430</v>
      </c>
      <c r="C1580" t="s">
        <v>656</v>
      </c>
      <c r="D1580" t="s">
        <v>656</v>
      </c>
      <c r="E1580" t="s">
        <v>60</v>
      </c>
      <c r="F1580" t="s">
        <v>88</v>
      </c>
      <c r="I1580" t="s">
        <v>39</v>
      </c>
      <c r="J1580" t="s">
        <v>40</v>
      </c>
      <c r="K1580" t="s">
        <v>41</v>
      </c>
      <c r="L1580" t="s">
        <v>42</v>
      </c>
      <c r="N1580" t="s">
        <v>43</v>
      </c>
      <c r="O1580" t="s">
        <v>194</v>
      </c>
      <c r="P1580">
        <v>229</v>
      </c>
      <c r="Q1580">
        <v>229</v>
      </c>
      <c r="R1580">
        <v>171</v>
      </c>
      <c r="S1580" t="s">
        <v>56</v>
      </c>
      <c r="T1580">
        <v>0.17</v>
      </c>
      <c r="U1580">
        <v>176</v>
      </c>
      <c r="V1580" t="s">
        <v>55</v>
      </c>
      <c r="W1580">
        <v>0.17499999999999999</v>
      </c>
      <c r="X1580">
        <v>12001</v>
      </c>
      <c r="Y1580" t="s">
        <v>47</v>
      </c>
      <c r="Z1580">
        <v>12</v>
      </c>
      <c r="AA1580">
        <v>218</v>
      </c>
      <c r="AB1580" t="s">
        <v>47</v>
      </c>
      <c r="AC1580">
        <v>0.217</v>
      </c>
      <c r="AD1580">
        <v>475</v>
      </c>
      <c r="AE1580" t="s">
        <v>56</v>
      </c>
      <c r="AF1580">
        <v>0.47399999999999998</v>
      </c>
      <c r="AG1580">
        <v>534</v>
      </c>
      <c r="AH1580" t="s">
        <v>49</v>
      </c>
      <c r="AI1580">
        <v>0.53300000000000003</v>
      </c>
      <c r="AJ1580" t="s">
        <v>50</v>
      </c>
    </row>
    <row r="1581" spans="1:36" x14ac:dyDescent="0.25">
      <c r="A1581" t="s">
        <v>655</v>
      </c>
      <c r="B1581">
        <v>881507430</v>
      </c>
      <c r="C1581" t="s">
        <v>656</v>
      </c>
      <c r="D1581" t="s">
        <v>656</v>
      </c>
      <c r="E1581" t="s">
        <v>60</v>
      </c>
      <c r="F1581" t="s">
        <v>88</v>
      </c>
      <c r="I1581" t="s">
        <v>39</v>
      </c>
      <c r="J1581" t="s">
        <v>40</v>
      </c>
      <c r="K1581" t="s">
        <v>41</v>
      </c>
      <c r="L1581" t="s">
        <v>42</v>
      </c>
      <c r="N1581" t="s">
        <v>43</v>
      </c>
      <c r="O1581" t="s">
        <v>194</v>
      </c>
      <c r="P1581">
        <v>229</v>
      </c>
      <c r="Q1581">
        <v>229</v>
      </c>
      <c r="R1581">
        <v>21</v>
      </c>
      <c r="S1581" t="s">
        <v>45</v>
      </c>
      <c r="T1581">
        <v>0.02</v>
      </c>
      <c r="U1581">
        <v>16</v>
      </c>
      <c r="V1581" t="s">
        <v>55</v>
      </c>
      <c r="W1581">
        <v>1.4999999999999999E-2</v>
      </c>
      <c r="X1581">
        <v>12001</v>
      </c>
      <c r="Y1581" t="s">
        <v>47</v>
      </c>
      <c r="Z1581">
        <v>12</v>
      </c>
      <c r="AA1581">
        <v>218</v>
      </c>
      <c r="AB1581" t="s">
        <v>47</v>
      </c>
      <c r="AC1581">
        <v>0.217</v>
      </c>
      <c r="AD1581">
        <v>475</v>
      </c>
      <c r="AE1581" t="s">
        <v>56</v>
      </c>
      <c r="AF1581">
        <v>0.47399999999999998</v>
      </c>
      <c r="AG1581">
        <v>534</v>
      </c>
      <c r="AH1581" t="s">
        <v>49</v>
      </c>
      <c r="AI1581">
        <v>0.53300000000000003</v>
      </c>
      <c r="AJ1581" t="s">
        <v>1141</v>
      </c>
    </row>
    <row r="1582" spans="1:36" x14ac:dyDescent="0.25">
      <c r="A1582" t="s">
        <v>655</v>
      </c>
      <c r="B1582">
        <v>881507430</v>
      </c>
      <c r="C1582" t="s">
        <v>656</v>
      </c>
      <c r="D1582" t="s">
        <v>656</v>
      </c>
      <c r="E1582" t="s">
        <v>60</v>
      </c>
      <c r="F1582" t="s">
        <v>88</v>
      </c>
      <c r="I1582" t="s">
        <v>39</v>
      </c>
      <c r="J1582" t="s">
        <v>40</v>
      </c>
      <c r="K1582" t="s">
        <v>41</v>
      </c>
      <c r="L1582" t="s">
        <v>42</v>
      </c>
      <c r="N1582" t="s">
        <v>43</v>
      </c>
      <c r="O1582" t="s">
        <v>194</v>
      </c>
      <c r="P1582">
        <v>229</v>
      </c>
      <c r="Q1582">
        <v>229</v>
      </c>
      <c r="R1582">
        <v>171</v>
      </c>
      <c r="S1582" t="s">
        <v>56</v>
      </c>
      <c r="T1582">
        <v>0.17</v>
      </c>
      <c r="U1582">
        <v>176</v>
      </c>
      <c r="V1582" t="s">
        <v>55</v>
      </c>
      <c r="W1582">
        <v>0.17499999999999999</v>
      </c>
      <c r="X1582">
        <v>12001</v>
      </c>
      <c r="Y1582" t="s">
        <v>47</v>
      </c>
      <c r="Z1582">
        <v>12</v>
      </c>
      <c r="AA1582">
        <v>218</v>
      </c>
      <c r="AB1582" t="s">
        <v>47</v>
      </c>
      <c r="AC1582">
        <v>0.217</v>
      </c>
      <c r="AD1582">
        <v>475</v>
      </c>
      <c r="AE1582" t="s">
        <v>56</v>
      </c>
      <c r="AF1582">
        <v>0.47399999999999998</v>
      </c>
      <c r="AG1582">
        <v>534</v>
      </c>
      <c r="AH1582" t="s">
        <v>49</v>
      </c>
      <c r="AI1582">
        <v>0.53300000000000003</v>
      </c>
      <c r="AJ1582" t="s">
        <v>1153</v>
      </c>
    </row>
    <row r="1583" spans="1:36" x14ac:dyDescent="0.25">
      <c r="A1583" t="s">
        <v>655</v>
      </c>
      <c r="B1583">
        <v>881507430</v>
      </c>
      <c r="C1583" t="s">
        <v>656</v>
      </c>
      <c r="D1583" t="s">
        <v>656</v>
      </c>
      <c r="E1583" t="s">
        <v>60</v>
      </c>
      <c r="F1583" t="s">
        <v>88</v>
      </c>
      <c r="I1583" t="s">
        <v>39</v>
      </c>
      <c r="J1583" t="s">
        <v>40</v>
      </c>
      <c r="K1583" t="s">
        <v>41</v>
      </c>
      <c r="L1583" t="s">
        <v>42</v>
      </c>
      <c r="N1583" t="s">
        <v>43</v>
      </c>
      <c r="O1583" t="s">
        <v>194</v>
      </c>
      <c r="P1583">
        <v>229</v>
      </c>
      <c r="Q1583">
        <v>229</v>
      </c>
      <c r="R1583">
        <v>171</v>
      </c>
      <c r="S1583" t="s">
        <v>56</v>
      </c>
      <c r="T1583">
        <v>0.17</v>
      </c>
      <c r="U1583">
        <v>176</v>
      </c>
      <c r="V1583" t="s">
        <v>55</v>
      </c>
      <c r="W1583">
        <v>0.17499999999999999</v>
      </c>
      <c r="X1583">
        <v>12001</v>
      </c>
      <c r="Y1583" t="s">
        <v>47</v>
      </c>
      <c r="Z1583">
        <v>12</v>
      </c>
      <c r="AA1583">
        <v>218</v>
      </c>
      <c r="AB1583" t="s">
        <v>47</v>
      </c>
      <c r="AC1583">
        <v>0.217</v>
      </c>
      <c r="AD1583">
        <v>475</v>
      </c>
      <c r="AE1583" t="s">
        <v>56</v>
      </c>
      <c r="AF1583">
        <v>0.47399999999999998</v>
      </c>
      <c r="AG1583">
        <v>534</v>
      </c>
      <c r="AH1583" t="s">
        <v>49</v>
      </c>
      <c r="AI1583">
        <v>0.53300000000000003</v>
      </c>
      <c r="AJ1583" t="s">
        <v>1154</v>
      </c>
    </row>
    <row r="1584" spans="1:36" x14ac:dyDescent="0.25">
      <c r="A1584" t="s">
        <v>655</v>
      </c>
      <c r="B1584">
        <v>881507430</v>
      </c>
      <c r="C1584" t="s">
        <v>656</v>
      </c>
      <c r="D1584" t="s">
        <v>656</v>
      </c>
      <c r="E1584" t="s">
        <v>60</v>
      </c>
      <c r="F1584" t="s">
        <v>88</v>
      </c>
      <c r="I1584" t="s">
        <v>39</v>
      </c>
      <c r="J1584" t="s">
        <v>40</v>
      </c>
      <c r="K1584" t="s">
        <v>41</v>
      </c>
      <c r="L1584" t="s">
        <v>42</v>
      </c>
      <c r="N1584" t="s">
        <v>43</v>
      </c>
      <c r="O1584" t="s">
        <v>194</v>
      </c>
      <c r="P1584">
        <v>229</v>
      </c>
      <c r="Q1584">
        <v>229</v>
      </c>
      <c r="S1584" t="s">
        <v>39</v>
      </c>
      <c r="V1584" t="s">
        <v>39</v>
      </c>
      <c r="X1584">
        <v>12001</v>
      </c>
      <c r="Y1584" t="s">
        <v>47</v>
      </c>
      <c r="Z1584">
        <v>12</v>
      </c>
      <c r="AA1584">
        <v>218</v>
      </c>
      <c r="AB1584" t="s">
        <v>47</v>
      </c>
      <c r="AC1584">
        <v>0.217</v>
      </c>
      <c r="AD1584">
        <v>475</v>
      </c>
      <c r="AE1584" t="s">
        <v>56</v>
      </c>
      <c r="AF1584">
        <v>0.47399999999999998</v>
      </c>
      <c r="AG1584">
        <v>534</v>
      </c>
      <c r="AH1584" t="s">
        <v>49</v>
      </c>
      <c r="AI1584">
        <v>0.53300000000000003</v>
      </c>
      <c r="AJ1584" t="s">
        <v>1155</v>
      </c>
    </row>
    <row r="1585" spans="1:36" x14ac:dyDescent="0.25">
      <c r="A1585" t="s">
        <v>653</v>
      </c>
      <c r="B1585">
        <v>881507401</v>
      </c>
      <c r="C1585" t="s">
        <v>654</v>
      </c>
      <c r="D1585" t="s">
        <v>654</v>
      </c>
      <c r="E1585" t="s">
        <v>99</v>
      </c>
      <c r="F1585" t="s">
        <v>143</v>
      </c>
      <c r="I1585" t="s">
        <v>39</v>
      </c>
      <c r="J1585" t="s">
        <v>40</v>
      </c>
      <c r="K1585" t="s">
        <v>41</v>
      </c>
      <c r="L1585" t="s">
        <v>42</v>
      </c>
      <c r="N1585" t="s">
        <v>43</v>
      </c>
      <c r="O1585" t="s">
        <v>156</v>
      </c>
      <c r="P1585">
        <v>230</v>
      </c>
      <c r="Q1585">
        <v>230</v>
      </c>
      <c r="R1585">
        <v>231</v>
      </c>
      <c r="S1585" t="s">
        <v>56</v>
      </c>
      <c r="T1585">
        <v>0.23</v>
      </c>
      <c r="U1585">
        <v>126</v>
      </c>
      <c r="V1585" t="s">
        <v>55</v>
      </c>
      <c r="W1585">
        <v>0.125</v>
      </c>
      <c r="X1585">
        <v>10001</v>
      </c>
      <c r="Y1585" t="s">
        <v>47</v>
      </c>
      <c r="Z1585">
        <v>10</v>
      </c>
      <c r="AA1585">
        <v>168</v>
      </c>
      <c r="AB1585" t="s">
        <v>47</v>
      </c>
      <c r="AC1585">
        <v>0.16700000000000001</v>
      </c>
      <c r="AD1585">
        <v>461</v>
      </c>
      <c r="AE1585" t="s">
        <v>56</v>
      </c>
      <c r="AF1585">
        <v>0.46</v>
      </c>
      <c r="AG1585">
        <v>287</v>
      </c>
      <c r="AH1585" t="s">
        <v>57</v>
      </c>
      <c r="AI1585">
        <v>0.28599999999999998</v>
      </c>
      <c r="AJ1585" t="s">
        <v>50</v>
      </c>
    </row>
    <row r="1586" spans="1:36" x14ac:dyDescent="0.25">
      <c r="A1586" t="s">
        <v>653</v>
      </c>
      <c r="B1586">
        <v>881507401</v>
      </c>
      <c r="C1586" t="s">
        <v>654</v>
      </c>
      <c r="D1586" t="s">
        <v>654</v>
      </c>
      <c r="E1586" t="s">
        <v>99</v>
      </c>
      <c r="F1586" t="s">
        <v>143</v>
      </c>
      <c r="I1586" t="s">
        <v>39</v>
      </c>
      <c r="J1586" t="s">
        <v>40</v>
      </c>
      <c r="K1586" t="s">
        <v>41</v>
      </c>
      <c r="L1586" t="s">
        <v>42</v>
      </c>
      <c r="N1586" t="s">
        <v>43</v>
      </c>
      <c r="O1586" t="s">
        <v>156</v>
      </c>
      <c r="P1586">
        <v>230</v>
      </c>
      <c r="Q1586">
        <v>230</v>
      </c>
      <c r="R1586">
        <v>301</v>
      </c>
      <c r="S1586" t="s">
        <v>56</v>
      </c>
      <c r="T1586">
        <v>0.3</v>
      </c>
      <c r="U1586">
        <v>53</v>
      </c>
      <c r="V1586" t="s">
        <v>55</v>
      </c>
      <c r="W1586">
        <v>5.1999999999999998E-2</v>
      </c>
      <c r="X1586">
        <v>10001</v>
      </c>
      <c r="Y1586" t="s">
        <v>47</v>
      </c>
      <c r="Z1586">
        <v>10</v>
      </c>
      <c r="AA1586">
        <v>168</v>
      </c>
      <c r="AB1586" t="s">
        <v>47</v>
      </c>
      <c r="AC1586">
        <v>0.16700000000000001</v>
      </c>
      <c r="AD1586">
        <v>461</v>
      </c>
      <c r="AE1586" t="s">
        <v>56</v>
      </c>
      <c r="AF1586">
        <v>0.46</v>
      </c>
      <c r="AG1586">
        <v>287</v>
      </c>
      <c r="AH1586" t="s">
        <v>57</v>
      </c>
      <c r="AI1586">
        <v>0.28599999999999998</v>
      </c>
      <c r="AJ1586" t="s">
        <v>1141</v>
      </c>
    </row>
    <row r="1587" spans="1:36" x14ac:dyDescent="0.25">
      <c r="A1587" t="s">
        <v>653</v>
      </c>
      <c r="B1587">
        <v>881507401</v>
      </c>
      <c r="C1587" t="s">
        <v>654</v>
      </c>
      <c r="D1587" t="s">
        <v>654</v>
      </c>
      <c r="E1587" t="s">
        <v>99</v>
      </c>
      <c r="F1587" t="s">
        <v>143</v>
      </c>
      <c r="I1587" t="s">
        <v>39</v>
      </c>
      <c r="J1587" t="s">
        <v>40</v>
      </c>
      <c r="K1587" t="s">
        <v>41</v>
      </c>
      <c r="L1587" t="s">
        <v>42</v>
      </c>
      <c r="N1587" t="s">
        <v>43</v>
      </c>
      <c r="O1587" t="s">
        <v>156</v>
      </c>
      <c r="P1587">
        <v>230</v>
      </c>
      <c r="Q1587">
        <v>230</v>
      </c>
      <c r="R1587">
        <v>231</v>
      </c>
      <c r="S1587" t="s">
        <v>56</v>
      </c>
      <c r="T1587">
        <v>0.23</v>
      </c>
      <c r="U1587">
        <v>126</v>
      </c>
      <c r="V1587" t="s">
        <v>55</v>
      </c>
      <c r="W1587">
        <v>0.125</v>
      </c>
      <c r="X1587">
        <v>10001</v>
      </c>
      <c r="Y1587" t="s">
        <v>47</v>
      </c>
      <c r="Z1587">
        <v>10</v>
      </c>
      <c r="AA1587">
        <v>168</v>
      </c>
      <c r="AB1587" t="s">
        <v>47</v>
      </c>
      <c r="AC1587">
        <v>0.16700000000000001</v>
      </c>
      <c r="AD1587">
        <v>461</v>
      </c>
      <c r="AE1587" t="s">
        <v>56</v>
      </c>
      <c r="AF1587">
        <v>0.46</v>
      </c>
      <c r="AG1587">
        <v>287</v>
      </c>
      <c r="AH1587" t="s">
        <v>57</v>
      </c>
      <c r="AI1587">
        <v>0.28599999999999998</v>
      </c>
      <c r="AJ1587" t="s">
        <v>1153</v>
      </c>
    </row>
    <row r="1588" spans="1:36" x14ac:dyDescent="0.25">
      <c r="A1588" t="s">
        <v>653</v>
      </c>
      <c r="B1588">
        <v>881507401</v>
      </c>
      <c r="C1588" t="s">
        <v>654</v>
      </c>
      <c r="D1588" t="s">
        <v>654</v>
      </c>
      <c r="E1588" t="s">
        <v>99</v>
      </c>
      <c r="F1588" t="s">
        <v>143</v>
      </c>
      <c r="I1588" t="s">
        <v>39</v>
      </c>
      <c r="J1588" t="s">
        <v>40</v>
      </c>
      <c r="K1588" t="s">
        <v>41</v>
      </c>
      <c r="L1588" t="s">
        <v>42</v>
      </c>
      <c r="N1588" t="s">
        <v>43</v>
      </c>
      <c r="O1588" t="s">
        <v>156</v>
      </c>
      <c r="P1588">
        <v>230</v>
      </c>
      <c r="Q1588">
        <v>230</v>
      </c>
      <c r="R1588">
        <v>231</v>
      </c>
      <c r="S1588" t="s">
        <v>56</v>
      </c>
      <c r="T1588">
        <v>0.23</v>
      </c>
      <c r="U1588">
        <v>126</v>
      </c>
      <c r="V1588" t="s">
        <v>55</v>
      </c>
      <c r="W1588">
        <v>0.125</v>
      </c>
      <c r="X1588">
        <v>10001</v>
      </c>
      <c r="Y1588" t="s">
        <v>47</v>
      </c>
      <c r="Z1588">
        <v>10</v>
      </c>
      <c r="AA1588">
        <v>168</v>
      </c>
      <c r="AB1588" t="s">
        <v>47</v>
      </c>
      <c r="AC1588">
        <v>0.16700000000000001</v>
      </c>
      <c r="AD1588">
        <v>461</v>
      </c>
      <c r="AE1588" t="s">
        <v>56</v>
      </c>
      <c r="AF1588">
        <v>0.46</v>
      </c>
      <c r="AG1588">
        <v>287</v>
      </c>
      <c r="AH1588" t="s">
        <v>57</v>
      </c>
      <c r="AI1588">
        <v>0.28599999999999998</v>
      </c>
      <c r="AJ1588" t="s">
        <v>1154</v>
      </c>
    </row>
    <row r="1589" spans="1:36" x14ac:dyDescent="0.25">
      <c r="A1589" t="s">
        <v>653</v>
      </c>
      <c r="B1589">
        <v>881507401</v>
      </c>
      <c r="C1589" t="s">
        <v>654</v>
      </c>
      <c r="D1589" t="s">
        <v>654</v>
      </c>
      <c r="E1589" t="s">
        <v>99</v>
      </c>
      <c r="F1589" t="s">
        <v>143</v>
      </c>
      <c r="I1589" t="s">
        <v>39</v>
      </c>
      <c r="J1589" t="s">
        <v>40</v>
      </c>
      <c r="K1589" t="s">
        <v>41</v>
      </c>
      <c r="L1589" t="s">
        <v>42</v>
      </c>
      <c r="N1589" t="s">
        <v>43</v>
      </c>
      <c r="O1589" t="s">
        <v>156</v>
      </c>
      <c r="P1589">
        <v>230</v>
      </c>
      <c r="Q1589">
        <v>230</v>
      </c>
      <c r="S1589" t="s">
        <v>39</v>
      </c>
      <c r="V1589" t="s">
        <v>39</v>
      </c>
      <c r="X1589">
        <v>10001</v>
      </c>
      <c r="Y1589" t="s">
        <v>47</v>
      </c>
      <c r="Z1589">
        <v>10</v>
      </c>
      <c r="AA1589">
        <v>168</v>
      </c>
      <c r="AB1589" t="s">
        <v>47</v>
      </c>
      <c r="AC1589">
        <v>0.16700000000000001</v>
      </c>
      <c r="AD1589">
        <v>461</v>
      </c>
      <c r="AE1589" t="s">
        <v>56</v>
      </c>
      <c r="AF1589">
        <v>0.46</v>
      </c>
      <c r="AG1589">
        <v>287</v>
      </c>
      <c r="AH1589" t="s">
        <v>57</v>
      </c>
      <c r="AI1589">
        <v>0.28599999999999998</v>
      </c>
      <c r="AJ1589" t="s">
        <v>1155</v>
      </c>
    </row>
    <row r="1590" spans="1:36" x14ac:dyDescent="0.25">
      <c r="A1590" t="s">
        <v>649</v>
      </c>
      <c r="B1590">
        <v>852631230</v>
      </c>
      <c r="C1590" t="s">
        <v>650</v>
      </c>
      <c r="D1590" t="s">
        <v>650</v>
      </c>
      <c r="E1590" t="s">
        <v>60</v>
      </c>
      <c r="F1590" t="s">
        <v>61</v>
      </c>
      <c r="I1590" t="s">
        <v>39</v>
      </c>
      <c r="J1590" t="s">
        <v>40</v>
      </c>
      <c r="K1590" t="s">
        <v>41</v>
      </c>
      <c r="L1590" t="s">
        <v>211</v>
      </c>
      <c r="N1590" t="s">
        <v>43</v>
      </c>
      <c r="O1590" t="s">
        <v>283</v>
      </c>
      <c r="P1590">
        <v>231</v>
      </c>
      <c r="Q1590">
        <v>231</v>
      </c>
      <c r="R1590">
        <v>81</v>
      </c>
      <c r="S1590" t="s">
        <v>56</v>
      </c>
      <c r="T1590">
        <v>0.08</v>
      </c>
      <c r="U1590">
        <v>58</v>
      </c>
      <c r="V1590" t="s">
        <v>55</v>
      </c>
      <c r="W1590">
        <v>5.7000000000000002E-2</v>
      </c>
      <c r="X1590">
        <v>13001</v>
      </c>
      <c r="Y1590" t="s">
        <v>47</v>
      </c>
      <c r="Z1590">
        <v>13</v>
      </c>
      <c r="AA1590">
        <v>214</v>
      </c>
      <c r="AB1590" t="s">
        <v>47</v>
      </c>
      <c r="AC1590">
        <v>0.21299999999999999</v>
      </c>
      <c r="AD1590">
        <v>467</v>
      </c>
      <c r="AE1590" t="s">
        <v>56</v>
      </c>
      <c r="AF1590">
        <v>0.46600000000000003</v>
      </c>
      <c r="AG1590">
        <v>359</v>
      </c>
      <c r="AH1590" t="s">
        <v>57</v>
      </c>
      <c r="AI1590">
        <v>0.35799999999999998</v>
      </c>
      <c r="AJ1590" t="s">
        <v>50</v>
      </c>
    </row>
    <row r="1591" spans="1:36" x14ac:dyDescent="0.25">
      <c r="A1591" t="s">
        <v>649</v>
      </c>
      <c r="B1591">
        <v>852631230</v>
      </c>
      <c r="C1591" t="s">
        <v>650</v>
      </c>
      <c r="D1591" t="s">
        <v>650</v>
      </c>
      <c r="E1591" t="s">
        <v>60</v>
      </c>
      <c r="F1591" t="s">
        <v>61</v>
      </c>
      <c r="I1591" t="s">
        <v>39</v>
      </c>
      <c r="J1591" t="s">
        <v>40</v>
      </c>
      <c r="K1591" t="s">
        <v>41</v>
      </c>
      <c r="L1591" t="s">
        <v>211</v>
      </c>
      <c r="N1591" t="s">
        <v>43</v>
      </c>
      <c r="O1591" t="s">
        <v>283</v>
      </c>
      <c r="P1591">
        <v>231</v>
      </c>
      <c r="Q1591">
        <v>231</v>
      </c>
      <c r="R1591">
        <v>111</v>
      </c>
      <c r="S1591" t="s">
        <v>56</v>
      </c>
      <c r="T1591">
        <v>0.11</v>
      </c>
      <c r="U1591">
        <v>12</v>
      </c>
      <c r="V1591" t="s">
        <v>55</v>
      </c>
      <c r="W1591">
        <v>1.0999999999999999E-2</v>
      </c>
      <c r="X1591">
        <v>13001</v>
      </c>
      <c r="Y1591" t="s">
        <v>47</v>
      </c>
      <c r="Z1591">
        <v>13</v>
      </c>
      <c r="AA1591">
        <v>214</v>
      </c>
      <c r="AB1591" t="s">
        <v>47</v>
      </c>
      <c r="AC1591">
        <v>0.21299999999999999</v>
      </c>
      <c r="AD1591">
        <v>467</v>
      </c>
      <c r="AE1591" t="s">
        <v>56</v>
      </c>
      <c r="AF1591">
        <v>0.46600000000000003</v>
      </c>
      <c r="AG1591">
        <v>359</v>
      </c>
      <c r="AH1591" t="s">
        <v>57</v>
      </c>
      <c r="AI1591">
        <v>0.35799999999999998</v>
      </c>
      <c r="AJ1591" t="s">
        <v>1141</v>
      </c>
    </row>
    <row r="1592" spans="1:36" x14ac:dyDescent="0.25">
      <c r="A1592" t="s">
        <v>649</v>
      </c>
      <c r="B1592">
        <v>852631230</v>
      </c>
      <c r="C1592" t="s">
        <v>650</v>
      </c>
      <c r="D1592" t="s">
        <v>650</v>
      </c>
      <c r="E1592" t="s">
        <v>60</v>
      </c>
      <c r="F1592" t="s">
        <v>61</v>
      </c>
      <c r="I1592" t="s">
        <v>39</v>
      </c>
      <c r="J1592" t="s">
        <v>40</v>
      </c>
      <c r="K1592" t="s">
        <v>41</v>
      </c>
      <c r="L1592" t="s">
        <v>211</v>
      </c>
      <c r="N1592" t="s">
        <v>43</v>
      </c>
      <c r="O1592" t="s">
        <v>283</v>
      </c>
      <c r="P1592">
        <v>231</v>
      </c>
      <c r="Q1592">
        <v>231</v>
      </c>
      <c r="R1592">
        <v>81</v>
      </c>
      <c r="S1592" t="s">
        <v>56</v>
      </c>
      <c r="T1592">
        <v>0.08</v>
      </c>
      <c r="U1592">
        <v>58</v>
      </c>
      <c r="V1592" t="s">
        <v>55</v>
      </c>
      <c r="W1592">
        <v>5.7000000000000002E-2</v>
      </c>
      <c r="X1592">
        <v>13001</v>
      </c>
      <c r="Y1592" t="s">
        <v>47</v>
      </c>
      <c r="Z1592">
        <v>13</v>
      </c>
      <c r="AA1592">
        <v>214</v>
      </c>
      <c r="AB1592" t="s">
        <v>47</v>
      </c>
      <c r="AC1592">
        <v>0.21299999999999999</v>
      </c>
      <c r="AD1592">
        <v>467</v>
      </c>
      <c r="AE1592" t="s">
        <v>56</v>
      </c>
      <c r="AF1592">
        <v>0.46600000000000003</v>
      </c>
      <c r="AG1592">
        <v>359</v>
      </c>
      <c r="AH1592" t="s">
        <v>57</v>
      </c>
      <c r="AI1592">
        <v>0.35799999999999998</v>
      </c>
      <c r="AJ1592" t="s">
        <v>1153</v>
      </c>
    </row>
    <row r="1593" spans="1:36" x14ac:dyDescent="0.25">
      <c r="A1593" t="s">
        <v>649</v>
      </c>
      <c r="B1593">
        <v>852631230</v>
      </c>
      <c r="C1593" t="s">
        <v>650</v>
      </c>
      <c r="D1593" t="s">
        <v>650</v>
      </c>
      <c r="E1593" t="s">
        <v>60</v>
      </c>
      <c r="F1593" t="s">
        <v>61</v>
      </c>
      <c r="I1593" t="s">
        <v>39</v>
      </c>
      <c r="J1593" t="s">
        <v>40</v>
      </c>
      <c r="K1593" t="s">
        <v>41</v>
      </c>
      <c r="L1593" t="s">
        <v>211</v>
      </c>
      <c r="N1593" t="s">
        <v>43</v>
      </c>
      <c r="O1593" t="s">
        <v>283</v>
      </c>
      <c r="P1593">
        <v>231</v>
      </c>
      <c r="Q1593">
        <v>231</v>
      </c>
      <c r="R1593">
        <v>81</v>
      </c>
      <c r="S1593" t="s">
        <v>56</v>
      </c>
      <c r="T1593">
        <v>0.08</v>
      </c>
      <c r="U1593">
        <v>58</v>
      </c>
      <c r="V1593" t="s">
        <v>55</v>
      </c>
      <c r="W1593">
        <v>5.7000000000000002E-2</v>
      </c>
      <c r="X1593">
        <v>13001</v>
      </c>
      <c r="Y1593" t="s">
        <v>47</v>
      </c>
      <c r="Z1593">
        <v>13</v>
      </c>
      <c r="AA1593">
        <v>214</v>
      </c>
      <c r="AB1593" t="s">
        <v>47</v>
      </c>
      <c r="AC1593">
        <v>0.21299999999999999</v>
      </c>
      <c r="AD1593">
        <v>467</v>
      </c>
      <c r="AE1593" t="s">
        <v>56</v>
      </c>
      <c r="AF1593">
        <v>0.46600000000000003</v>
      </c>
      <c r="AG1593">
        <v>359</v>
      </c>
      <c r="AH1593" t="s">
        <v>57</v>
      </c>
      <c r="AI1593">
        <v>0.35799999999999998</v>
      </c>
      <c r="AJ1593" t="s">
        <v>1154</v>
      </c>
    </row>
    <row r="1594" spans="1:36" x14ac:dyDescent="0.25">
      <c r="A1594" t="s">
        <v>649</v>
      </c>
      <c r="B1594">
        <v>852631230</v>
      </c>
      <c r="C1594" t="s">
        <v>650</v>
      </c>
      <c r="D1594" t="s">
        <v>650</v>
      </c>
      <c r="E1594" t="s">
        <v>60</v>
      </c>
      <c r="F1594" t="s">
        <v>61</v>
      </c>
      <c r="I1594" t="s">
        <v>39</v>
      </c>
      <c r="J1594" t="s">
        <v>40</v>
      </c>
      <c r="K1594" t="s">
        <v>41</v>
      </c>
      <c r="L1594" t="s">
        <v>211</v>
      </c>
      <c r="N1594" t="s">
        <v>43</v>
      </c>
      <c r="O1594" t="s">
        <v>283</v>
      </c>
      <c r="P1594">
        <v>231</v>
      </c>
      <c r="Q1594">
        <v>231</v>
      </c>
      <c r="S1594" t="s">
        <v>39</v>
      </c>
      <c r="V1594" t="s">
        <v>39</v>
      </c>
      <c r="X1594">
        <v>13001</v>
      </c>
      <c r="Y1594" t="s">
        <v>47</v>
      </c>
      <c r="Z1594">
        <v>13</v>
      </c>
      <c r="AA1594">
        <v>214</v>
      </c>
      <c r="AB1594" t="s">
        <v>47</v>
      </c>
      <c r="AC1594">
        <v>0.21299999999999999</v>
      </c>
      <c r="AD1594">
        <v>467</v>
      </c>
      <c r="AE1594" t="s">
        <v>56</v>
      </c>
      <c r="AF1594">
        <v>0.46600000000000003</v>
      </c>
      <c r="AG1594">
        <v>359</v>
      </c>
      <c r="AH1594" t="s">
        <v>57</v>
      </c>
      <c r="AI1594">
        <v>0.35799999999999998</v>
      </c>
      <c r="AJ1594" t="s">
        <v>1155</v>
      </c>
    </row>
    <row r="1595" spans="1:36" x14ac:dyDescent="0.25">
      <c r="A1595" t="s">
        <v>651</v>
      </c>
      <c r="B1595">
        <v>881507376</v>
      </c>
      <c r="C1595" t="s">
        <v>652</v>
      </c>
      <c r="D1595" t="s">
        <v>652</v>
      </c>
      <c r="E1595" t="s">
        <v>60</v>
      </c>
      <c r="F1595" t="s">
        <v>88</v>
      </c>
      <c r="I1595" t="s">
        <v>39</v>
      </c>
      <c r="J1595" t="s">
        <v>40</v>
      </c>
      <c r="K1595" t="s">
        <v>41</v>
      </c>
      <c r="L1595" t="s">
        <v>42</v>
      </c>
      <c r="N1595" t="s">
        <v>43</v>
      </c>
      <c r="O1595" t="s">
        <v>295</v>
      </c>
      <c r="P1595">
        <v>231</v>
      </c>
      <c r="Q1595">
        <v>231</v>
      </c>
      <c r="R1595">
        <v>21</v>
      </c>
      <c r="S1595" t="s">
        <v>45</v>
      </c>
      <c r="T1595">
        <v>0.02</v>
      </c>
      <c r="U1595">
        <v>213</v>
      </c>
      <c r="V1595" t="s">
        <v>55</v>
      </c>
      <c r="W1595">
        <v>0.21199999999999999</v>
      </c>
      <c r="X1595">
        <v>18001</v>
      </c>
      <c r="Y1595" t="s">
        <v>47</v>
      </c>
      <c r="Z1595">
        <v>18</v>
      </c>
      <c r="AA1595">
        <v>250</v>
      </c>
      <c r="AB1595" t="s">
        <v>47</v>
      </c>
      <c r="AC1595">
        <v>0.249</v>
      </c>
      <c r="AD1595">
        <v>513</v>
      </c>
      <c r="AE1595" t="s">
        <v>48</v>
      </c>
      <c r="AF1595">
        <v>0.51200000000000001</v>
      </c>
      <c r="AG1595">
        <v>442</v>
      </c>
      <c r="AH1595" t="s">
        <v>57</v>
      </c>
      <c r="AI1595">
        <v>0.441</v>
      </c>
      <c r="AJ1595" t="s">
        <v>50</v>
      </c>
    </row>
    <row r="1596" spans="1:36" x14ac:dyDescent="0.25">
      <c r="A1596" t="s">
        <v>651</v>
      </c>
      <c r="B1596">
        <v>881507376</v>
      </c>
      <c r="C1596" t="s">
        <v>652</v>
      </c>
      <c r="D1596" t="s">
        <v>652</v>
      </c>
      <c r="E1596" t="s">
        <v>60</v>
      </c>
      <c r="F1596" t="s">
        <v>88</v>
      </c>
      <c r="I1596" t="s">
        <v>39</v>
      </c>
      <c r="J1596" t="s">
        <v>40</v>
      </c>
      <c r="K1596" t="s">
        <v>41</v>
      </c>
      <c r="L1596" t="s">
        <v>42</v>
      </c>
      <c r="N1596" t="s">
        <v>43</v>
      </c>
      <c r="O1596" t="s">
        <v>295</v>
      </c>
      <c r="P1596">
        <v>231</v>
      </c>
      <c r="Q1596">
        <v>231</v>
      </c>
      <c r="R1596">
        <v>61</v>
      </c>
      <c r="S1596" t="s">
        <v>56</v>
      </c>
      <c r="T1596">
        <v>0.06</v>
      </c>
      <c r="U1596">
        <v>20</v>
      </c>
      <c r="V1596" t="s">
        <v>55</v>
      </c>
      <c r="W1596">
        <v>1.9E-2</v>
      </c>
      <c r="X1596">
        <v>18001</v>
      </c>
      <c r="Y1596" t="s">
        <v>47</v>
      </c>
      <c r="Z1596">
        <v>18</v>
      </c>
      <c r="AA1596">
        <v>250</v>
      </c>
      <c r="AB1596" t="s">
        <v>47</v>
      </c>
      <c r="AC1596">
        <v>0.249</v>
      </c>
      <c r="AD1596">
        <v>513</v>
      </c>
      <c r="AE1596" t="s">
        <v>48</v>
      </c>
      <c r="AF1596">
        <v>0.51200000000000001</v>
      </c>
      <c r="AG1596">
        <v>442</v>
      </c>
      <c r="AH1596" t="s">
        <v>57</v>
      </c>
      <c r="AI1596">
        <v>0.441</v>
      </c>
      <c r="AJ1596" t="s">
        <v>1141</v>
      </c>
    </row>
    <row r="1597" spans="1:36" x14ac:dyDescent="0.25">
      <c r="A1597" t="s">
        <v>651</v>
      </c>
      <c r="B1597">
        <v>881507376</v>
      </c>
      <c r="C1597" t="s">
        <v>652</v>
      </c>
      <c r="D1597" t="s">
        <v>652</v>
      </c>
      <c r="E1597" t="s">
        <v>60</v>
      </c>
      <c r="F1597" t="s">
        <v>88</v>
      </c>
      <c r="I1597" t="s">
        <v>39</v>
      </c>
      <c r="J1597" t="s">
        <v>40</v>
      </c>
      <c r="K1597" t="s">
        <v>41</v>
      </c>
      <c r="L1597" t="s">
        <v>42</v>
      </c>
      <c r="N1597" t="s">
        <v>43</v>
      </c>
      <c r="O1597" t="s">
        <v>295</v>
      </c>
      <c r="P1597">
        <v>231</v>
      </c>
      <c r="Q1597">
        <v>231</v>
      </c>
      <c r="R1597">
        <v>21</v>
      </c>
      <c r="S1597" t="s">
        <v>45</v>
      </c>
      <c r="T1597">
        <v>0.02</v>
      </c>
      <c r="U1597">
        <v>213</v>
      </c>
      <c r="V1597" t="s">
        <v>55</v>
      </c>
      <c r="W1597">
        <v>0.21199999999999999</v>
      </c>
      <c r="X1597">
        <v>18001</v>
      </c>
      <c r="Y1597" t="s">
        <v>47</v>
      </c>
      <c r="Z1597">
        <v>18</v>
      </c>
      <c r="AA1597">
        <v>250</v>
      </c>
      <c r="AB1597" t="s">
        <v>47</v>
      </c>
      <c r="AC1597">
        <v>0.249</v>
      </c>
      <c r="AD1597">
        <v>513</v>
      </c>
      <c r="AE1597" t="s">
        <v>48</v>
      </c>
      <c r="AF1597">
        <v>0.51200000000000001</v>
      </c>
      <c r="AG1597">
        <v>442</v>
      </c>
      <c r="AH1597" t="s">
        <v>57</v>
      </c>
      <c r="AI1597">
        <v>0.441</v>
      </c>
      <c r="AJ1597" t="s">
        <v>1153</v>
      </c>
    </row>
    <row r="1598" spans="1:36" x14ac:dyDescent="0.25">
      <c r="A1598" t="s">
        <v>651</v>
      </c>
      <c r="B1598">
        <v>881507376</v>
      </c>
      <c r="C1598" t="s">
        <v>652</v>
      </c>
      <c r="D1598" t="s">
        <v>652</v>
      </c>
      <c r="E1598" t="s">
        <v>60</v>
      </c>
      <c r="F1598" t="s">
        <v>88</v>
      </c>
      <c r="I1598" t="s">
        <v>39</v>
      </c>
      <c r="J1598" t="s">
        <v>40</v>
      </c>
      <c r="K1598" t="s">
        <v>41</v>
      </c>
      <c r="L1598" t="s">
        <v>42</v>
      </c>
      <c r="N1598" t="s">
        <v>43</v>
      </c>
      <c r="O1598" t="s">
        <v>295</v>
      </c>
      <c r="P1598">
        <v>231</v>
      </c>
      <c r="Q1598">
        <v>231</v>
      </c>
      <c r="R1598">
        <v>21</v>
      </c>
      <c r="S1598" t="s">
        <v>45</v>
      </c>
      <c r="T1598">
        <v>0.02</v>
      </c>
      <c r="U1598">
        <v>213</v>
      </c>
      <c r="V1598" t="s">
        <v>55</v>
      </c>
      <c r="W1598">
        <v>0.21199999999999999</v>
      </c>
      <c r="X1598">
        <v>18001</v>
      </c>
      <c r="Y1598" t="s">
        <v>47</v>
      </c>
      <c r="Z1598">
        <v>18</v>
      </c>
      <c r="AA1598">
        <v>250</v>
      </c>
      <c r="AB1598" t="s">
        <v>47</v>
      </c>
      <c r="AC1598">
        <v>0.249</v>
      </c>
      <c r="AD1598">
        <v>513</v>
      </c>
      <c r="AE1598" t="s">
        <v>48</v>
      </c>
      <c r="AF1598">
        <v>0.51200000000000001</v>
      </c>
      <c r="AG1598">
        <v>442</v>
      </c>
      <c r="AH1598" t="s">
        <v>57</v>
      </c>
      <c r="AI1598">
        <v>0.441</v>
      </c>
      <c r="AJ1598" t="s">
        <v>1154</v>
      </c>
    </row>
    <row r="1599" spans="1:36" x14ac:dyDescent="0.25">
      <c r="A1599" t="s">
        <v>651</v>
      </c>
      <c r="B1599">
        <v>881507376</v>
      </c>
      <c r="C1599" t="s">
        <v>652</v>
      </c>
      <c r="D1599" t="s">
        <v>652</v>
      </c>
      <c r="E1599" t="s">
        <v>60</v>
      </c>
      <c r="F1599" t="s">
        <v>88</v>
      </c>
      <c r="I1599" t="s">
        <v>39</v>
      </c>
      <c r="J1599" t="s">
        <v>40</v>
      </c>
      <c r="K1599" t="s">
        <v>41</v>
      </c>
      <c r="L1599" t="s">
        <v>42</v>
      </c>
      <c r="N1599" t="s">
        <v>43</v>
      </c>
      <c r="O1599" t="s">
        <v>295</v>
      </c>
      <c r="P1599">
        <v>231</v>
      </c>
      <c r="Q1599">
        <v>231</v>
      </c>
      <c r="S1599" t="s">
        <v>39</v>
      </c>
      <c r="V1599" t="s">
        <v>39</v>
      </c>
      <c r="X1599">
        <v>18001</v>
      </c>
      <c r="Y1599" t="s">
        <v>47</v>
      </c>
      <c r="Z1599">
        <v>18</v>
      </c>
      <c r="AA1599">
        <v>250</v>
      </c>
      <c r="AB1599" t="s">
        <v>47</v>
      </c>
      <c r="AC1599">
        <v>0.249</v>
      </c>
      <c r="AD1599">
        <v>513</v>
      </c>
      <c r="AE1599" t="s">
        <v>48</v>
      </c>
      <c r="AF1599">
        <v>0.51200000000000001</v>
      </c>
      <c r="AG1599">
        <v>442</v>
      </c>
      <c r="AH1599" t="s">
        <v>57</v>
      </c>
      <c r="AI1599">
        <v>0.441</v>
      </c>
      <c r="AJ1599" t="s">
        <v>1155</v>
      </c>
    </row>
    <row r="1600" spans="1:36" x14ac:dyDescent="0.25">
      <c r="A1600" t="s">
        <v>646</v>
      </c>
      <c r="B1600">
        <v>855864620</v>
      </c>
      <c r="C1600" t="s">
        <v>647</v>
      </c>
      <c r="D1600" t="s">
        <v>647</v>
      </c>
      <c r="E1600" t="s">
        <v>60</v>
      </c>
      <c r="F1600" t="s">
        <v>61</v>
      </c>
      <c r="I1600" t="s">
        <v>39</v>
      </c>
      <c r="J1600" t="s">
        <v>40</v>
      </c>
      <c r="K1600" t="s">
        <v>41</v>
      </c>
      <c r="L1600" t="s">
        <v>118</v>
      </c>
      <c r="N1600" t="s">
        <v>43</v>
      </c>
      <c r="O1600" t="s">
        <v>648</v>
      </c>
      <c r="P1600">
        <v>233</v>
      </c>
      <c r="Q1600">
        <v>233</v>
      </c>
      <c r="R1600">
        <v>31</v>
      </c>
      <c r="S1600" t="s">
        <v>45</v>
      </c>
      <c r="T1600">
        <v>0.03</v>
      </c>
      <c r="U1600">
        <v>997</v>
      </c>
      <c r="V1600" t="s">
        <v>46</v>
      </c>
      <c r="W1600">
        <v>0.996</v>
      </c>
      <c r="X1600">
        <v>21001</v>
      </c>
      <c r="Y1600" t="s">
        <v>47</v>
      </c>
      <c r="Z1600">
        <v>21</v>
      </c>
      <c r="AA1600">
        <v>450</v>
      </c>
      <c r="AB1600" t="s">
        <v>47</v>
      </c>
      <c r="AC1600">
        <v>0.44900000000000001</v>
      </c>
      <c r="AD1600">
        <v>780</v>
      </c>
      <c r="AE1600" t="s">
        <v>48</v>
      </c>
      <c r="AF1600">
        <v>0.77900000000000003</v>
      </c>
      <c r="AG1600">
        <v>771</v>
      </c>
      <c r="AH1600" t="s">
        <v>49</v>
      </c>
      <c r="AI1600">
        <v>0.77</v>
      </c>
      <c r="AJ1600" t="s">
        <v>50</v>
      </c>
    </row>
    <row r="1601" spans="1:36" x14ac:dyDescent="0.25">
      <c r="A1601" t="s">
        <v>646</v>
      </c>
      <c r="B1601">
        <v>855864620</v>
      </c>
      <c r="C1601" t="s">
        <v>647</v>
      </c>
      <c r="D1601" t="s">
        <v>647</v>
      </c>
      <c r="E1601" t="s">
        <v>60</v>
      </c>
      <c r="F1601" t="s">
        <v>61</v>
      </c>
      <c r="I1601" t="s">
        <v>39</v>
      </c>
      <c r="J1601" t="s">
        <v>40</v>
      </c>
      <c r="K1601" t="s">
        <v>41</v>
      </c>
      <c r="L1601" t="s">
        <v>118</v>
      </c>
      <c r="N1601" t="s">
        <v>43</v>
      </c>
      <c r="O1601" t="s">
        <v>648</v>
      </c>
      <c r="P1601">
        <v>233</v>
      </c>
      <c r="Q1601">
        <v>233</v>
      </c>
      <c r="R1601">
        <v>1</v>
      </c>
      <c r="S1601" t="s">
        <v>45</v>
      </c>
      <c r="T1601">
        <v>0</v>
      </c>
      <c r="U1601">
        <v>987</v>
      </c>
      <c r="V1601" t="s">
        <v>46</v>
      </c>
      <c r="W1601">
        <v>0.98599999999999999</v>
      </c>
      <c r="X1601">
        <v>21001</v>
      </c>
      <c r="Y1601" t="s">
        <v>47</v>
      </c>
      <c r="Z1601">
        <v>21</v>
      </c>
      <c r="AA1601">
        <v>450</v>
      </c>
      <c r="AB1601" t="s">
        <v>47</v>
      </c>
      <c r="AC1601">
        <v>0.44900000000000001</v>
      </c>
      <c r="AD1601">
        <v>780</v>
      </c>
      <c r="AE1601" t="s">
        <v>48</v>
      </c>
      <c r="AF1601">
        <v>0.77900000000000003</v>
      </c>
      <c r="AG1601">
        <v>771</v>
      </c>
      <c r="AH1601" t="s">
        <v>49</v>
      </c>
      <c r="AI1601">
        <v>0.77</v>
      </c>
      <c r="AJ1601" t="s">
        <v>1141</v>
      </c>
    </row>
    <row r="1602" spans="1:36" x14ac:dyDescent="0.25">
      <c r="A1602" t="s">
        <v>646</v>
      </c>
      <c r="B1602">
        <v>855864620</v>
      </c>
      <c r="C1602" t="s">
        <v>647</v>
      </c>
      <c r="D1602" t="s">
        <v>647</v>
      </c>
      <c r="E1602" t="s">
        <v>60</v>
      </c>
      <c r="F1602" t="s">
        <v>61</v>
      </c>
      <c r="I1602" t="s">
        <v>39</v>
      </c>
      <c r="J1602" t="s">
        <v>40</v>
      </c>
      <c r="K1602" t="s">
        <v>41</v>
      </c>
      <c r="L1602" t="s">
        <v>118</v>
      </c>
      <c r="N1602" t="s">
        <v>43</v>
      </c>
      <c r="O1602" t="s">
        <v>648</v>
      </c>
      <c r="P1602">
        <v>233</v>
      </c>
      <c r="Q1602">
        <v>233</v>
      </c>
      <c r="R1602">
        <v>31</v>
      </c>
      <c r="S1602" t="s">
        <v>45</v>
      </c>
      <c r="T1602">
        <v>0.03</v>
      </c>
      <c r="U1602">
        <v>997</v>
      </c>
      <c r="V1602" t="s">
        <v>46</v>
      </c>
      <c r="W1602">
        <v>0.996</v>
      </c>
      <c r="X1602">
        <v>21001</v>
      </c>
      <c r="Y1602" t="s">
        <v>47</v>
      </c>
      <c r="Z1602">
        <v>21</v>
      </c>
      <c r="AA1602">
        <v>450</v>
      </c>
      <c r="AB1602" t="s">
        <v>47</v>
      </c>
      <c r="AC1602">
        <v>0.44900000000000001</v>
      </c>
      <c r="AD1602">
        <v>780</v>
      </c>
      <c r="AE1602" t="s">
        <v>48</v>
      </c>
      <c r="AF1602">
        <v>0.77900000000000003</v>
      </c>
      <c r="AG1602">
        <v>771</v>
      </c>
      <c r="AH1602" t="s">
        <v>49</v>
      </c>
      <c r="AI1602">
        <v>0.77</v>
      </c>
      <c r="AJ1602" t="s">
        <v>1153</v>
      </c>
    </row>
    <row r="1603" spans="1:36" x14ac:dyDescent="0.25">
      <c r="A1603" t="s">
        <v>646</v>
      </c>
      <c r="B1603">
        <v>855864620</v>
      </c>
      <c r="C1603" t="s">
        <v>647</v>
      </c>
      <c r="D1603" t="s">
        <v>647</v>
      </c>
      <c r="E1603" t="s">
        <v>60</v>
      </c>
      <c r="F1603" t="s">
        <v>61</v>
      </c>
      <c r="I1603" t="s">
        <v>39</v>
      </c>
      <c r="J1603" t="s">
        <v>40</v>
      </c>
      <c r="K1603" t="s">
        <v>41</v>
      </c>
      <c r="L1603" t="s">
        <v>118</v>
      </c>
      <c r="N1603" t="s">
        <v>43</v>
      </c>
      <c r="O1603" t="s">
        <v>648</v>
      </c>
      <c r="P1603">
        <v>233</v>
      </c>
      <c r="Q1603">
        <v>233</v>
      </c>
      <c r="R1603">
        <v>31</v>
      </c>
      <c r="S1603" t="s">
        <v>45</v>
      </c>
      <c r="T1603">
        <v>0.03</v>
      </c>
      <c r="U1603">
        <v>997</v>
      </c>
      <c r="V1603" t="s">
        <v>46</v>
      </c>
      <c r="W1603">
        <v>0.996</v>
      </c>
      <c r="X1603">
        <v>21001</v>
      </c>
      <c r="Y1603" t="s">
        <v>47</v>
      </c>
      <c r="Z1603">
        <v>21</v>
      </c>
      <c r="AA1603">
        <v>450</v>
      </c>
      <c r="AB1603" t="s">
        <v>47</v>
      </c>
      <c r="AC1603">
        <v>0.44900000000000001</v>
      </c>
      <c r="AD1603">
        <v>780</v>
      </c>
      <c r="AE1603" t="s">
        <v>48</v>
      </c>
      <c r="AF1603">
        <v>0.77900000000000003</v>
      </c>
      <c r="AG1603">
        <v>771</v>
      </c>
      <c r="AH1603" t="s">
        <v>49</v>
      </c>
      <c r="AI1603">
        <v>0.77</v>
      </c>
      <c r="AJ1603" t="s">
        <v>1154</v>
      </c>
    </row>
    <row r="1604" spans="1:36" x14ac:dyDescent="0.25">
      <c r="A1604" t="s">
        <v>646</v>
      </c>
      <c r="B1604">
        <v>855864620</v>
      </c>
      <c r="C1604" t="s">
        <v>647</v>
      </c>
      <c r="D1604" t="s">
        <v>647</v>
      </c>
      <c r="E1604" t="s">
        <v>60</v>
      </c>
      <c r="F1604" t="s">
        <v>61</v>
      </c>
      <c r="I1604" t="s">
        <v>39</v>
      </c>
      <c r="J1604" t="s">
        <v>40</v>
      </c>
      <c r="K1604" t="s">
        <v>41</v>
      </c>
      <c r="L1604" t="s">
        <v>118</v>
      </c>
      <c r="N1604" t="s">
        <v>43</v>
      </c>
      <c r="O1604" t="s">
        <v>648</v>
      </c>
      <c r="P1604">
        <v>233</v>
      </c>
      <c r="Q1604">
        <v>233</v>
      </c>
      <c r="S1604" t="s">
        <v>39</v>
      </c>
      <c r="V1604" t="s">
        <v>39</v>
      </c>
      <c r="X1604">
        <v>21001</v>
      </c>
      <c r="Y1604" t="s">
        <v>47</v>
      </c>
      <c r="Z1604">
        <v>21</v>
      </c>
      <c r="AA1604">
        <v>450</v>
      </c>
      <c r="AB1604" t="s">
        <v>47</v>
      </c>
      <c r="AC1604">
        <v>0.44900000000000001</v>
      </c>
      <c r="AD1604">
        <v>780</v>
      </c>
      <c r="AE1604" t="s">
        <v>48</v>
      </c>
      <c r="AF1604">
        <v>0.77900000000000003</v>
      </c>
      <c r="AG1604">
        <v>771</v>
      </c>
      <c r="AH1604" t="s">
        <v>49</v>
      </c>
      <c r="AI1604">
        <v>0.77</v>
      </c>
      <c r="AJ1604" t="s">
        <v>1155</v>
      </c>
    </row>
    <row r="1605" spans="1:36" x14ac:dyDescent="0.25">
      <c r="A1605" t="s">
        <v>644</v>
      </c>
      <c r="B1605">
        <v>853462003</v>
      </c>
      <c r="C1605" t="s">
        <v>645</v>
      </c>
      <c r="D1605" t="s">
        <v>645</v>
      </c>
      <c r="E1605" t="s">
        <v>60</v>
      </c>
      <c r="F1605" t="s">
        <v>88</v>
      </c>
      <c r="I1605" t="s">
        <v>39</v>
      </c>
      <c r="J1605" t="s">
        <v>40</v>
      </c>
      <c r="K1605" t="s">
        <v>41</v>
      </c>
      <c r="L1605" t="s">
        <v>381</v>
      </c>
      <c r="M1605" t="s">
        <v>73</v>
      </c>
      <c r="N1605" t="s">
        <v>43</v>
      </c>
      <c r="O1605" t="s">
        <v>85</v>
      </c>
      <c r="P1605">
        <v>234</v>
      </c>
      <c r="Q1605">
        <v>234</v>
      </c>
      <c r="R1605">
        <v>11</v>
      </c>
      <c r="S1605" t="s">
        <v>45</v>
      </c>
      <c r="T1605">
        <v>0.01</v>
      </c>
      <c r="U1605">
        <v>679</v>
      </c>
      <c r="V1605" t="s">
        <v>113</v>
      </c>
      <c r="W1605">
        <v>0.67800000000000005</v>
      </c>
      <c r="X1605">
        <v>20001</v>
      </c>
      <c r="Y1605" t="s">
        <v>47</v>
      </c>
      <c r="Z1605">
        <v>20</v>
      </c>
      <c r="AA1605">
        <v>577</v>
      </c>
      <c r="AB1605" t="s">
        <v>75</v>
      </c>
      <c r="AC1605">
        <v>0.57599999999999996</v>
      </c>
      <c r="AD1605">
        <v>812</v>
      </c>
      <c r="AE1605" t="s">
        <v>48</v>
      </c>
      <c r="AF1605">
        <v>0.81100000000000005</v>
      </c>
      <c r="AG1605">
        <v>898</v>
      </c>
      <c r="AH1605" t="s">
        <v>49</v>
      </c>
      <c r="AI1605">
        <v>0.89700000000000002</v>
      </c>
      <c r="AJ1605" t="s">
        <v>50</v>
      </c>
    </row>
    <row r="1606" spans="1:36" x14ac:dyDescent="0.25">
      <c r="A1606" t="s">
        <v>644</v>
      </c>
      <c r="B1606">
        <v>853462003</v>
      </c>
      <c r="C1606" t="s">
        <v>645</v>
      </c>
      <c r="D1606" t="s">
        <v>645</v>
      </c>
      <c r="E1606" t="s">
        <v>60</v>
      </c>
      <c r="F1606" t="s">
        <v>88</v>
      </c>
      <c r="I1606" t="s">
        <v>39</v>
      </c>
      <c r="J1606" t="s">
        <v>40</v>
      </c>
      <c r="K1606" t="s">
        <v>41</v>
      </c>
      <c r="L1606" t="s">
        <v>381</v>
      </c>
      <c r="M1606" t="s">
        <v>73</v>
      </c>
      <c r="N1606" t="s">
        <v>43</v>
      </c>
      <c r="O1606" t="s">
        <v>85</v>
      </c>
      <c r="P1606">
        <v>234</v>
      </c>
      <c r="Q1606">
        <v>234</v>
      </c>
      <c r="R1606">
        <v>21</v>
      </c>
      <c r="S1606" t="s">
        <v>45</v>
      </c>
      <c r="T1606">
        <v>0.02</v>
      </c>
      <c r="U1606">
        <v>551</v>
      </c>
      <c r="V1606" t="s">
        <v>113</v>
      </c>
      <c r="W1606">
        <v>0.55000000000000004</v>
      </c>
      <c r="X1606">
        <v>20001</v>
      </c>
      <c r="Y1606" t="s">
        <v>47</v>
      </c>
      <c r="Z1606">
        <v>20</v>
      </c>
      <c r="AA1606">
        <v>577</v>
      </c>
      <c r="AB1606" t="s">
        <v>75</v>
      </c>
      <c r="AC1606">
        <v>0.57599999999999996</v>
      </c>
      <c r="AD1606">
        <v>812</v>
      </c>
      <c r="AE1606" t="s">
        <v>48</v>
      </c>
      <c r="AF1606">
        <v>0.81100000000000005</v>
      </c>
      <c r="AG1606">
        <v>898</v>
      </c>
      <c r="AH1606" t="s">
        <v>49</v>
      </c>
      <c r="AI1606">
        <v>0.89700000000000002</v>
      </c>
      <c r="AJ1606" t="s">
        <v>1141</v>
      </c>
    </row>
    <row r="1607" spans="1:36" x14ac:dyDescent="0.25">
      <c r="A1607" t="s">
        <v>644</v>
      </c>
      <c r="B1607">
        <v>853462003</v>
      </c>
      <c r="C1607" t="s">
        <v>645</v>
      </c>
      <c r="D1607" t="s">
        <v>645</v>
      </c>
      <c r="E1607" t="s">
        <v>60</v>
      </c>
      <c r="F1607" t="s">
        <v>88</v>
      </c>
      <c r="I1607" t="s">
        <v>39</v>
      </c>
      <c r="J1607" t="s">
        <v>40</v>
      </c>
      <c r="K1607" t="s">
        <v>41</v>
      </c>
      <c r="L1607" t="s">
        <v>381</v>
      </c>
      <c r="M1607" t="s">
        <v>73</v>
      </c>
      <c r="N1607" t="s">
        <v>43</v>
      </c>
      <c r="O1607" t="s">
        <v>85</v>
      </c>
      <c r="P1607">
        <v>234</v>
      </c>
      <c r="Q1607">
        <v>234</v>
      </c>
      <c r="R1607">
        <v>11</v>
      </c>
      <c r="S1607" t="s">
        <v>45</v>
      </c>
      <c r="T1607">
        <v>0.01</v>
      </c>
      <c r="U1607">
        <v>679</v>
      </c>
      <c r="V1607" t="s">
        <v>113</v>
      </c>
      <c r="W1607">
        <v>0.67800000000000005</v>
      </c>
      <c r="X1607">
        <v>20001</v>
      </c>
      <c r="Y1607" t="s">
        <v>47</v>
      </c>
      <c r="Z1607">
        <v>20</v>
      </c>
      <c r="AA1607">
        <v>577</v>
      </c>
      <c r="AB1607" t="s">
        <v>75</v>
      </c>
      <c r="AC1607">
        <v>0.57599999999999996</v>
      </c>
      <c r="AD1607">
        <v>812</v>
      </c>
      <c r="AE1607" t="s">
        <v>48</v>
      </c>
      <c r="AF1607">
        <v>0.81100000000000005</v>
      </c>
      <c r="AG1607">
        <v>898</v>
      </c>
      <c r="AH1607" t="s">
        <v>49</v>
      </c>
      <c r="AI1607">
        <v>0.89700000000000002</v>
      </c>
      <c r="AJ1607" t="s">
        <v>1153</v>
      </c>
    </row>
    <row r="1608" spans="1:36" x14ac:dyDescent="0.25">
      <c r="A1608" t="s">
        <v>644</v>
      </c>
      <c r="B1608">
        <v>853462003</v>
      </c>
      <c r="C1608" t="s">
        <v>645</v>
      </c>
      <c r="D1608" t="s">
        <v>645</v>
      </c>
      <c r="E1608" t="s">
        <v>60</v>
      </c>
      <c r="F1608" t="s">
        <v>88</v>
      </c>
      <c r="I1608" t="s">
        <v>39</v>
      </c>
      <c r="J1608" t="s">
        <v>40</v>
      </c>
      <c r="K1608" t="s">
        <v>41</v>
      </c>
      <c r="L1608" t="s">
        <v>381</v>
      </c>
      <c r="M1608" t="s">
        <v>73</v>
      </c>
      <c r="N1608" t="s">
        <v>43</v>
      </c>
      <c r="O1608" t="s">
        <v>85</v>
      </c>
      <c r="P1608">
        <v>234</v>
      </c>
      <c r="Q1608">
        <v>234</v>
      </c>
      <c r="R1608">
        <v>11</v>
      </c>
      <c r="S1608" t="s">
        <v>45</v>
      </c>
      <c r="T1608">
        <v>0.01</v>
      </c>
      <c r="U1608">
        <v>679</v>
      </c>
      <c r="V1608" t="s">
        <v>113</v>
      </c>
      <c r="W1608">
        <v>0.67800000000000005</v>
      </c>
      <c r="X1608">
        <v>20001</v>
      </c>
      <c r="Y1608" t="s">
        <v>47</v>
      </c>
      <c r="Z1608">
        <v>20</v>
      </c>
      <c r="AA1608">
        <v>577</v>
      </c>
      <c r="AB1608" t="s">
        <v>75</v>
      </c>
      <c r="AC1608">
        <v>0.57599999999999996</v>
      </c>
      <c r="AD1608">
        <v>812</v>
      </c>
      <c r="AE1608" t="s">
        <v>48</v>
      </c>
      <c r="AF1608">
        <v>0.81100000000000005</v>
      </c>
      <c r="AG1608">
        <v>898</v>
      </c>
      <c r="AH1608" t="s">
        <v>49</v>
      </c>
      <c r="AI1608">
        <v>0.89700000000000002</v>
      </c>
      <c r="AJ1608" t="s">
        <v>1154</v>
      </c>
    </row>
    <row r="1609" spans="1:36" x14ac:dyDescent="0.25">
      <c r="A1609" t="s">
        <v>644</v>
      </c>
      <c r="B1609">
        <v>853462003</v>
      </c>
      <c r="C1609" t="s">
        <v>645</v>
      </c>
      <c r="D1609" t="s">
        <v>645</v>
      </c>
      <c r="E1609" t="s">
        <v>60</v>
      </c>
      <c r="F1609" t="s">
        <v>88</v>
      </c>
      <c r="I1609" t="s">
        <v>39</v>
      </c>
      <c r="J1609" t="s">
        <v>40</v>
      </c>
      <c r="K1609" t="s">
        <v>41</v>
      </c>
      <c r="L1609" t="s">
        <v>381</v>
      </c>
      <c r="M1609" t="s">
        <v>73</v>
      </c>
      <c r="N1609" t="s">
        <v>43</v>
      </c>
      <c r="O1609" t="s">
        <v>85</v>
      </c>
      <c r="P1609">
        <v>234</v>
      </c>
      <c r="Q1609">
        <v>234</v>
      </c>
      <c r="S1609" t="s">
        <v>39</v>
      </c>
      <c r="V1609" t="s">
        <v>39</v>
      </c>
      <c r="X1609">
        <v>20001</v>
      </c>
      <c r="Y1609" t="s">
        <v>47</v>
      </c>
      <c r="Z1609">
        <v>20</v>
      </c>
      <c r="AA1609">
        <v>577</v>
      </c>
      <c r="AB1609" t="s">
        <v>75</v>
      </c>
      <c r="AC1609">
        <v>0.57599999999999996</v>
      </c>
      <c r="AD1609">
        <v>812</v>
      </c>
      <c r="AE1609" t="s">
        <v>48</v>
      </c>
      <c r="AF1609">
        <v>0.81100000000000005</v>
      </c>
      <c r="AG1609">
        <v>898</v>
      </c>
      <c r="AH1609" t="s">
        <v>49</v>
      </c>
      <c r="AI1609">
        <v>0.89700000000000002</v>
      </c>
      <c r="AJ1609" t="s">
        <v>1155</v>
      </c>
    </row>
    <row r="1610" spans="1:36" x14ac:dyDescent="0.25">
      <c r="A1610" t="s">
        <v>641</v>
      </c>
      <c r="B1610">
        <v>855329268</v>
      </c>
      <c r="C1610" t="s">
        <v>642</v>
      </c>
      <c r="D1610" t="s">
        <v>642</v>
      </c>
      <c r="E1610" t="s">
        <v>60</v>
      </c>
      <c r="F1610" t="s">
        <v>229</v>
      </c>
      <c r="I1610" t="s">
        <v>39</v>
      </c>
      <c r="J1610" t="s">
        <v>40</v>
      </c>
      <c r="K1610" t="s">
        <v>41</v>
      </c>
      <c r="L1610" t="s">
        <v>643</v>
      </c>
      <c r="M1610" t="s">
        <v>73</v>
      </c>
      <c r="N1610" t="s">
        <v>43</v>
      </c>
      <c r="O1610" t="s">
        <v>620</v>
      </c>
      <c r="P1610">
        <v>234</v>
      </c>
      <c r="Q1610">
        <v>234</v>
      </c>
      <c r="R1610">
        <v>1</v>
      </c>
      <c r="S1610" t="s">
        <v>45</v>
      </c>
      <c r="T1610">
        <v>0</v>
      </c>
      <c r="U1610">
        <v>998</v>
      </c>
      <c r="V1610" t="s">
        <v>46</v>
      </c>
      <c r="W1610">
        <v>0.997</v>
      </c>
      <c r="X1610">
        <v>23001</v>
      </c>
      <c r="Y1610" t="s">
        <v>47</v>
      </c>
      <c r="Z1610">
        <v>23</v>
      </c>
      <c r="AA1610">
        <v>753</v>
      </c>
      <c r="AB1610" t="s">
        <v>75</v>
      </c>
      <c r="AC1610">
        <v>0.752</v>
      </c>
      <c r="AD1610">
        <v>857</v>
      </c>
      <c r="AE1610" t="s">
        <v>48</v>
      </c>
      <c r="AF1610">
        <v>0.85599999999999998</v>
      </c>
      <c r="AG1610">
        <v>949</v>
      </c>
      <c r="AH1610" t="s">
        <v>80</v>
      </c>
      <c r="AI1610">
        <v>0.94799999999999995</v>
      </c>
      <c r="AJ1610" t="s">
        <v>50</v>
      </c>
    </row>
    <row r="1611" spans="1:36" x14ac:dyDescent="0.25">
      <c r="A1611" t="s">
        <v>641</v>
      </c>
      <c r="B1611">
        <v>855329268</v>
      </c>
      <c r="C1611" t="s">
        <v>642</v>
      </c>
      <c r="D1611" t="s">
        <v>642</v>
      </c>
      <c r="E1611" t="s">
        <v>60</v>
      </c>
      <c r="F1611" t="s">
        <v>229</v>
      </c>
      <c r="I1611" t="s">
        <v>39</v>
      </c>
      <c r="J1611" t="s">
        <v>40</v>
      </c>
      <c r="K1611" t="s">
        <v>41</v>
      </c>
      <c r="L1611" t="s">
        <v>643</v>
      </c>
      <c r="M1611" t="s">
        <v>73</v>
      </c>
      <c r="N1611" t="s">
        <v>43</v>
      </c>
      <c r="O1611" t="s">
        <v>620</v>
      </c>
      <c r="P1611">
        <v>234</v>
      </c>
      <c r="Q1611">
        <v>234</v>
      </c>
      <c r="R1611">
        <v>1</v>
      </c>
      <c r="S1611" t="s">
        <v>45</v>
      </c>
      <c r="T1611">
        <v>0</v>
      </c>
      <c r="U1611">
        <v>993</v>
      </c>
      <c r="V1611" t="s">
        <v>46</v>
      </c>
      <c r="W1611">
        <v>0.99199999999999999</v>
      </c>
      <c r="X1611">
        <v>23001</v>
      </c>
      <c r="Y1611" t="s">
        <v>47</v>
      </c>
      <c r="Z1611">
        <v>23</v>
      </c>
      <c r="AA1611">
        <v>753</v>
      </c>
      <c r="AB1611" t="s">
        <v>75</v>
      </c>
      <c r="AC1611">
        <v>0.752</v>
      </c>
      <c r="AD1611">
        <v>857</v>
      </c>
      <c r="AE1611" t="s">
        <v>48</v>
      </c>
      <c r="AF1611">
        <v>0.85599999999999998</v>
      </c>
      <c r="AG1611">
        <v>949</v>
      </c>
      <c r="AH1611" t="s">
        <v>80</v>
      </c>
      <c r="AI1611">
        <v>0.94799999999999995</v>
      </c>
      <c r="AJ1611" t="s">
        <v>1141</v>
      </c>
    </row>
    <row r="1612" spans="1:36" x14ac:dyDescent="0.25">
      <c r="A1612" t="s">
        <v>641</v>
      </c>
      <c r="B1612">
        <v>855329268</v>
      </c>
      <c r="C1612" t="s">
        <v>642</v>
      </c>
      <c r="D1612" t="s">
        <v>642</v>
      </c>
      <c r="E1612" t="s">
        <v>60</v>
      </c>
      <c r="F1612" t="s">
        <v>229</v>
      </c>
      <c r="I1612" t="s">
        <v>39</v>
      </c>
      <c r="J1612" t="s">
        <v>40</v>
      </c>
      <c r="K1612" t="s">
        <v>41</v>
      </c>
      <c r="L1612" t="s">
        <v>643</v>
      </c>
      <c r="M1612" t="s">
        <v>73</v>
      </c>
      <c r="N1612" t="s">
        <v>43</v>
      </c>
      <c r="O1612" t="s">
        <v>620</v>
      </c>
      <c r="P1612">
        <v>234</v>
      </c>
      <c r="Q1612">
        <v>234</v>
      </c>
      <c r="R1612">
        <v>1</v>
      </c>
      <c r="S1612" t="s">
        <v>45</v>
      </c>
      <c r="T1612">
        <v>0</v>
      </c>
      <c r="U1612">
        <v>998</v>
      </c>
      <c r="V1612" t="s">
        <v>46</v>
      </c>
      <c r="W1612">
        <v>0.997</v>
      </c>
      <c r="X1612">
        <v>23001</v>
      </c>
      <c r="Y1612" t="s">
        <v>47</v>
      </c>
      <c r="Z1612">
        <v>23</v>
      </c>
      <c r="AA1612">
        <v>753</v>
      </c>
      <c r="AB1612" t="s">
        <v>75</v>
      </c>
      <c r="AC1612">
        <v>0.752</v>
      </c>
      <c r="AD1612">
        <v>857</v>
      </c>
      <c r="AE1612" t="s">
        <v>48</v>
      </c>
      <c r="AF1612">
        <v>0.85599999999999998</v>
      </c>
      <c r="AG1612">
        <v>949</v>
      </c>
      <c r="AH1612" t="s">
        <v>80</v>
      </c>
      <c r="AI1612">
        <v>0.94799999999999995</v>
      </c>
      <c r="AJ1612" t="s">
        <v>1153</v>
      </c>
    </row>
    <row r="1613" spans="1:36" x14ac:dyDescent="0.25">
      <c r="A1613" t="s">
        <v>641</v>
      </c>
      <c r="B1613">
        <v>855329268</v>
      </c>
      <c r="C1613" t="s">
        <v>642</v>
      </c>
      <c r="D1613" t="s">
        <v>642</v>
      </c>
      <c r="E1613" t="s">
        <v>60</v>
      </c>
      <c r="F1613" t="s">
        <v>229</v>
      </c>
      <c r="I1613" t="s">
        <v>39</v>
      </c>
      <c r="J1613" t="s">
        <v>40</v>
      </c>
      <c r="K1613" t="s">
        <v>41</v>
      </c>
      <c r="L1613" t="s">
        <v>643</v>
      </c>
      <c r="M1613" t="s">
        <v>73</v>
      </c>
      <c r="N1613" t="s">
        <v>43</v>
      </c>
      <c r="O1613" t="s">
        <v>620</v>
      </c>
      <c r="P1613">
        <v>234</v>
      </c>
      <c r="Q1613">
        <v>234</v>
      </c>
      <c r="R1613">
        <v>1</v>
      </c>
      <c r="S1613" t="s">
        <v>45</v>
      </c>
      <c r="T1613">
        <v>0</v>
      </c>
      <c r="U1613">
        <v>998</v>
      </c>
      <c r="V1613" t="s">
        <v>46</v>
      </c>
      <c r="W1613">
        <v>0.997</v>
      </c>
      <c r="X1613">
        <v>23001</v>
      </c>
      <c r="Y1613" t="s">
        <v>47</v>
      </c>
      <c r="Z1613">
        <v>23</v>
      </c>
      <c r="AA1613">
        <v>753</v>
      </c>
      <c r="AB1613" t="s">
        <v>75</v>
      </c>
      <c r="AC1613">
        <v>0.752</v>
      </c>
      <c r="AD1613">
        <v>857</v>
      </c>
      <c r="AE1613" t="s">
        <v>48</v>
      </c>
      <c r="AF1613">
        <v>0.85599999999999998</v>
      </c>
      <c r="AG1613">
        <v>949</v>
      </c>
      <c r="AH1613" t="s">
        <v>80</v>
      </c>
      <c r="AI1613">
        <v>0.94799999999999995</v>
      </c>
      <c r="AJ1613" t="s">
        <v>1154</v>
      </c>
    </row>
    <row r="1614" spans="1:36" x14ac:dyDescent="0.25">
      <c r="A1614" t="s">
        <v>641</v>
      </c>
      <c r="B1614">
        <v>855329268</v>
      </c>
      <c r="C1614" t="s">
        <v>642</v>
      </c>
      <c r="D1614" t="s">
        <v>642</v>
      </c>
      <c r="E1614" t="s">
        <v>60</v>
      </c>
      <c r="F1614" t="s">
        <v>229</v>
      </c>
      <c r="I1614" t="s">
        <v>39</v>
      </c>
      <c r="J1614" t="s">
        <v>40</v>
      </c>
      <c r="K1614" t="s">
        <v>41</v>
      </c>
      <c r="L1614" t="s">
        <v>643</v>
      </c>
      <c r="M1614" t="s">
        <v>73</v>
      </c>
      <c r="N1614" t="s">
        <v>43</v>
      </c>
      <c r="O1614" t="s">
        <v>620</v>
      </c>
      <c r="P1614">
        <v>234</v>
      </c>
      <c r="Q1614">
        <v>234</v>
      </c>
      <c r="S1614" t="s">
        <v>39</v>
      </c>
      <c r="V1614" t="s">
        <v>39</v>
      </c>
      <c r="X1614">
        <v>23001</v>
      </c>
      <c r="Y1614" t="s">
        <v>47</v>
      </c>
      <c r="Z1614">
        <v>23</v>
      </c>
      <c r="AA1614">
        <v>753</v>
      </c>
      <c r="AB1614" t="s">
        <v>75</v>
      </c>
      <c r="AC1614">
        <v>0.752</v>
      </c>
      <c r="AD1614">
        <v>857</v>
      </c>
      <c r="AE1614" t="s">
        <v>48</v>
      </c>
      <c r="AF1614">
        <v>0.85599999999999998</v>
      </c>
      <c r="AG1614">
        <v>949</v>
      </c>
      <c r="AH1614" t="s">
        <v>80</v>
      </c>
      <c r="AI1614">
        <v>0.94799999999999995</v>
      </c>
      <c r="AJ1614" t="s">
        <v>1155</v>
      </c>
    </row>
    <row r="1615" spans="1:36" x14ac:dyDescent="0.25">
      <c r="A1615" t="s">
        <v>639</v>
      </c>
      <c r="B1615">
        <v>866854065</v>
      </c>
      <c r="C1615" t="s">
        <v>640</v>
      </c>
      <c r="D1615" t="s">
        <v>640</v>
      </c>
      <c r="E1615" t="s">
        <v>60</v>
      </c>
      <c r="F1615" t="s">
        <v>88</v>
      </c>
      <c r="I1615" t="s">
        <v>39</v>
      </c>
      <c r="J1615" t="s">
        <v>40</v>
      </c>
      <c r="K1615" t="s">
        <v>41</v>
      </c>
      <c r="L1615" t="s">
        <v>173</v>
      </c>
      <c r="N1615" t="s">
        <v>43</v>
      </c>
      <c r="O1615" t="s">
        <v>295</v>
      </c>
      <c r="P1615">
        <v>235</v>
      </c>
      <c r="Q1615">
        <v>235</v>
      </c>
      <c r="R1615">
        <v>171</v>
      </c>
      <c r="S1615" t="s">
        <v>56</v>
      </c>
      <c r="T1615">
        <v>0.17</v>
      </c>
      <c r="U1615">
        <v>35</v>
      </c>
      <c r="V1615" t="s">
        <v>55</v>
      </c>
      <c r="W1615">
        <v>3.4000000000000002E-2</v>
      </c>
      <c r="X1615">
        <v>10001</v>
      </c>
      <c r="Y1615" t="s">
        <v>47</v>
      </c>
      <c r="Z1615">
        <v>10</v>
      </c>
      <c r="AA1615">
        <v>243</v>
      </c>
      <c r="AB1615" t="s">
        <v>47</v>
      </c>
      <c r="AC1615">
        <v>0.24199999999999999</v>
      </c>
      <c r="AD1615">
        <v>453</v>
      </c>
      <c r="AE1615" t="s">
        <v>56</v>
      </c>
      <c r="AF1615">
        <v>0.45200000000000001</v>
      </c>
      <c r="AG1615">
        <v>342</v>
      </c>
      <c r="AH1615" t="s">
        <v>57</v>
      </c>
      <c r="AI1615">
        <v>0.34100000000000003</v>
      </c>
      <c r="AJ1615" t="s">
        <v>50</v>
      </c>
    </row>
    <row r="1616" spans="1:36" x14ac:dyDescent="0.25">
      <c r="A1616" t="s">
        <v>639</v>
      </c>
      <c r="B1616">
        <v>866854065</v>
      </c>
      <c r="C1616" t="s">
        <v>640</v>
      </c>
      <c r="D1616" t="s">
        <v>640</v>
      </c>
      <c r="E1616" t="s">
        <v>60</v>
      </c>
      <c r="F1616" t="s">
        <v>88</v>
      </c>
      <c r="I1616" t="s">
        <v>39</v>
      </c>
      <c r="J1616" t="s">
        <v>40</v>
      </c>
      <c r="K1616" t="s">
        <v>41</v>
      </c>
      <c r="L1616" t="s">
        <v>173</v>
      </c>
      <c r="N1616" t="s">
        <v>43</v>
      </c>
      <c r="O1616" t="s">
        <v>295</v>
      </c>
      <c r="P1616">
        <v>235</v>
      </c>
      <c r="Q1616">
        <v>235</v>
      </c>
      <c r="R1616">
        <v>141</v>
      </c>
      <c r="S1616" t="s">
        <v>56</v>
      </c>
      <c r="T1616">
        <v>0.14000000000000001</v>
      </c>
      <c r="U1616">
        <v>11</v>
      </c>
      <c r="V1616" t="s">
        <v>55</v>
      </c>
      <c r="W1616">
        <v>0.01</v>
      </c>
      <c r="X1616">
        <v>10001</v>
      </c>
      <c r="Y1616" t="s">
        <v>47</v>
      </c>
      <c r="Z1616">
        <v>10</v>
      </c>
      <c r="AA1616">
        <v>243</v>
      </c>
      <c r="AB1616" t="s">
        <v>47</v>
      </c>
      <c r="AC1616">
        <v>0.24199999999999999</v>
      </c>
      <c r="AD1616">
        <v>453</v>
      </c>
      <c r="AE1616" t="s">
        <v>56</v>
      </c>
      <c r="AF1616">
        <v>0.45200000000000001</v>
      </c>
      <c r="AG1616">
        <v>342</v>
      </c>
      <c r="AH1616" t="s">
        <v>57</v>
      </c>
      <c r="AI1616">
        <v>0.34100000000000003</v>
      </c>
      <c r="AJ1616" t="s">
        <v>1141</v>
      </c>
    </row>
    <row r="1617" spans="1:36" x14ac:dyDescent="0.25">
      <c r="A1617" t="s">
        <v>639</v>
      </c>
      <c r="B1617">
        <v>866854065</v>
      </c>
      <c r="C1617" t="s">
        <v>640</v>
      </c>
      <c r="D1617" t="s">
        <v>640</v>
      </c>
      <c r="E1617" t="s">
        <v>60</v>
      </c>
      <c r="F1617" t="s">
        <v>88</v>
      </c>
      <c r="I1617" t="s">
        <v>39</v>
      </c>
      <c r="J1617" t="s">
        <v>40</v>
      </c>
      <c r="K1617" t="s">
        <v>41</v>
      </c>
      <c r="L1617" t="s">
        <v>173</v>
      </c>
      <c r="N1617" t="s">
        <v>43</v>
      </c>
      <c r="O1617" t="s">
        <v>295</v>
      </c>
      <c r="P1617">
        <v>235</v>
      </c>
      <c r="Q1617">
        <v>235</v>
      </c>
      <c r="R1617">
        <v>171</v>
      </c>
      <c r="S1617" t="s">
        <v>56</v>
      </c>
      <c r="T1617">
        <v>0.17</v>
      </c>
      <c r="U1617">
        <v>35</v>
      </c>
      <c r="V1617" t="s">
        <v>55</v>
      </c>
      <c r="W1617">
        <v>3.4000000000000002E-2</v>
      </c>
      <c r="X1617">
        <v>10001</v>
      </c>
      <c r="Y1617" t="s">
        <v>47</v>
      </c>
      <c r="Z1617">
        <v>10</v>
      </c>
      <c r="AA1617">
        <v>243</v>
      </c>
      <c r="AB1617" t="s">
        <v>47</v>
      </c>
      <c r="AC1617">
        <v>0.24199999999999999</v>
      </c>
      <c r="AD1617">
        <v>453</v>
      </c>
      <c r="AE1617" t="s">
        <v>56</v>
      </c>
      <c r="AF1617">
        <v>0.45200000000000001</v>
      </c>
      <c r="AG1617">
        <v>342</v>
      </c>
      <c r="AH1617" t="s">
        <v>57</v>
      </c>
      <c r="AI1617">
        <v>0.34100000000000003</v>
      </c>
      <c r="AJ1617" t="s">
        <v>1153</v>
      </c>
    </row>
    <row r="1618" spans="1:36" x14ac:dyDescent="0.25">
      <c r="A1618" t="s">
        <v>639</v>
      </c>
      <c r="B1618">
        <v>866854065</v>
      </c>
      <c r="C1618" t="s">
        <v>640</v>
      </c>
      <c r="D1618" t="s">
        <v>640</v>
      </c>
      <c r="E1618" t="s">
        <v>60</v>
      </c>
      <c r="F1618" t="s">
        <v>88</v>
      </c>
      <c r="I1618" t="s">
        <v>39</v>
      </c>
      <c r="J1618" t="s">
        <v>40</v>
      </c>
      <c r="K1618" t="s">
        <v>41</v>
      </c>
      <c r="L1618" t="s">
        <v>173</v>
      </c>
      <c r="N1618" t="s">
        <v>43</v>
      </c>
      <c r="O1618" t="s">
        <v>295</v>
      </c>
      <c r="P1618">
        <v>235</v>
      </c>
      <c r="Q1618">
        <v>235</v>
      </c>
      <c r="R1618">
        <v>171</v>
      </c>
      <c r="S1618" t="s">
        <v>56</v>
      </c>
      <c r="T1618">
        <v>0.17</v>
      </c>
      <c r="U1618">
        <v>35</v>
      </c>
      <c r="V1618" t="s">
        <v>55</v>
      </c>
      <c r="W1618">
        <v>3.4000000000000002E-2</v>
      </c>
      <c r="X1618">
        <v>10001</v>
      </c>
      <c r="Y1618" t="s">
        <v>47</v>
      </c>
      <c r="Z1618">
        <v>10</v>
      </c>
      <c r="AA1618">
        <v>243</v>
      </c>
      <c r="AB1618" t="s">
        <v>47</v>
      </c>
      <c r="AC1618">
        <v>0.24199999999999999</v>
      </c>
      <c r="AD1618">
        <v>453</v>
      </c>
      <c r="AE1618" t="s">
        <v>56</v>
      </c>
      <c r="AF1618">
        <v>0.45200000000000001</v>
      </c>
      <c r="AG1618">
        <v>342</v>
      </c>
      <c r="AH1618" t="s">
        <v>57</v>
      </c>
      <c r="AI1618">
        <v>0.34100000000000003</v>
      </c>
      <c r="AJ1618" t="s">
        <v>1154</v>
      </c>
    </row>
    <row r="1619" spans="1:36" x14ac:dyDescent="0.25">
      <c r="A1619" t="s">
        <v>639</v>
      </c>
      <c r="B1619">
        <v>866854065</v>
      </c>
      <c r="C1619" t="s">
        <v>640</v>
      </c>
      <c r="D1619" t="s">
        <v>640</v>
      </c>
      <c r="E1619" t="s">
        <v>60</v>
      </c>
      <c r="F1619" t="s">
        <v>88</v>
      </c>
      <c r="I1619" t="s">
        <v>39</v>
      </c>
      <c r="J1619" t="s">
        <v>40</v>
      </c>
      <c r="K1619" t="s">
        <v>41</v>
      </c>
      <c r="L1619" t="s">
        <v>173</v>
      </c>
      <c r="N1619" t="s">
        <v>43</v>
      </c>
      <c r="O1619" t="s">
        <v>295</v>
      </c>
      <c r="P1619">
        <v>235</v>
      </c>
      <c r="Q1619">
        <v>235</v>
      </c>
      <c r="S1619" t="s">
        <v>39</v>
      </c>
      <c r="V1619" t="s">
        <v>39</v>
      </c>
      <c r="X1619">
        <v>10001</v>
      </c>
      <c r="Y1619" t="s">
        <v>47</v>
      </c>
      <c r="Z1619">
        <v>10</v>
      </c>
      <c r="AA1619">
        <v>243</v>
      </c>
      <c r="AB1619" t="s">
        <v>47</v>
      </c>
      <c r="AC1619">
        <v>0.24199999999999999</v>
      </c>
      <c r="AD1619">
        <v>453</v>
      </c>
      <c r="AE1619" t="s">
        <v>56</v>
      </c>
      <c r="AF1619">
        <v>0.45200000000000001</v>
      </c>
      <c r="AG1619">
        <v>342</v>
      </c>
      <c r="AH1619" t="s">
        <v>57</v>
      </c>
      <c r="AI1619">
        <v>0.34100000000000003</v>
      </c>
      <c r="AJ1619" t="s">
        <v>1155</v>
      </c>
    </row>
    <row r="1620" spans="1:36" x14ac:dyDescent="0.25">
      <c r="A1620" t="s">
        <v>637</v>
      </c>
      <c r="B1620">
        <v>881507005</v>
      </c>
      <c r="C1620" t="s">
        <v>638</v>
      </c>
      <c r="D1620" t="s">
        <v>638</v>
      </c>
      <c r="E1620" t="s">
        <v>99</v>
      </c>
      <c r="F1620" t="s">
        <v>143</v>
      </c>
      <c r="I1620" t="s">
        <v>39</v>
      </c>
      <c r="J1620" t="s">
        <v>40</v>
      </c>
      <c r="K1620" t="s">
        <v>41</v>
      </c>
      <c r="L1620" t="s">
        <v>89</v>
      </c>
      <c r="N1620" t="s">
        <v>43</v>
      </c>
      <c r="O1620" t="s">
        <v>288</v>
      </c>
      <c r="P1620">
        <v>235</v>
      </c>
      <c r="Q1620">
        <v>235</v>
      </c>
      <c r="R1620">
        <v>11</v>
      </c>
      <c r="S1620" t="s">
        <v>45</v>
      </c>
      <c r="T1620">
        <v>0.01</v>
      </c>
      <c r="U1620">
        <v>685</v>
      </c>
      <c r="V1620" t="s">
        <v>113</v>
      </c>
      <c r="W1620">
        <v>0.68400000000000005</v>
      </c>
      <c r="X1620">
        <v>21001</v>
      </c>
      <c r="Y1620" t="s">
        <v>47</v>
      </c>
      <c r="Z1620">
        <v>21</v>
      </c>
      <c r="AA1620">
        <v>503</v>
      </c>
      <c r="AB1620" t="s">
        <v>75</v>
      </c>
      <c r="AC1620">
        <v>0.502</v>
      </c>
      <c r="AD1620">
        <v>716</v>
      </c>
      <c r="AE1620" t="s">
        <v>48</v>
      </c>
      <c r="AF1620">
        <v>0.71499999999999997</v>
      </c>
      <c r="AG1620">
        <v>713</v>
      </c>
      <c r="AH1620" t="s">
        <v>49</v>
      </c>
      <c r="AI1620">
        <v>0.71199999999999997</v>
      </c>
      <c r="AJ1620" t="s">
        <v>50</v>
      </c>
    </row>
    <row r="1621" spans="1:36" x14ac:dyDescent="0.25">
      <c r="A1621" t="s">
        <v>637</v>
      </c>
      <c r="B1621">
        <v>881507005</v>
      </c>
      <c r="C1621" t="s">
        <v>638</v>
      </c>
      <c r="D1621" t="s">
        <v>638</v>
      </c>
      <c r="E1621" t="s">
        <v>99</v>
      </c>
      <c r="F1621" t="s">
        <v>143</v>
      </c>
      <c r="I1621" t="s">
        <v>39</v>
      </c>
      <c r="J1621" t="s">
        <v>40</v>
      </c>
      <c r="K1621" t="s">
        <v>41</v>
      </c>
      <c r="L1621" t="s">
        <v>89</v>
      </c>
      <c r="N1621" t="s">
        <v>43</v>
      </c>
      <c r="O1621" t="s">
        <v>288</v>
      </c>
      <c r="P1621">
        <v>235</v>
      </c>
      <c r="Q1621">
        <v>235</v>
      </c>
      <c r="R1621">
        <v>1</v>
      </c>
      <c r="S1621" t="s">
        <v>45</v>
      </c>
      <c r="T1621">
        <v>0</v>
      </c>
      <c r="U1621">
        <v>178</v>
      </c>
      <c r="V1621" t="s">
        <v>55</v>
      </c>
      <c r="W1621">
        <v>0.17699999999999999</v>
      </c>
      <c r="X1621">
        <v>21001</v>
      </c>
      <c r="Y1621" t="s">
        <v>47</v>
      </c>
      <c r="Z1621">
        <v>21</v>
      </c>
      <c r="AA1621">
        <v>503</v>
      </c>
      <c r="AB1621" t="s">
        <v>75</v>
      </c>
      <c r="AC1621">
        <v>0.502</v>
      </c>
      <c r="AD1621">
        <v>716</v>
      </c>
      <c r="AE1621" t="s">
        <v>48</v>
      </c>
      <c r="AF1621">
        <v>0.71499999999999997</v>
      </c>
      <c r="AG1621">
        <v>713</v>
      </c>
      <c r="AH1621" t="s">
        <v>49</v>
      </c>
      <c r="AI1621">
        <v>0.71199999999999997</v>
      </c>
      <c r="AJ1621" t="s">
        <v>1141</v>
      </c>
    </row>
    <row r="1622" spans="1:36" x14ac:dyDescent="0.25">
      <c r="A1622" t="s">
        <v>637</v>
      </c>
      <c r="B1622">
        <v>881507005</v>
      </c>
      <c r="C1622" t="s">
        <v>638</v>
      </c>
      <c r="D1622" t="s">
        <v>638</v>
      </c>
      <c r="E1622" t="s">
        <v>99</v>
      </c>
      <c r="F1622" t="s">
        <v>143</v>
      </c>
      <c r="I1622" t="s">
        <v>39</v>
      </c>
      <c r="J1622" t="s">
        <v>40</v>
      </c>
      <c r="K1622" t="s">
        <v>41</v>
      </c>
      <c r="L1622" t="s">
        <v>89</v>
      </c>
      <c r="N1622" t="s">
        <v>43</v>
      </c>
      <c r="O1622" t="s">
        <v>288</v>
      </c>
      <c r="P1622">
        <v>235</v>
      </c>
      <c r="Q1622">
        <v>235</v>
      </c>
      <c r="R1622">
        <v>11</v>
      </c>
      <c r="S1622" t="s">
        <v>45</v>
      </c>
      <c r="T1622">
        <v>0.01</v>
      </c>
      <c r="U1622">
        <v>685</v>
      </c>
      <c r="V1622" t="s">
        <v>113</v>
      </c>
      <c r="W1622">
        <v>0.68400000000000005</v>
      </c>
      <c r="X1622">
        <v>21001</v>
      </c>
      <c r="Y1622" t="s">
        <v>47</v>
      </c>
      <c r="Z1622">
        <v>21</v>
      </c>
      <c r="AA1622">
        <v>503</v>
      </c>
      <c r="AB1622" t="s">
        <v>75</v>
      </c>
      <c r="AC1622">
        <v>0.502</v>
      </c>
      <c r="AD1622">
        <v>716</v>
      </c>
      <c r="AE1622" t="s">
        <v>48</v>
      </c>
      <c r="AF1622">
        <v>0.71499999999999997</v>
      </c>
      <c r="AG1622">
        <v>713</v>
      </c>
      <c r="AH1622" t="s">
        <v>49</v>
      </c>
      <c r="AI1622">
        <v>0.71199999999999997</v>
      </c>
      <c r="AJ1622" t="s">
        <v>1153</v>
      </c>
    </row>
    <row r="1623" spans="1:36" x14ac:dyDescent="0.25">
      <c r="A1623" t="s">
        <v>637</v>
      </c>
      <c r="B1623">
        <v>881507005</v>
      </c>
      <c r="C1623" t="s">
        <v>638</v>
      </c>
      <c r="D1623" t="s">
        <v>638</v>
      </c>
      <c r="E1623" t="s">
        <v>99</v>
      </c>
      <c r="F1623" t="s">
        <v>143</v>
      </c>
      <c r="I1623" t="s">
        <v>39</v>
      </c>
      <c r="J1623" t="s">
        <v>40</v>
      </c>
      <c r="K1623" t="s">
        <v>41</v>
      </c>
      <c r="L1623" t="s">
        <v>89</v>
      </c>
      <c r="N1623" t="s">
        <v>43</v>
      </c>
      <c r="O1623" t="s">
        <v>288</v>
      </c>
      <c r="P1623">
        <v>235</v>
      </c>
      <c r="Q1623">
        <v>235</v>
      </c>
      <c r="R1623">
        <v>11</v>
      </c>
      <c r="S1623" t="s">
        <v>45</v>
      </c>
      <c r="T1623">
        <v>0.01</v>
      </c>
      <c r="U1623">
        <v>685</v>
      </c>
      <c r="V1623" t="s">
        <v>113</v>
      </c>
      <c r="W1623">
        <v>0.68400000000000005</v>
      </c>
      <c r="X1623">
        <v>21001</v>
      </c>
      <c r="Y1623" t="s">
        <v>47</v>
      </c>
      <c r="Z1623">
        <v>21</v>
      </c>
      <c r="AA1623">
        <v>503</v>
      </c>
      <c r="AB1623" t="s">
        <v>75</v>
      </c>
      <c r="AC1623">
        <v>0.502</v>
      </c>
      <c r="AD1623">
        <v>716</v>
      </c>
      <c r="AE1623" t="s">
        <v>48</v>
      </c>
      <c r="AF1623">
        <v>0.71499999999999997</v>
      </c>
      <c r="AG1623">
        <v>713</v>
      </c>
      <c r="AH1623" t="s">
        <v>49</v>
      </c>
      <c r="AI1623">
        <v>0.71199999999999997</v>
      </c>
      <c r="AJ1623" t="s">
        <v>1154</v>
      </c>
    </row>
    <row r="1624" spans="1:36" x14ac:dyDescent="0.25">
      <c r="A1624" t="s">
        <v>637</v>
      </c>
      <c r="B1624">
        <v>881507005</v>
      </c>
      <c r="C1624" t="s">
        <v>638</v>
      </c>
      <c r="D1624" t="s">
        <v>638</v>
      </c>
      <c r="E1624" t="s">
        <v>99</v>
      </c>
      <c r="F1624" t="s">
        <v>143</v>
      </c>
      <c r="I1624" t="s">
        <v>39</v>
      </c>
      <c r="J1624" t="s">
        <v>40</v>
      </c>
      <c r="K1624" t="s">
        <v>41</v>
      </c>
      <c r="L1624" t="s">
        <v>89</v>
      </c>
      <c r="N1624" t="s">
        <v>43</v>
      </c>
      <c r="O1624" t="s">
        <v>288</v>
      </c>
      <c r="P1624">
        <v>235</v>
      </c>
      <c r="Q1624">
        <v>235</v>
      </c>
      <c r="S1624" t="s">
        <v>39</v>
      </c>
      <c r="V1624" t="s">
        <v>39</v>
      </c>
      <c r="X1624">
        <v>21001</v>
      </c>
      <c r="Y1624" t="s">
        <v>47</v>
      </c>
      <c r="Z1624">
        <v>21</v>
      </c>
      <c r="AA1624">
        <v>503</v>
      </c>
      <c r="AB1624" t="s">
        <v>75</v>
      </c>
      <c r="AC1624">
        <v>0.502</v>
      </c>
      <c r="AD1624">
        <v>716</v>
      </c>
      <c r="AE1624" t="s">
        <v>48</v>
      </c>
      <c r="AF1624">
        <v>0.71499999999999997</v>
      </c>
      <c r="AG1624">
        <v>713</v>
      </c>
      <c r="AH1624" t="s">
        <v>49</v>
      </c>
      <c r="AI1624">
        <v>0.71199999999999997</v>
      </c>
      <c r="AJ1624" t="s">
        <v>1155</v>
      </c>
    </row>
    <row r="1625" spans="1:36" x14ac:dyDescent="0.25">
      <c r="A1625" t="s">
        <v>635</v>
      </c>
      <c r="B1625">
        <v>856304314</v>
      </c>
      <c r="C1625" t="s">
        <v>636</v>
      </c>
      <c r="D1625" t="s">
        <v>636</v>
      </c>
      <c r="E1625" t="s">
        <v>60</v>
      </c>
      <c r="F1625" t="s">
        <v>61</v>
      </c>
      <c r="I1625" t="s">
        <v>39</v>
      </c>
      <c r="J1625" t="s">
        <v>40</v>
      </c>
      <c r="K1625" t="s">
        <v>41</v>
      </c>
      <c r="L1625" t="s">
        <v>118</v>
      </c>
      <c r="N1625" t="s">
        <v>43</v>
      </c>
      <c r="O1625" t="s">
        <v>283</v>
      </c>
      <c r="P1625">
        <v>235</v>
      </c>
      <c r="Q1625">
        <v>235</v>
      </c>
      <c r="R1625">
        <v>21</v>
      </c>
      <c r="S1625" t="s">
        <v>45</v>
      </c>
      <c r="T1625">
        <v>0.02</v>
      </c>
      <c r="U1625">
        <v>88</v>
      </c>
      <c r="V1625" t="s">
        <v>55</v>
      </c>
      <c r="W1625">
        <v>8.6999999999999994E-2</v>
      </c>
      <c r="X1625">
        <v>1</v>
      </c>
      <c r="Y1625" t="s">
        <v>47</v>
      </c>
      <c r="Z1625">
        <v>0</v>
      </c>
      <c r="AA1625">
        <v>397</v>
      </c>
      <c r="AB1625" t="s">
        <v>47</v>
      </c>
      <c r="AC1625">
        <v>0.39600000000000002</v>
      </c>
      <c r="AD1625">
        <v>636</v>
      </c>
      <c r="AE1625" t="s">
        <v>48</v>
      </c>
      <c r="AF1625">
        <v>0.63500000000000001</v>
      </c>
      <c r="AG1625">
        <v>816</v>
      </c>
      <c r="AH1625" t="s">
        <v>49</v>
      </c>
      <c r="AI1625">
        <v>0.81499999999999995</v>
      </c>
      <c r="AJ1625" t="s">
        <v>50</v>
      </c>
    </row>
    <row r="1626" spans="1:36" x14ac:dyDescent="0.25">
      <c r="A1626" t="s">
        <v>635</v>
      </c>
      <c r="B1626">
        <v>856304314</v>
      </c>
      <c r="C1626" t="s">
        <v>636</v>
      </c>
      <c r="D1626" t="s">
        <v>636</v>
      </c>
      <c r="E1626" t="s">
        <v>60</v>
      </c>
      <c r="F1626" t="s">
        <v>61</v>
      </c>
      <c r="I1626" t="s">
        <v>39</v>
      </c>
      <c r="J1626" t="s">
        <v>40</v>
      </c>
      <c r="K1626" t="s">
        <v>41</v>
      </c>
      <c r="L1626" t="s">
        <v>118</v>
      </c>
      <c r="N1626" t="s">
        <v>43</v>
      </c>
      <c r="O1626" t="s">
        <v>283</v>
      </c>
      <c r="P1626">
        <v>235</v>
      </c>
      <c r="Q1626">
        <v>235</v>
      </c>
      <c r="R1626">
        <v>21</v>
      </c>
      <c r="S1626" t="s">
        <v>45</v>
      </c>
      <c r="T1626">
        <v>0.02</v>
      </c>
      <c r="U1626">
        <v>27</v>
      </c>
      <c r="V1626" t="s">
        <v>55</v>
      </c>
      <c r="W1626">
        <v>2.5999999999999999E-2</v>
      </c>
      <c r="X1626">
        <v>1</v>
      </c>
      <c r="Y1626" t="s">
        <v>47</v>
      </c>
      <c r="Z1626">
        <v>0</v>
      </c>
      <c r="AA1626">
        <v>397</v>
      </c>
      <c r="AB1626" t="s">
        <v>47</v>
      </c>
      <c r="AC1626">
        <v>0.39600000000000002</v>
      </c>
      <c r="AD1626">
        <v>636</v>
      </c>
      <c r="AE1626" t="s">
        <v>48</v>
      </c>
      <c r="AF1626">
        <v>0.63500000000000001</v>
      </c>
      <c r="AG1626">
        <v>816</v>
      </c>
      <c r="AH1626" t="s">
        <v>49</v>
      </c>
      <c r="AI1626">
        <v>0.81499999999999995</v>
      </c>
      <c r="AJ1626" t="s">
        <v>1141</v>
      </c>
    </row>
    <row r="1627" spans="1:36" x14ac:dyDescent="0.25">
      <c r="A1627" t="s">
        <v>635</v>
      </c>
      <c r="B1627">
        <v>856304314</v>
      </c>
      <c r="C1627" t="s">
        <v>636</v>
      </c>
      <c r="D1627" t="s">
        <v>636</v>
      </c>
      <c r="E1627" t="s">
        <v>60</v>
      </c>
      <c r="F1627" t="s">
        <v>61</v>
      </c>
      <c r="I1627" t="s">
        <v>39</v>
      </c>
      <c r="J1627" t="s">
        <v>40</v>
      </c>
      <c r="K1627" t="s">
        <v>41</v>
      </c>
      <c r="L1627" t="s">
        <v>118</v>
      </c>
      <c r="N1627" t="s">
        <v>43</v>
      </c>
      <c r="O1627" t="s">
        <v>283</v>
      </c>
      <c r="P1627">
        <v>235</v>
      </c>
      <c r="Q1627">
        <v>235</v>
      </c>
      <c r="R1627">
        <v>21</v>
      </c>
      <c r="S1627" t="s">
        <v>45</v>
      </c>
      <c r="T1627">
        <v>0.02</v>
      </c>
      <c r="U1627">
        <v>88</v>
      </c>
      <c r="V1627" t="s">
        <v>55</v>
      </c>
      <c r="W1627">
        <v>8.6999999999999994E-2</v>
      </c>
      <c r="X1627">
        <v>1</v>
      </c>
      <c r="Y1627" t="s">
        <v>47</v>
      </c>
      <c r="Z1627">
        <v>0</v>
      </c>
      <c r="AA1627">
        <v>397</v>
      </c>
      <c r="AB1627" t="s">
        <v>47</v>
      </c>
      <c r="AC1627">
        <v>0.39600000000000002</v>
      </c>
      <c r="AD1627">
        <v>636</v>
      </c>
      <c r="AE1627" t="s">
        <v>48</v>
      </c>
      <c r="AF1627">
        <v>0.63500000000000001</v>
      </c>
      <c r="AG1627">
        <v>816</v>
      </c>
      <c r="AH1627" t="s">
        <v>49</v>
      </c>
      <c r="AI1627">
        <v>0.81499999999999995</v>
      </c>
      <c r="AJ1627" t="s">
        <v>1153</v>
      </c>
    </row>
    <row r="1628" spans="1:36" x14ac:dyDescent="0.25">
      <c r="A1628" t="s">
        <v>635</v>
      </c>
      <c r="B1628">
        <v>856304314</v>
      </c>
      <c r="C1628" t="s">
        <v>636</v>
      </c>
      <c r="D1628" t="s">
        <v>636</v>
      </c>
      <c r="E1628" t="s">
        <v>60</v>
      </c>
      <c r="F1628" t="s">
        <v>61</v>
      </c>
      <c r="I1628" t="s">
        <v>39</v>
      </c>
      <c r="J1628" t="s">
        <v>40</v>
      </c>
      <c r="K1628" t="s">
        <v>41</v>
      </c>
      <c r="L1628" t="s">
        <v>118</v>
      </c>
      <c r="N1628" t="s">
        <v>43</v>
      </c>
      <c r="O1628" t="s">
        <v>283</v>
      </c>
      <c r="P1628">
        <v>235</v>
      </c>
      <c r="Q1628">
        <v>235</v>
      </c>
      <c r="R1628">
        <v>21</v>
      </c>
      <c r="S1628" t="s">
        <v>45</v>
      </c>
      <c r="T1628">
        <v>0.02</v>
      </c>
      <c r="U1628">
        <v>88</v>
      </c>
      <c r="V1628" t="s">
        <v>55</v>
      </c>
      <c r="W1628">
        <v>8.6999999999999994E-2</v>
      </c>
      <c r="X1628">
        <v>1</v>
      </c>
      <c r="Y1628" t="s">
        <v>47</v>
      </c>
      <c r="Z1628">
        <v>0</v>
      </c>
      <c r="AA1628">
        <v>397</v>
      </c>
      <c r="AB1628" t="s">
        <v>47</v>
      </c>
      <c r="AC1628">
        <v>0.39600000000000002</v>
      </c>
      <c r="AD1628">
        <v>636</v>
      </c>
      <c r="AE1628" t="s">
        <v>48</v>
      </c>
      <c r="AF1628">
        <v>0.63500000000000001</v>
      </c>
      <c r="AG1628">
        <v>816</v>
      </c>
      <c r="AH1628" t="s">
        <v>49</v>
      </c>
      <c r="AI1628">
        <v>0.81499999999999995</v>
      </c>
      <c r="AJ1628" t="s">
        <v>1154</v>
      </c>
    </row>
    <row r="1629" spans="1:36" x14ac:dyDescent="0.25">
      <c r="A1629" t="s">
        <v>635</v>
      </c>
      <c r="B1629">
        <v>856304314</v>
      </c>
      <c r="C1629" t="s">
        <v>636</v>
      </c>
      <c r="D1629" t="s">
        <v>636</v>
      </c>
      <c r="E1629" t="s">
        <v>60</v>
      </c>
      <c r="F1629" t="s">
        <v>61</v>
      </c>
      <c r="I1629" t="s">
        <v>39</v>
      </c>
      <c r="J1629" t="s">
        <v>40</v>
      </c>
      <c r="K1629" t="s">
        <v>41</v>
      </c>
      <c r="L1629" t="s">
        <v>118</v>
      </c>
      <c r="N1629" t="s">
        <v>43</v>
      </c>
      <c r="O1629" t="s">
        <v>283</v>
      </c>
      <c r="P1629">
        <v>235</v>
      </c>
      <c r="Q1629">
        <v>235</v>
      </c>
      <c r="S1629" t="s">
        <v>39</v>
      </c>
      <c r="V1629" t="s">
        <v>39</v>
      </c>
      <c r="X1629">
        <v>1</v>
      </c>
      <c r="Y1629" t="s">
        <v>47</v>
      </c>
      <c r="Z1629">
        <v>0</v>
      </c>
      <c r="AA1629">
        <v>397</v>
      </c>
      <c r="AB1629" t="s">
        <v>47</v>
      </c>
      <c r="AC1629">
        <v>0.39600000000000002</v>
      </c>
      <c r="AD1629">
        <v>636</v>
      </c>
      <c r="AE1629" t="s">
        <v>48</v>
      </c>
      <c r="AF1629">
        <v>0.63500000000000001</v>
      </c>
      <c r="AG1629">
        <v>816</v>
      </c>
      <c r="AH1629" t="s">
        <v>49</v>
      </c>
      <c r="AI1629">
        <v>0.81499999999999995</v>
      </c>
      <c r="AJ1629" t="s">
        <v>1155</v>
      </c>
    </row>
    <row r="1630" spans="1:36" x14ac:dyDescent="0.25">
      <c r="A1630" t="s">
        <v>631</v>
      </c>
      <c r="B1630">
        <v>855339749</v>
      </c>
      <c r="C1630" t="s">
        <v>632</v>
      </c>
      <c r="D1630" t="s">
        <v>632</v>
      </c>
      <c r="E1630" t="s">
        <v>99</v>
      </c>
      <c r="F1630" t="s">
        <v>143</v>
      </c>
      <c r="I1630" t="s">
        <v>39</v>
      </c>
      <c r="J1630" t="s">
        <v>40</v>
      </c>
      <c r="K1630" t="s">
        <v>41</v>
      </c>
      <c r="L1630" t="s">
        <v>137</v>
      </c>
      <c r="M1630" t="s">
        <v>47</v>
      </c>
      <c r="N1630" t="s">
        <v>43</v>
      </c>
      <c r="O1630" t="s">
        <v>576</v>
      </c>
      <c r="P1630">
        <v>236</v>
      </c>
      <c r="Q1630">
        <v>236</v>
      </c>
      <c r="R1630">
        <v>221</v>
      </c>
      <c r="S1630" t="s">
        <v>56</v>
      </c>
      <c r="T1630">
        <v>0.22</v>
      </c>
      <c r="U1630">
        <v>16</v>
      </c>
      <c r="V1630" t="s">
        <v>55</v>
      </c>
      <c r="W1630">
        <v>1.4999999999999999E-2</v>
      </c>
      <c r="X1630">
        <v>7001</v>
      </c>
      <c r="Y1630" t="s">
        <v>47</v>
      </c>
      <c r="Z1630">
        <v>7</v>
      </c>
      <c r="AA1630">
        <v>222</v>
      </c>
      <c r="AB1630" t="s">
        <v>47</v>
      </c>
      <c r="AC1630">
        <v>0.221</v>
      </c>
      <c r="AD1630">
        <v>505</v>
      </c>
      <c r="AE1630" t="s">
        <v>48</v>
      </c>
      <c r="AF1630">
        <v>0.504</v>
      </c>
      <c r="AG1630">
        <v>307</v>
      </c>
      <c r="AH1630" t="s">
        <v>57</v>
      </c>
      <c r="AI1630">
        <v>0.30599999999999999</v>
      </c>
      <c r="AJ1630" t="s">
        <v>50</v>
      </c>
    </row>
    <row r="1631" spans="1:36" x14ac:dyDescent="0.25">
      <c r="A1631" t="s">
        <v>631</v>
      </c>
      <c r="B1631">
        <v>855339749</v>
      </c>
      <c r="C1631" t="s">
        <v>632</v>
      </c>
      <c r="D1631" t="s">
        <v>632</v>
      </c>
      <c r="E1631" t="s">
        <v>99</v>
      </c>
      <c r="F1631" t="s">
        <v>143</v>
      </c>
      <c r="I1631" t="s">
        <v>39</v>
      </c>
      <c r="J1631" t="s">
        <v>40</v>
      </c>
      <c r="K1631" t="s">
        <v>41</v>
      </c>
      <c r="L1631" t="s">
        <v>137</v>
      </c>
      <c r="M1631" t="s">
        <v>47</v>
      </c>
      <c r="N1631" t="s">
        <v>43</v>
      </c>
      <c r="O1631" t="s">
        <v>576</v>
      </c>
      <c r="P1631">
        <v>236</v>
      </c>
      <c r="Q1631">
        <v>236</v>
      </c>
      <c r="R1631">
        <v>61</v>
      </c>
      <c r="S1631" t="s">
        <v>56</v>
      </c>
      <c r="T1631">
        <v>0.06</v>
      </c>
      <c r="U1631">
        <v>1</v>
      </c>
      <c r="V1631" t="s">
        <v>55</v>
      </c>
      <c r="W1631">
        <v>0</v>
      </c>
      <c r="X1631">
        <v>7001</v>
      </c>
      <c r="Y1631" t="s">
        <v>47</v>
      </c>
      <c r="Z1631">
        <v>7</v>
      </c>
      <c r="AA1631">
        <v>222</v>
      </c>
      <c r="AB1631" t="s">
        <v>47</v>
      </c>
      <c r="AC1631">
        <v>0.221</v>
      </c>
      <c r="AD1631">
        <v>505</v>
      </c>
      <c r="AE1631" t="s">
        <v>48</v>
      </c>
      <c r="AF1631">
        <v>0.504</v>
      </c>
      <c r="AG1631">
        <v>307</v>
      </c>
      <c r="AH1631" t="s">
        <v>57</v>
      </c>
      <c r="AI1631">
        <v>0.30599999999999999</v>
      </c>
      <c r="AJ1631" t="s">
        <v>1141</v>
      </c>
    </row>
    <row r="1632" spans="1:36" x14ac:dyDescent="0.25">
      <c r="A1632" t="s">
        <v>631</v>
      </c>
      <c r="B1632">
        <v>855339749</v>
      </c>
      <c r="C1632" t="s">
        <v>632</v>
      </c>
      <c r="D1632" t="s">
        <v>632</v>
      </c>
      <c r="E1632" t="s">
        <v>99</v>
      </c>
      <c r="F1632" t="s">
        <v>143</v>
      </c>
      <c r="I1632" t="s">
        <v>39</v>
      </c>
      <c r="J1632" t="s">
        <v>40</v>
      </c>
      <c r="K1632" t="s">
        <v>41</v>
      </c>
      <c r="L1632" t="s">
        <v>137</v>
      </c>
      <c r="M1632" t="s">
        <v>47</v>
      </c>
      <c r="N1632" t="s">
        <v>43</v>
      </c>
      <c r="O1632" t="s">
        <v>576</v>
      </c>
      <c r="P1632">
        <v>236</v>
      </c>
      <c r="Q1632">
        <v>236</v>
      </c>
      <c r="R1632">
        <v>221</v>
      </c>
      <c r="S1632" t="s">
        <v>56</v>
      </c>
      <c r="T1632">
        <v>0.22</v>
      </c>
      <c r="U1632">
        <v>16</v>
      </c>
      <c r="V1632" t="s">
        <v>55</v>
      </c>
      <c r="W1632">
        <v>1.4999999999999999E-2</v>
      </c>
      <c r="X1632">
        <v>7001</v>
      </c>
      <c r="Y1632" t="s">
        <v>47</v>
      </c>
      <c r="Z1632">
        <v>7</v>
      </c>
      <c r="AA1632">
        <v>222</v>
      </c>
      <c r="AB1632" t="s">
        <v>47</v>
      </c>
      <c r="AC1632">
        <v>0.221</v>
      </c>
      <c r="AD1632">
        <v>505</v>
      </c>
      <c r="AE1632" t="s">
        <v>48</v>
      </c>
      <c r="AF1632">
        <v>0.504</v>
      </c>
      <c r="AG1632">
        <v>307</v>
      </c>
      <c r="AH1632" t="s">
        <v>57</v>
      </c>
      <c r="AI1632">
        <v>0.30599999999999999</v>
      </c>
      <c r="AJ1632" t="s">
        <v>1153</v>
      </c>
    </row>
    <row r="1633" spans="1:36" x14ac:dyDescent="0.25">
      <c r="A1633" t="s">
        <v>631</v>
      </c>
      <c r="B1633">
        <v>855339749</v>
      </c>
      <c r="C1633" t="s">
        <v>632</v>
      </c>
      <c r="D1633" t="s">
        <v>632</v>
      </c>
      <c r="E1633" t="s">
        <v>99</v>
      </c>
      <c r="F1633" t="s">
        <v>143</v>
      </c>
      <c r="I1633" t="s">
        <v>39</v>
      </c>
      <c r="J1633" t="s">
        <v>40</v>
      </c>
      <c r="K1633" t="s">
        <v>41</v>
      </c>
      <c r="L1633" t="s">
        <v>137</v>
      </c>
      <c r="M1633" t="s">
        <v>47</v>
      </c>
      <c r="N1633" t="s">
        <v>43</v>
      </c>
      <c r="O1633" t="s">
        <v>576</v>
      </c>
      <c r="P1633">
        <v>236</v>
      </c>
      <c r="Q1633">
        <v>236</v>
      </c>
      <c r="R1633">
        <v>221</v>
      </c>
      <c r="S1633" t="s">
        <v>56</v>
      </c>
      <c r="T1633">
        <v>0.22</v>
      </c>
      <c r="U1633">
        <v>16</v>
      </c>
      <c r="V1633" t="s">
        <v>55</v>
      </c>
      <c r="W1633">
        <v>1.4999999999999999E-2</v>
      </c>
      <c r="X1633">
        <v>7001</v>
      </c>
      <c r="Y1633" t="s">
        <v>47</v>
      </c>
      <c r="Z1633">
        <v>7</v>
      </c>
      <c r="AA1633">
        <v>222</v>
      </c>
      <c r="AB1633" t="s">
        <v>47</v>
      </c>
      <c r="AC1633">
        <v>0.221</v>
      </c>
      <c r="AD1633">
        <v>505</v>
      </c>
      <c r="AE1633" t="s">
        <v>48</v>
      </c>
      <c r="AF1633">
        <v>0.504</v>
      </c>
      <c r="AG1633">
        <v>307</v>
      </c>
      <c r="AH1633" t="s">
        <v>57</v>
      </c>
      <c r="AI1633">
        <v>0.30599999999999999</v>
      </c>
      <c r="AJ1633" t="s">
        <v>1154</v>
      </c>
    </row>
    <row r="1634" spans="1:36" x14ac:dyDescent="0.25">
      <c r="A1634" t="s">
        <v>631</v>
      </c>
      <c r="B1634">
        <v>855339749</v>
      </c>
      <c r="C1634" t="s">
        <v>632</v>
      </c>
      <c r="D1634" t="s">
        <v>632</v>
      </c>
      <c r="E1634" t="s">
        <v>99</v>
      </c>
      <c r="F1634" t="s">
        <v>143</v>
      </c>
      <c r="I1634" t="s">
        <v>39</v>
      </c>
      <c r="J1634" t="s">
        <v>40</v>
      </c>
      <c r="K1634" t="s">
        <v>41</v>
      </c>
      <c r="L1634" t="s">
        <v>137</v>
      </c>
      <c r="M1634" t="s">
        <v>47</v>
      </c>
      <c r="N1634" t="s">
        <v>43</v>
      </c>
      <c r="O1634" t="s">
        <v>576</v>
      </c>
      <c r="P1634">
        <v>236</v>
      </c>
      <c r="Q1634">
        <v>236</v>
      </c>
      <c r="S1634" t="s">
        <v>39</v>
      </c>
      <c r="V1634" t="s">
        <v>39</v>
      </c>
      <c r="X1634">
        <v>7001</v>
      </c>
      <c r="Y1634" t="s">
        <v>47</v>
      </c>
      <c r="Z1634">
        <v>7</v>
      </c>
      <c r="AA1634">
        <v>222</v>
      </c>
      <c r="AB1634" t="s">
        <v>47</v>
      </c>
      <c r="AC1634">
        <v>0.221</v>
      </c>
      <c r="AD1634">
        <v>505</v>
      </c>
      <c r="AE1634" t="s">
        <v>48</v>
      </c>
      <c r="AF1634">
        <v>0.504</v>
      </c>
      <c r="AG1634">
        <v>307</v>
      </c>
      <c r="AH1634" t="s">
        <v>57</v>
      </c>
      <c r="AI1634">
        <v>0.30599999999999999</v>
      </c>
      <c r="AJ1634" t="s">
        <v>1155</v>
      </c>
    </row>
    <row r="1635" spans="1:36" x14ac:dyDescent="0.25">
      <c r="A1635" t="s">
        <v>633</v>
      </c>
      <c r="B1635">
        <v>856127161</v>
      </c>
      <c r="C1635" t="s">
        <v>634</v>
      </c>
      <c r="D1635" t="s">
        <v>634</v>
      </c>
      <c r="E1635" t="s">
        <v>60</v>
      </c>
      <c r="F1635" t="s">
        <v>61</v>
      </c>
      <c r="I1635" t="s">
        <v>39</v>
      </c>
      <c r="J1635" t="s">
        <v>40</v>
      </c>
      <c r="K1635" t="s">
        <v>41</v>
      </c>
      <c r="L1635" t="s">
        <v>118</v>
      </c>
      <c r="N1635" t="s">
        <v>43</v>
      </c>
      <c r="O1635" t="s">
        <v>62</v>
      </c>
      <c r="P1635">
        <v>236</v>
      </c>
      <c r="Q1635">
        <v>236</v>
      </c>
      <c r="R1635">
        <v>531</v>
      </c>
      <c r="S1635" t="s">
        <v>56</v>
      </c>
      <c r="T1635">
        <v>0.53</v>
      </c>
      <c r="U1635">
        <v>4</v>
      </c>
      <c r="V1635" t="s">
        <v>55</v>
      </c>
      <c r="W1635">
        <v>3.0000000000000001E-3</v>
      </c>
      <c r="X1635">
        <v>1</v>
      </c>
      <c r="Y1635" t="s">
        <v>47</v>
      </c>
      <c r="Z1635">
        <v>0</v>
      </c>
      <c r="AA1635">
        <v>153</v>
      </c>
      <c r="AB1635" t="s">
        <v>47</v>
      </c>
      <c r="AC1635">
        <v>0.152</v>
      </c>
      <c r="AD1635">
        <v>326</v>
      </c>
      <c r="AE1635" t="s">
        <v>56</v>
      </c>
      <c r="AF1635">
        <v>0.32500000000000001</v>
      </c>
      <c r="AG1635">
        <v>32</v>
      </c>
      <c r="AH1635" t="s">
        <v>103</v>
      </c>
      <c r="AI1635">
        <v>3.1E-2</v>
      </c>
      <c r="AJ1635" t="s">
        <v>50</v>
      </c>
    </row>
    <row r="1636" spans="1:36" x14ac:dyDescent="0.25">
      <c r="A1636" t="s">
        <v>633</v>
      </c>
      <c r="B1636">
        <v>856127161</v>
      </c>
      <c r="C1636" t="s">
        <v>634</v>
      </c>
      <c r="D1636" t="s">
        <v>634</v>
      </c>
      <c r="E1636" t="s">
        <v>60</v>
      </c>
      <c r="F1636" t="s">
        <v>61</v>
      </c>
      <c r="I1636" t="s">
        <v>39</v>
      </c>
      <c r="J1636" t="s">
        <v>40</v>
      </c>
      <c r="K1636" t="s">
        <v>41</v>
      </c>
      <c r="L1636" t="s">
        <v>118</v>
      </c>
      <c r="N1636" t="s">
        <v>43</v>
      </c>
      <c r="O1636" t="s">
        <v>62</v>
      </c>
      <c r="P1636">
        <v>236</v>
      </c>
      <c r="Q1636">
        <v>236</v>
      </c>
      <c r="R1636">
        <v>321</v>
      </c>
      <c r="S1636" t="s">
        <v>56</v>
      </c>
      <c r="T1636">
        <v>0.32</v>
      </c>
      <c r="U1636">
        <v>1</v>
      </c>
      <c r="V1636" t="s">
        <v>55</v>
      </c>
      <c r="W1636">
        <v>0</v>
      </c>
      <c r="X1636">
        <v>1</v>
      </c>
      <c r="Y1636" t="s">
        <v>47</v>
      </c>
      <c r="Z1636">
        <v>0</v>
      </c>
      <c r="AA1636">
        <v>153</v>
      </c>
      <c r="AB1636" t="s">
        <v>47</v>
      </c>
      <c r="AC1636">
        <v>0.152</v>
      </c>
      <c r="AD1636">
        <v>326</v>
      </c>
      <c r="AE1636" t="s">
        <v>56</v>
      </c>
      <c r="AF1636">
        <v>0.32500000000000001</v>
      </c>
      <c r="AG1636">
        <v>32</v>
      </c>
      <c r="AH1636" t="s">
        <v>103</v>
      </c>
      <c r="AI1636">
        <v>3.1E-2</v>
      </c>
      <c r="AJ1636" t="s">
        <v>1141</v>
      </c>
    </row>
    <row r="1637" spans="1:36" x14ac:dyDescent="0.25">
      <c r="A1637" t="s">
        <v>633</v>
      </c>
      <c r="B1637">
        <v>856127161</v>
      </c>
      <c r="C1637" t="s">
        <v>634</v>
      </c>
      <c r="D1637" t="s">
        <v>634</v>
      </c>
      <c r="E1637" t="s">
        <v>60</v>
      </c>
      <c r="F1637" t="s">
        <v>61</v>
      </c>
      <c r="I1637" t="s">
        <v>39</v>
      </c>
      <c r="J1637" t="s">
        <v>40</v>
      </c>
      <c r="K1637" t="s">
        <v>41</v>
      </c>
      <c r="L1637" t="s">
        <v>118</v>
      </c>
      <c r="N1637" t="s">
        <v>43</v>
      </c>
      <c r="O1637" t="s">
        <v>62</v>
      </c>
      <c r="P1637">
        <v>236</v>
      </c>
      <c r="Q1637">
        <v>236</v>
      </c>
      <c r="R1637">
        <v>531</v>
      </c>
      <c r="S1637" t="s">
        <v>56</v>
      </c>
      <c r="T1637">
        <v>0.53</v>
      </c>
      <c r="U1637">
        <v>4</v>
      </c>
      <c r="V1637" t="s">
        <v>55</v>
      </c>
      <c r="W1637">
        <v>3.0000000000000001E-3</v>
      </c>
      <c r="X1637">
        <v>1</v>
      </c>
      <c r="Y1637" t="s">
        <v>47</v>
      </c>
      <c r="Z1637">
        <v>0</v>
      </c>
      <c r="AA1637">
        <v>153</v>
      </c>
      <c r="AB1637" t="s">
        <v>47</v>
      </c>
      <c r="AC1637">
        <v>0.152</v>
      </c>
      <c r="AD1637">
        <v>326</v>
      </c>
      <c r="AE1637" t="s">
        <v>56</v>
      </c>
      <c r="AF1637">
        <v>0.32500000000000001</v>
      </c>
      <c r="AG1637">
        <v>32</v>
      </c>
      <c r="AH1637" t="s">
        <v>103</v>
      </c>
      <c r="AI1637">
        <v>3.1E-2</v>
      </c>
      <c r="AJ1637" t="s">
        <v>1153</v>
      </c>
    </row>
    <row r="1638" spans="1:36" x14ac:dyDescent="0.25">
      <c r="A1638" t="s">
        <v>633</v>
      </c>
      <c r="B1638">
        <v>856127161</v>
      </c>
      <c r="C1638" t="s">
        <v>634</v>
      </c>
      <c r="D1638" t="s">
        <v>634</v>
      </c>
      <c r="E1638" t="s">
        <v>60</v>
      </c>
      <c r="F1638" t="s">
        <v>61</v>
      </c>
      <c r="I1638" t="s">
        <v>39</v>
      </c>
      <c r="J1638" t="s">
        <v>40</v>
      </c>
      <c r="K1638" t="s">
        <v>41</v>
      </c>
      <c r="L1638" t="s">
        <v>118</v>
      </c>
      <c r="N1638" t="s">
        <v>43</v>
      </c>
      <c r="O1638" t="s">
        <v>62</v>
      </c>
      <c r="P1638">
        <v>236</v>
      </c>
      <c r="Q1638">
        <v>236</v>
      </c>
      <c r="R1638">
        <v>531</v>
      </c>
      <c r="S1638" t="s">
        <v>56</v>
      </c>
      <c r="T1638">
        <v>0.53</v>
      </c>
      <c r="U1638">
        <v>4</v>
      </c>
      <c r="V1638" t="s">
        <v>55</v>
      </c>
      <c r="W1638">
        <v>3.0000000000000001E-3</v>
      </c>
      <c r="X1638">
        <v>1</v>
      </c>
      <c r="Y1638" t="s">
        <v>47</v>
      </c>
      <c r="Z1638">
        <v>0</v>
      </c>
      <c r="AA1638">
        <v>153</v>
      </c>
      <c r="AB1638" t="s">
        <v>47</v>
      </c>
      <c r="AC1638">
        <v>0.152</v>
      </c>
      <c r="AD1638">
        <v>326</v>
      </c>
      <c r="AE1638" t="s">
        <v>56</v>
      </c>
      <c r="AF1638">
        <v>0.32500000000000001</v>
      </c>
      <c r="AG1638">
        <v>32</v>
      </c>
      <c r="AH1638" t="s">
        <v>103</v>
      </c>
      <c r="AI1638">
        <v>3.1E-2</v>
      </c>
      <c r="AJ1638" t="s">
        <v>1154</v>
      </c>
    </row>
    <row r="1639" spans="1:36" x14ac:dyDescent="0.25">
      <c r="A1639" t="s">
        <v>633</v>
      </c>
      <c r="B1639">
        <v>856127161</v>
      </c>
      <c r="C1639" t="s">
        <v>634</v>
      </c>
      <c r="D1639" t="s">
        <v>634</v>
      </c>
      <c r="E1639" t="s">
        <v>60</v>
      </c>
      <c r="F1639" t="s">
        <v>61</v>
      </c>
      <c r="I1639" t="s">
        <v>39</v>
      </c>
      <c r="J1639" t="s">
        <v>40</v>
      </c>
      <c r="K1639" t="s">
        <v>41</v>
      </c>
      <c r="L1639" t="s">
        <v>118</v>
      </c>
      <c r="N1639" t="s">
        <v>43</v>
      </c>
      <c r="O1639" t="s">
        <v>62</v>
      </c>
      <c r="P1639">
        <v>236</v>
      </c>
      <c r="Q1639">
        <v>236</v>
      </c>
      <c r="S1639" t="s">
        <v>39</v>
      </c>
      <c r="V1639" t="s">
        <v>39</v>
      </c>
      <c r="X1639">
        <v>1</v>
      </c>
      <c r="Y1639" t="s">
        <v>47</v>
      </c>
      <c r="Z1639">
        <v>0</v>
      </c>
      <c r="AA1639">
        <v>153</v>
      </c>
      <c r="AB1639" t="s">
        <v>47</v>
      </c>
      <c r="AC1639">
        <v>0.152</v>
      </c>
      <c r="AD1639">
        <v>326</v>
      </c>
      <c r="AE1639" t="s">
        <v>56</v>
      </c>
      <c r="AF1639">
        <v>0.32500000000000001</v>
      </c>
      <c r="AG1639">
        <v>32</v>
      </c>
      <c r="AH1639" t="s">
        <v>103</v>
      </c>
      <c r="AI1639">
        <v>3.1E-2</v>
      </c>
      <c r="AJ1639" t="s">
        <v>1155</v>
      </c>
    </row>
    <row r="1640" spans="1:36" x14ac:dyDescent="0.25">
      <c r="A1640" t="s">
        <v>629</v>
      </c>
      <c r="B1640">
        <v>851632239</v>
      </c>
      <c r="C1640" t="s">
        <v>630</v>
      </c>
      <c r="D1640" t="s">
        <v>630</v>
      </c>
      <c r="E1640" t="s">
        <v>65</v>
      </c>
      <c r="F1640" t="s">
        <v>93</v>
      </c>
      <c r="I1640" t="s">
        <v>39</v>
      </c>
      <c r="J1640" t="s">
        <v>40</v>
      </c>
      <c r="K1640" t="s">
        <v>41</v>
      </c>
      <c r="L1640" t="s">
        <v>151</v>
      </c>
      <c r="M1640" t="s">
        <v>419</v>
      </c>
      <c r="N1640" t="s">
        <v>43</v>
      </c>
      <c r="O1640" t="s">
        <v>315</v>
      </c>
      <c r="P1640">
        <v>237</v>
      </c>
      <c r="Q1640">
        <v>237</v>
      </c>
      <c r="R1640">
        <v>291</v>
      </c>
      <c r="S1640" t="s">
        <v>56</v>
      </c>
      <c r="T1640">
        <v>0.28999999999999998</v>
      </c>
      <c r="U1640">
        <v>8</v>
      </c>
      <c r="V1640" t="s">
        <v>55</v>
      </c>
      <c r="W1640">
        <v>7.0000000000000001E-3</v>
      </c>
      <c r="X1640">
        <v>1</v>
      </c>
      <c r="Y1640" t="s">
        <v>47</v>
      </c>
      <c r="Z1640">
        <v>0</v>
      </c>
      <c r="AA1640">
        <v>256</v>
      </c>
      <c r="AB1640" t="s">
        <v>47</v>
      </c>
      <c r="AC1640">
        <v>0.255</v>
      </c>
      <c r="AD1640">
        <v>1</v>
      </c>
      <c r="AE1640" t="s">
        <v>56</v>
      </c>
      <c r="AF1640">
        <v>0</v>
      </c>
      <c r="AG1640">
        <v>22</v>
      </c>
      <c r="AH1640" t="s">
        <v>103</v>
      </c>
      <c r="AI1640">
        <v>2.1000000000000001E-2</v>
      </c>
      <c r="AJ1640" t="s">
        <v>50</v>
      </c>
    </row>
    <row r="1641" spans="1:36" x14ac:dyDescent="0.25">
      <c r="A1641" t="s">
        <v>629</v>
      </c>
      <c r="B1641">
        <v>851632239</v>
      </c>
      <c r="C1641" t="s">
        <v>630</v>
      </c>
      <c r="D1641" t="s">
        <v>630</v>
      </c>
      <c r="E1641" t="s">
        <v>65</v>
      </c>
      <c r="F1641" t="s">
        <v>93</v>
      </c>
      <c r="I1641" t="s">
        <v>39</v>
      </c>
      <c r="J1641" t="s">
        <v>40</v>
      </c>
      <c r="K1641" t="s">
        <v>41</v>
      </c>
      <c r="L1641" t="s">
        <v>151</v>
      </c>
      <c r="M1641" t="s">
        <v>419</v>
      </c>
      <c r="N1641" t="s">
        <v>43</v>
      </c>
      <c r="O1641" t="s">
        <v>315</v>
      </c>
      <c r="P1641">
        <v>237</v>
      </c>
      <c r="Q1641">
        <v>237</v>
      </c>
      <c r="R1641">
        <v>721</v>
      </c>
      <c r="S1641" t="s">
        <v>56</v>
      </c>
      <c r="T1641">
        <v>0.72</v>
      </c>
      <c r="U1641">
        <v>8</v>
      </c>
      <c r="V1641" t="s">
        <v>55</v>
      </c>
      <c r="W1641">
        <v>7.0000000000000001E-3</v>
      </c>
      <c r="X1641">
        <v>1</v>
      </c>
      <c r="Y1641" t="s">
        <v>47</v>
      </c>
      <c r="Z1641">
        <v>0</v>
      </c>
      <c r="AA1641">
        <v>256</v>
      </c>
      <c r="AB1641" t="s">
        <v>47</v>
      </c>
      <c r="AC1641">
        <v>0.255</v>
      </c>
      <c r="AD1641">
        <v>1</v>
      </c>
      <c r="AE1641" t="s">
        <v>56</v>
      </c>
      <c r="AF1641">
        <v>0</v>
      </c>
      <c r="AG1641">
        <v>22</v>
      </c>
      <c r="AH1641" t="s">
        <v>103</v>
      </c>
      <c r="AI1641">
        <v>2.1000000000000001E-2</v>
      </c>
      <c r="AJ1641" t="s">
        <v>1141</v>
      </c>
    </row>
    <row r="1642" spans="1:36" x14ac:dyDescent="0.25">
      <c r="A1642" t="s">
        <v>629</v>
      </c>
      <c r="B1642">
        <v>851632239</v>
      </c>
      <c r="C1642" t="s">
        <v>630</v>
      </c>
      <c r="D1642" t="s">
        <v>630</v>
      </c>
      <c r="E1642" t="s">
        <v>65</v>
      </c>
      <c r="F1642" t="s">
        <v>93</v>
      </c>
      <c r="I1642" t="s">
        <v>39</v>
      </c>
      <c r="J1642" t="s">
        <v>40</v>
      </c>
      <c r="K1642" t="s">
        <v>41</v>
      </c>
      <c r="L1642" t="s">
        <v>151</v>
      </c>
      <c r="M1642" t="s">
        <v>419</v>
      </c>
      <c r="N1642" t="s">
        <v>43</v>
      </c>
      <c r="O1642" t="s">
        <v>315</v>
      </c>
      <c r="P1642">
        <v>237</v>
      </c>
      <c r="Q1642">
        <v>237</v>
      </c>
      <c r="R1642">
        <v>291</v>
      </c>
      <c r="S1642" t="s">
        <v>56</v>
      </c>
      <c r="T1642">
        <v>0.28999999999999998</v>
      </c>
      <c r="U1642">
        <v>8</v>
      </c>
      <c r="V1642" t="s">
        <v>55</v>
      </c>
      <c r="W1642">
        <v>7.0000000000000001E-3</v>
      </c>
      <c r="X1642">
        <v>1</v>
      </c>
      <c r="Y1642" t="s">
        <v>47</v>
      </c>
      <c r="Z1642">
        <v>0</v>
      </c>
      <c r="AA1642">
        <v>256</v>
      </c>
      <c r="AB1642" t="s">
        <v>47</v>
      </c>
      <c r="AC1642">
        <v>0.255</v>
      </c>
      <c r="AD1642">
        <v>1</v>
      </c>
      <c r="AE1642" t="s">
        <v>56</v>
      </c>
      <c r="AF1642">
        <v>0</v>
      </c>
      <c r="AG1642">
        <v>22</v>
      </c>
      <c r="AH1642" t="s">
        <v>103</v>
      </c>
      <c r="AI1642">
        <v>2.1000000000000001E-2</v>
      </c>
      <c r="AJ1642" t="s">
        <v>1153</v>
      </c>
    </row>
    <row r="1643" spans="1:36" x14ac:dyDescent="0.25">
      <c r="A1643" t="s">
        <v>629</v>
      </c>
      <c r="B1643">
        <v>851632239</v>
      </c>
      <c r="C1643" t="s">
        <v>630</v>
      </c>
      <c r="D1643" t="s">
        <v>630</v>
      </c>
      <c r="E1643" t="s">
        <v>65</v>
      </c>
      <c r="F1643" t="s">
        <v>93</v>
      </c>
      <c r="I1643" t="s">
        <v>39</v>
      </c>
      <c r="J1643" t="s">
        <v>40</v>
      </c>
      <c r="K1643" t="s">
        <v>41</v>
      </c>
      <c r="L1643" t="s">
        <v>151</v>
      </c>
      <c r="M1643" t="s">
        <v>419</v>
      </c>
      <c r="N1643" t="s">
        <v>43</v>
      </c>
      <c r="O1643" t="s">
        <v>315</v>
      </c>
      <c r="P1643">
        <v>237</v>
      </c>
      <c r="Q1643">
        <v>237</v>
      </c>
      <c r="R1643">
        <v>291</v>
      </c>
      <c r="S1643" t="s">
        <v>56</v>
      </c>
      <c r="T1643">
        <v>0.28999999999999998</v>
      </c>
      <c r="U1643">
        <v>8</v>
      </c>
      <c r="V1643" t="s">
        <v>55</v>
      </c>
      <c r="W1643">
        <v>7.0000000000000001E-3</v>
      </c>
      <c r="X1643">
        <v>1</v>
      </c>
      <c r="Y1643" t="s">
        <v>47</v>
      </c>
      <c r="Z1643">
        <v>0</v>
      </c>
      <c r="AA1643">
        <v>256</v>
      </c>
      <c r="AB1643" t="s">
        <v>47</v>
      </c>
      <c r="AC1643">
        <v>0.255</v>
      </c>
      <c r="AD1643">
        <v>1</v>
      </c>
      <c r="AE1643" t="s">
        <v>56</v>
      </c>
      <c r="AF1643">
        <v>0</v>
      </c>
      <c r="AG1643">
        <v>22</v>
      </c>
      <c r="AH1643" t="s">
        <v>103</v>
      </c>
      <c r="AI1643">
        <v>2.1000000000000001E-2</v>
      </c>
      <c r="AJ1643" t="s">
        <v>1154</v>
      </c>
    </row>
    <row r="1644" spans="1:36" x14ac:dyDescent="0.25">
      <c r="A1644" t="s">
        <v>629</v>
      </c>
      <c r="B1644">
        <v>851632239</v>
      </c>
      <c r="C1644" t="s">
        <v>630</v>
      </c>
      <c r="D1644" t="s">
        <v>630</v>
      </c>
      <c r="E1644" t="s">
        <v>65</v>
      </c>
      <c r="F1644" t="s">
        <v>93</v>
      </c>
      <c r="I1644" t="s">
        <v>39</v>
      </c>
      <c r="J1644" t="s">
        <v>40</v>
      </c>
      <c r="K1644" t="s">
        <v>41</v>
      </c>
      <c r="L1644" t="s">
        <v>151</v>
      </c>
      <c r="M1644" t="s">
        <v>419</v>
      </c>
      <c r="N1644" t="s">
        <v>43</v>
      </c>
      <c r="O1644" t="s">
        <v>315</v>
      </c>
      <c r="P1644">
        <v>237</v>
      </c>
      <c r="Q1644">
        <v>237</v>
      </c>
      <c r="S1644" t="s">
        <v>39</v>
      </c>
      <c r="V1644" t="s">
        <v>39</v>
      </c>
      <c r="X1644">
        <v>1</v>
      </c>
      <c r="Y1644" t="s">
        <v>47</v>
      </c>
      <c r="Z1644">
        <v>0</v>
      </c>
      <c r="AA1644">
        <v>256</v>
      </c>
      <c r="AB1644" t="s">
        <v>47</v>
      </c>
      <c r="AC1644">
        <v>0.255</v>
      </c>
      <c r="AD1644">
        <v>1</v>
      </c>
      <c r="AE1644" t="s">
        <v>56</v>
      </c>
      <c r="AF1644">
        <v>0</v>
      </c>
      <c r="AG1644">
        <v>22</v>
      </c>
      <c r="AH1644" t="s">
        <v>103</v>
      </c>
      <c r="AI1644">
        <v>2.1000000000000001E-2</v>
      </c>
      <c r="AJ1644" t="s">
        <v>1155</v>
      </c>
    </row>
    <row r="1645" spans="1:36" x14ac:dyDescent="0.25">
      <c r="A1645" t="s">
        <v>627</v>
      </c>
      <c r="B1645">
        <v>855707486</v>
      </c>
      <c r="C1645" t="s">
        <v>628</v>
      </c>
      <c r="D1645" t="s">
        <v>628</v>
      </c>
      <c r="E1645" t="s">
        <v>37</v>
      </c>
      <c r="F1645" t="s">
        <v>71</v>
      </c>
      <c r="I1645" t="s">
        <v>39</v>
      </c>
      <c r="J1645" t="s">
        <v>40</v>
      </c>
      <c r="K1645" t="s">
        <v>41</v>
      </c>
      <c r="L1645" t="s">
        <v>53</v>
      </c>
      <c r="N1645" t="s">
        <v>43</v>
      </c>
      <c r="O1645" t="s">
        <v>138</v>
      </c>
      <c r="P1645">
        <v>238</v>
      </c>
      <c r="Q1645">
        <v>238</v>
      </c>
      <c r="R1645">
        <v>1</v>
      </c>
      <c r="S1645" t="s">
        <v>45</v>
      </c>
      <c r="T1645">
        <v>0</v>
      </c>
      <c r="U1645">
        <v>939</v>
      </c>
      <c r="V1645" t="s">
        <v>46</v>
      </c>
      <c r="W1645">
        <v>0.93799999999999994</v>
      </c>
      <c r="X1645">
        <v>22001</v>
      </c>
      <c r="Y1645" t="s">
        <v>47</v>
      </c>
      <c r="Z1645">
        <v>22</v>
      </c>
      <c r="AA1645">
        <v>539</v>
      </c>
      <c r="AB1645" t="s">
        <v>75</v>
      </c>
      <c r="AC1645">
        <v>0.53800000000000003</v>
      </c>
      <c r="AD1645">
        <v>792</v>
      </c>
      <c r="AE1645" t="s">
        <v>48</v>
      </c>
      <c r="AF1645">
        <v>0.79100000000000004</v>
      </c>
      <c r="AG1645">
        <v>855</v>
      </c>
      <c r="AH1645" t="s">
        <v>49</v>
      </c>
      <c r="AI1645">
        <v>0.85399999999999998</v>
      </c>
      <c r="AJ1645" t="s">
        <v>50</v>
      </c>
    </row>
    <row r="1646" spans="1:36" x14ac:dyDescent="0.25">
      <c r="A1646" t="s">
        <v>627</v>
      </c>
      <c r="B1646">
        <v>855707486</v>
      </c>
      <c r="C1646" t="s">
        <v>628</v>
      </c>
      <c r="D1646" t="s">
        <v>628</v>
      </c>
      <c r="E1646" t="s">
        <v>37</v>
      </c>
      <c r="F1646" t="s">
        <v>71</v>
      </c>
      <c r="I1646" t="s">
        <v>39</v>
      </c>
      <c r="J1646" t="s">
        <v>40</v>
      </c>
      <c r="K1646" t="s">
        <v>41</v>
      </c>
      <c r="L1646" t="s">
        <v>53</v>
      </c>
      <c r="N1646" t="s">
        <v>43</v>
      </c>
      <c r="O1646" t="s">
        <v>138</v>
      </c>
      <c r="P1646">
        <v>238</v>
      </c>
      <c r="Q1646">
        <v>238</v>
      </c>
      <c r="R1646">
        <v>1</v>
      </c>
      <c r="S1646" t="s">
        <v>45</v>
      </c>
      <c r="T1646">
        <v>0</v>
      </c>
      <c r="U1646">
        <v>924</v>
      </c>
      <c r="V1646" t="s">
        <v>46</v>
      </c>
      <c r="W1646">
        <v>0.92300000000000004</v>
      </c>
      <c r="X1646">
        <v>22001</v>
      </c>
      <c r="Y1646" t="s">
        <v>47</v>
      </c>
      <c r="Z1646">
        <v>22</v>
      </c>
      <c r="AA1646">
        <v>539</v>
      </c>
      <c r="AB1646" t="s">
        <v>75</v>
      </c>
      <c r="AC1646">
        <v>0.53800000000000003</v>
      </c>
      <c r="AD1646">
        <v>792</v>
      </c>
      <c r="AE1646" t="s">
        <v>48</v>
      </c>
      <c r="AF1646">
        <v>0.79100000000000004</v>
      </c>
      <c r="AG1646">
        <v>855</v>
      </c>
      <c r="AH1646" t="s">
        <v>49</v>
      </c>
      <c r="AI1646">
        <v>0.85399999999999998</v>
      </c>
      <c r="AJ1646" t="s">
        <v>1141</v>
      </c>
    </row>
    <row r="1647" spans="1:36" x14ac:dyDescent="0.25">
      <c r="A1647" t="s">
        <v>627</v>
      </c>
      <c r="B1647">
        <v>855707486</v>
      </c>
      <c r="C1647" t="s">
        <v>628</v>
      </c>
      <c r="D1647" t="s">
        <v>628</v>
      </c>
      <c r="E1647" t="s">
        <v>37</v>
      </c>
      <c r="F1647" t="s">
        <v>71</v>
      </c>
      <c r="I1647" t="s">
        <v>39</v>
      </c>
      <c r="J1647" t="s">
        <v>40</v>
      </c>
      <c r="K1647" t="s">
        <v>41</v>
      </c>
      <c r="L1647" t="s">
        <v>53</v>
      </c>
      <c r="N1647" t="s">
        <v>43</v>
      </c>
      <c r="O1647" t="s">
        <v>138</v>
      </c>
      <c r="P1647">
        <v>238</v>
      </c>
      <c r="Q1647">
        <v>238</v>
      </c>
      <c r="R1647">
        <v>1</v>
      </c>
      <c r="S1647" t="s">
        <v>45</v>
      </c>
      <c r="T1647">
        <v>0</v>
      </c>
      <c r="U1647">
        <v>939</v>
      </c>
      <c r="V1647" t="s">
        <v>46</v>
      </c>
      <c r="W1647">
        <v>0.93799999999999994</v>
      </c>
      <c r="X1647">
        <v>22001</v>
      </c>
      <c r="Y1647" t="s">
        <v>47</v>
      </c>
      <c r="Z1647">
        <v>22</v>
      </c>
      <c r="AA1647">
        <v>539</v>
      </c>
      <c r="AB1647" t="s">
        <v>75</v>
      </c>
      <c r="AC1647">
        <v>0.53800000000000003</v>
      </c>
      <c r="AD1647">
        <v>792</v>
      </c>
      <c r="AE1647" t="s">
        <v>48</v>
      </c>
      <c r="AF1647">
        <v>0.79100000000000004</v>
      </c>
      <c r="AG1647">
        <v>855</v>
      </c>
      <c r="AH1647" t="s">
        <v>49</v>
      </c>
      <c r="AI1647">
        <v>0.85399999999999998</v>
      </c>
      <c r="AJ1647" t="s">
        <v>1153</v>
      </c>
    </row>
    <row r="1648" spans="1:36" x14ac:dyDescent="0.25">
      <c r="A1648" t="s">
        <v>627</v>
      </c>
      <c r="B1648">
        <v>855707486</v>
      </c>
      <c r="C1648" t="s">
        <v>628</v>
      </c>
      <c r="D1648" t="s">
        <v>628</v>
      </c>
      <c r="E1648" t="s">
        <v>37</v>
      </c>
      <c r="F1648" t="s">
        <v>71</v>
      </c>
      <c r="I1648" t="s">
        <v>39</v>
      </c>
      <c r="J1648" t="s">
        <v>40</v>
      </c>
      <c r="K1648" t="s">
        <v>41</v>
      </c>
      <c r="L1648" t="s">
        <v>53</v>
      </c>
      <c r="N1648" t="s">
        <v>43</v>
      </c>
      <c r="O1648" t="s">
        <v>138</v>
      </c>
      <c r="P1648">
        <v>238</v>
      </c>
      <c r="Q1648">
        <v>238</v>
      </c>
      <c r="R1648">
        <v>1</v>
      </c>
      <c r="S1648" t="s">
        <v>45</v>
      </c>
      <c r="T1648">
        <v>0</v>
      </c>
      <c r="U1648">
        <v>939</v>
      </c>
      <c r="V1648" t="s">
        <v>46</v>
      </c>
      <c r="W1648">
        <v>0.93799999999999994</v>
      </c>
      <c r="X1648">
        <v>22001</v>
      </c>
      <c r="Y1648" t="s">
        <v>47</v>
      </c>
      <c r="Z1648">
        <v>22</v>
      </c>
      <c r="AA1648">
        <v>539</v>
      </c>
      <c r="AB1648" t="s">
        <v>75</v>
      </c>
      <c r="AC1648">
        <v>0.53800000000000003</v>
      </c>
      <c r="AD1648">
        <v>792</v>
      </c>
      <c r="AE1648" t="s">
        <v>48</v>
      </c>
      <c r="AF1648">
        <v>0.79100000000000004</v>
      </c>
      <c r="AG1648">
        <v>855</v>
      </c>
      <c r="AH1648" t="s">
        <v>49</v>
      </c>
      <c r="AI1648">
        <v>0.85399999999999998</v>
      </c>
      <c r="AJ1648" t="s">
        <v>1154</v>
      </c>
    </row>
    <row r="1649" spans="1:36" x14ac:dyDescent="0.25">
      <c r="A1649" t="s">
        <v>627</v>
      </c>
      <c r="B1649">
        <v>855707486</v>
      </c>
      <c r="C1649" t="s">
        <v>628</v>
      </c>
      <c r="D1649" t="s">
        <v>628</v>
      </c>
      <c r="E1649" t="s">
        <v>37</v>
      </c>
      <c r="F1649" t="s">
        <v>71</v>
      </c>
      <c r="I1649" t="s">
        <v>39</v>
      </c>
      <c r="J1649" t="s">
        <v>40</v>
      </c>
      <c r="K1649" t="s">
        <v>41</v>
      </c>
      <c r="L1649" t="s">
        <v>53</v>
      </c>
      <c r="N1649" t="s">
        <v>43</v>
      </c>
      <c r="O1649" t="s">
        <v>138</v>
      </c>
      <c r="P1649">
        <v>238</v>
      </c>
      <c r="Q1649">
        <v>238</v>
      </c>
      <c r="S1649" t="s">
        <v>39</v>
      </c>
      <c r="V1649" t="s">
        <v>39</v>
      </c>
      <c r="X1649">
        <v>22001</v>
      </c>
      <c r="Y1649" t="s">
        <v>47</v>
      </c>
      <c r="Z1649">
        <v>22</v>
      </c>
      <c r="AA1649">
        <v>539</v>
      </c>
      <c r="AB1649" t="s">
        <v>75</v>
      </c>
      <c r="AC1649">
        <v>0.53800000000000003</v>
      </c>
      <c r="AD1649">
        <v>792</v>
      </c>
      <c r="AE1649" t="s">
        <v>48</v>
      </c>
      <c r="AF1649">
        <v>0.79100000000000004</v>
      </c>
      <c r="AG1649">
        <v>855</v>
      </c>
      <c r="AH1649" t="s">
        <v>49</v>
      </c>
      <c r="AI1649">
        <v>0.85399999999999998</v>
      </c>
      <c r="AJ1649" t="s">
        <v>1155</v>
      </c>
    </row>
    <row r="1650" spans="1:36" x14ac:dyDescent="0.25">
      <c r="A1650" t="s">
        <v>625</v>
      </c>
      <c r="B1650">
        <v>862326705</v>
      </c>
      <c r="C1650" t="s">
        <v>626</v>
      </c>
      <c r="D1650" t="s">
        <v>626</v>
      </c>
      <c r="E1650" t="s">
        <v>99</v>
      </c>
      <c r="F1650" t="s">
        <v>143</v>
      </c>
      <c r="I1650" t="s">
        <v>39</v>
      </c>
      <c r="J1650" t="s">
        <v>40</v>
      </c>
      <c r="K1650" t="s">
        <v>41</v>
      </c>
      <c r="L1650" t="s">
        <v>173</v>
      </c>
      <c r="N1650" t="s">
        <v>43</v>
      </c>
      <c r="O1650" t="s">
        <v>38</v>
      </c>
      <c r="P1650">
        <v>239</v>
      </c>
      <c r="Q1650">
        <v>239</v>
      </c>
      <c r="R1650">
        <v>61</v>
      </c>
      <c r="S1650" t="s">
        <v>56</v>
      </c>
      <c r="T1650">
        <v>0.06</v>
      </c>
      <c r="U1650">
        <v>74</v>
      </c>
      <c r="V1650" t="s">
        <v>55</v>
      </c>
      <c r="W1650">
        <v>7.2999999999999995E-2</v>
      </c>
      <c r="X1650">
        <v>16001</v>
      </c>
      <c r="Y1650" t="s">
        <v>47</v>
      </c>
      <c r="Z1650">
        <v>16</v>
      </c>
      <c r="AA1650">
        <v>285</v>
      </c>
      <c r="AB1650" t="s">
        <v>47</v>
      </c>
      <c r="AC1650">
        <v>0.28399999999999997</v>
      </c>
      <c r="AD1650">
        <v>576</v>
      </c>
      <c r="AE1650" t="s">
        <v>48</v>
      </c>
      <c r="AF1650">
        <v>0.57499999999999996</v>
      </c>
      <c r="AG1650">
        <v>827</v>
      </c>
      <c r="AH1650" t="s">
        <v>49</v>
      </c>
      <c r="AI1650">
        <v>0.82599999999999996</v>
      </c>
      <c r="AJ1650" t="s">
        <v>50</v>
      </c>
    </row>
    <row r="1651" spans="1:36" x14ac:dyDescent="0.25">
      <c r="A1651" t="s">
        <v>625</v>
      </c>
      <c r="B1651">
        <v>862326705</v>
      </c>
      <c r="C1651" t="s">
        <v>626</v>
      </c>
      <c r="D1651" t="s">
        <v>626</v>
      </c>
      <c r="E1651" t="s">
        <v>99</v>
      </c>
      <c r="F1651" t="s">
        <v>143</v>
      </c>
      <c r="I1651" t="s">
        <v>39</v>
      </c>
      <c r="J1651" t="s">
        <v>40</v>
      </c>
      <c r="K1651" t="s">
        <v>41</v>
      </c>
      <c r="L1651" t="s">
        <v>173</v>
      </c>
      <c r="N1651" t="s">
        <v>43</v>
      </c>
      <c r="O1651" t="s">
        <v>38</v>
      </c>
      <c r="P1651">
        <v>239</v>
      </c>
      <c r="Q1651">
        <v>239</v>
      </c>
      <c r="R1651">
        <v>41</v>
      </c>
      <c r="S1651" t="s">
        <v>45</v>
      </c>
      <c r="T1651">
        <v>0.04</v>
      </c>
      <c r="U1651">
        <v>102</v>
      </c>
      <c r="V1651" t="s">
        <v>55</v>
      </c>
      <c r="W1651">
        <v>0.10100000000000001</v>
      </c>
      <c r="X1651">
        <v>16001</v>
      </c>
      <c r="Y1651" t="s">
        <v>47</v>
      </c>
      <c r="Z1651">
        <v>16</v>
      </c>
      <c r="AA1651">
        <v>285</v>
      </c>
      <c r="AB1651" t="s">
        <v>47</v>
      </c>
      <c r="AC1651">
        <v>0.28399999999999997</v>
      </c>
      <c r="AD1651">
        <v>576</v>
      </c>
      <c r="AE1651" t="s">
        <v>48</v>
      </c>
      <c r="AF1651">
        <v>0.57499999999999996</v>
      </c>
      <c r="AG1651">
        <v>827</v>
      </c>
      <c r="AH1651" t="s">
        <v>49</v>
      </c>
      <c r="AI1651">
        <v>0.82599999999999996</v>
      </c>
      <c r="AJ1651" t="s">
        <v>1141</v>
      </c>
    </row>
    <row r="1652" spans="1:36" x14ac:dyDescent="0.25">
      <c r="A1652" t="s">
        <v>625</v>
      </c>
      <c r="B1652">
        <v>862326705</v>
      </c>
      <c r="C1652" t="s">
        <v>626</v>
      </c>
      <c r="D1652" t="s">
        <v>626</v>
      </c>
      <c r="E1652" t="s">
        <v>99</v>
      </c>
      <c r="F1652" t="s">
        <v>143</v>
      </c>
      <c r="I1652" t="s">
        <v>39</v>
      </c>
      <c r="J1652" t="s">
        <v>40</v>
      </c>
      <c r="K1652" t="s">
        <v>41</v>
      </c>
      <c r="L1652" t="s">
        <v>173</v>
      </c>
      <c r="N1652" t="s">
        <v>43</v>
      </c>
      <c r="O1652" t="s">
        <v>38</v>
      </c>
      <c r="P1652">
        <v>239</v>
      </c>
      <c r="Q1652">
        <v>239</v>
      </c>
      <c r="R1652">
        <v>61</v>
      </c>
      <c r="S1652" t="s">
        <v>56</v>
      </c>
      <c r="T1652">
        <v>0.06</v>
      </c>
      <c r="U1652">
        <v>74</v>
      </c>
      <c r="V1652" t="s">
        <v>55</v>
      </c>
      <c r="W1652">
        <v>7.2999999999999995E-2</v>
      </c>
      <c r="X1652">
        <v>16001</v>
      </c>
      <c r="Y1652" t="s">
        <v>47</v>
      </c>
      <c r="Z1652">
        <v>16</v>
      </c>
      <c r="AA1652">
        <v>285</v>
      </c>
      <c r="AB1652" t="s">
        <v>47</v>
      </c>
      <c r="AC1652">
        <v>0.28399999999999997</v>
      </c>
      <c r="AD1652">
        <v>576</v>
      </c>
      <c r="AE1652" t="s">
        <v>48</v>
      </c>
      <c r="AF1652">
        <v>0.57499999999999996</v>
      </c>
      <c r="AG1652">
        <v>827</v>
      </c>
      <c r="AH1652" t="s">
        <v>49</v>
      </c>
      <c r="AI1652">
        <v>0.82599999999999996</v>
      </c>
      <c r="AJ1652" t="s">
        <v>1153</v>
      </c>
    </row>
    <row r="1653" spans="1:36" x14ac:dyDescent="0.25">
      <c r="A1653" t="s">
        <v>625</v>
      </c>
      <c r="B1653">
        <v>862326705</v>
      </c>
      <c r="C1653" t="s">
        <v>626</v>
      </c>
      <c r="D1653" t="s">
        <v>626</v>
      </c>
      <c r="E1653" t="s">
        <v>99</v>
      </c>
      <c r="F1653" t="s">
        <v>143</v>
      </c>
      <c r="I1653" t="s">
        <v>39</v>
      </c>
      <c r="J1653" t="s">
        <v>40</v>
      </c>
      <c r="K1653" t="s">
        <v>41</v>
      </c>
      <c r="L1653" t="s">
        <v>173</v>
      </c>
      <c r="N1653" t="s">
        <v>43</v>
      </c>
      <c r="O1653" t="s">
        <v>38</v>
      </c>
      <c r="P1653">
        <v>239</v>
      </c>
      <c r="Q1653">
        <v>239</v>
      </c>
      <c r="R1653">
        <v>61</v>
      </c>
      <c r="S1653" t="s">
        <v>56</v>
      </c>
      <c r="T1653">
        <v>0.06</v>
      </c>
      <c r="U1653">
        <v>74</v>
      </c>
      <c r="V1653" t="s">
        <v>55</v>
      </c>
      <c r="W1653">
        <v>7.2999999999999995E-2</v>
      </c>
      <c r="X1653">
        <v>16001</v>
      </c>
      <c r="Y1653" t="s">
        <v>47</v>
      </c>
      <c r="Z1653">
        <v>16</v>
      </c>
      <c r="AA1653">
        <v>285</v>
      </c>
      <c r="AB1653" t="s">
        <v>47</v>
      </c>
      <c r="AC1653">
        <v>0.28399999999999997</v>
      </c>
      <c r="AD1653">
        <v>576</v>
      </c>
      <c r="AE1653" t="s">
        <v>48</v>
      </c>
      <c r="AF1653">
        <v>0.57499999999999996</v>
      </c>
      <c r="AG1653">
        <v>827</v>
      </c>
      <c r="AH1653" t="s">
        <v>49</v>
      </c>
      <c r="AI1653">
        <v>0.82599999999999996</v>
      </c>
      <c r="AJ1653" t="s">
        <v>1154</v>
      </c>
    </row>
    <row r="1654" spans="1:36" x14ac:dyDescent="0.25">
      <c r="A1654" t="s">
        <v>625</v>
      </c>
      <c r="B1654">
        <v>862326705</v>
      </c>
      <c r="C1654" t="s">
        <v>626</v>
      </c>
      <c r="D1654" t="s">
        <v>626</v>
      </c>
      <c r="E1654" t="s">
        <v>99</v>
      </c>
      <c r="F1654" t="s">
        <v>143</v>
      </c>
      <c r="I1654" t="s">
        <v>39</v>
      </c>
      <c r="J1654" t="s">
        <v>40</v>
      </c>
      <c r="K1654" t="s">
        <v>41</v>
      </c>
      <c r="L1654" t="s">
        <v>173</v>
      </c>
      <c r="N1654" t="s">
        <v>43</v>
      </c>
      <c r="O1654" t="s">
        <v>38</v>
      </c>
      <c r="P1654">
        <v>239</v>
      </c>
      <c r="Q1654">
        <v>239</v>
      </c>
      <c r="S1654" t="s">
        <v>39</v>
      </c>
      <c r="V1654" t="s">
        <v>39</v>
      </c>
      <c r="X1654">
        <v>16001</v>
      </c>
      <c r="Y1654" t="s">
        <v>47</v>
      </c>
      <c r="Z1654">
        <v>16</v>
      </c>
      <c r="AA1654">
        <v>285</v>
      </c>
      <c r="AB1654" t="s">
        <v>47</v>
      </c>
      <c r="AC1654">
        <v>0.28399999999999997</v>
      </c>
      <c r="AD1654">
        <v>576</v>
      </c>
      <c r="AE1654" t="s">
        <v>48</v>
      </c>
      <c r="AF1654">
        <v>0.57499999999999996</v>
      </c>
      <c r="AG1654">
        <v>827</v>
      </c>
      <c r="AH1654" t="s">
        <v>49</v>
      </c>
      <c r="AI1654">
        <v>0.82599999999999996</v>
      </c>
      <c r="AJ1654" t="s">
        <v>1155</v>
      </c>
    </row>
    <row r="1655" spans="1:36" x14ac:dyDescent="0.25">
      <c r="A1655" t="s">
        <v>623</v>
      </c>
      <c r="B1655">
        <v>862504052</v>
      </c>
      <c r="C1655" t="s">
        <v>624</v>
      </c>
      <c r="D1655" t="s">
        <v>624</v>
      </c>
      <c r="E1655" t="s">
        <v>60</v>
      </c>
      <c r="F1655" t="s">
        <v>61</v>
      </c>
      <c r="I1655" t="s">
        <v>39</v>
      </c>
      <c r="J1655" t="s">
        <v>40</v>
      </c>
      <c r="K1655" t="s">
        <v>41</v>
      </c>
      <c r="L1655" t="s">
        <v>78</v>
      </c>
      <c r="N1655" t="s">
        <v>43</v>
      </c>
      <c r="O1655" t="s">
        <v>140</v>
      </c>
      <c r="P1655">
        <v>239</v>
      </c>
      <c r="Q1655">
        <v>239</v>
      </c>
      <c r="R1655">
        <v>1</v>
      </c>
      <c r="S1655" t="s">
        <v>45</v>
      </c>
      <c r="T1655">
        <v>0</v>
      </c>
      <c r="U1655">
        <v>661</v>
      </c>
      <c r="V1655" t="s">
        <v>113</v>
      </c>
      <c r="W1655">
        <v>0.66</v>
      </c>
      <c r="X1655">
        <v>18001</v>
      </c>
      <c r="Y1655" t="s">
        <v>47</v>
      </c>
      <c r="Z1655">
        <v>18</v>
      </c>
      <c r="AA1655">
        <v>226</v>
      </c>
      <c r="AB1655" t="s">
        <v>47</v>
      </c>
      <c r="AC1655">
        <v>0.22500000000000001</v>
      </c>
      <c r="AD1655">
        <v>500</v>
      </c>
      <c r="AE1655" t="s">
        <v>56</v>
      </c>
      <c r="AF1655">
        <v>0.499</v>
      </c>
      <c r="AG1655">
        <v>810</v>
      </c>
      <c r="AH1655" t="s">
        <v>49</v>
      </c>
      <c r="AI1655">
        <v>0.80900000000000005</v>
      </c>
      <c r="AJ1655" t="s">
        <v>50</v>
      </c>
    </row>
    <row r="1656" spans="1:36" x14ac:dyDescent="0.25">
      <c r="A1656" t="s">
        <v>623</v>
      </c>
      <c r="B1656">
        <v>862504052</v>
      </c>
      <c r="C1656" t="s">
        <v>624</v>
      </c>
      <c r="D1656" t="s">
        <v>624</v>
      </c>
      <c r="E1656" t="s">
        <v>60</v>
      </c>
      <c r="F1656" t="s">
        <v>61</v>
      </c>
      <c r="I1656" t="s">
        <v>39</v>
      </c>
      <c r="J1656" t="s">
        <v>40</v>
      </c>
      <c r="K1656" t="s">
        <v>41</v>
      </c>
      <c r="L1656" t="s">
        <v>78</v>
      </c>
      <c r="N1656" t="s">
        <v>43</v>
      </c>
      <c r="O1656" t="s">
        <v>140</v>
      </c>
      <c r="P1656">
        <v>239</v>
      </c>
      <c r="Q1656">
        <v>239</v>
      </c>
      <c r="R1656">
        <v>1</v>
      </c>
      <c r="S1656" t="s">
        <v>45</v>
      </c>
      <c r="T1656">
        <v>0</v>
      </c>
      <c r="U1656">
        <v>676</v>
      </c>
      <c r="V1656" t="s">
        <v>113</v>
      </c>
      <c r="W1656">
        <v>0.67500000000000004</v>
      </c>
      <c r="X1656">
        <v>18001</v>
      </c>
      <c r="Y1656" t="s">
        <v>47</v>
      </c>
      <c r="Z1656">
        <v>18</v>
      </c>
      <c r="AA1656">
        <v>226</v>
      </c>
      <c r="AB1656" t="s">
        <v>47</v>
      </c>
      <c r="AC1656">
        <v>0.22500000000000001</v>
      </c>
      <c r="AD1656">
        <v>500</v>
      </c>
      <c r="AE1656" t="s">
        <v>56</v>
      </c>
      <c r="AF1656">
        <v>0.499</v>
      </c>
      <c r="AG1656">
        <v>810</v>
      </c>
      <c r="AH1656" t="s">
        <v>49</v>
      </c>
      <c r="AI1656">
        <v>0.80900000000000005</v>
      </c>
      <c r="AJ1656" t="s">
        <v>1141</v>
      </c>
    </row>
    <row r="1657" spans="1:36" x14ac:dyDescent="0.25">
      <c r="A1657" t="s">
        <v>623</v>
      </c>
      <c r="B1657">
        <v>862504052</v>
      </c>
      <c r="C1657" t="s">
        <v>624</v>
      </c>
      <c r="D1657" t="s">
        <v>624</v>
      </c>
      <c r="E1657" t="s">
        <v>60</v>
      </c>
      <c r="F1657" t="s">
        <v>61</v>
      </c>
      <c r="I1657" t="s">
        <v>39</v>
      </c>
      <c r="J1657" t="s">
        <v>40</v>
      </c>
      <c r="K1657" t="s">
        <v>41</v>
      </c>
      <c r="L1657" t="s">
        <v>78</v>
      </c>
      <c r="N1657" t="s">
        <v>43</v>
      </c>
      <c r="O1657" t="s">
        <v>140</v>
      </c>
      <c r="P1657">
        <v>239</v>
      </c>
      <c r="Q1657">
        <v>239</v>
      </c>
      <c r="R1657">
        <v>1</v>
      </c>
      <c r="S1657" t="s">
        <v>45</v>
      </c>
      <c r="T1657">
        <v>0</v>
      </c>
      <c r="U1657">
        <v>661</v>
      </c>
      <c r="V1657" t="s">
        <v>113</v>
      </c>
      <c r="W1657">
        <v>0.66</v>
      </c>
      <c r="X1657">
        <v>18001</v>
      </c>
      <c r="Y1657" t="s">
        <v>47</v>
      </c>
      <c r="Z1657">
        <v>18</v>
      </c>
      <c r="AA1657">
        <v>226</v>
      </c>
      <c r="AB1657" t="s">
        <v>47</v>
      </c>
      <c r="AC1657">
        <v>0.22500000000000001</v>
      </c>
      <c r="AD1657">
        <v>500</v>
      </c>
      <c r="AE1657" t="s">
        <v>56</v>
      </c>
      <c r="AF1657">
        <v>0.499</v>
      </c>
      <c r="AG1657">
        <v>810</v>
      </c>
      <c r="AH1657" t="s">
        <v>49</v>
      </c>
      <c r="AI1657">
        <v>0.80900000000000005</v>
      </c>
      <c r="AJ1657" t="s">
        <v>1153</v>
      </c>
    </row>
    <row r="1658" spans="1:36" x14ac:dyDescent="0.25">
      <c r="A1658" t="s">
        <v>623</v>
      </c>
      <c r="B1658">
        <v>862504052</v>
      </c>
      <c r="C1658" t="s">
        <v>624</v>
      </c>
      <c r="D1658" t="s">
        <v>624</v>
      </c>
      <c r="E1658" t="s">
        <v>60</v>
      </c>
      <c r="F1658" t="s">
        <v>61</v>
      </c>
      <c r="I1658" t="s">
        <v>39</v>
      </c>
      <c r="J1658" t="s">
        <v>40</v>
      </c>
      <c r="K1658" t="s">
        <v>41</v>
      </c>
      <c r="L1658" t="s">
        <v>78</v>
      </c>
      <c r="N1658" t="s">
        <v>43</v>
      </c>
      <c r="O1658" t="s">
        <v>140</v>
      </c>
      <c r="P1658">
        <v>239</v>
      </c>
      <c r="Q1658">
        <v>239</v>
      </c>
      <c r="R1658">
        <v>1</v>
      </c>
      <c r="S1658" t="s">
        <v>45</v>
      </c>
      <c r="T1658">
        <v>0</v>
      </c>
      <c r="U1658">
        <v>661</v>
      </c>
      <c r="V1658" t="s">
        <v>113</v>
      </c>
      <c r="W1658">
        <v>0.66</v>
      </c>
      <c r="X1658">
        <v>18001</v>
      </c>
      <c r="Y1658" t="s">
        <v>47</v>
      </c>
      <c r="Z1658">
        <v>18</v>
      </c>
      <c r="AA1658">
        <v>226</v>
      </c>
      <c r="AB1658" t="s">
        <v>47</v>
      </c>
      <c r="AC1658">
        <v>0.22500000000000001</v>
      </c>
      <c r="AD1658">
        <v>500</v>
      </c>
      <c r="AE1658" t="s">
        <v>56</v>
      </c>
      <c r="AF1658">
        <v>0.499</v>
      </c>
      <c r="AG1658">
        <v>810</v>
      </c>
      <c r="AH1658" t="s">
        <v>49</v>
      </c>
      <c r="AI1658">
        <v>0.80900000000000005</v>
      </c>
      <c r="AJ1658" t="s">
        <v>1154</v>
      </c>
    </row>
    <row r="1659" spans="1:36" x14ac:dyDescent="0.25">
      <c r="A1659" t="s">
        <v>623</v>
      </c>
      <c r="B1659">
        <v>862504052</v>
      </c>
      <c r="C1659" t="s">
        <v>624</v>
      </c>
      <c r="D1659" t="s">
        <v>624</v>
      </c>
      <c r="E1659" t="s">
        <v>60</v>
      </c>
      <c r="F1659" t="s">
        <v>61</v>
      </c>
      <c r="I1659" t="s">
        <v>39</v>
      </c>
      <c r="J1659" t="s">
        <v>40</v>
      </c>
      <c r="K1659" t="s">
        <v>41</v>
      </c>
      <c r="L1659" t="s">
        <v>78</v>
      </c>
      <c r="N1659" t="s">
        <v>43</v>
      </c>
      <c r="O1659" t="s">
        <v>140</v>
      </c>
      <c r="P1659">
        <v>239</v>
      </c>
      <c r="Q1659">
        <v>239</v>
      </c>
      <c r="S1659" t="s">
        <v>39</v>
      </c>
      <c r="V1659" t="s">
        <v>39</v>
      </c>
      <c r="X1659">
        <v>18001</v>
      </c>
      <c r="Y1659" t="s">
        <v>47</v>
      </c>
      <c r="Z1659">
        <v>18</v>
      </c>
      <c r="AA1659">
        <v>226</v>
      </c>
      <c r="AB1659" t="s">
        <v>47</v>
      </c>
      <c r="AC1659">
        <v>0.22500000000000001</v>
      </c>
      <c r="AD1659">
        <v>500</v>
      </c>
      <c r="AE1659" t="s">
        <v>56</v>
      </c>
      <c r="AF1659">
        <v>0.499</v>
      </c>
      <c r="AG1659">
        <v>810</v>
      </c>
      <c r="AH1659" t="s">
        <v>49</v>
      </c>
      <c r="AI1659">
        <v>0.80900000000000005</v>
      </c>
      <c r="AJ1659" t="s">
        <v>1155</v>
      </c>
    </row>
    <row r="1660" spans="1:36" x14ac:dyDescent="0.25">
      <c r="A1660" t="s">
        <v>618</v>
      </c>
      <c r="B1660">
        <v>869860421</v>
      </c>
      <c r="C1660" t="s">
        <v>619</v>
      </c>
      <c r="D1660" t="s">
        <v>619</v>
      </c>
      <c r="E1660" t="s">
        <v>60</v>
      </c>
      <c r="F1660" t="s">
        <v>229</v>
      </c>
      <c r="I1660" t="s">
        <v>39</v>
      </c>
      <c r="J1660" t="s">
        <v>40</v>
      </c>
      <c r="K1660" t="s">
        <v>41</v>
      </c>
      <c r="L1660" t="s">
        <v>173</v>
      </c>
      <c r="N1660" t="s">
        <v>43</v>
      </c>
      <c r="O1660" t="s">
        <v>620</v>
      </c>
      <c r="P1660">
        <v>240</v>
      </c>
      <c r="Q1660">
        <v>240</v>
      </c>
      <c r="R1660">
        <v>1</v>
      </c>
      <c r="S1660" t="s">
        <v>45</v>
      </c>
      <c r="T1660">
        <v>0</v>
      </c>
      <c r="U1660">
        <v>1001</v>
      </c>
      <c r="V1660" t="s">
        <v>46</v>
      </c>
      <c r="W1660">
        <v>1</v>
      </c>
      <c r="X1660">
        <v>24001</v>
      </c>
      <c r="Y1660" t="s">
        <v>47</v>
      </c>
      <c r="Z1660">
        <v>24</v>
      </c>
      <c r="AA1660">
        <v>854</v>
      </c>
      <c r="AB1660" t="s">
        <v>75</v>
      </c>
      <c r="AC1660">
        <v>0.85299999999999998</v>
      </c>
      <c r="AD1660">
        <v>865</v>
      </c>
      <c r="AE1660" t="s">
        <v>48</v>
      </c>
      <c r="AF1660">
        <v>0.86399999999999999</v>
      </c>
      <c r="AG1660">
        <v>945</v>
      </c>
      <c r="AH1660" t="s">
        <v>80</v>
      </c>
      <c r="AI1660">
        <v>0.94399999999999995</v>
      </c>
      <c r="AJ1660" t="s">
        <v>50</v>
      </c>
    </row>
    <row r="1661" spans="1:36" x14ac:dyDescent="0.25">
      <c r="A1661" t="s">
        <v>618</v>
      </c>
      <c r="B1661">
        <v>869860421</v>
      </c>
      <c r="C1661" t="s">
        <v>619</v>
      </c>
      <c r="D1661" t="s">
        <v>619</v>
      </c>
      <c r="E1661" t="s">
        <v>60</v>
      </c>
      <c r="F1661" t="s">
        <v>229</v>
      </c>
      <c r="I1661" t="s">
        <v>39</v>
      </c>
      <c r="J1661" t="s">
        <v>40</v>
      </c>
      <c r="K1661" t="s">
        <v>41</v>
      </c>
      <c r="L1661" t="s">
        <v>173</v>
      </c>
      <c r="N1661" t="s">
        <v>43</v>
      </c>
      <c r="O1661" t="s">
        <v>620</v>
      </c>
      <c r="P1661">
        <v>240</v>
      </c>
      <c r="Q1661">
        <v>240</v>
      </c>
      <c r="R1661">
        <v>1</v>
      </c>
      <c r="S1661" t="s">
        <v>45</v>
      </c>
      <c r="T1661">
        <v>0</v>
      </c>
      <c r="U1661">
        <v>1000</v>
      </c>
      <c r="V1661" t="s">
        <v>46</v>
      </c>
      <c r="W1661">
        <v>0.999</v>
      </c>
      <c r="X1661">
        <v>24001</v>
      </c>
      <c r="Y1661" t="s">
        <v>47</v>
      </c>
      <c r="Z1661">
        <v>24</v>
      </c>
      <c r="AA1661">
        <v>854</v>
      </c>
      <c r="AB1661" t="s">
        <v>75</v>
      </c>
      <c r="AC1661">
        <v>0.85299999999999998</v>
      </c>
      <c r="AD1661">
        <v>865</v>
      </c>
      <c r="AE1661" t="s">
        <v>48</v>
      </c>
      <c r="AF1661">
        <v>0.86399999999999999</v>
      </c>
      <c r="AG1661">
        <v>945</v>
      </c>
      <c r="AH1661" t="s">
        <v>80</v>
      </c>
      <c r="AI1661">
        <v>0.94399999999999995</v>
      </c>
      <c r="AJ1661" t="s">
        <v>1141</v>
      </c>
    </row>
    <row r="1662" spans="1:36" x14ac:dyDescent="0.25">
      <c r="A1662" t="s">
        <v>618</v>
      </c>
      <c r="B1662">
        <v>869860421</v>
      </c>
      <c r="C1662" t="s">
        <v>619</v>
      </c>
      <c r="D1662" t="s">
        <v>619</v>
      </c>
      <c r="E1662" t="s">
        <v>60</v>
      </c>
      <c r="F1662" t="s">
        <v>229</v>
      </c>
      <c r="I1662" t="s">
        <v>39</v>
      </c>
      <c r="J1662" t="s">
        <v>40</v>
      </c>
      <c r="K1662" t="s">
        <v>41</v>
      </c>
      <c r="L1662" t="s">
        <v>173</v>
      </c>
      <c r="N1662" t="s">
        <v>43</v>
      </c>
      <c r="O1662" t="s">
        <v>620</v>
      </c>
      <c r="P1662">
        <v>240</v>
      </c>
      <c r="Q1662">
        <v>240</v>
      </c>
      <c r="R1662">
        <v>1</v>
      </c>
      <c r="S1662" t="s">
        <v>45</v>
      </c>
      <c r="T1662">
        <v>0</v>
      </c>
      <c r="U1662">
        <v>1001</v>
      </c>
      <c r="V1662" t="s">
        <v>46</v>
      </c>
      <c r="W1662">
        <v>1</v>
      </c>
      <c r="X1662">
        <v>24001</v>
      </c>
      <c r="Y1662" t="s">
        <v>47</v>
      </c>
      <c r="Z1662">
        <v>24</v>
      </c>
      <c r="AA1662">
        <v>854</v>
      </c>
      <c r="AB1662" t="s">
        <v>75</v>
      </c>
      <c r="AC1662">
        <v>0.85299999999999998</v>
      </c>
      <c r="AD1662">
        <v>865</v>
      </c>
      <c r="AE1662" t="s">
        <v>48</v>
      </c>
      <c r="AF1662">
        <v>0.86399999999999999</v>
      </c>
      <c r="AG1662">
        <v>945</v>
      </c>
      <c r="AH1662" t="s">
        <v>80</v>
      </c>
      <c r="AI1662">
        <v>0.94399999999999995</v>
      </c>
      <c r="AJ1662" t="s">
        <v>1153</v>
      </c>
    </row>
    <row r="1663" spans="1:36" x14ac:dyDescent="0.25">
      <c r="A1663" t="s">
        <v>618</v>
      </c>
      <c r="B1663">
        <v>869860421</v>
      </c>
      <c r="C1663" t="s">
        <v>619</v>
      </c>
      <c r="D1663" t="s">
        <v>619</v>
      </c>
      <c r="E1663" t="s">
        <v>60</v>
      </c>
      <c r="F1663" t="s">
        <v>229</v>
      </c>
      <c r="I1663" t="s">
        <v>39</v>
      </c>
      <c r="J1663" t="s">
        <v>40</v>
      </c>
      <c r="K1663" t="s">
        <v>41</v>
      </c>
      <c r="L1663" t="s">
        <v>173</v>
      </c>
      <c r="N1663" t="s">
        <v>43</v>
      </c>
      <c r="O1663" t="s">
        <v>620</v>
      </c>
      <c r="P1663">
        <v>240</v>
      </c>
      <c r="Q1663">
        <v>240</v>
      </c>
      <c r="R1663">
        <v>1</v>
      </c>
      <c r="S1663" t="s">
        <v>45</v>
      </c>
      <c r="T1663">
        <v>0</v>
      </c>
      <c r="U1663">
        <v>1001</v>
      </c>
      <c r="V1663" t="s">
        <v>46</v>
      </c>
      <c r="W1663">
        <v>1</v>
      </c>
      <c r="X1663">
        <v>24001</v>
      </c>
      <c r="Y1663" t="s">
        <v>47</v>
      </c>
      <c r="Z1663">
        <v>24</v>
      </c>
      <c r="AA1663">
        <v>854</v>
      </c>
      <c r="AB1663" t="s">
        <v>75</v>
      </c>
      <c r="AC1663">
        <v>0.85299999999999998</v>
      </c>
      <c r="AD1663">
        <v>865</v>
      </c>
      <c r="AE1663" t="s">
        <v>48</v>
      </c>
      <c r="AF1663">
        <v>0.86399999999999999</v>
      </c>
      <c r="AG1663">
        <v>945</v>
      </c>
      <c r="AH1663" t="s">
        <v>80</v>
      </c>
      <c r="AI1663">
        <v>0.94399999999999995</v>
      </c>
      <c r="AJ1663" t="s">
        <v>1154</v>
      </c>
    </row>
    <row r="1664" spans="1:36" x14ac:dyDescent="0.25">
      <c r="A1664" t="s">
        <v>618</v>
      </c>
      <c r="B1664">
        <v>869860421</v>
      </c>
      <c r="C1664" t="s">
        <v>619</v>
      </c>
      <c r="D1664" t="s">
        <v>619</v>
      </c>
      <c r="E1664" t="s">
        <v>60</v>
      </c>
      <c r="F1664" t="s">
        <v>229</v>
      </c>
      <c r="I1664" t="s">
        <v>39</v>
      </c>
      <c r="J1664" t="s">
        <v>40</v>
      </c>
      <c r="K1664" t="s">
        <v>41</v>
      </c>
      <c r="L1664" t="s">
        <v>173</v>
      </c>
      <c r="N1664" t="s">
        <v>43</v>
      </c>
      <c r="O1664" t="s">
        <v>620</v>
      </c>
      <c r="P1664">
        <v>240</v>
      </c>
      <c r="Q1664">
        <v>240</v>
      </c>
      <c r="S1664" t="s">
        <v>39</v>
      </c>
      <c r="V1664" t="s">
        <v>39</v>
      </c>
      <c r="X1664">
        <v>24001</v>
      </c>
      <c r="Y1664" t="s">
        <v>47</v>
      </c>
      <c r="Z1664">
        <v>24</v>
      </c>
      <c r="AA1664">
        <v>854</v>
      </c>
      <c r="AB1664" t="s">
        <v>75</v>
      </c>
      <c r="AC1664">
        <v>0.85299999999999998</v>
      </c>
      <c r="AD1664">
        <v>865</v>
      </c>
      <c r="AE1664" t="s">
        <v>48</v>
      </c>
      <c r="AF1664">
        <v>0.86399999999999999</v>
      </c>
      <c r="AG1664">
        <v>945</v>
      </c>
      <c r="AH1664" t="s">
        <v>80</v>
      </c>
      <c r="AI1664">
        <v>0.94399999999999995</v>
      </c>
      <c r="AJ1664" t="s">
        <v>1155</v>
      </c>
    </row>
    <row r="1665" spans="1:36" x14ac:dyDescent="0.25">
      <c r="A1665" t="s">
        <v>621</v>
      </c>
      <c r="B1665">
        <v>852061419</v>
      </c>
      <c r="C1665" t="s">
        <v>622</v>
      </c>
      <c r="D1665" t="s">
        <v>622</v>
      </c>
      <c r="E1665" t="s">
        <v>37</v>
      </c>
      <c r="F1665" t="s">
        <v>291</v>
      </c>
      <c r="I1665" t="s">
        <v>39</v>
      </c>
      <c r="J1665" t="s">
        <v>40</v>
      </c>
      <c r="K1665" t="s">
        <v>41</v>
      </c>
      <c r="L1665" t="s">
        <v>151</v>
      </c>
      <c r="M1665" t="s">
        <v>282</v>
      </c>
      <c r="N1665" t="s">
        <v>43</v>
      </c>
      <c r="O1665" t="s">
        <v>84</v>
      </c>
      <c r="P1665">
        <v>240</v>
      </c>
      <c r="Q1665">
        <v>240</v>
      </c>
      <c r="R1665">
        <v>1</v>
      </c>
      <c r="S1665" t="s">
        <v>45</v>
      </c>
      <c r="T1665">
        <v>0</v>
      </c>
      <c r="U1665">
        <v>382</v>
      </c>
      <c r="V1665" t="s">
        <v>55</v>
      </c>
      <c r="W1665">
        <v>0.38100000000000001</v>
      </c>
      <c r="X1665">
        <v>18001</v>
      </c>
      <c r="Y1665" t="s">
        <v>47</v>
      </c>
      <c r="Z1665">
        <v>18</v>
      </c>
      <c r="AA1665">
        <v>570</v>
      </c>
      <c r="AB1665" t="s">
        <v>75</v>
      </c>
      <c r="AC1665">
        <v>0.56899999999999995</v>
      </c>
      <c r="AD1665">
        <v>783</v>
      </c>
      <c r="AE1665" t="s">
        <v>48</v>
      </c>
      <c r="AF1665">
        <v>0.78200000000000003</v>
      </c>
      <c r="AG1665">
        <v>829</v>
      </c>
      <c r="AH1665" t="s">
        <v>49</v>
      </c>
      <c r="AI1665">
        <v>0.82799999999999996</v>
      </c>
      <c r="AJ1665" t="s">
        <v>50</v>
      </c>
    </row>
    <row r="1666" spans="1:36" x14ac:dyDescent="0.25">
      <c r="A1666" t="s">
        <v>621</v>
      </c>
      <c r="B1666">
        <v>852061419</v>
      </c>
      <c r="C1666" t="s">
        <v>622</v>
      </c>
      <c r="D1666" t="s">
        <v>622</v>
      </c>
      <c r="E1666" t="s">
        <v>65</v>
      </c>
      <c r="F1666" t="s">
        <v>291</v>
      </c>
      <c r="I1666" t="s">
        <v>39</v>
      </c>
      <c r="J1666" t="s">
        <v>40</v>
      </c>
      <c r="K1666" t="s">
        <v>41</v>
      </c>
      <c r="L1666" t="s">
        <v>151</v>
      </c>
      <c r="M1666" t="s">
        <v>282</v>
      </c>
      <c r="N1666" t="s">
        <v>43</v>
      </c>
      <c r="O1666" t="s">
        <v>84</v>
      </c>
      <c r="P1666">
        <v>240</v>
      </c>
      <c r="Q1666">
        <v>240</v>
      </c>
      <c r="R1666">
        <v>1</v>
      </c>
      <c r="S1666" t="s">
        <v>45</v>
      </c>
      <c r="T1666">
        <v>0</v>
      </c>
      <c r="U1666">
        <v>382</v>
      </c>
      <c r="V1666" t="s">
        <v>55</v>
      </c>
      <c r="W1666">
        <v>0.38100000000000001</v>
      </c>
      <c r="X1666">
        <v>18001</v>
      </c>
      <c r="Y1666" t="s">
        <v>47</v>
      </c>
      <c r="Z1666">
        <v>18</v>
      </c>
      <c r="AA1666">
        <v>570</v>
      </c>
      <c r="AB1666" t="s">
        <v>75</v>
      </c>
      <c r="AC1666">
        <v>0.56899999999999995</v>
      </c>
      <c r="AD1666">
        <v>783</v>
      </c>
      <c r="AE1666" t="s">
        <v>48</v>
      </c>
      <c r="AF1666">
        <v>0.78200000000000003</v>
      </c>
      <c r="AG1666">
        <v>829</v>
      </c>
      <c r="AH1666" t="s">
        <v>49</v>
      </c>
      <c r="AI1666">
        <v>0.82799999999999996</v>
      </c>
      <c r="AJ1666" t="s">
        <v>50</v>
      </c>
    </row>
    <row r="1667" spans="1:36" x14ac:dyDescent="0.25">
      <c r="A1667" t="s">
        <v>621</v>
      </c>
      <c r="B1667">
        <v>852061419</v>
      </c>
      <c r="C1667" t="s">
        <v>622</v>
      </c>
      <c r="D1667" t="s">
        <v>622</v>
      </c>
      <c r="E1667" t="s">
        <v>60</v>
      </c>
      <c r="F1667" t="s">
        <v>291</v>
      </c>
      <c r="I1667" t="s">
        <v>39</v>
      </c>
      <c r="J1667" t="s">
        <v>40</v>
      </c>
      <c r="K1667" t="s">
        <v>41</v>
      </c>
      <c r="L1667" t="s">
        <v>151</v>
      </c>
      <c r="M1667" t="s">
        <v>282</v>
      </c>
      <c r="N1667" t="s">
        <v>43</v>
      </c>
      <c r="O1667" t="s">
        <v>85</v>
      </c>
      <c r="P1667">
        <v>240</v>
      </c>
      <c r="Q1667">
        <v>240</v>
      </c>
      <c r="R1667">
        <v>1</v>
      </c>
      <c r="S1667" t="s">
        <v>45</v>
      </c>
      <c r="T1667">
        <v>0</v>
      </c>
      <c r="U1667">
        <v>924</v>
      </c>
      <c r="V1667" t="s">
        <v>46</v>
      </c>
      <c r="W1667">
        <v>0.92300000000000004</v>
      </c>
      <c r="X1667">
        <v>22001</v>
      </c>
      <c r="Y1667" t="s">
        <v>47</v>
      </c>
      <c r="Z1667">
        <v>22</v>
      </c>
      <c r="AA1667">
        <v>677</v>
      </c>
      <c r="AB1667" t="s">
        <v>75</v>
      </c>
      <c r="AC1667">
        <v>0.67600000000000005</v>
      </c>
      <c r="AD1667">
        <v>832</v>
      </c>
      <c r="AE1667" t="s">
        <v>48</v>
      </c>
      <c r="AF1667">
        <v>0.83099999999999996</v>
      </c>
      <c r="AG1667">
        <v>956</v>
      </c>
      <c r="AH1667" t="s">
        <v>80</v>
      </c>
      <c r="AI1667">
        <v>0.95499999999999996</v>
      </c>
      <c r="AJ1667" t="s">
        <v>50</v>
      </c>
    </row>
    <row r="1668" spans="1:36" x14ac:dyDescent="0.25">
      <c r="A1668" t="s">
        <v>621</v>
      </c>
      <c r="B1668">
        <v>852061419</v>
      </c>
      <c r="C1668" t="s">
        <v>622</v>
      </c>
      <c r="D1668" t="s">
        <v>622</v>
      </c>
      <c r="E1668" t="s">
        <v>37</v>
      </c>
      <c r="F1668" t="s">
        <v>291</v>
      </c>
      <c r="I1668" t="s">
        <v>39</v>
      </c>
      <c r="J1668" t="s">
        <v>40</v>
      </c>
      <c r="K1668" t="s">
        <v>41</v>
      </c>
      <c r="L1668" t="s">
        <v>151</v>
      </c>
      <c r="M1668" t="s">
        <v>282</v>
      </c>
      <c r="N1668" t="s">
        <v>43</v>
      </c>
      <c r="O1668" t="s">
        <v>84</v>
      </c>
      <c r="P1668">
        <v>240</v>
      </c>
      <c r="Q1668">
        <v>240</v>
      </c>
      <c r="R1668">
        <v>1</v>
      </c>
      <c r="S1668" t="s">
        <v>45</v>
      </c>
      <c r="T1668">
        <v>0</v>
      </c>
      <c r="U1668">
        <v>207</v>
      </c>
      <c r="V1668" t="s">
        <v>55</v>
      </c>
      <c r="W1668">
        <v>0.20599999999999999</v>
      </c>
      <c r="X1668">
        <v>18001</v>
      </c>
      <c r="Y1668" t="s">
        <v>47</v>
      </c>
      <c r="Z1668">
        <v>18</v>
      </c>
      <c r="AA1668">
        <v>570</v>
      </c>
      <c r="AB1668" t="s">
        <v>75</v>
      </c>
      <c r="AC1668">
        <v>0.56899999999999995</v>
      </c>
      <c r="AD1668">
        <v>783</v>
      </c>
      <c r="AE1668" t="s">
        <v>48</v>
      </c>
      <c r="AF1668">
        <v>0.78200000000000003</v>
      </c>
      <c r="AG1668">
        <v>829</v>
      </c>
      <c r="AH1668" t="s">
        <v>49</v>
      </c>
      <c r="AI1668">
        <v>0.82799999999999996</v>
      </c>
      <c r="AJ1668" t="s">
        <v>1141</v>
      </c>
    </row>
    <row r="1669" spans="1:36" x14ac:dyDescent="0.25">
      <c r="A1669" t="s">
        <v>621</v>
      </c>
      <c r="B1669">
        <v>852061419</v>
      </c>
      <c r="C1669" t="s">
        <v>622</v>
      </c>
      <c r="D1669" t="s">
        <v>622</v>
      </c>
      <c r="E1669" t="s">
        <v>65</v>
      </c>
      <c r="F1669" t="s">
        <v>291</v>
      </c>
      <c r="I1669" t="s">
        <v>39</v>
      </c>
      <c r="J1669" t="s">
        <v>40</v>
      </c>
      <c r="K1669" t="s">
        <v>41</v>
      </c>
      <c r="L1669" t="s">
        <v>151</v>
      </c>
      <c r="M1669" t="s">
        <v>282</v>
      </c>
      <c r="N1669" t="s">
        <v>43</v>
      </c>
      <c r="O1669" t="s">
        <v>84</v>
      </c>
      <c r="P1669">
        <v>240</v>
      </c>
      <c r="Q1669">
        <v>240</v>
      </c>
      <c r="R1669">
        <v>1</v>
      </c>
      <c r="S1669" t="s">
        <v>45</v>
      </c>
      <c r="T1669">
        <v>0</v>
      </c>
      <c r="U1669">
        <v>207</v>
      </c>
      <c r="V1669" t="s">
        <v>55</v>
      </c>
      <c r="W1669">
        <v>0.20599999999999999</v>
      </c>
      <c r="X1669">
        <v>18001</v>
      </c>
      <c r="Y1669" t="s">
        <v>47</v>
      </c>
      <c r="Z1669">
        <v>18</v>
      </c>
      <c r="AA1669">
        <v>570</v>
      </c>
      <c r="AB1669" t="s">
        <v>75</v>
      </c>
      <c r="AC1669">
        <v>0.56899999999999995</v>
      </c>
      <c r="AD1669">
        <v>783</v>
      </c>
      <c r="AE1669" t="s">
        <v>48</v>
      </c>
      <c r="AF1669">
        <v>0.78200000000000003</v>
      </c>
      <c r="AG1669">
        <v>829</v>
      </c>
      <c r="AH1669" t="s">
        <v>49</v>
      </c>
      <c r="AI1669">
        <v>0.82799999999999996</v>
      </c>
      <c r="AJ1669" t="s">
        <v>1141</v>
      </c>
    </row>
    <row r="1670" spans="1:36" x14ac:dyDescent="0.25">
      <c r="A1670" t="s">
        <v>621</v>
      </c>
      <c r="B1670">
        <v>852061419</v>
      </c>
      <c r="C1670" t="s">
        <v>622</v>
      </c>
      <c r="D1670" t="s">
        <v>622</v>
      </c>
      <c r="E1670" t="s">
        <v>60</v>
      </c>
      <c r="F1670" t="s">
        <v>291</v>
      </c>
      <c r="I1670" t="s">
        <v>39</v>
      </c>
      <c r="J1670" t="s">
        <v>40</v>
      </c>
      <c r="K1670" t="s">
        <v>41</v>
      </c>
      <c r="L1670" t="s">
        <v>151</v>
      </c>
      <c r="M1670" t="s">
        <v>282</v>
      </c>
      <c r="N1670" t="s">
        <v>43</v>
      </c>
      <c r="O1670" t="s">
        <v>85</v>
      </c>
      <c r="P1670">
        <v>240</v>
      </c>
      <c r="Q1670">
        <v>240</v>
      </c>
      <c r="R1670">
        <v>1</v>
      </c>
      <c r="S1670" t="s">
        <v>45</v>
      </c>
      <c r="T1670">
        <v>0</v>
      </c>
      <c r="U1670">
        <v>786</v>
      </c>
      <c r="V1670" t="s">
        <v>113</v>
      </c>
      <c r="W1670">
        <v>0.78500000000000003</v>
      </c>
      <c r="X1670">
        <v>22001</v>
      </c>
      <c r="Y1670" t="s">
        <v>47</v>
      </c>
      <c r="Z1670">
        <v>22</v>
      </c>
      <c r="AA1670">
        <v>677</v>
      </c>
      <c r="AB1670" t="s">
        <v>75</v>
      </c>
      <c r="AC1670">
        <v>0.67600000000000005</v>
      </c>
      <c r="AD1670">
        <v>832</v>
      </c>
      <c r="AE1670" t="s">
        <v>48</v>
      </c>
      <c r="AF1670">
        <v>0.83099999999999996</v>
      </c>
      <c r="AG1670">
        <v>956</v>
      </c>
      <c r="AH1670" t="s">
        <v>80</v>
      </c>
      <c r="AI1670">
        <v>0.95499999999999996</v>
      </c>
      <c r="AJ1670" t="s">
        <v>1141</v>
      </c>
    </row>
    <row r="1671" spans="1:36" x14ac:dyDescent="0.25">
      <c r="A1671" t="s">
        <v>621</v>
      </c>
      <c r="B1671">
        <v>852061419</v>
      </c>
      <c r="C1671" t="s">
        <v>622</v>
      </c>
      <c r="D1671" t="s">
        <v>622</v>
      </c>
      <c r="E1671" t="s">
        <v>37</v>
      </c>
      <c r="F1671" t="s">
        <v>291</v>
      </c>
      <c r="I1671" t="s">
        <v>39</v>
      </c>
      <c r="J1671" t="s">
        <v>40</v>
      </c>
      <c r="K1671" t="s">
        <v>41</v>
      </c>
      <c r="L1671" t="s">
        <v>151</v>
      </c>
      <c r="M1671" t="s">
        <v>282</v>
      </c>
      <c r="N1671" t="s">
        <v>43</v>
      </c>
      <c r="O1671" t="s">
        <v>84</v>
      </c>
      <c r="P1671">
        <v>240</v>
      </c>
      <c r="Q1671">
        <v>240</v>
      </c>
      <c r="R1671">
        <v>1</v>
      </c>
      <c r="S1671" t="s">
        <v>45</v>
      </c>
      <c r="T1671">
        <v>0</v>
      </c>
      <c r="U1671">
        <v>382</v>
      </c>
      <c r="V1671" t="s">
        <v>55</v>
      </c>
      <c r="W1671">
        <v>0.38100000000000001</v>
      </c>
      <c r="X1671">
        <v>18001</v>
      </c>
      <c r="Y1671" t="s">
        <v>47</v>
      </c>
      <c r="Z1671">
        <v>18</v>
      </c>
      <c r="AA1671">
        <v>570</v>
      </c>
      <c r="AB1671" t="s">
        <v>75</v>
      </c>
      <c r="AC1671">
        <v>0.56899999999999995</v>
      </c>
      <c r="AD1671">
        <v>783</v>
      </c>
      <c r="AE1671" t="s">
        <v>48</v>
      </c>
      <c r="AF1671">
        <v>0.78200000000000003</v>
      </c>
      <c r="AG1671">
        <v>829</v>
      </c>
      <c r="AH1671" t="s">
        <v>49</v>
      </c>
      <c r="AI1671">
        <v>0.82799999999999996</v>
      </c>
      <c r="AJ1671" t="s">
        <v>1153</v>
      </c>
    </row>
    <row r="1672" spans="1:36" x14ac:dyDescent="0.25">
      <c r="A1672" t="s">
        <v>621</v>
      </c>
      <c r="B1672">
        <v>852061419</v>
      </c>
      <c r="C1672" t="s">
        <v>622</v>
      </c>
      <c r="D1672" t="s">
        <v>622</v>
      </c>
      <c r="E1672" t="s">
        <v>65</v>
      </c>
      <c r="F1672" t="s">
        <v>291</v>
      </c>
      <c r="I1672" t="s">
        <v>39</v>
      </c>
      <c r="J1672" t="s">
        <v>40</v>
      </c>
      <c r="K1672" t="s">
        <v>41</v>
      </c>
      <c r="L1672" t="s">
        <v>151</v>
      </c>
      <c r="M1672" t="s">
        <v>282</v>
      </c>
      <c r="N1672" t="s">
        <v>43</v>
      </c>
      <c r="O1672" t="s">
        <v>84</v>
      </c>
      <c r="P1672">
        <v>240</v>
      </c>
      <c r="Q1672">
        <v>240</v>
      </c>
      <c r="R1672">
        <v>1</v>
      </c>
      <c r="S1672" t="s">
        <v>45</v>
      </c>
      <c r="T1672">
        <v>0</v>
      </c>
      <c r="U1672">
        <v>382</v>
      </c>
      <c r="V1672" t="s">
        <v>55</v>
      </c>
      <c r="W1672">
        <v>0.38100000000000001</v>
      </c>
      <c r="X1672">
        <v>18001</v>
      </c>
      <c r="Y1672" t="s">
        <v>47</v>
      </c>
      <c r="Z1672">
        <v>18</v>
      </c>
      <c r="AA1672">
        <v>570</v>
      </c>
      <c r="AB1672" t="s">
        <v>75</v>
      </c>
      <c r="AC1672">
        <v>0.56899999999999995</v>
      </c>
      <c r="AD1672">
        <v>783</v>
      </c>
      <c r="AE1672" t="s">
        <v>48</v>
      </c>
      <c r="AF1672">
        <v>0.78200000000000003</v>
      </c>
      <c r="AG1672">
        <v>829</v>
      </c>
      <c r="AH1672" t="s">
        <v>49</v>
      </c>
      <c r="AI1672">
        <v>0.82799999999999996</v>
      </c>
      <c r="AJ1672" t="s">
        <v>1153</v>
      </c>
    </row>
    <row r="1673" spans="1:36" x14ac:dyDescent="0.25">
      <c r="A1673" t="s">
        <v>621</v>
      </c>
      <c r="B1673">
        <v>852061419</v>
      </c>
      <c r="C1673" t="s">
        <v>622</v>
      </c>
      <c r="D1673" t="s">
        <v>622</v>
      </c>
      <c r="E1673" t="s">
        <v>60</v>
      </c>
      <c r="F1673" t="s">
        <v>291</v>
      </c>
      <c r="I1673" t="s">
        <v>39</v>
      </c>
      <c r="J1673" t="s">
        <v>40</v>
      </c>
      <c r="K1673" t="s">
        <v>41</v>
      </c>
      <c r="L1673" t="s">
        <v>151</v>
      </c>
      <c r="M1673" t="s">
        <v>282</v>
      </c>
      <c r="N1673" t="s">
        <v>43</v>
      </c>
      <c r="O1673" t="s">
        <v>85</v>
      </c>
      <c r="P1673">
        <v>240</v>
      </c>
      <c r="Q1673">
        <v>240</v>
      </c>
      <c r="R1673">
        <v>1</v>
      </c>
      <c r="S1673" t="s">
        <v>45</v>
      </c>
      <c r="T1673">
        <v>0</v>
      </c>
      <c r="U1673">
        <v>924</v>
      </c>
      <c r="V1673" t="s">
        <v>46</v>
      </c>
      <c r="W1673">
        <v>0.92300000000000004</v>
      </c>
      <c r="X1673">
        <v>22001</v>
      </c>
      <c r="Y1673" t="s">
        <v>47</v>
      </c>
      <c r="Z1673">
        <v>22</v>
      </c>
      <c r="AA1673">
        <v>677</v>
      </c>
      <c r="AB1673" t="s">
        <v>75</v>
      </c>
      <c r="AC1673">
        <v>0.67600000000000005</v>
      </c>
      <c r="AD1673">
        <v>832</v>
      </c>
      <c r="AE1673" t="s">
        <v>48</v>
      </c>
      <c r="AF1673">
        <v>0.83099999999999996</v>
      </c>
      <c r="AG1673">
        <v>956</v>
      </c>
      <c r="AH1673" t="s">
        <v>80</v>
      </c>
      <c r="AI1673">
        <v>0.95499999999999996</v>
      </c>
      <c r="AJ1673" t="s">
        <v>1153</v>
      </c>
    </row>
    <row r="1674" spans="1:36" x14ac:dyDescent="0.25">
      <c r="A1674" t="s">
        <v>621</v>
      </c>
      <c r="B1674">
        <v>852061419</v>
      </c>
      <c r="C1674" t="s">
        <v>622</v>
      </c>
      <c r="D1674" t="s">
        <v>622</v>
      </c>
      <c r="E1674" t="s">
        <v>37</v>
      </c>
      <c r="F1674" t="s">
        <v>291</v>
      </c>
      <c r="I1674" t="s">
        <v>39</v>
      </c>
      <c r="J1674" t="s">
        <v>40</v>
      </c>
      <c r="K1674" t="s">
        <v>41</v>
      </c>
      <c r="L1674" t="s">
        <v>151</v>
      </c>
      <c r="M1674" t="s">
        <v>282</v>
      </c>
      <c r="N1674" t="s">
        <v>43</v>
      </c>
      <c r="O1674" t="s">
        <v>84</v>
      </c>
      <c r="P1674">
        <v>240</v>
      </c>
      <c r="Q1674">
        <v>240</v>
      </c>
      <c r="R1674">
        <v>1</v>
      </c>
      <c r="S1674" t="s">
        <v>45</v>
      </c>
      <c r="T1674">
        <v>0</v>
      </c>
      <c r="U1674">
        <v>382</v>
      </c>
      <c r="V1674" t="s">
        <v>55</v>
      </c>
      <c r="W1674">
        <v>0.38100000000000001</v>
      </c>
      <c r="X1674">
        <v>18001</v>
      </c>
      <c r="Y1674" t="s">
        <v>47</v>
      </c>
      <c r="Z1674">
        <v>18</v>
      </c>
      <c r="AA1674">
        <v>570</v>
      </c>
      <c r="AB1674" t="s">
        <v>75</v>
      </c>
      <c r="AC1674">
        <v>0.56899999999999995</v>
      </c>
      <c r="AD1674">
        <v>783</v>
      </c>
      <c r="AE1674" t="s">
        <v>48</v>
      </c>
      <c r="AF1674">
        <v>0.78200000000000003</v>
      </c>
      <c r="AG1674">
        <v>829</v>
      </c>
      <c r="AH1674" t="s">
        <v>49</v>
      </c>
      <c r="AI1674">
        <v>0.82799999999999996</v>
      </c>
      <c r="AJ1674" t="s">
        <v>1154</v>
      </c>
    </row>
    <row r="1675" spans="1:36" x14ac:dyDescent="0.25">
      <c r="A1675" t="s">
        <v>621</v>
      </c>
      <c r="B1675">
        <v>852061419</v>
      </c>
      <c r="C1675" t="s">
        <v>622</v>
      </c>
      <c r="D1675" t="s">
        <v>622</v>
      </c>
      <c r="E1675" t="s">
        <v>65</v>
      </c>
      <c r="F1675" t="s">
        <v>291</v>
      </c>
      <c r="I1675" t="s">
        <v>39</v>
      </c>
      <c r="J1675" t="s">
        <v>40</v>
      </c>
      <c r="K1675" t="s">
        <v>41</v>
      </c>
      <c r="L1675" t="s">
        <v>151</v>
      </c>
      <c r="M1675" t="s">
        <v>282</v>
      </c>
      <c r="N1675" t="s">
        <v>43</v>
      </c>
      <c r="O1675" t="s">
        <v>84</v>
      </c>
      <c r="P1675">
        <v>240</v>
      </c>
      <c r="Q1675">
        <v>240</v>
      </c>
      <c r="R1675">
        <v>1</v>
      </c>
      <c r="S1675" t="s">
        <v>45</v>
      </c>
      <c r="T1675">
        <v>0</v>
      </c>
      <c r="U1675">
        <v>382</v>
      </c>
      <c r="V1675" t="s">
        <v>55</v>
      </c>
      <c r="W1675">
        <v>0.38100000000000001</v>
      </c>
      <c r="X1675">
        <v>18001</v>
      </c>
      <c r="Y1675" t="s">
        <v>47</v>
      </c>
      <c r="Z1675">
        <v>18</v>
      </c>
      <c r="AA1675">
        <v>570</v>
      </c>
      <c r="AB1675" t="s">
        <v>75</v>
      </c>
      <c r="AC1675">
        <v>0.56899999999999995</v>
      </c>
      <c r="AD1675">
        <v>783</v>
      </c>
      <c r="AE1675" t="s">
        <v>48</v>
      </c>
      <c r="AF1675">
        <v>0.78200000000000003</v>
      </c>
      <c r="AG1675">
        <v>829</v>
      </c>
      <c r="AH1675" t="s">
        <v>49</v>
      </c>
      <c r="AI1675">
        <v>0.82799999999999996</v>
      </c>
      <c r="AJ1675" t="s">
        <v>1154</v>
      </c>
    </row>
    <row r="1676" spans="1:36" x14ac:dyDescent="0.25">
      <c r="A1676" t="s">
        <v>621</v>
      </c>
      <c r="B1676">
        <v>852061419</v>
      </c>
      <c r="C1676" t="s">
        <v>622</v>
      </c>
      <c r="D1676" t="s">
        <v>622</v>
      </c>
      <c r="E1676" t="s">
        <v>60</v>
      </c>
      <c r="F1676" t="s">
        <v>291</v>
      </c>
      <c r="I1676" t="s">
        <v>39</v>
      </c>
      <c r="J1676" t="s">
        <v>40</v>
      </c>
      <c r="K1676" t="s">
        <v>41</v>
      </c>
      <c r="L1676" t="s">
        <v>151</v>
      </c>
      <c r="M1676" t="s">
        <v>282</v>
      </c>
      <c r="N1676" t="s">
        <v>43</v>
      </c>
      <c r="O1676" t="s">
        <v>85</v>
      </c>
      <c r="P1676">
        <v>240</v>
      </c>
      <c r="Q1676">
        <v>240</v>
      </c>
      <c r="R1676">
        <v>1</v>
      </c>
      <c r="S1676" t="s">
        <v>45</v>
      </c>
      <c r="T1676">
        <v>0</v>
      </c>
      <c r="U1676">
        <v>924</v>
      </c>
      <c r="V1676" t="s">
        <v>46</v>
      </c>
      <c r="W1676">
        <v>0.92300000000000004</v>
      </c>
      <c r="X1676">
        <v>22001</v>
      </c>
      <c r="Y1676" t="s">
        <v>47</v>
      </c>
      <c r="Z1676">
        <v>22</v>
      </c>
      <c r="AA1676">
        <v>677</v>
      </c>
      <c r="AB1676" t="s">
        <v>75</v>
      </c>
      <c r="AC1676">
        <v>0.67600000000000005</v>
      </c>
      <c r="AD1676">
        <v>832</v>
      </c>
      <c r="AE1676" t="s">
        <v>48</v>
      </c>
      <c r="AF1676">
        <v>0.83099999999999996</v>
      </c>
      <c r="AG1676">
        <v>956</v>
      </c>
      <c r="AH1676" t="s">
        <v>80</v>
      </c>
      <c r="AI1676">
        <v>0.95499999999999996</v>
      </c>
      <c r="AJ1676" t="s">
        <v>1154</v>
      </c>
    </row>
    <row r="1677" spans="1:36" x14ac:dyDescent="0.25">
      <c r="A1677" t="s">
        <v>621</v>
      </c>
      <c r="B1677">
        <v>852061419</v>
      </c>
      <c r="C1677" t="s">
        <v>622</v>
      </c>
      <c r="D1677" t="s">
        <v>622</v>
      </c>
      <c r="E1677" t="s">
        <v>37</v>
      </c>
      <c r="F1677" t="s">
        <v>291</v>
      </c>
      <c r="I1677" t="s">
        <v>39</v>
      </c>
      <c r="J1677" t="s">
        <v>40</v>
      </c>
      <c r="K1677" t="s">
        <v>41</v>
      </c>
      <c r="L1677" t="s">
        <v>151</v>
      </c>
      <c r="M1677" t="s">
        <v>282</v>
      </c>
      <c r="N1677" t="s">
        <v>43</v>
      </c>
      <c r="O1677" t="s">
        <v>84</v>
      </c>
      <c r="P1677">
        <v>240</v>
      </c>
      <c r="Q1677">
        <v>240</v>
      </c>
      <c r="S1677" t="s">
        <v>39</v>
      </c>
      <c r="V1677" t="s">
        <v>39</v>
      </c>
      <c r="X1677">
        <v>18001</v>
      </c>
      <c r="Y1677" t="s">
        <v>47</v>
      </c>
      <c r="Z1677">
        <v>18</v>
      </c>
      <c r="AA1677">
        <v>570</v>
      </c>
      <c r="AB1677" t="s">
        <v>75</v>
      </c>
      <c r="AC1677">
        <v>0.56899999999999995</v>
      </c>
      <c r="AD1677">
        <v>783</v>
      </c>
      <c r="AE1677" t="s">
        <v>48</v>
      </c>
      <c r="AF1677">
        <v>0.78200000000000003</v>
      </c>
      <c r="AG1677">
        <v>829</v>
      </c>
      <c r="AH1677" t="s">
        <v>49</v>
      </c>
      <c r="AI1677">
        <v>0.82799999999999996</v>
      </c>
      <c r="AJ1677" t="s">
        <v>1155</v>
      </c>
    </row>
    <row r="1678" spans="1:36" x14ac:dyDescent="0.25">
      <c r="A1678" t="s">
        <v>621</v>
      </c>
      <c r="B1678">
        <v>852061419</v>
      </c>
      <c r="C1678" t="s">
        <v>622</v>
      </c>
      <c r="D1678" t="s">
        <v>622</v>
      </c>
      <c r="E1678" t="s">
        <v>65</v>
      </c>
      <c r="F1678" t="s">
        <v>291</v>
      </c>
      <c r="I1678" t="s">
        <v>39</v>
      </c>
      <c r="J1678" t="s">
        <v>40</v>
      </c>
      <c r="K1678" t="s">
        <v>41</v>
      </c>
      <c r="L1678" t="s">
        <v>151</v>
      </c>
      <c r="M1678" t="s">
        <v>282</v>
      </c>
      <c r="N1678" t="s">
        <v>43</v>
      </c>
      <c r="O1678" t="s">
        <v>84</v>
      </c>
      <c r="P1678">
        <v>240</v>
      </c>
      <c r="Q1678">
        <v>240</v>
      </c>
      <c r="S1678" t="s">
        <v>39</v>
      </c>
      <c r="V1678" t="s">
        <v>39</v>
      </c>
      <c r="X1678">
        <v>18001</v>
      </c>
      <c r="Y1678" t="s">
        <v>47</v>
      </c>
      <c r="Z1678">
        <v>18</v>
      </c>
      <c r="AA1678">
        <v>570</v>
      </c>
      <c r="AB1678" t="s">
        <v>75</v>
      </c>
      <c r="AC1678">
        <v>0.56899999999999995</v>
      </c>
      <c r="AD1678">
        <v>783</v>
      </c>
      <c r="AE1678" t="s">
        <v>48</v>
      </c>
      <c r="AF1678">
        <v>0.78200000000000003</v>
      </c>
      <c r="AG1678">
        <v>829</v>
      </c>
      <c r="AH1678" t="s">
        <v>49</v>
      </c>
      <c r="AI1678">
        <v>0.82799999999999996</v>
      </c>
      <c r="AJ1678" t="s">
        <v>1155</v>
      </c>
    </row>
    <row r="1679" spans="1:36" x14ac:dyDescent="0.25">
      <c r="A1679" t="s">
        <v>621</v>
      </c>
      <c r="B1679">
        <v>852061419</v>
      </c>
      <c r="C1679" t="s">
        <v>622</v>
      </c>
      <c r="D1679" t="s">
        <v>622</v>
      </c>
      <c r="E1679" t="s">
        <v>60</v>
      </c>
      <c r="F1679" t="s">
        <v>291</v>
      </c>
      <c r="I1679" t="s">
        <v>39</v>
      </c>
      <c r="J1679" t="s">
        <v>40</v>
      </c>
      <c r="K1679" t="s">
        <v>41</v>
      </c>
      <c r="L1679" t="s">
        <v>151</v>
      </c>
      <c r="M1679" t="s">
        <v>282</v>
      </c>
      <c r="N1679" t="s">
        <v>43</v>
      </c>
      <c r="O1679" t="s">
        <v>85</v>
      </c>
      <c r="P1679">
        <v>240</v>
      </c>
      <c r="Q1679">
        <v>240</v>
      </c>
      <c r="S1679" t="s">
        <v>39</v>
      </c>
      <c r="V1679" t="s">
        <v>39</v>
      </c>
      <c r="X1679">
        <v>22001</v>
      </c>
      <c r="Y1679" t="s">
        <v>47</v>
      </c>
      <c r="Z1679">
        <v>22</v>
      </c>
      <c r="AA1679">
        <v>677</v>
      </c>
      <c r="AB1679" t="s">
        <v>75</v>
      </c>
      <c r="AC1679">
        <v>0.67600000000000005</v>
      </c>
      <c r="AD1679">
        <v>832</v>
      </c>
      <c r="AE1679" t="s">
        <v>48</v>
      </c>
      <c r="AF1679">
        <v>0.83099999999999996</v>
      </c>
      <c r="AG1679">
        <v>956</v>
      </c>
      <c r="AH1679" t="s">
        <v>80</v>
      </c>
      <c r="AI1679">
        <v>0.95499999999999996</v>
      </c>
      <c r="AJ1679" t="s">
        <v>1155</v>
      </c>
    </row>
    <row r="1680" spans="1:36" x14ac:dyDescent="0.25">
      <c r="A1680" t="s">
        <v>616</v>
      </c>
      <c r="B1680">
        <v>855564544</v>
      </c>
      <c r="C1680" t="s">
        <v>617</v>
      </c>
      <c r="D1680" t="s">
        <v>617</v>
      </c>
      <c r="E1680" t="s">
        <v>65</v>
      </c>
      <c r="F1680" t="s">
        <v>93</v>
      </c>
      <c r="I1680" t="s">
        <v>39</v>
      </c>
      <c r="J1680" t="s">
        <v>40</v>
      </c>
      <c r="K1680" t="s">
        <v>41</v>
      </c>
      <c r="L1680" t="s">
        <v>118</v>
      </c>
      <c r="N1680" t="s">
        <v>43</v>
      </c>
      <c r="O1680" t="s">
        <v>315</v>
      </c>
      <c r="P1680">
        <v>242</v>
      </c>
      <c r="Q1680">
        <v>242</v>
      </c>
      <c r="R1680">
        <v>11</v>
      </c>
      <c r="S1680" t="s">
        <v>45</v>
      </c>
      <c r="T1680">
        <v>0.01</v>
      </c>
      <c r="U1680">
        <v>1001</v>
      </c>
      <c r="V1680" t="s">
        <v>46</v>
      </c>
      <c r="W1680">
        <v>1</v>
      </c>
      <c r="X1680">
        <v>23001</v>
      </c>
      <c r="Y1680" t="s">
        <v>47</v>
      </c>
      <c r="Z1680">
        <v>23</v>
      </c>
      <c r="AA1680">
        <v>841</v>
      </c>
      <c r="AB1680" t="s">
        <v>75</v>
      </c>
      <c r="AC1680">
        <v>0.84</v>
      </c>
      <c r="AD1680">
        <v>901</v>
      </c>
      <c r="AE1680" t="s">
        <v>48</v>
      </c>
      <c r="AF1680">
        <v>0.9</v>
      </c>
      <c r="AG1680">
        <v>944</v>
      </c>
      <c r="AH1680" t="s">
        <v>80</v>
      </c>
      <c r="AI1680">
        <v>0.94299999999999995</v>
      </c>
      <c r="AJ1680" t="s">
        <v>50</v>
      </c>
    </row>
    <row r="1681" spans="1:36" x14ac:dyDescent="0.25">
      <c r="A1681" t="s">
        <v>616</v>
      </c>
      <c r="B1681">
        <v>855564544</v>
      </c>
      <c r="C1681" t="s">
        <v>617</v>
      </c>
      <c r="D1681" t="s">
        <v>617</v>
      </c>
      <c r="E1681" t="s">
        <v>65</v>
      </c>
      <c r="F1681" t="s">
        <v>93</v>
      </c>
      <c r="I1681" t="s">
        <v>39</v>
      </c>
      <c r="J1681" t="s">
        <v>40</v>
      </c>
      <c r="K1681" t="s">
        <v>41</v>
      </c>
      <c r="L1681" t="s">
        <v>118</v>
      </c>
      <c r="N1681" t="s">
        <v>43</v>
      </c>
      <c r="O1681" t="s">
        <v>315</v>
      </c>
      <c r="P1681">
        <v>242</v>
      </c>
      <c r="Q1681">
        <v>242</v>
      </c>
      <c r="R1681">
        <v>31</v>
      </c>
      <c r="S1681" t="s">
        <v>45</v>
      </c>
      <c r="T1681">
        <v>0.03</v>
      </c>
      <c r="U1681">
        <v>1001</v>
      </c>
      <c r="V1681" t="s">
        <v>46</v>
      </c>
      <c r="W1681">
        <v>1</v>
      </c>
      <c r="X1681">
        <v>23001</v>
      </c>
      <c r="Y1681" t="s">
        <v>47</v>
      </c>
      <c r="Z1681">
        <v>23</v>
      </c>
      <c r="AA1681">
        <v>841</v>
      </c>
      <c r="AB1681" t="s">
        <v>75</v>
      </c>
      <c r="AC1681">
        <v>0.84</v>
      </c>
      <c r="AD1681">
        <v>901</v>
      </c>
      <c r="AE1681" t="s">
        <v>48</v>
      </c>
      <c r="AF1681">
        <v>0.9</v>
      </c>
      <c r="AG1681">
        <v>944</v>
      </c>
      <c r="AH1681" t="s">
        <v>80</v>
      </c>
      <c r="AI1681">
        <v>0.94299999999999995</v>
      </c>
      <c r="AJ1681" t="s">
        <v>1141</v>
      </c>
    </row>
    <row r="1682" spans="1:36" x14ac:dyDescent="0.25">
      <c r="A1682" t="s">
        <v>616</v>
      </c>
      <c r="B1682">
        <v>855564544</v>
      </c>
      <c r="C1682" t="s">
        <v>617</v>
      </c>
      <c r="D1682" t="s">
        <v>617</v>
      </c>
      <c r="E1682" t="s">
        <v>65</v>
      </c>
      <c r="F1682" t="s">
        <v>93</v>
      </c>
      <c r="I1682" t="s">
        <v>39</v>
      </c>
      <c r="J1682" t="s">
        <v>40</v>
      </c>
      <c r="K1682" t="s">
        <v>41</v>
      </c>
      <c r="L1682" t="s">
        <v>118</v>
      </c>
      <c r="N1682" t="s">
        <v>43</v>
      </c>
      <c r="O1682" t="s">
        <v>315</v>
      </c>
      <c r="P1682">
        <v>242</v>
      </c>
      <c r="Q1682">
        <v>242</v>
      </c>
      <c r="R1682">
        <v>11</v>
      </c>
      <c r="S1682" t="s">
        <v>45</v>
      </c>
      <c r="T1682">
        <v>0.01</v>
      </c>
      <c r="U1682">
        <v>1001</v>
      </c>
      <c r="V1682" t="s">
        <v>46</v>
      </c>
      <c r="W1682">
        <v>1</v>
      </c>
      <c r="X1682">
        <v>23001</v>
      </c>
      <c r="Y1682" t="s">
        <v>47</v>
      </c>
      <c r="Z1682">
        <v>23</v>
      </c>
      <c r="AA1682">
        <v>841</v>
      </c>
      <c r="AB1682" t="s">
        <v>75</v>
      </c>
      <c r="AC1682">
        <v>0.84</v>
      </c>
      <c r="AD1682">
        <v>901</v>
      </c>
      <c r="AE1682" t="s">
        <v>48</v>
      </c>
      <c r="AF1682">
        <v>0.9</v>
      </c>
      <c r="AG1682">
        <v>944</v>
      </c>
      <c r="AH1682" t="s">
        <v>80</v>
      </c>
      <c r="AI1682">
        <v>0.94299999999999995</v>
      </c>
      <c r="AJ1682" t="s">
        <v>1153</v>
      </c>
    </row>
    <row r="1683" spans="1:36" x14ac:dyDescent="0.25">
      <c r="A1683" t="s">
        <v>616</v>
      </c>
      <c r="B1683">
        <v>855564544</v>
      </c>
      <c r="C1683" t="s">
        <v>617</v>
      </c>
      <c r="D1683" t="s">
        <v>617</v>
      </c>
      <c r="E1683" t="s">
        <v>65</v>
      </c>
      <c r="F1683" t="s">
        <v>93</v>
      </c>
      <c r="I1683" t="s">
        <v>39</v>
      </c>
      <c r="J1683" t="s">
        <v>40</v>
      </c>
      <c r="K1683" t="s">
        <v>41</v>
      </c>
      <c r="L1683" t="s">
        <v>118</v>
      </c>
      <c r="N1683" t="s">
        <v>43</v>
      </c>
      <c r="O1683" t="s">
        <v>315</v>
      </c>
      <c r="P1683">
        <v>242</v>
      </c>
      <c r="Q1683">
        <v>242</v>
      </c>
      <c r="R1683">
        <v>11</v>
      </c>
      <c r="S1683" t="s">
        <v>45</v>
      </c>
      <c r="T1683">
        <v>0.01</v>
      </c>
      <c r="U1683">
        <v>1001</v>
      </c>
      <c r="V1683" t="s">
        <v>46</v>
      </c>
      <c r="W1683">
        <v>1</v>
      </c>
      <c r="X1683">
        <v>23001</v>
      </c>
      <c r="Y1683" t="s">
        <v>47</v>
      </c>
      <c r="Z1683">
        <v>23</v>
      </c>
      <c r="AA1683">
        <v>841</v>
      </c>
      <c r="AB1683" t="s">
        <v>75</v>
      </c>
      <c r="AC1683">
        <v>0.84</v>
      </c>
      <c r="AD1683">
        <v>901</v>
      </c>
      <c r="AE1683" t="s">
        <v>48</v>
      </c>
      <c r="AF1683">
        <v>0.9</v>
      </c>
      <c r="AG1683">
        <v>944</v>
      </c>
      <c r="AH1683" t="s">
        <v>80</v>
      </c>
      <c r="AI1683">
        <v>0.94299999999999995</v>
      </c>
      <c r="AJ1683" t="s">
        <v>1154</v>
      </c>
    </row>
    <row r="1684" spans="1:36" x14ac:dyDescent="0.25">
      <c r="A1684" t="s">
        <v>616</v>
      </c>
      <c r="B1684">
        <v>855564544</v>
      </c>
      <c r="C1684" t="s">
        <v>617</v>
      </c>
      <c r="D1684" t="s">
        <v>617</v>
      </c>
      <c r="E1684" t="s">
        <v>65</v>
      </c>
      <c r="F1684" t="s">
        <v>93</v>
      </c>
      <c r="I1684" t="s">
        <v>39</v>
      </c>
      <c r="J1684" t="s">
        <v>40</v>
      </c>
      <c r="K1684" t="s">
        <v>41</v>
      </c>
      <c r="L1684" t="s">
        <v>118</v>
      </c>
      <c r="N1684" t="s">
        <v>43</v>
      </c>
      <c r="O1684" t="s">
        <v>315</v>
      </c>
      <c r="P1684">
        <v>242</v>
      </c>
      <c r="Q1684">
        <v>242</v>
      </c>
      <c r="S1684" t="s">
        <v>39</v>
      </c>
      <c r="V1684" t="s">
        <v>39</v>
      </c>
      <c r="X1684">
        <v>23001</v>
      </c>
      <c r="Y1684" t="s">
        <v>47</v>
      </c>
      <c r="Z1684">
        <v>23</v>
      </c>
      <c r="AA1684">
        <v>841</v>
      </c>
      <c r="AB1684" t="s">
        <v>75</v>
      </c>
      <c r="AC1684">
        <v>0.84</v>
      </c>
      <c r="AD1684">
        <v>901</v>
      </c>
      <c r="AE1684" t="s">
        <v>48</v>
      </c>
      <c r="AF1684">
        <v>0.9</v>
      </c>
      <c r="AG1684">
        <v>944</v>
      </c>
      <c r="AH1684" t="s">
        <v>80</v>
      </c>
      <c r="AI1684">
        <v>0.94299999999999995</v>
      </c>
      <c r="AJ1684" t="s">
        <v>1155</v>
      </c>
    </row>
    <row r="1685" spans="1:36" x14ac:dyDescent="0.25">
      <c r="A1685" t="s">
        <v>614</v>
      </c>
      <c r="B1685">
        <v>867233000</v>
      </c>
      <c r="C1685" t="s">
        <v>615</v>
      </c>
      <c r="D1685" t="s">
        <v>615</v>
      </c>
      <c r="E1685" t="s">
        <v>37</v>
      </c>
      <c r="F1685" t="s">
        <v>71</v>
      </c>
      <c r="I1685" t="s">
        <v>39</v>
      </c>
      <c r="J1685" t="s">
        <v>40</v>
      </c>
      <c r="K1685" t="s">
        <v>41</v>
      </c>
      <c r="L1685" t="s">
        <v>197</v>
      </c>
      <c r="M1685" t="s">
        <v>47</v>
      </c>
      <c r="N1685" t="s">
        <v>43</v>
      </c>
      <c r="O1685" t="s">
        <v>184</v>
      </c>
      <c r="P1685">
        <v>243</v>
      </c>
      <c r="Q1685">
        <v>243</v>
      </c>
      <c r="R1685">
        <v>31</v>
      </c>
      <c r="S1685" t="s">
        <v>45</v>
      </c>
      <c r="T1685">
        <v>0.03</v>
      </c>
      <c r="U1685">
        <v>992</v>
      </c>
      <c r="V1685" t="s">
        <v>46</v>
      </c>
      <c r="W1685">
        <v>0.99099999999999999</v>
      </c>
      <c r="X1685">
        <v>23001</v>
      </c>
      <c r="Y1685" t="s">
        <v>47</v>
      </c>
      <c r="Z1685">
        <v>23</v>
      </c>
      <c r="AA1685">
        <v>524</v>
      </c>
      <c r="AB1685" t="s">
        <v>75</v>
      </c>
      <c r="AC1685">
        <v>0.52300000000000002</v>
      </c>
      <c r="AD1685">
        <v>823</v>
      </c>
      <c r="AE1685" t="s">
        <v>48</v>
      </c>
      <c r="AF1685">
        <v>0.82199999999999995</v>
      </c>
      <c r="AG1685">
        <v>769</v>
      </c>
      <c r="AH1685" t="s">
        <v>49</v>
      </c>
      <c r="AI1685">
        <v>0.76800000000000002</v>
      </c>
      <c r="AJ1685" t="s">
        <v>50</v>
      </c>
    </row>
    <row r="1686" spans="1:36" x14ac:dyDescent="0.25">
      <c r="A1686" t="s">
        <v>614</v>
      </c>
      <c r="B1686">
        <v>867233000</v>
      </c>
      <c r="C1686" t="s">
        <v>615</v>
      </c>
      <c r="D1686" t="s">
        <v>615</v>
      </c>
      <c r="E1686" t="s">
        <v>37</v>
      </c>
      <c r="F1686" t="s">
        <v>71</v>
      </c>
      <c r="I1686" t="s">
        <v>39</v>
      </c>
      <c r="J1686" t="s">
        <v>40</v>
      </c>
      <c r="K1686" t="s">
        <v>41</v>
      </c>
      <c r="L1686" t="s">
        <v>197</v>
      </c>
      <c r="M1686" t="s">
        <v>47</v>
      </c>
      <c r="N1686" t="s">
        <v>43</v>
      </c>
      <c r="O1686" t="s">
        <v>184</v>
      </c>
      <c r="P1686">
        <v>243</v>
      </c>
      <c r="Q1686">
        <v>243</v>
      </c>
      <c r="R1686">
        <v>31</v>
      </c>
      <c r="S1686" t="s">
        <v>45</v>
      </c>
      <c r="T1686">
        <v>0.03</v>
      </c>
      <c r="U1686">
        <v>946</v>
      </c>
      <c r="V1686" t="s">
        <v>46</v>
      </c>
      <c r="W1686">
        <v>0.94499999999999995</v>
      </c>
      <c r="X1686">
        <v>23001</v>
      </c>
      <c r="Y1686" t="s">
        <v>47</v>
      </c>
      <c r="Z1686">
        <v>23</v>
      </c>
      <c r="AA1686">
        <v>524</v>
      </c>
      <c r="AB1686" t="s">
        <v>75</v>
      </c>
      <c r="AC1686">
        <v>0.52300000000000002</v>
      </c>
      <c r="AD1686">
        <v>823</v>
      </c>
      <c r="AE1686" t="s">
        <v>48</v>
      </c>
      <c r="AF1686">
        <v>0.82199999999999995</v>
      </c>
      <c r="AG1686">
        <v>769</v>
      </c>
      <c r="AH1686" t="s">
        <v>49</v>
      </c>
      <c r="AI1686">
        <v>0.76800000000000002</v>
      </c>
      <c r="AJ1686" t="s">
        <v>1141</v>
      </c>
    </row>
    <row r="1687" spans="1:36" x14ac:dyDescent="0.25">
      <c r="A1687" t="s">
        <v>614</v>
      </c>
      <c r="B1687">
        <v>867233000</v>
      </c>
      <c r="C1687" t="s">
        <v>615</v>
      </c>
      <c r="D1687" t="s">
        <v>615</v>
      </c>
      <c r="E1687" t="s">
        <v>37</v>
      </c>
      <c r="F1687" t="s">
        <v>71</v>
      </c>
      <c r="I1687" t="s">
        <v>39</v>
      </c>
      <c r="J1687" t="s">
        <v>40</v>
      </c>
      <c r="K1687" t="s">
        <v>41</v>
      </c>
      <c r="L1687" t="s">
        <v>197</v>
      </c>
      <c r="M1687" t="s">
        <v>47</v>
      </c>
      <c r="N1687" t="s">
        <v>43</v>
      </c>
      <c r="O1687" t="s">
        <v>184</v>
      </c>
      <c r="P1687">
        <v>243</v>
      </c>
      <c r="Q1687">
        <v>243</v>
      </c>
      <c r="R1687">
        <v>31</v>
      </c>
      <c r="S1687" t="s">
        <v>45</v>
      </c>
      <c r="T1687">
        <v>0.03</v>
      </c>
      <c r="U1687">
        <v>992</v>
      </c>
      <c r="V1687" t="s">
        <v>46</v>
      </c>
      <c r="W1687">
        <v>0.99099999999999999</v>
      </c>
      <c r="X1687">
        <v>23001</v>
      </c>
      <c r="Y1687" t="s">
        <v>47</v>
      </c>
      <c r="Z1687">
        <v>23</v>
      </c>
      <c r="AA1687">
        <v>524</v>
      </c>
      <c r="AB1687" t="s">
        <v>75</v>
      </c>
      <c r="AC1687">
        <v>0.52300000000000002</v>
      </c>
      <c r="AD1687">
        <v>823</v>
      </c>
      <c r="AE1687" t="s">
        <v>48</v>
      </c>
      <c r="AF1687">
        <v>0.82199999999999995</v>
      </c>
      <c r="AG1687">
        <v>769</v>
      </c>
      <c r="AH1687" t="s">
        <v>49</v>
      </c>
      <c r="AI1687">
        <v>0.76800000000000002</v>
      </c>
      <c r="AJ1687" t="s">
        <v>1153</v>
      </c>
    </row>
    <row r="1688" spans="1:36" x14ac:dyDescent="0.25">
      <c r="A1688" t="s">
        <v>614</v>
      </c>
      <c r="B1688">
        <v>867233000</v>
      </c>
      <c r="C1688" t="s">
        <v>615</v>
      </c>
      <c r="D1688" t="s">
        <v>615</v>
      </c>
      <c r="E1688" t="s">
        <v>37</v>
      </c>
      <c r="F1688" t="s">
        <v>71</v>
      </c>
      <c r="I1688" t="s">
        <v>39</v>
      </c>
      <c r="J1688" t="s">
        <v>40</v>
      </c>
      <c r="K1688" t="s">
        <v>41</v>
      </c>
      <c r="L1688" t="s">
        <v>197</v>
      </c>
      <c r="M1688" t="s">
        <v>47</v>
      </c>
      <c r="N1688" t="s">
        <v>43</v>
      </c>
      <c r="O1688" t="s">
        <v>184</v>
      </c>
      <c r="P1688">
        <v>243</v>
      </c>
      <c r="Q1688">
        <v>243</v>
      </c>
      <c r="R1688">
        <v>31</v>
      </c>
      <c r="S1688" t="s">
        <v>45</v>
      </c>
      <c r="T1688">
        <v>0.03</v>
      </c>
      <c r="U1688">
        <v>992</v>
      </c>
      <c r="V1688" t="s">
        <v>46</v>
      </c>
      <c r="W1688">
        <v>0.99099999999999999</v>
      </c>
      <c r="X1688">
        <v>23001</v>
      </c>
      <c r="Y1688" t="s">
        <v>47</v>
      </c>
      <c r="Z1688">
        <v>23</v>
      </c>
      <c r="AA1688">
        <v>524</v>
      </c>
      <c r="AB1688" t="s">
        <v>75</v>
      </c>
      <c r="AC1688">
        <v>0.52300000000000002</v>
      </c>
      <c r="AD1688">
        <v>823</v>
      </c>
      <c r="AE1688" t="s">
        <v>48</v>
      </c>
      <c r="AF1688">
        <v>0.82199999999999995</v>
      </c>
      <c r="AG1688">
        <v>769</v>
      </c>
      <c r="AH1688" t="s">
        <v>49</v>
      </c>
      <c r="AI1688">
        <v>0.76800000000000002</v>
      </c>
      <c r="AJ1688" t="s">
        <v>1154</v>
      </c>
    </row>
    <row r="1689" spans="1:36" x14ac:dyDescent="0.25">
      <c r="A1689" t="s">
        <v>614</v>
      </c>
      <c r="B1689">
        <v>867233000</v>
      </c>
      <c r="C1689" t="s">
        <v>615</v>
      </c>
      <c r="D1689" t="s">
        <v>615</v>
      </c>
      <c r="E1689" t="s">
        <v>37</v>
      </c>
      <c r="F1689" t="s">
        <v>71</v>
      </c>
      <c r="I1689" t="s">
        <v>39</v>
      </c>
      <c r="J1689" t="s">
        <v>40</v>
      </c>
      <c r="K1689" t="s">
        <v>41</v>
      </c>
      <c r="L1689" t="s">
        <v>197</v>
      </c>
      <c r="M1689" t="s">
        <v>47</v>
      </c>
      <c r="N1689" t="s">
        <v>43</v>
      </c>
      <c r="O1689" t="s">
        <v>184</v>
      </c>
      <c r="P1689">
        <v>243</v>
      </c>
      <c r="Q1689">
        <v>243</v>
      </c>
      <c r="S1689" t="s">
        <v>39</v>
      </c>
      <c r="V1689" t="s">
        <v>39</v>
      </c>
      <c r="X1689">
        <v>23001</v>
      </c>
      <c r="Y1689" t="s">
        <v>47</v>
      </c>
      <c r="Z1689">
        <v>23</v>
      </c>
      <c r="AA1689">
        <v>524</v>
      </c>
      <c r="AB1689" t="s">
        <v>75</v>
      </c>
      <c r="AC1689">
        <v>0.52300000000000002</v>
      </c>
      <c r="AD1689">
        <v>823</v>
      </c>
      <c r="AE1689" t="s">
        <v>48</v>
      </c>
      <c r="AF1689">
        <v>0.82199999999999995</v>
      </c>
      <c r="AG1689">
        <v>769</v>
      </c>
      <c r="AH1689" t="s">
        <v>49</v>
      </c>
      <c r="AI1689">
        <v>0.76800000000000002</v>
      </c>
      <c r="AJ1689" t="s">
        <v>1155</v>
      </c>
    </row>
    <row r="1690" spans="1:36" x14ac:dyDescent="0.25">
      <c r="A1690" t="s">
        <v>612</v>
      </c>
      <c r="B1690">
        <v>864912788</v>
      </c>
      <c r="C1690" t="s">
        <v>613</v>
      </c>
      <c r="D1690" t="s">
        <v>613</v>
      </c>
      <c r="E1690" t="s">
        <v>99</v>
      </c>
      <c r="F1690" t="s">
        <v>143</v>
      </c>
      <c r="I1690" t="s">
        <v>39</v>
      </c>
      <c r="J1690" t="s">
        <v>40</v>
      </c>
      <c r="K1690" t="s">
        <v>41</v>
      </c>
      <c r="L1690" t="s">
        <v>173</v>
      </c>
      <c r="N1690" t="s">
        <v>43</v>
      </c>
      <c r="O1690" t="s">
        <v>102</v>
      </c>
      <c r="P1690">
        <v>244</v>
      </c>
      <c r="Q1690">
        <v>244</v>
      </c>
      <c r="R1690">
        <v>1</v>
      </c>
      <c r="S1690" t="s">
        <v>45</v>
      </c>
      <c r="T1690">
        <v>0</v>
      </c>
      <c r="U1690">
        <v>988</v>
      </c>
      <c r="V1690" t="s">
        <v>46</v>
      </c>
      <c r="W1690">
        <v>0.98699999999999999</v>
      </c>
      <c r="X1690">
        <v>23001</v>
      </c>
      <c r="Y1690" t="s">
        <v>47</v>
      </c>
      <c r="Z1690">
        <v>23</v>
      </c>
      <c r="AA1690">
        <v>599</v>
      </c>
      <c r="AB1690" t="s">
        <v>75</v>
      </c>
      <c r="AC1690">
        <v>0.59799999999999998</v>
      </c>
      <c r="AD1690">
        <v>829</v>
      </c>
      <c r="AE1690" t="s">
        <v>48</v>
      </c>
      <c r="AF1690">
        <v>0.82799999999999996</v>
      </c>
      <c r="AG1690">
        <v>975</v>
      </c>
      <c r="AH1690" t="s">
        <v>80</v>
      </c>
      <c r="AI1690">
        <v>0.97399999999999998</v>
      </c>
      <c r="AJ1690" t="s">
        <v>50</v>
      </c>
    </row>
    <row r="1691" spans="1:36" x14ac:dyDescent="0.25">
      <c r="A1691" t="s">
        <v>612</v>
      </c>
      <c r="B1691">
        <v>864912788</v>
      </c>
      <c r="C1691" t="s">
        <v>613</v>
      </c>
      <c r="D1691" t="s">
        <v>613</v>
      </c>
      <c r="E1691" t="s">
        <v>99</v>
      </c>
      <c r="F1691" t="s">
        <v>143</v>
      </c>
      <c r="I1691" t="s">
        <v>39</v>
      </c>
      <c r="J1691" t="s">
        <v>40</v>
      </c>
      <c r="K1691" t="s">
        <v>41</v>
      </c>
      <c r="L1691" t="s">
        <v>173</v>
      </c>
      <c r="N1691" t="s">
        <v>43</v>
      </c>
      <c r="O1691" t="s">
        <v>102</v>
      </c>
      <c r="P1691">
        <v>244</v>
      </c>
      <c r="Q1691">
        <v>244</v>
      </c>
      <c r="R1691">
        <v>1</v>
      </c>
      <c r="S1691" t="s">
        <v>45</v>
      </c>
      <c r="T1691">
        <v>0</v>
      </c>
      <c r="U1691">
        <v>993</v>
      </c>
      <c r="V1691" t="s">
        <v>46</v>
      </c>
      <c r="W1691">
        <v>0.99199999999999999</v>
      </c>
      <c r="X1691">
        <v>23001</v>
      </c>
      <c r="Y1691" t="s">
        <v>47</v>
      </c>
      <c r="Z1691">
        <v>23</v>
      </c>
      <c r="AA1691">
        <v>599</v>
      </c>
      <c r="AB1691" t="s">
        <v>75</v>
      </c>
      <c r="AC1691">
        <v>0.59799999999999998</v>
      </c>
      <c r="AD1691">
        <v>829</v>
      </c>
      <c r="AE1691" t="s">
        <v>48</v>
      </c>
      <c r="AF1691">
        <v>0.82799999999999996</v>
      </c>
      <c r="AG1691">
        <v>975</v>
      </c>
      <c r="AH1691" t="s">
        <v>80</v>
      </c>
      <c r="AI1691">
        <v>0.97399999999999998</v>
      </c>
      <c r="AJ1691" t="s">
        <v>1141</v>
      </c>
    </row>
    <row r="1692" spans="1:36" x14ac:dyDescent="0.25">
      <c r="A1692" t="s">
        <v>612</v>
      </c>
      <c r="B1692">
        <v>864912788</v>
      </c>
      <c r="C1692" t="s">
        <v>613</v>
      </c>
      <c r="D1692" t="s">
        <v>613</v>
      </c>
      <c r="E1692" t="s">
        <v>99</v>
      </c>
      <c r="F1692" t="s">
        <v>143</v>
      </c>
      <c r="I1692" t="s">
        <v>39</v>
      </c>
      <c r="J1692" t="s">
        <v>40</v>
      </c>
      <c r="K1692" t="s">
        <v>41</v>
      </c>
      <c r="L1692" t="s">
        <v>173</v>
      </c>
      <c r="N1692" t="s">
        <v>43</v>
      </c>
      <c r="O1692" t="s">
        <v>102</v>
      </c>
      <c r="P1692">
        <v>244</v>
      </c>
      <c r="Q1692">
        <v>244</v>
      </c>
      <c r="R1692">
        <v>1</v>
      </c>
      <c r="S1692" t="s">
        <v>45</v>
      </c>
      <c r="T1692">
        <v>0</v>
      </c>
      <c r="U1692">
        <v>988</v>
      </c>
      <c r="V1692" t="s">
        <v>46</v>
      </c>
      <c r="W1692">
        <v>0.98699999999999999</v>
      </c>
      <c r="X1692">
        <v>23001</v>
      </c>
      <c r="Y1692" t="s">
        <v>47</v>
      </c>
      <c r="Z1692">
        <v>23</v>
      </c>
      <c r="AA1692">
        <v>599</v>
      </c>
      <c r="AB1692" t="s">
        <v>75</v>
      </c>
      <c r="AC1692">
        <v>0.59799999999999998</v>
      </c>
      <c r="AD1692">
        <v>829</v>
      </c>
      <c r="AE1692" t="s">
        <v>48</v>
      </c>
      <c r="AF1692">
        <v>0.82799999999999996</v>
      </c>
      <c r="AG1692">
        <v>975</v>
      </c>
      <c r="AH1692" t="s">
        <v>80</v>
      </c>
      <c r="AI1692">
        <v>0.97399999999999998</v>
      </c>
      <c r="AJ1692" t="s">
        <v>1153</v>
      </c>
    </row>
    <row r="1693" spans="1:36" x14ac:dyDescent="0.25">
      <c r="A1693" t="s">
        <v>612</v>
      </c>
      <c r="B1693">
        <v>864912788</v>
      </c>
      <c r="C1693" t="s">
        <v>613</v>
      </c>
      <c r="D1693" t="s">
        <v>613</v>
      </c>
      <c r="E1693" t="s">
        <v>99</v>
      </c>
      <c r="F1693" t="s">
        <v>143</v>
      </c>
      <c r="I1693" t="s">
        <v>39</v>
      </c>
      <c r="J1693" t="s">
        <v>40</v>
      </c>
      <c r="K1693" t="s">
        <v>41</v>
      </c>
      <c r="L1693" t="s">
        <v>173</v>
      </c>
      <c r="N1693" t="s">
        <v>43</v>
      </c>
      <c r="O1693" t="s">
        <v>102</v>
      </c>
      <c r="P1693">
        <v>244</v>
      </c>
      <c r="Q1693">
        <v>244</v>
      </c>
      <c r="R1693">
        <v>1</v>
      </c>
      <c r="S1693" t="s">
        <v>45</v>
      </c>
      <c r="T1693">
        <v>0</v>
      </c>
      <c r="U1693">
        <v>988</v>
      </c>
      <c r="V1693" t="s">
        <v>46</v>
      </c>
      <c r="W1693">
        <v>0.98699999999999999</v>
      </c>
      <c r="X1693">
        <v>23001</v>
      </c>
      <c r="Y1693" t="s">
        <v>47</v>
      </c>
      <c r="Z1693">
        <v>23</v>
      </c>
      <c r="AA1693">
        <v>599</v>
      </c>
      <c r="AB1693" t="s">
        <v>75</v>
      </c>
      <c r="AC1693">
        <v>0.59799999999999998</v>
      </c>
      <c r="AD1693">
        <v>829</v>
      </c>
      <c r="AE1693" t="s">
        <v>48</v>
      </c>
      <c r="AF1693">
        <v>0.82799999999999996</v>
      </c>
      <c r="AG1693">
        <v>975</v>
      </c>
      <c r="AH1693" t="s">
        <v>80</v>
      </c>
      <c r="AI1693">
        <v>0.97399999999999998</v>
      </c>
      <c r="AJ1693" t="s">
        <v>1154</v>
      </c>
    </row>
    <row r="1694" spans="1:36" x14ac:dyDescent="0.25">
      <c r="A1694" t="s">
        <v>612</v>
      </c>
      <c r="B1694">
        <v>864912788</v>
      </c>
      <c r="C1694" t="s">
        <v>613</v>
      </c>
      <c r="D1694" t="s">
        <v>613</v>
      </c>
      <c r="E1694" t="s">
        <v>99</v>
      </c>
      <c r="F1694" t="s">
        <v>143</v>
      </c>
      <c r="I1694" t="s">
        <v>39</v>
      </c>
      <c r="J1694" t="s">
        <v>40</v>
      </c>
      <c r="K1694" t="s">
        <v>41</v>
      </c>
      <c r="L1694" t="s">
        <v>173</v>
      </c>
      <c r="N1694" t="s">
        <v>43</v>
      </c>
      <c r="O1694" t="s">
        <v>102</v>
      </c>
      <c r="P1694">
        <v>244</v>
      </c>
      <c r="Q1694">
        <v>244</v>
      </c>
      <c r="S1694" t="s">
        <v>39</v>
      </c>
      <c r="V1694" t="s">
        <v>39</v>
      </c>
      <c r="X1694">
        <v>23001</v>
      </c>
      <c r="Y1694" t="s">
        <v>47</v>
      </c>
      <c r="Z1694">
        <v>23</v>
      </c>
      <c r="AA1694">
        <v>599</v>
      </c>
      <c r="AB1694" t="s">
        <v>75</v>
      </c>
      <c r="AC1694">
        <v>0.59799999999999998</v>
      </c>
      <c r="AD1694">
        <v>829</v>
      </c>
      <c r="AE1694" t="s">
        <v>48</v>
      </c>
      <c r="AF1694">
        <v>0.82799999999999996</v>
      </c>
      <c r="AG1694">
        <v>975</v>
      </c>
      <c r="AH1694" t="s">
        <v>80</v>
      </c>
      <c r="AI1694">
        <v>0.97399999999999998</v>
      </c>
      <c r="AJ1694" t="s">
        <v>1155</v>
      </c>
    </row>
    <row r="1695" spans="1:36" x14ac:dyDescent="0.25">
      <c r="A1695" t="s">
        <v>610</v>
      </c>
      <c r="B1695">
        <v>855964040</v>
      </c>
      <c r="C1695" t="s">
        <v>611</v>
      </c>
      <c r="D1695" t="s">
        <v>611</v>
      </c>
      <c r="E1695" t="s">
        <v>65</v>
      </c>
      <c r="F1695" t="s">
        <v>93</v>
      </c>
      <c r="I1695" t="s">
        <v>39</v>
      </c>
      <c r="J1695" t="s">
        <v>40</v>
      </c>
      <c r="K1695" t="s">
        <v>41</v>
      </c>
      <c r="L1695" t="s">
        <v>300</v>
      </c>
      <c r="N1695" t="s">
        <v>43</v>
      </c>
      <c r="O1695" t="s">
        <v>96</v>
      </c>
      <c r="P1695">
        <v>245</v>
      </c>
      <c r="Q1695">
        <v>245</v>
      </c>
      <c r="R1695">
        <v>21</v>
      </c>
      <c r="S1695" t="s">
        <v>45</v>
      </c>
      <c r="T1695">
        <v>0.02</v>
      </c>
      <c r="U1695">
        <v>994</v>
      </c>
      <c r="V1695" t="s">
        <v>46</v>
      </c>
      <c r="W1695">
        <v>0.99299999999999999</v>
      </c>
      <c r="X1695">
        <v>23001</v>
      </c>
      <c r="Y1695" t="s">
        <v>47</v>
      </c>
      <c r="Z1695">
        <v>23</v>
      </c>
      <c r="AA1695">
        <v>934</v>
      </c>
      <c r="AB1695" t="s">
        <v>75</v>
      </c>
      <c r="AC1695">
        <v>0.93300000000000005</v>
      </c>
      <c r="AD1695">
        <v>941</v>
      </c>
      <c r="AE1695" t="s">
        <v>48</v>
      </c>
      <c r="AF1695">
        <v>0.94</v>
      </c>
      <c r="AG1695">
        <v>996</v>
      </c>
      <c r="AH1695" t="s">
        <v>80</v>
      </c>
      <c r="AI1695">
        <v>0.995</v>
      </c>
      <c r="AJ1695" t="s">
        <v>50</v>
      </c>
    </row>
    <row r="1696" spans="1:36" x14ac:dyDescent="0.25">
      <c r="A1696" t="s">
        <v>610</v>
      </c>
      <c r="B1696">
        <v>855964040</v>
      </c>
      <c r="C1696" t="s">
        <v>611</v>
      </c>
      <c r="D1696" t="s">
        <v>611</v>
      </c>
      <c r="E1696" t="s">
        <v>65</v>
      </c>
      <c r="F1696" t="s">
        <v>93</v>
      </c>
      <c r="I1696" t="s">
        <v>39</v>
      </c>
      <c r="J1696" t="s">
        <v>40</v>
      </c>
      <c r="K1696" t="s">
        <v>41</v>
      </c>
      <c r="L1696" t="s">
        <v>300</v>
      </c>
      <c r="N1696" t="s">
        <v>43</v>
      </c>
      <c r="O1696" t="s">
        <v>96</v>
      </c>
      <c r="P1696">
        <v>245</v>
      </c>
      <c r="Q1696">
        <v>245</v>
      </c>
      <c r="R1696">
        <v>31</v>
      </c>
      <c r="S1696" t="s">
        <v>45</v>
      </c>
      <c r="T1696">
        <v>0.03</v>
      </c>
      <c r="U1696">
        <v>991</v>
      </c>
      <c r="V1696" t="s">
        <v>46</v>
      </c>
      <c r="W1696">
        <v>0.99</v>
      </c>
      <c r="X1696">
        <v>23001</v>
      </c>
      <c r="Y1696" t="s">
        <v>47</v>
      </c>
      <c r="Z1696">
        <v>23</v>
      </c>
      <c r="AA1696">
        <v>934</v>
      </c>
      <c r="AB1696" t="s">
        <v>75</v>
      </c>
      <c r="AC1696">
        <v>0.93300000000000005</v>
      </c>
      <c r="AD1696">
        <v>941</v>
      </c>
      <c r="AE1696" t="s">
        <v>48</v>
      </c>
      <c r="AF1696">
        <v>0.94</v>
      </c>
      <c r="AG1696">
        <v>996</v>
      </c>
      <c r="AH1696" t="s">
        <v>80</v>
      </c>
      <c r="AI1696">
        <v>0.995</v>
      </c>
      <c r="AJ1696" t="s">
        <v>1141</v>
      </c>
    </row>
    <row r="1697" spans="1:36" x14ac:dyDescent="0.25">
      <c r="A1697" t="s">
        <v>610</v>
      </c>
      <c r="B1697">
        <v>855964040</v>
      </c>
      <c r="C1697" t="s">
        <v>611</v>
      </c>
      <c r="D1697" t="s">
        <v>611</v>
      </c>
      <c r="E1697" t="s">
        <v>65</v>
      </c>
      <c r="F1697" t="s">
        <v>93</v>
      </c>
      <c r="I1697" t="s">
        <v>39</v>
      </c>
      <c r="J1697" t="s">
        <v>40</v>
      </c>
      <c r="K1697" t="s">
        <v>41</v>
      </c>
      <c r="L1697" t="s">
        <v>300</v>
      </c>
      <c r="N1697" t="s">
        <v>43</v>
      </c>
      <c r="O1697" t="s">
        <v>96</v>
      </c>
      <c r="P1697">
        <v>245</v>
      </c>
      <c r="Q1697">
        <v>245</v>
      </c>
      <c r="R1697">
        <v>21</v>
      </c>
      <c r="S1697" t="s">
        <v>45</v>
      </c>
      <c r="T1697">
        <v>0.02</v>
      </c>
      <c r="U1697">
        <v>994</v>
      </c>
      <c r="V1697" t="s">
        <v>46</v>
      </c>
      <c r="W1697">
        <v>0.99299999999999999</v>
      </c>
      <c r="X1697">
        <v>23001</v>
      </c>
      <c r="Y1697" t="s">
        <v>47</v>
      </c>
      <c r="Z1697">
        <v>23</v>
      </c>
      <c r="AA1697">
        <v>934</v>
      </c>
      <c r="AB1697" t="s">
        <v>75</v>
      </c>
      <c r="AC1697">
        <v>0.93300000000000005</v>
      </c>
      <c r="AD1697">
        <v>941</v>
      </c>
      <c r="AE1697" t="s">
        <v>48</v>
      </c>
      <c r="AF1697">
        <v>0.94</v>
      </c>
      <c r="AG1697">
        <v>996</v>
      </c>
      <c r="AH1697" t="s">
        <v>80</v>
      </c>
      <c r="AI1697">
        <v>0.995</v>
      </c>
      <c r="AJ1697" t="s">
        <v>1153</v>
      </c>
    </row>
    <row r="1698" spans="1:36" x14ac:dyDescent="0.25">
      <c r="A1698" t="s">
        <v>610</v>
      </c>
      <c r="B1698">
        <v>855964040</v>
      </c>
      <c r="C1698" t="s">
        <v>611</v>
      </c>
      <c r="D1698" t="s">
        <v>611</v>
      </c>
      <c r="E1698" t="s">
        <v>65</v>
      </c>
      <c r="F1698" t="s">
        <v>93</v>
      </c>
      <c r="I1698" t="s">
        <v>39</v>
      </c>
      <c r="J1698" t="s">
        <v>40</v>
      </c>
      <c r="K1698" t="s">
        <v>41</v>
      </c>
      <c r="L1698" t="s">
        <v>300</v>
      </c>
      <c r="N1698" t="s">
        <v>43</v>
      </c>
      <c r="O1698" t="s">
        <v>96</v>
      </c>
      <c r="P1698">
        <v>245</v>
      </c>
      <c r="Q1698">
        <v>245</v>
      </c>
      <c r="R1698">
        <v>21</v>
      </c>
      <c r="S1698" t="s">
        <v>45</v>
      </c>
      <c r="T1698">
        <v>0.02</v>
      </c>
      <c r="U1698">
        <v>994</v>
      </c>
      <c r="V1698" t="s">
        <v>46</v>
      </c>
      <c r="W1698">
        <v>0.99299999999999999</v>
      </c>
      <c r="X1698">
        <v>23001</v>
      </c>
      <c r="Y1698" t="s">
        <v>47</v>
      </c>
      <c r="Z1698">
        <v>23</v>
      </c>
      <c r="AA1698">
        <v>934</v>
      </c>
      <c r="AB1698" t="s">
        <v>75</v>
      </c>
      <c r="AC1698">
        <v>0.93300000000000005</v>
      </c>
      <c r="AD1698">
        <v>941</v>
      </c>
      <c r="AE1698" t="s">
        <v>48</v>
      </c>
      <c r="AF1698">
        <v>0.94</v>
      </c>
      <c r="AG1698">
        <v>996</v>
      </c>
      <c r="AH1698" t="s">
        <v>80</v>
      </c>
      <c r="AI1698">
        <v>0.995</v>
      </c>
      <c r="AJ1698" t="s">
        <v>1154</v>
      </c>
    </row>
    <row r="1699" spans="1:36" x14ac:dyDescent="0.25">
      <c r="A1699" t="s">
        <v>610</v>
      </c>
      <c r="B1699">
        <v>855964040</v>
      </c>
      <c r="C1699" t="s">
        <v>611</v>
      </c>
      <c r="D1699" t="s">
        <v>611</v>
      </c>
      <c r="E1699" t="s">
        <v>65</v>
      </c>
      <c r="F1699" t="s">
        <v>93</v>
      </c>
      <c r="I1699" t="s">
        <v>39</v>
      </c>
      <c r="J1699" t="s">
        <v>40</v>
      </c>
      <c r="K1699" t="s">
        <v>41</v>
      </c>
      <c r="L1699" t="s">
        <v>300</v>
      </c>
      <c r="N1699" t="s">
        <v>43</v>
      </c>
      <c r="O1699" t="s">
        <v>96</v>
      </c>
      <c r="P1699">
        <v>245</v>
      </c>
      <c r="Q1699">
        <v>245</v>
      </c>
      <c r="S1699" t="s">
        <v>39</v>
      </c>
      <c r="V1699" t="s">
        <v>39</v>
      </c>
      <c r="X1699">
        <v>23001</v>
      </c>
      <c r="Y1699" t="s">
        <v>47</v>
      </c>
      <c r="Z1699">
        <v>23</v>
      </c>
      <c r="AA1699">
        <v>934</v>
      </c>
      <c r="AB1699" t="s">
        <v>75</v>
      </c>
      <c r="AC1699">
        <v>0.93300000000000005</v>
      </c>
      <c r="AD1699">
        <v>941</v>
      </c>
      <c r="AE1699" t="s">
        <v>48</v>
      </c>
      <c r="AF1699">
        <v>0.94</v>
      </c>
      <c r="AG1699">
        <v>996</v>
      </c>
      <c r="AH1699" t="s">
        <v>80</v>
      </c>
      <c r="AI1699">
        <v>0.995</v>
      </c>
      <c r="AJ1699" t="s">
        <v>1155</v>
      </c>
    </row>
    <row r="1700" spans="1:36" x14ac:dyDescent="0.25">
      <c r="A1700" t="s">
        <v>608</v>
      </c>
      <c r="B1700">
        <v>856508559</v>
      </c>
      <c r="C1700" t="s">
        <v>609</v>
      </c>
      <c r="D1700" t="s">
        <v>609</v>
      </c>
      <c r="E1700" t="s">
        <v>60</v>
      </c>
      <c r="F1700" t="s">
        <v>88</v>
      </c>
      <c r="I1700" t="s">
        <v>39</v>
      </c>
      <c r="J1700" t="s">
        <v>40</v>
      </c>
      <c r="K1700" t="s">
        <v>41</v>
      </c>
      <c r="L1700" t="s">
        <v>72</v>
      </c>
      <c r="M1700" t="s">
        <v>47</v>
      </c>
      <c r="N1700" t="s">
        <v>43</v>
      </c>
      <c r="O1700" t="s">
        <v>167</v>
      </c>
      <c r="P1700">
        <v>245</v>
      </c>
      <c r="Q1700">
        <v>245</v>
      </c>
      <c r="R1700">
        <v>71</v>
      </c>
      <c r="S1700" t="s">
        <v>56</v>
      </c>
      <c r="T1700">
        <v>7.0000000000000007E-2</v>
      </c>
      <c r="U1700">
        <v>119</v>
      </c>
      <c r="V1700" t="s">
        <v>55</v>
      </c>
      <c r="W1700">
        <v>0.11799999999999999</v>
      </c>
      <c r="X1700">
        <v>15001</v>
      </c>
      <c r="Y1700" t="s">
        <v>47</v>
      </c>
      <c r="Z1700">
        <v>15</v>
      </c>
      <c r="AA1700">
        <v>598</v>
      </c>
      <c r="AB1700" t="s">
        <v>75</v>
      </c>
      <c r="AC1700">
        <v>0.59699999999999998</v>
      </c>
      <c r="AD1700">
        <v>810</v>
      </c>
      <c r="AE1700" t="s">
        <v>48</v>
      </c>
      <c r="AF1700">
        <v>0.80900000000000005</v>
      </c>
      <c r="AG1700">
        <v>931</v>
      </c>
      <c r="AH1700" t="s">
        <v>49</v>
      </c>
      <c r="AI1700">
        <v>0.93</v>
      </c>
      <c r="AJ1700" t="s">
        <v>50</v>
      </c>
    </row>
    <row r="1701" spans="1:36" x14ac:dyDescent="0.25">
      <c r="A1701" t="s">
        <v>608</v>
      </c>
      <c r="B1701">
        <v>856508559</v>
      </c>
      <c r="C1701" t="s">
        <v>609</v>
      </c>
      <c r="D1701" t="s">
        <v>609</v>
      </c>
      <c r="E1701" t="s">
        <v>60</v>
      </c>
      <c r="F1701" t="s">
        <v>88</v>
      </c>
      <c r="I1701" t="s">
        <v>39</v>
      </c>
      <c r="J1701" t="s">
        <v>40</v>
      </c>
      <c r="K1701" t="s">
        <v>41</v>
      </c>
      <c r="L1701" t="s">
        <v>72</v>
      </c>
      <c r="M1701" t="s">
        <v>47</v>
      </c>
      <c r="N1701" t="s">
        <v>43</v>
      </c>
      <c r="O1701" t="s">
        <v>167</v>
      </c>
      <c r="P1701">
        <v>245</v>
      </c>
      <c r="Q1701">
        <v>245</v>
      </c>
      <c r="R1701">
        <v>231</v>
      </c>
      <c r="S1701" t="s">
        <v>56</v>
      </c>
      <c r="T1701">
        <v>0.23</v>
      </c>
      <c r="U1701">
        <v>164</v>
      </c>
      <c r="V1701" t="s">
        <v>55</v>
      </c>
      <c r="W1701">
        <v>0.16300000000000001</v>
      </c>
      <c r="X1701">
        <v>15001</v>
      </c>
      <c r="Y1701" t="s">
        <v>47</v>
      </c>
      <c r="Z1701">
        <v>15</v>
      </c>
      <c r="AA1701">
        <v>598</v>
      </c>
      <c r="AB1701" t="s">
        <v>75</v>
      </c>
      <c r="AC1701">
        <v>0.59699999999999998</v>
      </c>
      <c r="AD1701">
        <v>810</v>
      </c>
      <c r="AE1701" t="s">
        <v>48</v>
      </c>
      <c r="AF1701">
        <v>0.80900000000000005</v>
      </c>
      <c r="AG1701">
        <v>931</v>
      </c>
      <c r="AH1701" t="s">
        <v>49</v>
      </c>
      <c r="AI1701">
        <v>0.93</v>
      </c>
      <c r="AJ1701" t="s">
        <v>1141</v>
      </c>
    </row>
    <row r="1702" spans="1:36" x14ac:dyDescent="0.25">
      <c r="A1702" t="s">
        <v>608</v>
      </c>
      <c r="B1702">
        <v>856508559</v>
      </c>
      <c r="C1702" t="s">
        <v>609</v>
      </c>
      <c r="D1702" t="s">
        <v>609</v>
      </c>
      <c r="E1702" t="s">
        <v>60</v>
      </c>
      <c r="F1702" t="s">
        <v>88</v>
      </c>
      <c r="I1702" t="s">
        <v>39</v>
      </c>
      <c r="J1702" t="s">
        <v>40</v>
      </c>
      <c r="K1702" t="s">
        <v>41</v>
      </c>
      <c r="L1702" t="s">
        <v>72</v>
      </c>
      <c r="M1702" t="s">
        <v>47</v>
      </c>
      <c r="N1702" t="s">
        <v>43</v>
      </c>
      <c r="O1702" t="s">
        <v>167</v>
      </c>
      <c r="P1702">
        <v>245</v>
      </c>
      <c r="Q1702">
        <v>245</v>
      </c>
      <c r="R1702">
        <v>71</v>
      </c>
      <c r="S1702" t="s">
        <v>56</v>
      </c>
      <c r="T1702">
        <v>7.0000000000000007E-2</v>
      </c>
      <c r="U1702">
        <v>119</v>
      </c>
      <c r="V1702" t="s">
        <v>55</v>
      </c>
      <c r="W1702">
        <v>0.11799999999999999</v>
      </c>
      <c r="X1702">
        <v>15001</v>
      </c>
      <c r="Y1702" t="s">
        <v>47</v>
      </c>
      <c r="Z1702">
        <v>15</v>
      </c>
      <c r="AA1702">
        <v>598</v>
      </c>
      <c r="AB1702" t="s">
        <v>75</v>
      </c>
      <c r="AC1702">
        <v>0.59699999999999998</v>
      </c>
      <c r="AD1702">
        <v>810</v>
      </c>
      <c r="AE1702" t="s">
        <v>48</v>
      </c>
      <c r="AF1702">
        <v>0.80900000000000005</v>
      </c>
      <c r="AG1702">
        <v>931</v>
      </c>
      <c r="AH1702" t="s">
        <v>49</v>
      </c>
      <c r="AI1702">
        <v>0.93</v>
      </c>
      <c r="AJ1702" t="s">
        <v>1153</v>
      </c>
    </row>
    <row r="1703" spans="1:36" x14ac:dyDescent="0.25">
      <c r="A1703" t="s">
        <v>608</v>
      </c>
      <c r="B1703">
        <v>856508559</v>
      </c>
      <c r="C1703" t="s">
        <v>609</v>
      </c>
      <c r="D1703" t="s">
        <v>609</v>
      </c>
      <c r="E1703" t="s">
        <v>60</v>
      </c>
      <c r="F1703" t="s">
        <v>88</v>
      </c>
      <c r="I1703" t="s">
        <v>39</v>
      </c>
      <c r="J1703" t="s">
        <v>40</v>
      </c>
      <c r="K1703" t="s">
        <v>41</v>
      </c>
      <c r="L1703" t="s">
        <v>72</v>
      </c>
      <c r="M1703" t="s">
        <v>47</v>
      </c>
      <c r="N1703" t="s">
        <v>43</v>
      </c>
      <c r="O1703" t="s">
        <v>167</v>
      </c>
      <c r="P1703">
        <v>245</v>
      </c>
      <c r="Q1703">
        <v>245</v>
      </c>
      <c r="R1703">
        <v>71</v>
      </c>
      <c r="S1703" t="s">
        <v>56</v>
      </c>
      <c r="T1703">
        <v>7.0000000000000007E-2</v>
      </c>
      <c r="U1703">
        <v>119</v>
      </c>
      <c r="V1703" t="s">
        <v>55</v>
      </c>
      <c r="W1703">
        <v>0.11799999999999999</v>
      </c>
      <c r="X1703">
        <v>15001</v>
      </c>
      <c r="Y1703" t="s">
        <v>47</v>
      </c>
      <c r="Z1703">
        <v>15</v>
      </c>
      <c r="AA1703">
        <v>598</v>
      </c>
      <c r="AB1703" t="s">
        <v>75</v>
      </c>
      <c r="AC1703">
        <v>0.59699999999999998</v>
      </c>
      <c r="AD1703">
        <v>810</v>
      </c>
      <c r="AE1703" t="s">
        <v>48</v>
      </c>
      <c r="AF1703">
        <v>0.80900000000000005</v>
      </c>
      <c r="AG1703">
        <v>931</v>
      </c>
      <c r="AH1703" t="s">
        <v>49</v>
      </c>
      <c r="AI1703">
        <v>0.93</v>
      </c>
      <c r="AJ1703" t="s">
        <v>1154</v>
      </c>
    </row>
    <row r="1704" spans="1:36" x14ac:dyDescent="0.25">
      <c r="A1704" t="s">
        <v>608</v>
      </c>
      <c r="B1704">
        <v>856508559</v>
      </c>
      <c r="C1704" t="s">
        <v>609</v>
      </c>
      <c r="D1704" t="s">
        <v>609</v>
      </c>
      <c r="E1704" t="s">
        <v>60</v>
      </c>
      <c r="F1704" t="s">
        <v>88</v>
      </c>
      <c r="I1704" t="s">
        <v>39</v>
      </c>
      <c r="J1704" t="s">
        <v>40</v>
      </c>
      <c r="K1704" t="s">
        <v>41</v>
      </c>
      <c r="L1704" t="s">
        <v>72</v>
      </c>
      <c r="M1704" t="s">
        <v>47</v>
      </c>
      <c r="N1704" t="s">
        <v>43</v>
      </c>
      <c r="O1704" t="s">
        <v>167</v>
      </c>
      <c r="P1704">
        <v>245</v>
      </c>
      <c r="Q1704">
        <v>245</v>
      </c>
      <c r="S1704" t="s">
        <v>39</v>
      </c>
      <c r="V1704" t="s">
        <v>39</v>
      </c>
      <c r="X1704">
        <v>15001</v>
      </c>
      <c r="Y1704" t="s">
        <v>47</v>
      </c>
      <c r="Z1704">
        <v>15</v>
      </c>
      <c r="AA1704">
        <v>598</v>
      </c>
      <c r="AB1704" t="s">
        <v>75</v>
      </c>
      <c r="AC1704">
        <v>0.59699999999999998</v>
      </c>
      <c r="AD1704">
        <v>810</v>
      </c>
      <c r="AE1704" t="s">
        <v>48</v>
      </c>
      <c r="AF1704">
        <v>0.80900000000000005</v>
      </c>
      <c r="AG1704">
        <v>931</v>
      </c>
      <c r="AH1704" t="s">
        <v>49</v>
      </c>
      <c r="AI1704">
        <v>0.93</v>
      </c>
      <c r="AJ1704" t="s">
        <v>1155</v>
      </c>
    </row>
    <row r="1705" spans="1:36" x14ac:dyDescent="0.25">
      <c r="A1705" t="s">
        <v>606</v>
      </c>
      <c r="B1705">
        <v>869177448</v>
      </c>
      <c r="C1705" t="s">
        <v>607</v>
      </c>
      <c r="D1705" t="s">
        <v>607</v>
      </c>
      <c r="E1705" t="s">
        <v>99</v>
      </c>
      <c r="F1705" t="s">
        <v>143</v>
      </c>
      <c r="I1705" t="s">
        <v>39</v>
      </c>
      <c r="J1705" t="s">
        <v>40</v>
      </c>
      <c r="K1705" t="s">
        <v>41</v>
      </c>
      <c r="L1705" t="s">
        <v>89</v>
      </c>
      <c r="N1705" t="s">
        <v>43</v>
      </c>
      <c r="O1705" t="s">
        <v>332</v>
      </c>
      <c r="P1705">
        <v>246</v>
      </c>
      <c r="Q1705">
        <v>246</v>
      </c>
      <c r="R1705">
        <v>71</v>
      </c>
      <c r="S1705" t="s">
        <v>56</v>
      </c>
      <c r="T1705">
        <v>7.0000000000000007E-2</v>
      </c>
      <c r="U1705">
        <v>23</v>
      </c>
      <c r="V1705" t="s">
        <v>55</v>
      </c>
      <c r="W1705">
        <v>2.1999999999999999E-2</v>
      </c>
      <c r="X1705">
        <v>5001</v>
      </c>
      <c r="Y1705" t="s">
        <v>47</v>
      </c>
      <c r="Z1705">
        <v>5</v>
      </c>
      <c r="AA1705">
        <v>223</v>
      </c>
      <c r="AB1705" t="s">
        <v>47</v>
      </c>
      <c r="AC1705">
        <v>0.222</v>
      </c>
      <c r="AD1705">
        <v>586</v>
      </c>
      <c r="AE1705" t="s">
        <v>48</v>
      </c>
      <c r="AF1705">
        <v>0.58499999999999996</v>
      </c>
      <c r="AG1705">
        <v>415</v>
      </c>
      <c r="AH1705" t="s">
        <v>57</v>
      </c>
      <c r="AI1705">
        <v>0.41399999999999998</v>
      </c>
      <c r="AJ1705" t="s">
        <v>50</v>
      </c>
    </row>
    <row r="1706" spans="1:36" x14ac:dyDescent="0.25">
      <c r="A1706" t="s">
        <v>606</v>
      </c>
      <c r="B1706">
        <v>869177448</v>
      </c>
      <c r="C1706" t="s">
        <v>607</v>
      </c>
      <c r="D1706" t="s">
        <v>607</v>
      </c>
      <c r="E1706" t="s">
        <v>99</v>
      </c>
      <c r="F1706" t="s">
        <v>143</v>
      </c>
      <c r="I1706" t="s">
        <v>39</v>
      </c>
      <c r="J1706" t="s">
        <v>40</v>
      </c>
      <c r="K1706" t="s">
        <v>41</v>
      </c>
      <c r="L1706" t="s">
        <v>89</v>
      </c>
      <c r="N1706" t="s">
        <v>43</v>
      </c>
      <c r="O1706" t="s">
        <v>332</v>
      </c>
      <c r="P1706">
        <v>246</v>
      </c>
      <c r="Q1706">
        <v>246</v>
      </c>
      <c r="R1706">
        <v>71</v>
      </c>
      <c r="S1706" t="s">
        <v>56</v>
      </c>
      <c r="T1706">
        <v>7.0000000000000007E-2</v>
      </c>
      <c r="U1706">
        <v>130</v>
      </c>
      <c r="V1706" t="s">
        <v>55</v>
      </c>
      <c r="W1706">
        <v>0.129</v>
      </c>
      <c r="X1706">
        <v>5001</v>
      </c>
      <c r="Y1706" t="s">
        <v>47</v>
      </c>
      <c r="Z1706">
        <v>5</v>
      </c>
      <c r="AA1706">
        <v>223</v>
      </c>
      <c r="AB1706" t="s">
        <v>47</v>
      </c>
      <c r="AC1706">
        <v>0.222</v>
      </c>
      <c r="AD1706">
        <v>586</v>
      </c>
      <c r="AE1706" t="s">
        <v>48</v>
      </c>
      <c r="AF1706">
        <v>0.58499999999999996</v>
      </c>
      <c r="AG1706">
        <v>415</v>
      </c>
      <c r="AH1706" t="s">
        <v>57</v>
      </c>
      <c r="AI1706">
        <v>0.41399999999999998</v>
      </c>
      <c r="AJ1706" t="s">
        <v>1141</v>
      </c>
    </row>
    <row r="1707" spans="1:36" x14ac:dyDescent="0.25">
      <c r="A1707" t="s">
        <v>606</v>
      </c>
      <c r="B1707">
        <v>869177448</v>
      </c>
      <c r="C1707" t="s">
        <v>607</v>
      </c>
      <c r="D1707" t="s">
        <v>607</v>
      </c>
      <c r="E1707" t="s">
        <v>99</v>
      </c>
      <c r="F1707" t="s">
        <v>143</v>
      </c>
      <c r="I1707" t="s">
        <v>39</v>
      </c>
      <c r="J1707" t="s">
        <v>40</v>
      </c>
      <c r="K1707" t="s">
        <v>41</v>
      </c>
      <c r="L1707" t="s">
        <v>89</v>
      </c>
      <c r="N1707" t="s">
        <v>43</v>
      </c>
      <c r="O1707" t="s">
        <v>332</v>
      </c>
      <c r="P1707">
        <v>246</v>
      </c>
      <c r="Q1707">
        <v>246</v>
      </c>
      <c r="R1707">
        <v>71</v>
      </c>
      <c r="S1707" t="s">
        <v>56</v>
      </c>
      <c r="T1707">
        <v>7.0000000000000007E-2</v>
      </c>
      <c r="U1707">
        <v>23</v>
      </c>
      <c r="V1707" t="s">
        <v>55</v>
      </c>
      <c r="W1707">
        <v>2.1999999999999999E-2</v>
      </c>
      <c r="X1707">
        <v>5001</v>
      </c>
      <c r="Y1707" t="s">
        <v>47</v>
      </c>
      <c r="Z1707">
        <v>5</v>
      </c>
      <c r="AA1707">
        <v>223</v>
      </c>
      <c r="AB1707" t="s">
        <v>47</v>
      </c>
      <c r="AC1707">
        <v>0.222</v>
      </c>
      <c r="AD1707">
        <v>586</v>
      </c>
      <c r="AE1707" t="s">
        <v>48</v>
      </c>
      <c r="AF1707">
        <v>0.58499999999999996</v>
      </c>
      <c r="AG1707">
        <v>415</v>
      </c>
      <c r="AH1707" t="s">
        <v>57</v>
      </c>
      <c r="AI1707">
        <v>0.41399999999999998</v>
      </c>
      <c r="AJ1707" t="s">
        <v>1153</v>
      </c>
    </row>
    <row r="1708" spans="1:36" x14ac:dyDescent="0.25">
      <c r="A1708" t="s">
        <v>606</v>
      </c>
      <c r="B1708">
        <v>869177448</v>
      </c>
      <c r="C1708" t="s">
        <v>607</v>
      </c>
      <c r="D1708" t="s">
        <v>607</v>
      </c>
      <c r="E1708" t="s">
        <v>99</v>
      </c>
      <c r="F1708" t="s">
        <v>143</v>
      </c>
      <c r="I1708" t="s">
        <v>39</v>
      </c>
      <c r="J1708" t="s">
        <v>40</v>
      </c>
      <c r="K1708" t="s">
        <v>41</v>
      </c>
      <c r="L1708" t="s">
        <v>89</v>
      </c>
      <c r="N1708" t="s">
        <v>43</v>
      </c>
      <c r="O1708" t="s">
        <v>332</v>
      </c>
      <c r="P1708">
        <v>246</v>
      </c>
      <c r="Q1708">
        <v>246</v>
      </c>
      <c r="R1708">
        <v>71</v>
      </c>
      <c r="S1708" t="s">
        <v>56</v>
      </c>
      <c r="T1708">
        <v>7.0000000000000007E-2</v>
      </c>
      <c r="U1708">
        <v>23</v>
      </c>
      <c r="V1708" t="s">
        <v>55</v>
      </c>
      <c r="W1708">
        <v>2.1999999999999999E-2</v>
      </c>
      <c r="X1708">
        <v>5001</v>
      </c>
      <c r="Y1708" t="s">
        <v>47</v>
      </c>
      <c r="Z1708">
        <v>5</v>
      </c>
      <c r="AA1708">
        <v>223</v>
      </c>
      <c r="AB1708" t="s">
        <v>47</v>
      </c>
      <c r="AC1708">
        <v>0.222</v>
      </c>
      <c r="AD1708">
        <v>586</v>
      </c>
      <c r="AE1708" t="s">
        <v>48</v>
      </c>
      <c r="AF1708">
        <v>0.58499999999999996</v>
      </c>
      <c r="AG1708">
        <v>415</v>
      </c>
      <c r="AH1708" t="s">
        <v>57</v>
      </c>
      <c r="AI1708">
        <v>0.41399999999999998</v>
      </c>
      <c r="AJ1708" t="s">
        <v>1154</v>
      </c>
    </row>
    <row r="1709" spans="1:36" x14ac:dyDescent="0.25">
      <c r="A1709" t="s">
        <v>606</v>
      </c>
      <c r="B1709">
        <v>869177448</v>
      </c>
      <c r="C1709" t="s">
        <v>607</v>
      </c>
      <c r="D1709" t="s">
        <v>607</v>
      </c>
      <c r="E1709" t="s">
        <v>99</v>
      </c>
      <c r="F1709" t="s">
        <v>143</v>
      </c>
      <c r="I1709" t="s">
        <v>39</v>
      </c>
      <c r="J1709" t="s">
        <v>40</v>
      </c>
      <c r="K1709" t="s">
        <v>41</v>
      </c>
      <c r="L1709" t="s">
        <v>89</v>
      </c>
      <c r="N1709" t="s">
        <v>43</v>
      </c>
      <c r="O1709" t="s">
        <v>332</v>
      </c>
      <c r="P1709">
        <v>246</v>
      </c>
      <c r="Q1709">
        <v>246</v>
      </c>
      <c r="S1709" t="s">
        <v>39</v>
      </c>
      <c r="V1709" t="s">
        <v>39</v>
      </c>
      <c r="X1709">
        <v>5001</v>
      </c>
      <c r="Y1709" t="s">
        <v>47</v>
      </c>
      <c r="Z1709">
        <v>5</v>
      </c>
      <c r="AA1709">
        <v>223</v>
      </c>
      <c r="AB1709" t="s">
        <v>47</v>
      </c>
      <c r="AC1709">
        <v>0.222</v>
      </c>
      <c r="AD1709">
        <v>586</v>
      </c>
      <c r="AE1709" t="s">
        <v>48</v>
      </c>
      <c r="AF1709">
        <v>0.58499999999999996</v>
      </c>
      <c r="AG1709">
        <v>415</v>
      </c>
      <c r="AH1709" t="s">
        <v>57</v>
      </c>
      <c r="AI1709">
        <v>0.41399999999999998</v>
      </c>
      <c r="AJ1709" t="s">
        <v>1155</v>
      </c>
    </row>
    <row r="1710" spans="1:36" x14ac:dyDescent="0.25">
      <c r="A1710" t="s">
        <v>604</v>
      </c>
      <c r="B1710">
        <v>856508561</v>
      </c>
      <c r="C1710" t="s">
        <v>605</v>
      </c>
      <c r="D1710" t="s">
        <v>605</v>
      </c>
      <c r="E1710" t="s">
        <v>65</v>
      </c>
      <c r="F1710" t="s">
        <v>66</v>
      </c>
      <c r="I1710" t="s">
        <v>39</v>
      </c>
      <c r="J1710" t="s">
        <v>40</v>
      </c>
      <c r="K1710" t="s">
        <v>41</v>
      </c>
      <c r="L1710" t="s">
        <v>72</v>
      </c>
      <c r="M1710" t="s">
        <v>47</v>
      </c>
      <c r="N1710" t="s">
        <v>43</v>
      </c>
      <c r="O1710" t="s">
        <v>133</v>
      </c>
      <c r="P1710">
        <v>246</v>
      </c>
      <c r="Q1710">
        <v>246</v>
      </c>
      <c r="R1710">
        <v>471</v>
      </c>
      <c r="S1710" t="s">
        <v>56</v>
      </c>
      <c r="T1710">
        <v>0.47</v>
      </c>
      <c r="U1710">
        <v>169</v>
      </c>
      <c r="V1710" t="s">
        <v>55</v>
      </c>
      <c r="W1710">
        <v>0.16800000000000001</v>
      </c>
      <c r="X1710">
        <v>1</v>
      </c>
      <c r="Y1710" t="s">
        <v>47</v>
      </c>
      <c r="Z1710">
        <v>0</v>
      </c>
      <c r="AA1710">
        <v>197</v>
      </c>
      <c r="AB1710" t="s">
        <v>47</v>
      </c>
      <c r="AC1710">
        <v>0.19600000000000001</v>
      </c>
      <c r="AD1710">
        <v>399</v>
      </c>
      <c r="AE1710" t="s">
        <v>56</v>
      </c>
      <c r="AF1710">
        <v>0.39800000000000002</v>
      </c>
      <c r="AG1710">
        <v>188</v>
      </c>
      <c r="AH1710" t="s">
        <v>103</v>
      </c>
      <c r="AI1710">
        <v>0.187</v>
      </c>
      <c r="AJ1710" t="s">
        <v>50</v>
      </c>
    </row>
    <row r="1711" spans="1:36" x14ac:dyDescent="0.25">
      <c r="A1711" t="s">
        <v>604</v>
      </c>
      <c r="B1711">
        <v>856508561</v>
      </c>
      <c r="C1711" t="s">
        <v>605</v>
      </c>
      <c r="D1711" t="s">
        <v>605</v>
      </c>
      <c r="E1711" t="s">
        <v>65</v>
      </c>
      <c r="F1711" t="s">
        <v>66</v>
      </c>
      <c r="I1711" t="s">
        <v>39</v>
      </c>
      <c r="J1711" t="s">
        <v>40</v>
      </c>
      <c r="K1711" t="s">
        <v>41</v>
      </c>
      <c r="L1711" t="s">
        <v>72</v>
      </c>
      <c r="M1711" t="s">
        <v>47</v>
      </c>
      <c r="N1711" t="s">
        <v>43</v>
      </c>
      <c r="O1711" t="s">
        <v>133</v>
      </c>
      <c r="P1711">
        <v>246</v>
      </c>
      <c r="Q1711">
        <v>246</v>
      </c>
      <c r="R1711">
        <v>321</v>
      </c>
      <c r="S1711" t="s">
        <v>56</v>
      </c>
      <c r="T1711">
        <v>0.32</v>
      </c>
      <c r="U1711">
        <v>165</v>
      </c>
      <c r="V1711" t="s">
        <v>55</v>
      </c>
      <c r="W1711">
        <v>0.16400000000000001</v>
      </c>
      <c r="X1711">
        <v>1</v>
      </c>
      <c r="Y1711" t="s">
        <v>47</v>
      </c>
      <c r="Z1711">
        <v>0</v>
      </c>
      <c r="AA1711">
        <v>197</v>
      </c>
      <c r="AB1711" t="s">
        <v>47</v>
      </c>
      <c r="AC1711">
        <v>0.19600000000000001</v>
      </c>
      <c r="AD1711">
        <v>399</v>
      </c>
      <c r="AE1711" t="s">
        <v>56</v>
      </c>
      <c r="AF1711">
        <v>0.39800000000000002</v>
      </c>
      <c r="AG1711">
        <v>188</v>
      </c>
      <c r="AH1711" t="s">
        <v>103</v>
      </c>
      <c r="AI1711">
        <v>0.187</v>
      </c>
      <c r="AJ1711" t="s">
        <v>1141</v>
      </c>
    </row>
    <row r="1712" spans="1:36" x14ac:dyDescent="0.25">
      <c r="A1712" t="s">
        <v>604</v>
      </c>
      <c r="B1712">
        <v>856508561</v>
      </c>
      <c r="C1712" t="s">
        <v>605</v>
      </c>
      <c r="D1712" t="s">
        <v>605</v>
      </c>
      <c r="E1712" t="s">
        <v>65</v>
      </c>
      <c r="F1712" t="s">
        <v>66</v>
      </c>
      <c r="I1712" t="s">
        <v>39</v>
      </c>
      <c r="J1712" t="s">
        <v>40</v>
      </c>
      <c r="K1712" t="s">
        <v>41</v>
      </c>
      <c r="L1712" t="s">
        <v>72</v>
      </c>
      <c r="M1712" t="s">
        <v>47</v>
      </c>
      <c r="N1712" t="s">
        <v>43</v>
      </c>
      <c r="O1712" t="s">
        <v>133</v>
      </c>
      <c r="P1712">
        <v>246</v>
      </c>
      <c r="Q1712">
        <v>246</v>
      </c>
      <c r="R1712">
        <v>471</v>
      </c>
      <c r="S1712" t="s">
        <v>56</v>
      </c>
      <c r="T1712">
        <v>0.47</v>
      </c>
      <c r="U1712">
        <v>169</v>
      </c>
      <c r="V1712" t="s">
        <v>55</v>
      </c>
      <c r="W1712">
        <v>0.16800000000000001</v>
      </c>
      <c r="X1712">
        <v>1</v>
      </c>
      <c r="Y1712" t="s">
        <v>47</v>
      </c>
      <c r="Z1712">
        <v>0</v>
      </c>
      <c r="AA1712">
        <v>197</v>
      </c>
      <c r="AB1712" t="s">
        <v>47</v>
      </c>
      <c r="AC1712">
        <v>0.19600000000000001</v>
      </c>
      <c r="AD1712">
        <v>399</v>
      </c>
      <c r="AE1712" t="s">
        <v>56</v>
      </c>
      <c r="AF1712">
        <v>0.39800000000000002</v>
      </c>
      <c r="AG1712">
        <v>188</v>
      </c>
      <c r="AH1712" t="s">
        <v>103</v>
      </c>
      <c r="AI1712">
        <v>0.187</v>
      </c>
      <c r="AJ1712" t="s">
        <v>1153</v>
      </c>
    </row>
    <row r="1713" spans="1:36" x14ac:dyDescent="0.25">
      <c r="A1713" t="s">
        <v>604</v>
      </c>
      <c r="B1713">
        <v>856508561</v>
      </c>
      <c r="C1713" t="s">
        <v>605</v>
      </c>
      <c r="D1713" t="s">
        <v>605</v>
      </c>
      <c r="E1713" t="s">
        <v>65</v>
      </c>
      <c r="F1713" t="s">
        <v>66</v>
      </c>
      <c r="I1713" t="s">
        <v>39</v>
      </c>
      <c r="J1713" t="s">
        <v>40</v>
      </c>
      <c r="K1713" t="s">
        <v>41</v>
      </c>
      <c r="L1713" t="s">
        <v>72</v>
      </c>
      <c r="M1713" t="s">
        <v>47</v>
      </c>
      <c r="N1713" t="s">
        <v>43</v>
      </c>
      <c r="O1713" t="s">
        <v>133</v>
      </c>
      <c r="P1713">
        <v>246</v>
      </c>
      <c r="Q1713">
        <v>246</v>
      </c>
      <c r="R1713">
        <v>471</v>
      </c>
      <c r="S1713" t="s">
        <v>56</v>
      </c>
      <c r="T1713">
        <v>0.47</v>
      </c>
      <c r="U1713">
        <v>169</v>
      </c>
      <c r="V1713" t="s">
        <v>55</v>
      </c>
      <c r="W1713">
        <v>0.16800000000000001</v>
      </c>
      <c r="X1713">
        <v>1</v>
      </c>
      <c r="Y1713" t="s">
        <v>47</v>
      </c>
      <c r="Z1713">
        <v>0</v>
      </c>
      <c r="AA1713">
        <v>197</v>
      </c>
      <c r="AB1713" t="s">
        <v>47</v>
      </c>
      <c r="AC1713">
        <v>0.19600000000000001</v>
      </c>
      <c r="AD1713">
        <v>399</v>
      </c>
      <c r="AE1713" t="s">
        <v>56</v>
      </c>
      <c r="AF1713">
        <v>0.39800000000000002</v>
      </c>
      <c r="AG1713">
        <v>188</v>
      </c>
      <c r="AH1713" t="s">
        <v>103</v>
      </c>
      <c r="AI1713">
        <v>0.187</v>
      </c>
      <c r="AJ1713" t="s">
        <v>1154</v>
      </c>
    </row>
    <row r="1714" spans="1:36" x14ac:dyDescent="0.25">
      <c r="A1714" t="s">
        <v>604</v>
      </c>
      <c r="B1714">
        <v>856508561</v>
      </c>
      <c r="C1714" t="s">
        <v>605</v>
      </c>
      <c r="D1714" t="s">
        <v>605</v>
      </c>
      <c r="E1714" t="s">
        <v>65</v>
      </c>
      <c r="F1714" t="s">
        <v>66</v>
      </c>
      <c r="I1714" t="s">
        <v>39</v>
      </c>
      <c r="J1714" t="s">
        <v>40</v>
      </c>
      <c r="K1714" t="s">
        <v>41</v>
      </c>
      <c r="L1714" t="s">
        <v>72</v>
      </c>
      <c r="M1714" t="s">
        <v>47</v>
      </c>
      <c r="N1714" t="s">
        <v>43</v>
      </c>
      <c r="O1714" t="s">
        <v>133</v>
      </c>
      <c r="P1714">
        <v>246</v>
      </c>
      <c r="Q1714">
        <v>246</v>
      </c>
      <c r="S1714" t="s">
        <v>39</v>
      </c>
      <c r="V1714" t="s">
        <v>39</v>
      </c>
      <c r="X1714">
        <v>1</v>
      </c>
      <c r="Y1714" t="s">
        <v>47</v>
      </c>
      <c r="Z1714">
        <v>0</v>
      </c>
      <c r="AA1714">
        <v>197</v>
      </c>
      <c r="AB1714" t="s">
        <v>47</v>
      </c>
      <c r="AC1714">
        <v>0.19600000000000001</v>
      </c>
      <c r="AD1714">
        <v>399</v>
      </c>
      <c r="AE1714" t="s">
        <v>56</v>
      </c>
      <c r="AF1714">
        <v>0.39800000000000002</v>
      </c>
      <c r="AG1714">
        <v>188</v>
      </c>
      <c r="AH1714" t="s">
        <v>103</v>
      </c>
      <c r="AI1714">
        <v>0.187</v>
      </c>
      <c r="AJ1714" t="s">
        <v>1155</v>
      </c>
    </row>
    <row r="1715" spans="1:36" x14ac:dyDescent="0.25">
      <c r="A1715" t="s">
        <v>601</v>
      </c>
      <c r="B1715">
        <v>851914892</v>
      </c>
      <c r="C1715" t="s">
        <v>602</v>
      </c>
      <c r="D1715" t="s">
        <v>602</v>
      </c>
      <c r="E1715" t="s">
        <v>37</v>
      </c>
      <c r="F1715" t="s">
        <v>122</v>
      </c>
      <c r="I1715" t="s">
        <v>39</v>
      </c>
      <c r="J1715" t="s">
        <v>40</v>
      </c>
      <c r="K1715" t="s">
        <v>41</v>
      </c>
      <c r="L1715" t="s">
        <v>151</v>
      </c>
      <c r="M1715" t="s">
        <v>323</v>
      </c>
      <c r="N1715" t="s">
        <v>43</v>
      </c>
      <c r="O1715" t="s">
        <v>603</v>
      </c>
      <c r="P1715">
        <v>247</v>
      </c>
      <c r="Q1715">
        <v>247</v>
      </c>
      <c r="R1715">
        <v>41</v>
      </c>
      <c r="S1715" t="s">
        <v>45</v>
      </c>
      <c r="T1715">
        <v>0.04</v>
      </c>
      <c r="U1715">
        <v>990</v>
      </c>
      <c r="V1715" t="s">
        <v>46</v>
      </c>
      <c r="W1715">
        <v>0.98899999999999999</v>
      </c>
      <c r="X1715">
        <v>22001</v>
      </c>
      <c r="Y1715" t="s">
        <v>47</v>
      </c>
      <c r="Z1715">
        <v>22</v>
      </c>
      <c r="AA1715">
        <v>600</v>
      </c>
      <c r="AB1715" t="s">
        <v>75</v>
      </c>
      <c r="AC1715">
        <v>0.59899999999999998</v>
      </c>
      <c r="AD1715">
        <v>727</v>
      </c>
      <c r="AE1715" t="s">
        <v>48</v>
      </c>
      <c r="AF1715">
        <v>0.72599999999999998</v>
      </c>
      <c r="AG1715">
        <v>947</v>
      </c>
      <c r="AH1715" t="s">
        <v>80</v>
      </c>
      <c r="AI1715">
        <v>0.94599999999999995</v>
      </c>
      <c r="AJ1715" t="s">
        <v>50</v>
      </c>
    </row>
    <row r="1716" spans="1:36" x14ac:dyDescent="0.25">
      <c r="A1716" t="s">
        <v>601</v>
      </c>
      <c r="B1716">
        <v>851914892</v>
      </c>
      <c r="C1716" t="s">
        <v>602</v>
      </c>
      <c r="D1716" t="s">
        <v>602</v>
      </c>
      <c r="E1716" t="s">
        <v>60</v>
      </c>
      <c r="F1716" t="s">
        <v>122</v>
      </c>
      <c r="I1716" t="s">
        <v>39</v>
      </c>
      <c r="J1716" t="s">
        <v>40</v>
      </c>
      <c r="K1716" t="s">
        <v>41</v>
      </c>
      <c r="L1716" t="s">
        <v>151</v>
      </c>
      <c r="M1716" t="s">
        <v>323</v>
      </c>
      <c r="N1716" t="s">
        <v>43</v>
      </c>
      <c r="O1716" t="s">
        <v>470</v>
      </c>
      <c r="P1716">
        <v>247</v>
      </c>
      <c r="Q1716">
        <v>247</v>
      </c>
      <c r="R1716">
        <v>31</v>
      </c>
      <c r="S1716" t="s">
        <v>45</v>
      </c>
      <c r="T1716">
        <v>0.03</v>
      </c>
      <c r="U1716">
        <v>995</v>
      </c>
      <c r="V1716" t="s">
        <v>46</v>
      </c>
      <c r="W1716">
        <v>0.99399999999999999</v>
      </c>
      <c r="X1716">
        <v>19001</v>
      </c>
      <c r="Y1716" t="s">
        <v>47</v>
      </c>
      <c r="Z1716">
        <v>19</v>
      </c>
      <c r="AA1716">
        <v>534</v>
      </c>
      <c r="AB1716" t="s">
        <v>75</v>
      </c>
      <c r="AC1716">
        <v>0.53300000000000003</v>
      </c>
      <c r="AD1716">
        <v>714</v>
      </c>
      <c r="AE1716" t="s">
        <v>48</v>
      </c>
      <c r="AF1716">
        <v>0.71299999999999997</v>
      </c>
      <c r="AG1716">
        <v>800</v>
      </c>
      <c r="AH1716" t="s">
        <v>49</v>
      </c>
      <c r="AI1716">
        <v>0.79900000000000004</v>
      </c>
      <c r="AJ1716" t="s">
        <v>50</v>
      </c>
    </row>
    <row r="1717" spans="1:36" x14ac:dyDescent="0.25">
      <c r="A1717" t="s">
        <v>601</v>
      </c>
      <c r="B1717">
        <v>851914892</v>
      </c>
      <c r="C1717" t="s">
        <v>602</v>
      </c>
      <c r="D1717" t="s">
        <v>602</v>
      </c>
      <c r="E1717" t="s">
        <v>37</v>
      </c>
      <c r="F1717" t="s">
        <v>122</v>
      </c>
      <c r="I1717" t="s">
        <v>39</v>
      </c>
      <c r="J1717" t="s">
        <v>40</v>
      </c>
      <c r="K1717" t="s">
        <v>41</v>
      </c>
      <c r="L1717" t="s">
        <v>151</v>
      </c>
      <c r="M1717" t="s">
        <v>323</v>
      </c>
      <c r="N1717" t="s">
        <v>43</v>
      </c>
      <c r="O1717" t="s">
        <v>603</v>
      </c>
      <c r="P1717">
        <v>247</v>
      </c>
      <c r="Q1717">
        <v>247</v>
      </c>
      <c r="R1717">
        <v>61</v>
      </c>
      <c r="S1717" t="s">
        <v>56</v>
      </c>
      <c r="T1717">
        <v>0.06</v>
      </c>
      <c r="U1717">
        <v>673</v>
      </c>
      <c r="V1717" t="s">
        <v>113</v>
      </c>
      <c r="W1717">
        <v>0.67200000000000004</v>
      </c>
      <c r="X1717">
        <v>22001</v>
      </c>
      <c r="Y1717" t="s">
        <v>47</v>
      </c>
      <c r="Z1717">
        <v>22</v>
      </c>
      <c r="AA1717">
        <v>600</v>
      </c>
      <c r="AB1717" t="s">
        <v>75</v>
      </c>
      <c r="AC1717">
        <v>0.59899999999999998</v>
      </c>
      <c r="AD1717">
        <v>727</v>
      </c>
      <c r="AE1717" t="s">
        <v>48</v>
      </c>
      <c r="AF1717">
        <v>0.72599999999999998</v>
      </c>
      <c r="AG1717">
        <v>947</v>
      </c>
      <c r="AH1717" t="s">
        <v>80</v>
      </c>
      <c r="AI1717">
        <v>0.94599999999999995</v>
      </c>
      <c r="AJ1717" t="s">
        <v>1141</v>
      </c>
    </row>
    <row r="1718" spans="1:36" x14ac:dyDescent="0.25">
      <c r="A1718" t="s">
        <v>601</v>
      </c>
      <c r="B1718">
        <v>851914892</v>
      </c>
      <c r="C1718" t="s">
        <v>602</v>
      </c>
      <c r="D1718" t="s">
        <v>602</v>
      </c>
      <c r="E1718" t="s">
        <v>60</v>
      </c>
      <c r="F1718" t="s">
        <v>122</v>
      </c>
      <c r="I1718" t="s">
        <v>39</v>
      </c>
      <c r="J1718" t="s">
        <v>40</v>
      </c>
      <c r="K1718" t="s">
        <v>41</v>
      </c>
      <c r="L1718" t="s">
        <v>151</v>
      </c>
      <c r="M1718" t="s">
        <v>323</v>
      </c>
      <c r="N1718" t="s">
        <v>43</v>
      </c>
      <c r="O1718" t="s">
        <v>470</v>
      </c>
      <c r="P1718">
        <v>247</v>
      </c>
      <c r="Q1718">
        <v>247</v>
      </c>
      <c r="R1718">
        <v>51</v>
      </c>
      <c r="S1718" t="s">
        <v>56</v>
      </c>
      <c r="T1718">
        <v>0.05</v>
      </c>
      <c r="U1718">
        <v>980</v>
      </c>
      <c r="V1718" t="s">
        <v>46</v>
      </c>
      <c r="W1718">
        <v>0.97899999999999998</v>
      </c>
      <c r="X1718">
        <v>19001</v>
      </c>
      <c r="Y1718" t="s">
        <v>47</v>
      </c>
      <c r="Z1718">
        <v>19</v>
      </c>
      <c r="AA1718">
        <v>534</v>
      </c>
      <c r="AB1718" t="s">
        <v>75</v>
      </c>
      <c r="AC1718">
        <v>0.53300000000000003</v>
      </c>
      <c r="AD1718">
        <v>714</v>
      </c>
      <c r="AE1718" t="s">
        <v>48</v>
      </c>
      <c r="AF1718">
        <v>0.71299999999999997</v>
      </c>
      <c r="AG1718">
        <v>800</v>
      </c>
      <c r="AH1718" t="s">
        <v>49</v>
      </c>
      <c r="AI1718">
        <v>0.79900000000000004</v>
      </c>
      <c r="AJ1718" t="s">
        <v>1141</v>
      </c>
    </row>
    <row r="1719" spans="1:36" x14ac:dyDescent="0.25">
      <c r="A1719" t="s">
        <v>601</v>
      </c>
      <c r="B1719">
        <v>851914892</v>
      </c>
      <c r="C1719" t="s">
        <v>602</v>
      </c>
      <c r="D1719" t="s">
        <v>602</v>
      </c>
      <c r="E1719" t="s">
        <v>37</v>
      </c>
      <c r="F1719" t="s">
        <v>122</v>
      </c>
      <c r="I1719" t="s">
        <v>39</v>
      </c>
      <c r="J1719" t="s">
        <v>40</v>
      </c>
      <c r="K1719" t="s">
        <v>41</v>
      </c>
      <c r="L1719" t="s">
        <v>151</v>
      </c>
      <c r="M1719" t="s">
        <v>323</v>
      </c>
      <c r="N1719" t="s">
        <v>43</v>
      </c>
      <c r="O1719" t="s">
        <v>603</v>
      </c>
      <c r="P1719">
        <v>247</v>
      </c>
      <c r="Q1719">
        <v>247</v>
      </c>
      <c r="R1719">
        <v>41</v>
      </c>
      <c r="S1719" t="s">
        <v>45</v>
      </c>
      <c r="T1719">
        <v>0.04</v>
      </c>
      <c r="U1719">
        <v>990</v>
      </c>
      <c r="V1719" t="s">
        <v>46</v>
      </c>
      <c r="W1719">
        <v>0.98899999999999999</v>
      </c>
      <c r="X1719">
        <v>22001</v>
      </c>
      <c r="Y1719" t="s">
        <v>47</v>
      </c>
      <c r="Z1719">
        <v>22</v>
      </c>
      <c r="AA1719">
        <v>600</v>
      </c>
      <c r="AB1719" t="s">
        <v>75</v>
      </c>
      <c r="AC1719">
        <v>0.59899999999999998</v>
      </c>
      <c r="AD1719">
        <v>727</v>
      </c>
      <c r="AE1719" t="s">
        <v>48</v>
      </c>
      <c r="AF1719">
        <v>0.72599999999999998</v>
      </c>
      <c r="AG1719">
        <v>947</v>
      </c>
      <c r="AH1719" t="s">
        <v>80</v>
      </c>
      <c r="AI1719">
        <v>0.94599999999999995</v>
      </c>
      <c r="AJ1719" t="s">
        <v>1153</v>
      </c>
    </row>
    <row r="1720" spans="1:36" x14ac:dyDescent="0.25">
      <c r="A1720" t="s">
        <v>601</v>
      </c>
      <c r="B1720">
        <v>851914892</v>
      </c>
      <c r="C1720" t="s">
        <v>602</v>
      </c>
      <c r="D1720" t="s">
        <v>602</v>
      </c>
      <c r="E1720" t="s">
        <v>60</v>
      </c>
      <c r="F1720" t="s">
        <v>122</v>
      </c>
      <c r="I1720" t="s">
        <v>39</v>
      </c>
      <c r="J1720" t="s">
        <v>40</v>
      </c>
      <c r="K1720" t="s">
        <v>41</v>
      </c>
      <c r="L1720" t="s">
        <v>151</v>
      </c>
      <c r="M1720" t="s">
        <v>323</v>
      </c>
      <c r="N1720" t="s">
        <v>43</v>
      </c>
      <c r="O1720" t="s">
        <v>470</v>
      </c>
      <c r="P1720">
        <v>247</v>
      </c>
      <c r="Q1720">
        <v>247</v>
      </c>
      <c r="R1720">
        <v>31</v>
      </c>
      <c r="S1720" t="s">
        <v>45</v>
      </c>
      <c r="T1720">
        <v>0.03</v>
      </c>
      <c r="U1720">
        <v>995</v>
      </c>
      <c r="V1720" t="s">
        <v>46</v>
      </c>
      <c r="W1720">
        <v>0.99399999999999999</v>
      </c>
      <c r="X1720">
        <v>19001</v>
      </c>
      <c r="Y1720" t="s">
        <v>47</v>
      </c>
      <c r="Z1720">
        <v>19</v>
      </c>
      <c r="AA1720">
        <v>534</v>
      </c>
      <c r="AB1720" t="s">
        <v>75</v>
      </c>
      <c r="AC1720">
        <v>0.53300000000000003</v>
      </c>
      <c r="AD1720">
        <v>714</v>
      </c>
      <c r="AE1720" t="s">
        <v>48</v>
      </c>
      <c r="AF1720">
        <v>0.71299999999999997</v>
      </c>
      <c r="AG1720">
        <v>800</v>
      </c>
      <c r="AH1720" t="s">
        <v>49</v>
      </c>
      <c r="AI1720">
        <v>0.79900000000000004</v>
      </c>
      <c r="AJ1720" t="s">
        <v>1153</v>
      </c>
    </row>
    <row r="1721" spans="1:36" x14ac:dyDescent="0.25">
      <c r="A1721" t="s">
        <v>601</v>
      </c>
      <c r="B1721">
        <v>851914892</v>
      </c>
      <c r="C1721" t="s">
        <v>602</v>
      </c>
      <c r="D1721" t="s">
        <v>602</v>
      </c>
      <c r="E1721" t="s">
        <v>37</v>
      </c>
      <c r="F1721" t="s">
        <v>122</v>
      </c>
      <c r="I1721" t="s">
        <v>39</v>
      </c>
      <c r="J1721" t="s">
        <v>40</v>
      </c>
      <c r="K1721" t="s">
        <v>41</v>
      </c>
      <c r="L1721" t="s">
        <v>151</v>
      </c>
      <c r="M1721" t="s">
        <v>323</v>
      </c>
      <c r="N1721" t="s">
        <v>43</v>
      </c>
      <c r="O1721" t="s">
        <v>603</v>
      </c>
      <c r="P1721">
        <v>247</v>
      </c>
      <c r="Q1721">
        <v>247</v>
      </c>
      <c r="R1721">
        <v>41</v>
      </c>
      <c r="S1721" t="s">
        <v>45</v>
      </c>
      <c r="T1721">
        <v>0.04</v>
      </c>
      <c r="U1721">
        <v>990</v>
      </c>
      <c r="V1721" t="s">
        <v>46</v>
      </c>
      <c r="W1721">
        <v>0.98899999999999999</v>
      </c>
      <c r="X1721">
        <v>22001</v>
      </c>
      <c r="Y1721" t="s">
        <v>47</v>
      </c>
      <c r="Z1721">
        <v>22</v>
      </c>
      <c r="AA1721">
        <v>600</v>
      </c>
      <c r="AB1721" t="s">
        <v>75</v>
      </c>
      <c r="AC1721">
        <v>0.59899999999999998</v>
      </c>
      <c r="AD1721">
        <v>727</v>
      </c>
      <c r="AE1721" t="s">
        <v>48</v>
      </c>
      <c r="AF1721">
        <v>0.72599999999999998</v>
      </c>
      <c r="AG1721">
        <v>947</v>
      </c>
      <c r="AH1721" t="s">
        <v>80</v>
      </c>
      <c r="AI1721">
        <v>0.94599999999999995</v>
      </c>
      <c r="AJ1721" t="s">
        <v>1154</v>
      </c>
    </row>
    <row r="1722" spans="1:36" x14ac:dyDescent="0.25">
      <c r="A1722" t="s">
        <v>601</v>
      </c>
      <c r="B1722">
        <v>851914892</v>
      </c>
      <c r="C1722" t="s">
        <v>602</v>
      </c>
      <c r="D1722" t="s">
        <v>602</v>
      </c>
      <c r="E1722" t="s">
        <v>60</v>
      </c>
      <c r="F1722" t="s">
        <v>122</v>
      </c>
      <c r="I1722" t="s">
        <v>39</v>
      </c>
      <c r="J1722" t="s">
        <v>40</v>
      </c>
      <c r="K1722" t="s">
        <v>41</v>
      </c>
      <c r="L1722" t="s">
        <v>151</v>
      </c>
      <c r="M1722" t="s">
        <v>323</v>
      </c>
      <c r="N1722" t="s">
        <v>43</v>
      </c>
      <c r="O1722" t="s">
        <v>470</v>
      </c>
      <c r="P1722">
        <v>247</v>
      </c>
      <c r="Q1722">
        <v>247</v>
      </c>
      <c r="R1722">
        <v>31</v>
      </c>
      <c r="S1722" t="s">
        <v>45</v>
      </c>
      <c r="T1722">
        <v>0.03</v>
      </c>
      <c r="U1722">
        <v>995</v>
      </c>
      <c r="V1722" t="s">
        <v>46</v>
      </c>
      <c r="W1722">
        <v>0.99399999999999999</v>
      </c>
      <c r="X1722">
        <v>19001</v>
      </c>
      <c r="Y1722" t="s">
        <v>47</v>
      </c>
      <c r="Z1722">
        <v>19</v>
      </c>
      <c r="AA1722">
        <v>534</v>
      </c>
      <c r="AB1722" t="s">
        <v>75</v>
      </c>
      <c r="AC1722">
        <v>0.53300000000000003</v>
      </c>
      <c r="AD1722">
        <v>714</v>
      </c>
      <c r="AE1722" t="s">
        <v>48</v>
      </c>
      <c r="AF1722">
        <v>0.71299999999999997</v>
      </c>
      <c r="AG1722">
        <v>800</v>
      </c>
      <c r="AH1722" t="s">
        <v>49</v>
      </c>
      <c r="AI1722">
        <v>0.79900000000000004</v>
      </c>
      <c r="AJ1722" t="s">
        <v>1154</v>
      </c>
    </row>
    <row r="1723" spans="1:36" x14ac:dyDescent="0.25">
      <c r="A1723" t="s">
        <v>601</v>
      </c>
      <c r="B1723">
        <v>851914892</v>
      </c>
      <c r="C1723" t="s">
        <v>602</v>
      </c>
      <c r="D1723" t="s">
        <v>602</v>
      </c>
      <c r="E1723" t="s">
        <v>37</v>
      </c>
      <c r="F1723" t="s">
        <v>122</v>
      </c>
      <c r="I1723" t="s">
        <v>39</v>
      </c>
      <c r="J1723" t="s">
        <v>40</v>
      </c>
      <c r="K1723" t="s">
        <v>41</v>
      </c>
      <c r="L1723" t="s">
        <v>151</v>
      </c>
      <c r="M1723" t="s">
        <v>323</v>
      </c>
      <c r="N1723" t="s">
        <v>43</v>
      </c>
      <c r="O1723" t="s">
        <v>603</v>
      </c>
      <c r="P1723">
        <v>247</v>
      </c>
      <c r="Q1723">
        <v>247</v>
      </c>
      <c r="S1723" t="s">
        <v>39</v>
      </c>
      <c r="V1723" t="s">
        <v>39</v>
      </c>
      <c r="X1723">
        <v>22001</v>
      </c>
      <c r="Y1723" t="s">
        <v>47</v>
      </c>
      <c r="Z1723">
        <v>22</v>
      </c>
      <c r="AA1723">
        <v>600</v>
      </c>
      <c r="AB1723" t="s">
        <v>75</v>
      </c>
      <c r="AC1723">
        <v>0.59899999999999998</v>
      </c>
      <c r="AD1723">
        <v>727</v>
      </c>
      <c r="AE1723" t="s">
        <v>48</v>
      </c>
      <c r="AF1723">
        <v>0.72599999999999998</v>
      </c>
      <c r="AG1723">
        <v>947</v>
      </c>
      <c r="AH1723" t="s">
        <v>80</v>
      </c>
      <c r="AI1723">
        <v>0.94599999999999995</v>
      </c>
      <c r="AJ1723" t="s">
        <v>1155</v>
      </c>
    </row>
    <row r="1724" spans="1:36" x14ac:dyDescent="0.25">
      <c r="A1724" t="s">
        <v>601</v>
      </c>
      <c r="B1724">
        <v>851914892</v>
      </c>
      <c r="C1724" t="s">
        <v>602</v>
      </c>
      <c r="D1724" t="s">
        <v>602</v>
      </c>
      <c r="E1724" t="s">
        <v>60</v>
      </c>
      <c r="F1724" t="s">
        <v>122</v>
      </c>
      <c r="I1724" t="s">
        <v>39</v>
      </c>
      <c r="J1724" t="s">
        <v>40</v>
      </c>
      <c r="K1724" t="s">
        <v>41</v>
      </c>
      <c r="L1724" t="s">
        <v>151</v>
      </c>
      <c r="M1724" t="s">
        <v>323</v>
      </c>
      <c r="N1724" t="s">
        <v>43</v>
      </c>
      <c r="O1724" t="s">
        <v>470</v>
      </c>
      <c r="P1724">
        <v>247</v>
      </c>
      <c r="Q1724">
        <v>247</v>
      </c>
      <c r="S1724" t="s">
        <v>39</v>
      </c>
      <c r="V1724" t="s">
        <v>39</v>
      </c>
      <c r="X1724">
        <v>19001</v>
      </c>
      <c r="Y1724" t="s">
        <v>47</v>
      </c>
      <c r="Z1724">
        <v>19</v>
      </c>
      <c r="AA1724">
        <v>534</v>
      </c>
      <c r="AB1724" t="s">
        <v>75</v>
      </c>
      <c r="AC1724">
        <v>0.53300000000000003</v>
      </c>
      <c r="AD1724">
        <v>714</v>
      </c>
      <c r="AE1724" t="s">
        <v>48</v>
      </c>
      <c r="AF1724">
        <v>0.71299999999999997</v>
      </c>
      <c r="AG1724">
        <v>800</v>
      </c>
      <c r="AH1724" t="s">
        <v>49</v>
      </c>
      <c r="AI1724">
        <v>0.79900000000000004</v>
      </c>
      <c r="AJ1724" t="s">
        <v>1155</v>
      </c>
    </row>
    <row r="1725" spans="1:36" x14ac:dyDescent="0.25">
      <c r="A1725" t="s">
        <v>596</v>
      </c>
      <c r="B1725">
        <v>854156274</v>
      </c>
      <c r="C1725" t="s">
        <v>597</v>
      </c>
      <c r="D1725" t="s">
        <v>597</v>
      </c>
      <c r="E1725" t="s">
        <v>37</v>
      </c>
      <c r="F1725" t="s">
        <v>191</v>
      </c>
      <c r="I1725" t="s">
        <v>39</v>
      </c>
      <c r="J1725" t="s">
        <v>40</v>
      </c>
      <c r="K1725" t="s">
        <v>41</v>
      </c>
      <c r="L1725" t="s">
        <v>598</v>
      </c>
      <c r="M1725" t="s">
        <v>282</v>
      </c>
      <c r="N1725" t="s">
        <v>43</v>
      </c>
      <c r="O1725" t="s">
        <v>599</v>
      </c>
      <c r="P1725">
        <v>247</v>
      </c>
      <c r="Q1725">
        <v>247</v>
      </c>
      <c r="R1725">
        <v>71</v>
      </c>
      <c r="S1725" t="s">
        <v>56</v>
      </c>
      <c r="T1725">
        <v>7.0000000000000007E-2</v>
      </c>
      <c r="U1725">
        <v>819</v>
      </c>
      <c r="V1725" t="s">
        <v>113</v>
      </c>
      <c r="W1725">
        <v>0.81799999999999995</v>
      </c>
      <c r="X1725">
        <v>14001</v>
      </c>
      <c r="Y1725" t="s">
        <v>47</v>
      </c>
      <c r="Z1725">
        <v>14</v>
      </c>
      <c r="AA1725">
        <v>334</v>
      </c>
      <c r="AB1725" t="s">
        <v>47</v>
      </c>
      <c r="AC1725">
        <v>0.33300000000000002</v>
      </c>
      <c r="AD1725">
        <v>489</v>
      </c>
      <c r="AE1725" t="s">
        <v>56</v>
      </c>
      <c r="AF1725">
        <v>0.48799999999999999</v>
      </c>
      <c r="AG1725">
        <v>437</v>
      </c>
      <c r="AH1725" t="s">
        <v>57</v>
      </c>
      <c r="AI1725">
        <v>0.436</v>
      </c>
      <c r="AJ1725" t="s">
        <v>50</v>
      </c>
    </row>
    <row r="1726" spans="1:36" x14ac:dyDescent="0.25">
      <c r="A1726" t="s">
        <v>596</v>
      </c>
      <c r="B1726">
        <v>854156274</v>
      </c>
      <c r="C1726" t="s">
        <v>597</v>
      </c>
      <c r="D1726" t="s">
        <v>597</v>
      </c>
      <c r="E1726" t="s">
        <v>60</v>
      </c>
      <c r="F1726" t="s">
        <v>191</v>
      </c>
      <c r="I1726" t="s">
        <v>39</v>
      </c>
      <c r="J1726" t="s">
        <v>40</v>
      </c>
      <c r="K1726" t="s">
        <v>41</v>
      </c>
      <c r="L1726" t="s">
        <v>598</v>
      </c>
      <c r="M1726" t="s">
        <v>282</v>
      </c>
      <c r="N1726" t="s">
        <v>43</v>
      </c>
      <c r="O1726" t="s">
        <v>600</v>
      </c>
      <c r="P1726">
        <v>247</v>
      </c>
      <c r="Q1726">
        <v>247</v>
      </c>
      <c r="R1726">
        <v>51</v>
      </c>
      <c r="S1726" t="s">
        <v>56</v>
      </c>
      <c r="T1726">
        <v>0.05</v>
      </c>
      <c r="U1726">
        <v>256</v>
      </c>
      <c r="V1726" t="s">
        <v>55</v>
      </c>
      <c r="W1726">
        <v>0.255</v>
      </c>
      <c r="X1726">
        <v>13001</v>
      </c>
      <c r="Y1726" t="s">
        <v>47</v>
      </c>
      <c r="Z1726">
        <v>13</v>
      </c>
      <c r="AA1726">
        <v>421</v>
      </c>
      <c r="AB1726" t="s">
        <v>47</v>
      </c>
      <c r="AC1726">
        <v>0.42</v>
      </c>
      <c r="AD1726">
        <v>454</v>
      </c>
      <c r="AE1726" t="s">
        <v>56</v>
      </c>
      <c r="AF1726">
        <v>0.45300000000000001</v>
      </c>
      <c r="AG1726">
        <v>624</v>
      </c>
      <c r="AH1726" t="s">
        <v>49</v>
      </c>
      <c r="AI1726">
        <v>0.623</v>
      </c>
      <c r="AJ1726" t="s">
        <v>50</v>
      </c>
    </row>
    <row r="1727" spans="1:36" x14ac:dyDescent="0.25">
      <c r="A1727" t="s">
        <v>596</v>
      </c>
      <c r="B1727">
        <v>854156274</v>
      </c>
      <c r="C1727" t="s">
        <v>597</v>
      </c>
      <c r="D1727" t="s">
        <v>597</v>
      </c>
      <c r="E1727" t="s">
        <v>37</v>
      </c>
      <c r="F1727" t="s">
        <v>191</v>
      </c>
      <c r="I1727" t="s">
        <v>39</v>
      </c>
      <c r="J1727" t="s">
        <v>40</v>
      </c>
      <c r="K1727" t="s">
        <v>41</v>
      </c>
      <c r="L1727" t="s">
        <v>598</v>
      </c>
      <c r="M1727" t="s">
        <v>282</v>
      </c>
      <c r="N1727" t="s">
        <v>43</v>
      </c>
      <c r="O1727" t="s">
        <v>599</v>
      </c>
      <c r="P1727">
        <v>247</v>
      </c>
      <c r="Q1727">
        <v>247</v>
      </c>
      <c r="R1727">
        <v>81</v>
      </c>
      <c r="S1727" t="s">
        <v>56</v>
      </c>
      <c r="T1727">
        <v>0.08</v>
      </c>
      <c r="U1727">
        <v>479</v>
      </c>
      <c r="V1727" t="s">
        <v>113</v>
      </c>
      <c r="W1727">
        <v>0.47799999999999998</v>
      </c>
      <c r="X1727">
        <v>14001</v>
      </c>
      <c r="Y1727" t="s">
        <v>47</v>
      </c>
      <c r="Z1727">
        <v>14</v>
      </c>
      <c r="AA1727">
        <v>334</v>
      </c>
      <c r="AB1727" t="s">
        <v>47</v>
      </c>
      <c r="AC1727">
        <v>0.33300000000000002</v>
      </c>
      <c r="AD1727">
        <v>489</v>
      </c>
      <c r="AE1727" t="s">
        <v>56</v>
      </c>
      <c r="AF1727">
        <v>0.48799999999999999</v>
      </c>
      <c r="AG1727">
        <v>437</v>
      </c>
      <c r="AH1727" t="s">
        <v>57</v>
      </c>
      <c r="AI1727">
        <v>0.436</v>
      </c>
      <c r="AJ1727" t="s">
        <v>1141</v>
      </c>
    </row>
    <row r="1728" spans="1:36" x14ac:dyDescent="0.25">
      <c r="A1728" t="s">
        <v>596</v>
      </c>
      <c r="B1728">
        <v>854156274</v>
      </c>
      <c r="C1728" t="s">
        <v>597</v>
      </c>
      <c r="D1728" t="s">
        <v>597</v>
      </c>
      <c r="E1728" t="s">
        <v>60</v>
      </c>
      <c r="F1728" t="s">
        <v>191</v>
      </c>
      <c r="I1728" t="s">
        <v>39</v>
      </c>
      <c r="J1728" t="s">
        <v>40</v>
      </c>
      <c r="K1728" t="s">
        <v>41</v>
      </c>
      <c r="L1728" t="s">
        <v>598</v>
      </c>
      <c r="M1728" t="s">
        <v>282</v>
      </c>
      <c r="N1728" t="s">
        <v>43</v>
      </c>
      <c r="O1728" t="s">
        <v>600</v>
      </c>
      <c r="P1728">
        <v>247</v>
      </c>
      <c r="Q1728">
        <v>247</v>
      </c>
      <c r="R1728">
        <v>101</v>
      </c>
      <c r="S1728" t="s">
        <v>56</v>
      </c>
      <c r="T1728">
        <v>0.1</v>
      </c>
      <c r="U1728">
        <v>103</v>
      </c>
      <c r="V1728" t="s">
        <v>55</v>
      </c>
      <c r="W1728">
        <v>0.10199999999999999</v>
      </c>
      <c r="X1728">
        <v>13001</v>
      </c>
      <c r="Y1728" t="s">
        <v>47</v>
      </c>
      <c r="Z1728">
        <v>13</v>
      </c>
      <c r="AA1728">
        <v>421</v>
      </c>
      <c r="AB1728" t="s">
        <v>47</v>
      </c>
      <c r="AC1728">
        <v>0.42</v>
      </c>
      <c r="AD1728">
        <v>454</v>
      </c>
      <c r="AE1728" t="s">
        <v>56</v>
      </c>
      <c r="AF1728">
        <v>0.45300000000000001</v>
      </c>
      <c r="AG1728">
        <v>624</v>
      </c>
      <c r="AH1728" t="s">
        <v>49</v>
      </c>
      <c r="AI1728">
        <v>0.623</v>
      </c>
      <c r="AJ1728" t="s">
        <v>1141</v>
      </c>
    </row>
    <row r="1729" spans="1:36" x14ac:dyDescent="0.25">
      <c r="A1729" t="s">
        <v>596</v>
      </c>
      <c r="B1729">
        <v>854156274</v>
      </c>
      <c r="C1729" t="s">
        <v>597</v>
      </c>
      <c r="D1729" t="s">
        <v>597</v>
      </c>
      <c r="E1729" t="s">
        <v>37</v>
      </c>
      <c r="F1729" t="s">
        <v>191</v>
      </c>
      <c r="I1729" t="s">
        <v>39</v>
      </c>
      <c r="J1729" t="s">
        <v>40</v>
      </c>
      <c r="K1729" t="s">
        <v>41</v>
      </c>
      <c r="L1729" t="s">
        <v>598</v>
      </c>
      <c r="M1729" t="s">
        <v>282</v>
      </c>
      <c r="N1729" t="s">
        <v>43</v>
      </c>
      <c r="O1729" t="s">
        <v>599</v>
      </c>
      <c r="P1729">
        <v>247</v>
      </c>
      <c r="Q1729">
        <v>247</v>
      </c>
      <c r="R1729">
        <v>71</v>
      </c>
      <c r="S1729" t="s">
        <v>56</v>
      </c>
      <c r="T1729">
        <v>7.0000000000000007E-2</v>
      </c>
      <c r="U1729">
        <v>819</v>
      </c>
      <c r="V1729" t="s">
        <v>113</v>
      </c>
      <c r="W1729">
        <v>0.81799999999999995</v>
      </c>
      <c r="X1729">
        <v>14001</v>
      </c>
      <c r="Y1729" t="s">
        <v>47</v>
      </c>
      <c r="Z1729">
        <v>14</v>
      </c>
      <c r="AA1729">
        <v>334</v>
      </c>
      <c r="AB1729" t="s">
        <v>47</v>
      </c>
      <c r="AC1729">
        <v>0.33300000000000002</v>
      </c>
      <c r="AD1729">
        <v>489</v>
      </c>
      <c r="AE1729" t="s">
        <v>56</v>
      </c>
      <c r="AF1729">
        <v>0.48799999999999999</v>
      </c>
      <c r="AG1729">
        <v>437</v>
      </c>
      <c r="AH1729" t="s">
        <v>57</v>
      </c>
      <c r="AI1729">
        <v>0.436</v>
      </c>
      <c r="AJ1729" t="s">
        <v>1153</v>
      </c>
    </row>
    <row r="1730" spans="1:36" x14ac:dyDescent="0.25">
      <c r="A1730" t="s">
        <v>596</v>
      </c>
      <c r="B1730">
        <v>854156274</v>
      </c>
      <c r="C1730" t="s">
        <v>597</v>
      </c>
      <c r="D1730" t="s">
        <v>597</v>
      </c>
      <c r="E1730" t="s">
        <v>60</v>
      </c>
      <c r="F1730" t="s">
        <v>191</v>
      </c>
      <c r="I1730" t="s">
        <v>39</v>
      </c>
      <c r="J1730" t="s">
        <v>40</v>
      </c>
      <c r="K1730" t="s">
        <v>41</v>
      </c>
      <c r="L1730" t="s">
        <v>598</v>
      </c>
      <c r="M1730" t="s">
        <v>282</v>
      </c>
      <c r="N1730" t="s">
        <v>43</v>
      </c>
      <c r="O1730" t="s">
        <v>600</v>
      </c>
      <c r="P1730">
        <v>247</v>
      </c>
      <c r="Q1730">
        <v>247</v>
      </c>
      <c r="R1730">
        <v>51</v>
      </c>
      <c r="S1730" t="s">
        <v>56</v>
      </c>
      <c r="T1730">
        <v>0.05</v>
      </c>
      <c r="U1730">
        <v>256</v>
      </c>
      <c r="V1730" t="s">
        <v>55</v>
      </c>
      <c r="W1730">
        <v>0.255</v>
      </c>
      <c r="X1730">
        <v>13001</v>
      </c>
      <c r="Y1730" t="s">
        <v>47</v>
      </c>
      <c r="Z1730">
        <v>13</v>
      </c>
      <c r="AA1730">
        <v>421</v>
      </c>
      <c r="AB1730" t="s">
        <v>47</v>
      </c>
      <c r="AC1730">
        <v>0.42</v>
      </c>
      <c r="AD1730">
        <v>454</v>
      </c>
      <c r="AE1730" t="s">
        <v>56</v>
      </c>
      <c r="AF1730">
        <v>0.45300000000000001</v>
      </c>
      <c r="AG1730">
        <v>624</v>
      </c>
      <c r="AH1730" t="s">
        <v>49</v>
      </c>
      <c r="AI1730">
        <v>0.623</v>
      </c>
      <c r="AJ1730" t="s">
        <v>1153</v>
      </c>
    </row>
    <row r="1731" spans="1:36" x14ac:dyDescent="0.25">
      <c r="A1731" t="s">
        <v>596</v>
      </c>
      <c r="B1731">
        <v>854156274</v>
      </c>
      <c r="C1731" t="s">
        <v>597</v>
      </c>
      <c r="D1731" t="s">
        <v>597</v>
      </c>
      <c r="E1731" t="s">
        <v>37</v>
      </c>
      <c r="F1731" t="s">
        <v>191</v>
      </c>
      <c r="I1731" t="s">
        <v>39</v>
      </c>
      <c r="J1731" t="s">
        <v>40</v>
      </c>
      <c r="K1731" t="s">
        <v>41</v>
      </c>
      <c r="L1731" t="s">
        <v>598</v>
      </c>
      <c r="M1731" t="s">
        <v>282</v>
      </c>
      <c r="N1731" t="s">
        <v>43</v>
      </c>
      <c r="O1731" t="s">
        <v>599</v>
      </c>
      <c r="P1731">
        <v>247</v>
      </c>
      <c r="Q1731">
        <v>247</v>
      </c>
      <c r="R1731">
        <v>71</v>
      </c>
      <c r="S1731" t="s">
        <v>56</v>
      </c>
      <c r="T1731">
        <v>7.0000000000000007E-2</v>
      </c>
      <c r="U1731">
        <v>819</v>
      </c>
      <c r="V1731" t="s">
        <v>113</v>
      </c>
      <c r="W1731">
        <v>0.81799999999999995</v>
      </c>
      <c r="X1731">
        <v>14001</v>
      </c>
      <c r="Y1731" t="s">
        <v>47</v>
      </c>
      <c r="Z1731">
        <v>14</v>
      </c>
      <c r="AA1731">
        <v>334</v>
      </c>
      <c r="AB1731" t="s">
        <v>47</v>
      </c>
      <c r="AC1731">
        <v>0.33300000000000002</v>
      </c>
      <c r="AD1731">
        <v>489</v>
      </c>
      <c r="AE1731" t="s">
        <v>56</v>
      </c>
      <c r="AF1731">
        <v>0.48799999999999999</v>
      </c>
      <c r="AG1731">
        <v>437</v>
      </c>
      <c r="AH1731" t="s">
        <v>57</v>
      </c>
      <c r="AI1731">
        <v>0.436</v>
      </c>
      <c r="AJ1731" t="s">
        <v>1154</v>
      </c>
    </row>
    <row r="1732" spans="1:36" x14ac:dyDescent="0.25">
      <c r="A1732" t="s">
        <v>596</v>
      </c>
      <c r="B1732">
        <v>854156274</v>
      </c>
      <c r="C1732" t="s">
        <v>597</v>
      </c>
      <c r="D1732" t="s">
        <v>597</v>
      </c>
      <c r="E1732" t="s">
        <v>60</v>
      </c>
      <c r="F1732" t="s">
        <v>191</v>
      </c>
      <c r="I1732" t="s">
        <v>39</v>
      </c>
      <c r="J1732" t="s">
        <v>40</v>
      </c>
      <c r="K1732" t="s">
        <v>41</v>
      </c>
      <c r="L1732" t="s">
        <v>598</v>
      </c>
      <c r="M1732" t="s">
        <v>282</v>
      </c>
      <c r="N1732" t="s">
        <v>43</v>
      </c>
      <c r="O1732" t="s">
        <v>600</v>
      </c>
      <c r="P1732">
        <v>247</v>
      </c>
      <c r="Q1732">
        <v>247</v>
      </c>
      <c r="R1732">
        <v>51</v>
      </c>
      <c r="S1732" t="s">
        <v>56</v>
      </c>
      <c r="T1732">
        <v>0.05</v>
      </c>
      <c r="U1732">
        <v>256</v>
      </c>
      <c r="V1732" t="s">
        <v>55</v>
      </c>
      <c r="W1732">
        <v>0.255</v>
      </c>
      <c r="X1732">
        <v>13001</v>
      </c>
      <c r="Y1732" t="s">
        <v>47</v>
      </c>
      <c r="Z1732">
        <v>13</v>
      </c>
      <c r="AA1732">
        <v>421</v>
      </c>
      <c r="AB1732" t="s">
        <v>47</v>
      </c>
      <c r="AC1732">
        <v>0.42</v>
      </c>
      <c r="AD1732">
        <v>454</v>
      </c>
      <c r="AE1732" t="s">
        <v>56</v>
      </c>
      <c r="AF1732">
        <v>0.45300000000000001</v>
      </c>
      <c r="AG1732">
        <v>624</v>
      </c>
      <c r="AH1732" t="s">
        <v>49</v>
      </c>
      <c r="AI1732">
        <v>0.623</v>
      </c>
      <c r="AJ1732" t="s">
        <v>1154</v>
      </c>
    </row>
    <row r="1733" spans="1:36" x14ac:dyDescent="0.25">
      <c r="A1733" t="s">
        <v>596</v>
      </c>
      <c r="B1733">
        <v>854156274</v>
      </c>
      <c r="C1733" t="s">
        <v>597</v>
      </c>
      <c r="D1733" t="s">
        <v>597</v>
      </c>
      <c r="E1733" t="s">
        <v>37</v>
      </c>
      <c r="F1733" t="s">
        <v>191</v>
      </c>
      <c r="I1733" t="s">
        <v>39</v>
      </c>
      <c r="J1733" t="s">
        <v>40</v>
      </c>
      <c r="K1733" t="s">
        <v>41</v>
      </c>
      <c r="L1733" t="s">
        <v>598</v>
      </c>
      <c r="M1733" t="s">
        <v>282</v>
      </c>
      <c r="N1733" t="s">
        <v>43</v>
      </c>
      <c r="O1733" t="s">
        <v>599</v>
      </c>
      <c r="P1733">
        <v>247</v>
      </c>
      <c r="Q1733">
        <v>247</v>
      </c>
      <c r="S1733" t="s">
        <v>39</v>
      </c>
      <c r="V1733" t="s">
        <v>39</v>
      </c>
      <c r="X1733">
        <v>14001</v>
      </c>
      <c r="Y1733" t="s">
        <v>47</v>
      </c>
      <c r="Z1733">
        <v>14</v>
      </c>
      <c r="AA1733">
        <v>334</v>
      </c>
      <c r="AB1733" t="s">
        <v>47</v>
      </c>
      <c r="AC1733">
        <v>0.33300000000000002</v>
      </c>
      <c r="AD1733">
        <v>489</v>
      </c>
      <c r="AE1733" t="s">
        <v>56</v>
      </c>
      <c r="AF1733">
        <v>0.48799999999999999</v>
      </c>
      <c r="AG1733">
        <v>437</v>
      </c>
      <c r="AH1733" t="s">
        <v>57</v>
      </c>
      <c r="AI1733">
        <v>0.436</v>
      </c>
      <c r="AJ1733" t="s">
        <v>1155</v>
      </c>
    </row>
    <row r="1734" spans="1:36" x14ac:dyDescent="0.25">
      <c r="A1734" t="s">
        <v>596</v>
      </c>
      <c r="B1734">
        <v>854156274</v>
      </c>
      <c r="C1734" t="s">
        <v>597</v>
      </c>
      <c r="D1734" t="s">
        <v>597</v>
      </c>
      <c r="E1734" t="s">
        <v>60</v>
      </c>
      <c r="F1734" t="s">
        <v>191</v>
      </c>
      <c r="I1734" t="s">
        <v>39</v>
      </c>
      <c r="J1734" t="s">
        <v>40</v>
      </c>
      <c r="K1734" t="s">
        <v>41</v>
      </c>
      <c r="L1734" t="s">
        <v>598</v>
      </c>
      <c r="M1734" t="s">
        <v>282</v>
      </c>
      <c r="N1734" t="s">
        <v>43</v>
      </c>
      <c r="O1734" t="s">
        <v>600</v>
      </c>
      <c r="P1734">
        <v>247</v>
      </c>
      <c r="Q1734">
        <v>247</v>
      </c>
      <c r="S1734" t="s">
        <v>39</v>
      </c>
      <c r="V1734" t="s">
        <v>39</v>
      </c>
      <c r="X1734">
        <v>13001</v>
      </c>
      <c r="Y1734" t="s">
        <v>47</v>
      </c>
      <c r="Z1734">
        <v>13</v>
      </c>
      <c r="AA1734">
        <v>421</v>
      </c>
      <c r="AB1734" t="s">
        <v>47</v>
      </c>
      <c r="AC1734">
        <v>0.42</v>
      </c>
      <c r="AD1734">
        <v>454</v>
      </c>
      <c r="AE1734" t="s">
        <v>56</v>
      </c>
      <c r="AF1734">
        <v>0.45300000000000001</v>
      </c>
      <c r="AG1734">
        <v>624</v>
      </c>
      <c r="AH1734" t="s">
        <v>49</v>
      </c>
      <c r="AI1734">
        <v>0.623</v>
      </c>
      <c r="AJ1734" t="s">
        <v>1155</v>
      </c>
    </row>
    <row r="1735" spans="1:36" x14ac:dyDescent="0.25">
      <c r="A1735" t="s">
        <v>592</v>
      </c>
      <c r="B1735">
        <v>855243027</v>
      </c>
      <c r="C1735" t="s">
        <v>593</v>
      </c>
      <c r="D1735" t="s">
        <v>593</v>
      </c>
      <c r="E1735" t="s">
        <v>65</v>
      </c>
      <c r="F1735" t="s">
        <v>166</v>
      </c>
      <c r="G1735" t="s">
        <v>65</v>
      </c>
      <c r="H1735">
        <v>1.9623199999999999E-4</v>
      </c>
      <c r="I1735" t="s">
        <v>268</v>
      </c>
      <c r="J1735" t="s">
        <v>40</v>
      </c>
      <c r="K1735" t="s">
        <v>41</v>
      </c>
      <c r="L1735" t="s">
        <v>313</v>
      </c>
      <c r="N1735" t="s">
        <v>43</v>
      </c>
      <c r="O1735" t="s">
        <v>71</v>
      </c>
      <c r="P1735">
        <v>249</v>
      </c>
      <c r="Q1735">
        <v>249</v>
      </c>
      <c r="R1735">
        <v>1</v>
      </c>
      <c r="S1735" t="s">
        <v>45</v>
      </c>
      <c r="T1735">
        <v>0</v>
      </c>
      <c r="U1735">
        <v>588</v>
      </c>
      <c r="V1735" t="s">
        <v>113</v>
      </c>
      <c r="W1735">
        <v>0.58699999999999997</v>
      </c>
      <c r="X1735">
        <v>20001</v>
      </c>
      <c r="Y1735" t="s">
        <v>47</v>
      </c>
      <c r="Z1735">
        <v>20</v>
      </c>
      <c r="AA1735">
        <v>510</v>
      </c>
      <c r="AB1735" t="s">
        <v>75</v>
      </c>
      <c r="AC1735">
        <v>0.50900000000000001</v>
      </c>
      <c r="AD1735">
        <v>695</v>
      </c>
      <c r="AE1735" t="s">
        <v>48</v>
      </c>
      <c r="AF1735">
        <v>0.69399999999999995</v>
      </c>
      <c r="AG1735">
        <v>521</v>
      </c>
      <c r="AH1735" t="s">
        <v>57</v>
      </c>
      <c r="AI1735">
        <v>0.52</v>
      </c>
      <c r="AJ1735" t="s">
        <v>50</v>
      </c>
    </row>
    <row r="1736" spans="1:36" x14ac:dyDescent="0.25">
      <c r="A1736" t="s">
        <v>592</v>
      </c>
      <c r="B1736">
        <v>855243027</v>
      </c>
      <c r="C1736" t="s">
        <v>593</v>
      </c>
      <c r="D1736" t="s">
        <v>593</v>
      </c>
      <c r="E1736" t="s">
        <v>65</v>
      </c>
      <c r="F1736" t="s">
        <v>166</v>
      </c>
      <c r="G1736" t="s">
        <v>65</v>
      </c>
      <c r="H1736">
        <v>1.9623199999999999E-4</v>
      </c>
      <c r="I1736" t="s">
        <v>268</v>
      </c>
      <c r="J1736" t="s">
        <v>40</v>
      </c>
      <c r="K1736" t="s">
        <v>41</v>
      </c>
      <c r="L1736" t="s">
        <v>313</v>
      </c>
      <c r="N1736" t="s">
        <v>43</v>
      </c>
      <c r="O1736" t="s">
        <v>71</v>
      </c>
      <c r="P1736">
        <v>249</v>
      </c>
      <c r="Q1736">
        <v>249</v>
      </c>
      <c r="R1736">
        <v>1</v>
      </c>
      <c r="S1736" t="s">
        <v>45</v>
      </c>
      <c r="T1736">
        <v>0</v>
      </c>
      <c r="U1736">
        <v>583</v>
      </c>
      <c r="V1736" t="s">
        <v>113</v>
      </c>
      <c r="W1736">
        <v>0.58199999999999996</v>
      </c>
      <c r="X1736">
        <v>20001</v>
      </c>
      <c r="Y1736" t="s">
        <v>47</v>
      </c>
      <c r="Z1736">
        <v>20</v>
      </c>
      <c r="AA1736">
        <v>510</v>
      </c>
      <c r="AB1736" t="s">
        <v>75</v>
      </c>
      <c r="AC1736">
        <v>0.50900000000000001</v>
      </c>
      <c r="AD1736">
        <v>695</v>
      </c>
      <c r="AE1736" t="s">
        <v>48</v>
      </c>
      <c r="AF1736">
        <v>0.69399999999999995</v>
      </c>
      <c r="AG1736">
        <v>521</v>
      </c>
      <c r="AH1736" t="s">
        <v>57</v>
      </c>
      <c r="AI1736">
        <v>0.52</v>
      </c>
      <c r="AJ1736" t="s">
        <v>1141</v>
      </c>
    </row>
    <row r="1737" spans="1:36" x14ac:dyDescent="0.25">
      <c r="A1737" t="s">
        <v>592</v>
      </c>
      <c r="B1737">
        <v>855243027</v>
      </c>
      <c r="C1737" t="s">
        <v>593</v>
      </c>
      <c r="D1737" t="s">
        <v>593</v>
      </c>
      <c r="E1737" t="s">
        <v>65</v>
      </c>
      <c r="F1737" t="s">
        <v>166</v>
      </c>
      <c r="G1737" t="s">
        <v>65</v>
      </c>
      <c r="H1737">
        <v>1.9623199999999999E-4</v>
      </c>
      <c r="I1737" t="s">
        <v>268</v>
      </c>
      <c r="J1737" t="s">
        <v>40</v>
      </c>
      <c r="K1737" t="s">
        <v>41</v>
      </c>
      <c r="L1737" t="s">
        <v>313</v>
      </c>
      <c r="N1737" t="s">
        <v>43</v>
      </c>
      <c r="O1737" t="s">
        <v>71</v>
      </c>
      <c r="P1737">
        <v>249</v>
      </c>
      <c r="Q1737">
        <v>249</v>
      </c>
      <c r="R1737">
        <v>1</v>
      </c>
      <c r="S1737" t="s">
        <v>45</v>
      </c>
      <c r="T1737">
        <v>0</v>
      </c>
      <c r="U1737">
        <v>588</v>
      </c>
      <c r="V1737" t="s">
        <v>113</v>
      </c>
      <c r="W1737">
        <v>0.58699999999999997</v>
      </c>
      <c r="X1737">
        <v>20001</v>
      </c>
      <c r="Y1737" t="s">
        <v>47</v>
      </c>
      <c r="Z1737">
        <v>20</v>
      </c>
      <c r="AA1737">
        <v>510</v>
      </c>
      <c r="AB1737" t="s">
        <v>75</v>
      </c>
      <c r="AC1737">
        <v>0.50900000000000001</v>
      </c>
      <c r="AD1737">
        <v>695</v>
      </c>
      <c r="AE1737" t="s">
        <v>48</v>
      </c>
      <c r="AF1737">
        <v>0.69399999999999995</v>
      </c>
      <c r="AG1737">
        <v>521</v>
      </c>
      <c r="AH1737" t="s">
        <v>57</v>
      </c>
      <c r="AI1737">
        <v>0.52</v>
      </c>
      <c r="AJ1737" t="s">
        <v>1153</v>
      </c>
    </row>
    <row r="1738" spans="1:36" x14ac:dyDescent="0.25">
      <c r="A1738" t="s">
        <v>592</v>
      </c>
      <c r="B1738">
        <v>855243027</v>
      </c>
      <c r="C1738" t="s">
        <v>593</v>
      </c>
      <c r="D1738" t="s">
        <v>593</v>
      </c>
      <c r="E1738" t="s">
        <v>65</v>
      </c>
      <c r="F1738" t="s">
        <v>166</v>
      </c>
      <c r="G1738" t="s">
        <v>65</v>
      </c>
      <c r="H1738">
        <v>1.9623199999999999E-4</v>
      </c>
      <c r="I1738" t="s">
        <v>268</v>
      </c>
      <c r="J1738" t="s">
        <v>40</v>
      </c>
      <c r="K1738" t="s">
        <v>41</v>
      </c>
      <c r="L1738" t="s">
        <v>313</v>
      </c>
      <c r="N1738" t="s">
        <v>43</v>
      </c>
      <c r="O1738" t="s">
        <v>71</v>
      </c>
      <c r="P1738">
        <v>249</v>
      </c>
      <c r="Q1738">
        <v>249</v>
      </c>
      <c r="R1738">
        <v>1</v>
      </c>
      <c r="S1738" t="s">
        <v>45</v>
      </c>
      <c r="T1738">
        <v>0</v>
      </c>
      <c r="U1738">
        <v>588</v>
      </c>
      <c r="V1738" t="s">
        <v>113</v>
      </c>
      <c r="W1738">
        <v>0.58699999999999997</v>
      </c>
      <c r="X1738">
        <v>20001</v>
      </c>
      <c r="Y1738" t="s">
        <v>47</v>
      </c>
      <c r="Z1738">
        <v>20</v>
      </c>
      <c r="AA1738">
        <v>510</v>
      </c>
      <c r="AB1738" t="s">
        <v>75</v>
      </c>
      <c r="AC1738">
        <v>0.50900000000000001</v>
      </c>
      <c r="AD1738">
        <v>695</v>
      </c>
      <c r="AE1738" t="s">
        <v>48</v>
      </c>
      <c r="AF1738">
        <v>0.69399999999999995</v>
      </c>
      <c r="AG1738">
        <v>521</v>
      </c>
      <c r="AH1738" t="s">
        <v>57</v>
      </c>
      <c r="AI1738">
        <v>0.52</v>
      </c>
      <c r="AJ1738" t="s">
        <v>1154</v>
      </c>
    </row>
    <row r="1739" spans="1:36" x14ac:dyDescent="0.25">
      <c r="A1739" t="s">
        <v>592</v>
      </c>
      <c r="B1739">
        <v>855243027</v>
      </c>
      <c r="C1739" t="s">
        <v>593</v>
      </c>
      <c r="D1739" t="s">
        <v>593</v>
      </c>
      <c r="E1739" t="s">
        <v>65</v>
      </c>
      <c r="F1739" t="s">
        <v>166</v>
      </c>
      <c r="G1739" t="s">
        <v>65</v>
      </c>
      <c r="H1739">
        <v>1.9623199999999999E-4</v>
      </c>
      <c r="I1739" t="s">
        <v>268</v>
      </c>
      <c r="J1739" t="s">
        <v>40</v>
      </c>
      <c r="K1739" t="s">
        <v>41</v>
      </c>
      <c r="L1739" t="s">
        <v>313</v>
      </c>
      <c r="N1739" t="s">
        <v>43</v>
      </c>
      <c r="O1739" t="s">
        <v>71</v>
      </c>
      <c r="P1739">
        <v>249</v>
      </c>
      <c r="Q1739">
        <v>249</v>
      </c>
      <c r="S1739" t="s">
        <v>39</v>
      </c>
      <c r="V1739" t="s">
        <v>39</v>
      </c>
      <c r="X1739">
        <v>20001</v>
      </c>
      <c r="Y1739" t="s">
        <v>47</v>
      </c>
      <c r="Z1739">
        <v>20</v>
      </c>
      <c r="AA1739">
        <v>510</v>
      </c>
      <c r="AB1739" t="s">
        <v>75</v>
      </c>
      <c r="AC1739">
        <v>0.50900000000000001</v>
      </c>
      <c r="AD1739">
        <v>695</v>
      </c>
      <c r="AE1739" t="s">
        <v>48</v>
      </c>
      <c r="AF1739">
        <v>0.69399999999999995</v>
      </c>
      <c r="AG1739">
        <v>521</v>
      </c>
      <c r="AH1739" t="s">
        <v>57</v>
      </c>
      <c r="AI1739">
        <v>0.52</v>
      </c>
      <c r="AJ1739" t="s">
        <v>1155</v>
      </c>
    </row>
    <row r="1740" spans="1:36" x14ac:dyDescent="0.25">
      <c r="A1740" t="s">
        <v>594</v>
      </c>
      <c r="B1740">
        <v>855899586</v>
      </c>
      <c r="C1740" t="s">
        <v>595</v>
      </c>
      <c r="D1740" t="s">
        <v>595</v>
      </c>
      <c r="E1740" t="s">
        <v>65</v>
      </c>
      <c r="F1740" t="s">
        <v>83</v>
      </c>
      <c r="I1740" t="s">
        <v>39</v>
      </c>
      <c r="J1740" t="s">
        <v>40</v>
      </c>
      <c r="K1740" t="s">
        <v>41</v>
      </c>
      <c r="L1740" t="s">
        <v>131</v>
      </c>
      <c r="M1740" t="s">
        <v>335</v>
      </c>
      <c r="N1740" t="s">
        <v>43</v>
      </c>
      <c r="O1740" t="s">
        <v>253</v>
      </c>
      <c r="P1740">
        <v>249</v>
      </c>
      <c r="Q1740">
        <v>249</v>
      </c>
      <c r="R1740">
        <v>11</v>
      </c>
      <c r="S1740" t="s">
        <v>45</v>
      </c>
      <c r="T1740">
        <v>0.01</v>
      </c>
      <c r="U1740">
        <v>841</v>
      </c>
      <c r="V1740" t="s">
        <v>113</v>
      </c>
      <c r="W1740">
        <v>0.84</v>
      </c>
      <c r="X1740">
        <v>22001</v>
      </c>
      <c r="Y1740" t="s">
        <v>47</v>
      </c>
      <c r="Z1740">
        <v>22</v>
      </c>
      <c r="AA1740">
        <v>653</v>
      </c>
      <c r="AB1740" t="s">
        <v>75</v>
      </c>
      <c r="AC1740">
        <v>0.65200000000000002</v>
      </c>
      <c r="AD1740">
        <v>777</v>
      </c>
      <c r="AE1740" t="s">
        <v>48</v>
      </c>
      <c r="AF1740">
        <v>0.77600000000000002</v>
      </c>
      <c r="AG1740">
        <v>775</v>
      </c>
      <c r="AH1740" t="s">
        <v>49</v>
      </c>
      <c r="AI1740">
        <v>0.77400000000000002</v>
      </c>
      <c r="AJ1740" t="s">
        <v>50</v>
      </c>
    </row>
    <row r="1741" spans="1:36" x14ac:dyDescent="0.25">
      <c r="A1741" t="s">
        <v>594</v>
      </c>
      <c r="B1741">
        <v>855899586</v>
      </c>
      <c r="C1741" t="s">
        <v>595</v>
      </c>
      <c r="D1741" t="s">
        <v>595</v>
      </c>
      <c r="E1741" t="s">
        <v>60</v>
      </c>
      <c r="F1741" t="s">
        <v>83</v>
      </c>
      <c r="I1741" t="s">
        <v>39</v>
      </c>
      <c r="J1741" t="s">
        <v>40</v>
      </c>
      <c r="K1741" t="s">
        <v>41</v>
      </c>
      <c r="L1741" t="s">
        <v>131</v>
      </c>
      <c r="M1741" t="s">
        <v>335</v>
      </c>
      <c r="N1741" t="s">
        <v>43</v>
      </c>
      <c r="O1741" t="s">
        <v>409</v>
      </c>
      <c r="P1741">
        <v>249</v>
      </c>
      <c r="Q1741">
        <v>249</v>
      </c>
      <c r="R1741">
        <v>41</v>
      </c>
      <c r="S1741" t="s">
        <v>45</v>
      </c>
      <c r="T1741">
        <v>0.04</v>
      </c>
      <c r="U1741">
        <v>616</v>
      </c>
      <c r="V1741" t="s">
        <v>113</v>
      </c>
      <c r="W1741">
        <v>0.61499999999999999</v>
      </c>
      <c r="X1741">
        <v>21001</v>
      </c>
      <c r="Y1741" t="s">
        <v>47</v>
      </c>
      <c r="Z1741">
        <v>21</v>
      </c>
      <c r="AA1741">
        <v>453</v>
      </c>
      <c r="AB1741" t="s">
        <v>47</v>
      </c>
      <c r="AC1741">
        <v>0.45200000000000001</v>
      </c>
      <c r="AD1741">
        <v>674</v>
      </c>
      <c r="AE1741" t="s">
        <v>48</v>
      </c>
      <c r="AF1741">
        <v>0.67300000000000004</v>
      </c>
      <c r="AG1741">
        <v>419</v>
      </c>
      <c r="AH1741" t="s">
        <v>57</v>
      </c>
      <c r="AI1741">
        <v>0.41799999999999998</v>
      </c>
      <c r="AJ1741" t="s">
        <v>50</v>
      </c>
    </row>
    <row r="1742" spans="1:36" x14ac:dyDescent="0.25">
      <c r="A1742" t="s">
        <v>594</v>
      </c>
      <c r="B1742">
        <v>855899586</v>
      </c>
      <c r="C1742" t="s">
        <v>595</v>
      </c>
      <c r="D1742" t="s">
        <v>595</v>
      </c>
      <c r="E1742" t="s">
        <v>65</v>
      </c>
      <c r="F1742" t="s">
        <v>83</v>
      </c>
      <c r="I1742" t="s">
        <v>39</v>
      </c>
      <c r="J1742" t="s">
        <v>40</v>
      </c>
      <c r="K1742" t="s">
        <v>41</v>
      </c>
      <c r="L1742" t="s">
        <v>131</v>
      </c>
      <c r="M1742" t="s">
        <v>335</v>
      </c>
      <c r="N1742" t="s">
        <v>43</v>
      </c>
      <c r="O1742" t="s">
        <v>253</v>
      </c>
      <c r="P1742">
        <v>249</v>
      </c>
      <c r="Q1742">
        <v>249</v>
      </c>
      <c r="R1742">
        <v>11</v>
      </c>
      <c r="S1742" t="s">
        <v>45</v>
      </c>
      <c r="T1742">
        <v>0.01</v>
      </c>
      <c r="U1742">
        <v>649</v>
      </c>
      <c r="V1742" t="s">
        <v>113</v>
      </c>
      <c r="W1742">
        <v>0.64800000000000002</v>
      </c>
      <c r="X1742">
        <v>22001</v>
      </c>
      <c r="Y1742" t="s">
        <v>47</v>
      </c>
      <c r="Z1742">
        <v>22</v>
      </c>
      <c r="AA1742">
        <v>653</v>
      </c>
      <c r="AB1742" t="s">
        <v>75</v>
      </c>
      <c r="AC1742">
        <v>0.65200000000000002</v>
      </c>
      <c r="AD1742">
        <v>777</v>
      </c>
      <c r="AE1742" t="s">
        <v>48</v>
      </c>
      <c r="AF1742">
        <v>0.77600000000000002</v>
      </c>
      <c r="AG1742">
        <v>775</v>
      </c>
      <c r="AH1742" t="s">
        <v>49</v>
      </c>
      <c r="AI1742">
        <v>0.77400000000000002</v>
      </c>
      <c r="AJ1742" t="s">
        <v>1141</v>
      </c>
    </row>
    <row r="1743" spans="1:36" x14ac:dyDescent="0.25">
      <c r="A1743" t="s">
        <v>594</v>
      </c>
      <c r="B1743">
        <v>855899586</v>
      </c>
      <c r="C1743" t="s">
        <v>595</v>
      </c>
      <c r="D1743" t="s">
        <v>595</v>
      </c>
      <c r="E1743" t="s">
        <v>60</v>
      </c>
      <c r="F1743" t="s">
        <v>83</v>
      </c>
      <c r="I1743" t="s">
        <v>39</v>
      </c>
      <c r="J1743" t="s">
        <v>40</v>
      </c>
      <c r="K1743" t="s">
        <v>41</v>
      </c>
      <c r="L1743" t="s">
        <v>131</v>
      </c>
      <c r="M1743" t="s">
        <v>335</v>
      </c>
      <c r="N1743" t="s">
        <v>43</v>
      </c>
      <c r="O1743" t="s">
        <v>409</v>
      </c>
      <c r="P1743">
        <v>249</v>
      </c>
      <c r="Q1743">
        <v>249</v>
      </c>
      <c r="R1743">
        <v>11</v>
      </c>
      <c r="S1743" t="s">
        <v>45</v>
      </c>
      <c r="T1743">
        <v>0.01</v>
      </c>
      <c r="U1743">
        <v>586</v>
      </c>
      <c r="V1743" t="s">
        <v>113</v>
      </c>
      <c r="W1743">
        <v>0.58499999999999996</v>
      </c>
      <c r="X1743">
        <v>21001</v>
      </c>
      <c r="Y1743" t="s">
        <v>47</v>
      </c>
      <c r="Z1743">
        <v>21</v>
      </c>
      <c r="AA1743">
        <v>453</v>
      </c>
      <c r="AB1743" t="s">
        <v>47</v>
      </c>
      <c r="AC1743">
        <v>0.45200000000000001</v>
      </c>
      <c r="AD1743">
        <v>674</v>
      </c>
      <c r="AE1743" t="s">
        <v>48</v>
      </c>
      <c r="AF1743">
        <v>0.67300000000000004</v>
      </c>
      <c r="AG1743">
        <v>419</v>
      </c>
      <c r="AH1743" t="s">
        <v>57</v>
      </c>
      <c r="AI1743">
        <v>0.41799999999999998</v>
      </c>
      <c r="AJ1743" t="s">
        <v>1141</v>
      </c>
    </row>
    <row r="1744" spans="1:36" x14ac:dyDescent="0.25">
      <c r="A1744" t="s">
        <v>594</v>
      </c>
      <c r="B1744">
        <v>855899586</v>
      </c>
      <c r="C1744" t="s">
        <v>595</v>
      </c>
      <c r="D1744" t="s">
        <v>595</v>
      </c>
      <c r="E1744" t="s">
        <v>65</v>
      </c>
      <c r="F1744" t="s">
        <v>83</v>
      </c>
      <c r="I1744" t="s">
        <v>39</v>
      </c>
      <c r="J1744" t="s">
        <v>40</v>
      </c>
      <c r="K1744" t="s">
        <v>41</v>
      </c>
      <c r="L1744" t="s">
        <v>131</v>
      </c>
      <c r="M1744" t="s">
        <v>335</v>
      </c>
      <c r="N1744" t="s">
        <v>43</v>
      </c>
      <c r="O1744" t="s">
        <v>253</v>
      </c>
      <c r="P1744">
        <v>249</v>
      </c>
      <c r="Q1744">
        <v>249</v>
      </c>
      <c r="R1744">
        <v>11</v>
      </c>
      <c r="S1744" t="s">
        <v>45</v>
      </c>
      <c r="T1744">
        <v>0.01</v>
      </c>
      <c r="U1744">
        <v>841</v>
      </c>
      <c r="V1744" t="s">
        <v>113</v>
      </c>
      <c r="W1744">
        <v>0.84</v>
      </c>
      <c r="X1744">
        <v>22001</v>
      </c>
      <c r="Y1744" t="s">
        <v>47</v>
      </c>
      <c r="Z1744">
        <v>22</v>
      </c>
      <c r="AA1744">
        <v>653</v>
      </c>
      <c r="AB1744" t="s">
        <v>75</v>
      </c>
      <c r="AC1744">
        <v>0.65200000000000002</v>
      </c>
      <c r="AD1744">
        <v>777</v>
      </c>
      <c r="AE1744" t="s">
        <v>48</v>
      </c>
      <c r="AF1744">
        <v>0.77600000000000002</v>
      </c>
      <c r="AG1744">
        <v>775</v>
      </c>
      <c r="AH1744" t="s">
        <v>49</v>
      </c>
      <c r="AI1744">
        <v>0.77400000000000002</v>
      </c>
      <c r="AJ1744" t="s">
        <v>1153</v>
      </c>
    </row>
    <row r="1745" spans="1:36" x14ac:dyDescent="0.25">
      <c r="A1745" t="s">
        <v>594</v>
      </c>
      <c r="B1745">
        <v>855899586</v>
      </c>
      <c r="C1745" t="s">
        <v>595</v>
      </c>
      <c r="D1745" t="s">
        <v>595</v>
      </c>
      <c r="E1745" t="s">
        <v>60</v>
      </c>
      <c r="F1745" t="s">
        <v>83</v>
      </c>
      <c r="I1745" t="s">
        <v>39</v>
      </c>
      <c r="J1745" t="s">
        <v>40</v>
      </c>
      <c r="K1745" t="s">
        <v>41</v>
      </c>
      <c r="L1745" t="s">
        <v>131</v>
      </c>
      <c r="M1745" t="s">
        <v>335</v>
      </c>
      <c r="N1745" t="s">
        <v>43</v>
      </c>
      <c r="O1745" t="s">
        <v>409</v>
      </c>
      <c r="P1745">
        <v>249</v>
      </c>
      <c r="Q1745">
        <v>249</v>
      </c>
      <c r="R1745">
        <v>41</v>
      </c>
      <c r="S1745" t="s">
        <v>45</v>
      </c>
      <c r="T1745">
        <v>0.04</v>
      </c>
      <c r="U1745">
        <v>616</v>
      </c>
      <c r="V1745" t="s">
        <v>113</v>
      </c>
      <c r="W1745">
        <v>0.61499999999999999</v>
      </c>
      <c r="X1745">
        <v>21001</v>
      </c>
      <c r="Y1745" t="s">
        <v>47</v>
      </c>
      <c r="Z1745">
        <v>21</v>
      </c>
      <c r="AA1745">
        <v>453</v>
      </c>
      <c r="AB1745" t="s">
        <v>47</v>
      </c>
      <c r="AC1745">
        <v>0.45200000000000001</v>
      </c>
      <c r="AD1745">
        <v>674</v>
      </c>
      <c r="AE1745" t="s">
        <v>48</v>
      </c>
      <c r="AF1745">
        <v>0.67300000000000004</v>
      </c>
      <c r="AG1745">
        <v>419</v>
      </c>
      <c r="AH1745" t="s">
        <v>57</v>
      </c>
      <c r="AI1745">
        <v>0.41799999999999998</v>
      </c>
      <c r="AJ1745" t="s">
        <v>1153</v>
      </c>
    </row>
    <row r="1746" spans="1:36" x14ac:dyDescent="0.25">
      <c r="A1746" t="s">
        <v>594</v>
      </c>
      <c r="B1746">
        <v>855899586</v>
      </c>
      <c r="C1746" t="s">
        <v>595</v>
      </c>
      <c r="D1746" t="s">
        <v>595</v>
      </c>
      <c r="E1746" t="s">
        <v>65</v>
      </c>
      <c r="F1746" t="s">
        <v>83</v>
      </c>
      <c r="I1746" t="s">
        <v>39</v>
      </c>
      <c r="J1746" t="s">
        <v>40</v>
      </c>
      <c r="K1746" t="s">
        <v>41</v>
      </c>
      <c r="L1746" t="s">
        <v>131</v>
      </c>
      <c r="M1746" t="s">
        <v>335</v>
      </c>
      <c r="N1746" t="s">
        <v>43</v>
      </c>
      <c r="O1746" t="s">
        <v>253</v>
      </c>
      <c r="P1746">
        <v>249</v>
      </c>
      <c r="Q1746">
        <v>249</v>
      </c>
      <c r="R1746">
        <v>11</v>
      </c>
      <c r="S1746" t="s">
        <v>45</v>
      </c>
      <c r="T1746">
        <v>0.01</v>
      </c>
      <c r="U1746">
        <v>841</v>
      </c>
      <c r="V1746" t="s">
        <v>113</v>
      </c>
      <c r="W1746">
        <v>0.84</v>
      </c>
      <c r="X1746">
        <v>22001</v>
      </c>
      <c r="Y1746" t="s">
        <v>47</v>
      </c>
      <c r="Z1746">
        <v>22</v>
      </c>
      <c r="AA1746">
        <v>653</v>
      </c>
      <c r="AB1746" t="s">
        <v>75</v>
      </c>
      <c r="AC1746">
        <v>0.65200000000000002</v>
      </c>
      <c r="AD1746">
        <v>777</v>
      </c>
      <c r="AE1746" t="s">
        <v>48</v>
      </c>
      <c r="AF1746">
        <v>0.77600000000000002</v>
      </c>
      <c r="AG1746">
        <v>775</v>
      </c>
      <c r="AH1746" t="s">
        <v>49</v>
      </c>
      <c r="AI1746">
        <v>0.77400000000000002</v>
      </c>
      <c r="AJ1746" t="s">
        <v>1154</v>
      </c>
    </row>
    <row r="1747" spans="1:36" x14ac:dyDescent="0.25">
      <c r="A1747" t="s">
        <v>594</v>
      </c>
      <c r="B1747">
        <v>855899586</v>
      </c>
      <c r="C1747" t="s">
        <v>595</v>
      </c>
      <c r="D1747" t="s">
        <v>595</v>
      </c>
      <c r="E1747" t="s">
        <v>60</v>
      </c>
      <c r="F1747" t="s">
        <v>83</v>
      </c>
      <c r="I1747" t="s">
        <v>39</v>
      </c>
      <c r="J1747" t="s">
        <v>40</v>
      </c>
      <c r="K1747" t="s">
        <v>41</v>
      </c>
      <c r="L1747" t="s">
        <v>131</v>
      </c>
      <c r="M1747" t="s">
        <v>335</v>
      </c>
      <c r="N1747" t="s">
        <v>43</v>
      </c>
      <c r="O1747" t="s">
        <v>409</v>
      </c>
      <c r="P1747">
        <v>249</v>
      </c>
      <c r="Q1747">
        <v>249</v>
      </c>
      <c r="R1747">
        <v>41</v>
      </c>
      <c r="S1747" t="s">
        <v>45</v>
      </c>
      <c r="T1747">
        <v>0.04</v>
      </c>
      <c r="U1747">
        <v>616</v>
      </c>
      <c r="V1747" t="s">
        <v>113</v>
      </c>
      <c r="W1747">
        <v>0.61499999999999999</v>
      </c>
      <c r="X1747">
        <v>21001</v>
      </c>
      <c r="Y1747" t="s">
        <v>47</v>
      </c>
      <c r="Z1747">
        <v>21</v>
      </c>
      <c r="AA1747">
        <v>453</v>
      </c>
      <c r="AB1747" t="s">
        <v>47</v>
      </c>
      <c r="AC1747">
        <v>0.45200000000000001</v>
      </c>
      <c r="AD1747">
        <v>674</v>
      </c>
      <c r="AE1747" t="s">
        <v>48</v>
      </c>
      <c r="AF1747">
        <v>0.67300000000000004</v>
      </c>
      <c r="AG1747">
        <v>419</v>
      </c>
      <c r="AH1747" t="s">
        <v>57</v>
      </c>
      <c r="AI1747">
        <v>0.41799999999999998</v>
      </c>
      <c r="AJ1747" t="s">
        <v>1154</v>
      </c>
    </row>
    <row r="1748" spans="1:36" x14ac:dyDescent="0.25">
      <c r="A1748" t="s">
        <v>594</v>
      </c>
      <c r="B1748">
        <v>855899586</v>
      </c>
      <c r="C1748" t="s">
        <v>595</v>
      </c>
      <c r="D1748" t="s">
        <v>595</v>
      </c>
      <c r="E1748" t="s">
        <v>65</v>
      </c>
      <c r="F1748" t="s">
        <v>83</v>
      </c>
      <c r="I1748" t="s">
        <v>39</v>
      </c>
      <c r="J1748" t="s">
        <v>40</v>
      </c>
      <c r="K1748" t="s">
        <v>41</v>
      </c>
      <c r="L1748" t="s">
        <v>131</v>
      </c>
      <c r="M1748" t="s">
        <v>335</v>
      </c>
      <c r="N1748" t="s">
        <v>43</v>
      </c>
      <c r="O1748" t="s">
        <v>253</v>
      </c>
      <c r="P1748">
        <v>249</v>
      </c>
      <c r="Q1748">
        <v>249</v>
      </c>
      <c r="S1748" t="s">
        <v>39</v>
      </c>
      <c r="V1748" t="s">
        <v>39</v>
      </c>
      <c r="X1748">
        <v>22001</v>
      </c>
      <c r="Y1748" t="s">
        <v>47</v>
      </c>
      <c r="Z1748">
        <v>22</v>
      </c>
      <c r="AA1748">
        <v>653</v>
      </c>
      <c r="AB1748" t="s">
        <v>75</v>
      </c>
      <c r="AC1748">
        <v>0.65200000000000002</v>
      </c>
      <c r="AD1748">
        <v>777</v>
      </c>
      <c r="AE1748" t="s">
        <v>48</v>
      </c>
      <c r="AF1748">
        <v>0.77600000000000002</v>
      </c>
      <c r="AG1748">
        <v>775</v>
      </c>
      <c r="AH1748" t="s">
        <v>49</v>
      </c>
      <c r="AI1748">
        <v>0.77400000000000002</v>
      </c>
      <c r="AJ1748" t="s">
        <v>1155</v>
      </c>
    </row>
    <row r="1749" spans="1:36" x14ac:dyDescent="0.25">
      <c r="A1749" t="s">
        <v>594</v>
      </c>
      <c r="B1749">
        <v>855899586</v>
      </c>
      <c r="C1749" t="s">
        <v>595</v>
      </c>
      <c r="D1749" t="s">
        <v>595</v>
      </c>
      <c r="E1749" t="s">
        <v>60</v>
      </c>
      <c r="F1749" t="s">
        <v>83</v>
      </c>
      <c r="I1749" t="s">
        <v>39</v>
      </c>
      <c r="J1749" t="s">
        <v>40</v>
      </c>
      <c r="K1749" t="s">
        <v>41</v>
      </c>
      <c r="L1749" t="s">
        <v>131</v>
      </c>
      <c r="M1749" t="s">
        <v>335</v>
      </c>
      <c r="N1749" t="s">
        <v>43</v>
      </c>
      <c r="O1749" t="s">
        <v>409</v>
      </c>
      <c r="P1749">
        <v>249</v>
      </c>
      <c r="Q1749">
        <v>249</v>
      </c>
      <c r="S1749" t="s">
        <v>39</v>
      </c>
      <c r="V1749" t="s">
        <v>39</v>
      </c>
      <c r="X1749">
        <v>21001</v>
      </c>
      <c r="Y1749" t="s">
        <v>47</v>
      </c>
      <c r="Z1749">
        <v>21</v>
      </c>
      <c r="AA1749">
        <v>453</v>
      </c>
      <c r="AB1749" t="s">
        <v>47</v>
      </c>
      <c r="AC1749">
        <v>0.45200000000000001</v>
      </c>
      <c r="AD1749">
        <v>674</v>
      </c>
      <c r="AE1749" t="s">
        <v>48</v>
      </c>
      <c r="AF1749">
        <v>0.67300000000000004</v>
      </c>
      <c r="AG1749">
        <v>419</v>
      </c>
      <c r="AH1749" t="s">
        <v>57</v>
      </c>
      <c r="AI1749">
        <v>0.41799999999999998</v>
      </c>
      <c r="AJ1749" t="s">
        <v>1155</v>
      </c>
    </row>
    <row r="1750" spans="1:36" x14ac:dyDescent="0.25">
      <c r="A1750" t="s">
        <v>587</v>
      </c>
      <c r="B1750">
        <v>869263803</v>
      </c>
      <c r="C1750" t="s">
        <v>588</v>
      </c>
      <c r="D1750" t="s">
        <v>588</v>
      </c>
      <c r="E1750" t="s">
        <v>65</v>
      </c>
      <c r="F1750" t="s">
        <v>93</v>
      </c>
      <c r="I1750" t="s">
        <v>39</v>
      </c>
      <c r="J1750" t="s">
        <v>40</v>
      </c>
      <c r="K1750" t="s">
        <v>41</v>
      </c>
      <c r="L1750" t="s">
        <v>173</v>
      </c>
      <c r="N1750" t="s">
        <v>43</v>
      </c>
      <c r="O1750" t="s">
        <v>96</v>
      </c>
      <c r="P1750">
        <v>250</v>
      </c>
      <c r="Q1750">
        <v>250</v>
      </c>
      <c r="R1750">
        <v>141</v>
      </c>
      <c r="S1750" t="s">
        <v>56</v>
      </c>
      <c r="T1750">
        <v>0.14000000000000001</v>
      </c>
      <c r="U1750">
        <v>242</v>
      </c>
      <c r="V1750" t="s">
        <v>55</v>
      </c>
      <c r="W1750">
        <v>0.24099999999999999</v>
      </c>
      <c r="X1750">
        <v>5001</v>
      </c>
      <c r="Y1750" t="s">
        <v>47</v>
      </c>
      <c r="Z1750">
        <v>5</v>
      </c>
      <c r="AA1750">
        <v>238</v>
      </c>
      <c r="AB1750" t="s">
        <v>47</v>
      </c>
      <c r="AC1750">
        <v>0.23699999999999999</v>
      </c>
      <c r="AD1750">
        <v>328</v>
      </c>
      <c r="AE1750" t="s">
        <v>56</v>
      </c>
      <c r="AF1750">
        <v>0.32700000000000001</v>
      </c>
      <c r="AG1750">
        <v>261</v>
      </c>
      <c r="AH1750" t="s">
        <v>57</v>
      </c>
      <c r="AI1750">
        <v>0.26</v>
      </c>
      <c r="AJ1750" t="s">
        <v>50</v>
      </c>
    </row>
    <row r="1751" spans="1:36" x14ac:dyDescent="0.25">
      <c r="A1751" t="s">
        <v>587</v>
      </c>
      <c r="B1751">
        <v>869263803</v>
      </c>
      <c r="C1751" t="s">
        <v>588</v>
      </c>
      <c r="D1751" t="s">
        <v>588</v>
      </c>
      <c r="E1751" t="s">
        <v>65</v>
      </c>
      <c r="F1751" t="s">
        <v>93</v>
      </c>
      <c r="I1751" t="s">
        <v>39</v>
      </c>
      <c r="J1751" t="s">
        <v>40</v>
      </c>
      <c r="K1751" t="s">
        <v>41</v>
      </c>
      <c r="L1751" t="s">
        <v>173</v>
      </c>
      <c r="N1751" t="s">
        <v>43</v>
      </c>
      <c r="O1751" t="s">
        <v>96</v>
      </c>
      <c r="P1751">
        <v>250</v>
      </c>
      <c r="Q1751">
        <v>250</v>
      </c>
      <c r="R1751">
        <v>81</v>
      </c>
      <c r="S1751" t="s">
        <v>56</v>
      </c>
      <c r="T1751">
        <v>0.08</v>
      </c>
      <c r="U1751">
        <v>99</v>
      </c>
      <c r="V1751" t="s">
        <v>55</v>
      </c>
      <c r="W1751">
        <v>9.8000000000000004E-2</v>
      </c>
      <c r="X1751">
        <v>5001</v>
      </c>
      <c r="Y1751" t="s">
        <v>47</v>
      </c>
      <c r="Z1751">
        <v>5</v>
      </c>
      <c r="AA1751">
        <v>238</v>
      </c>
      <c r="AB1751" t="s">
        <v>47</v>
      </c>
      <c r="AC1751">
        <v>0.23699999999999999</v>
      </c>
      <c r="AD1751">
        <v>328</v>
      </c>
      <c r="AE1751" t="s">
        <v>56</v>
      </c>
      <c r="AF1751">
        <v>0.32700000000000001</v>
      </c>
      <c r="AG1751">
        <v>261</v>
      </c>
      <c r="AH1751" t="s">
        <v>57</v>
      </c>
      <c r="AI1751">
        <v>0.26</v>
      </c>
      <c r="AJ1751" t="s">
        <v>1141</v>
      </c>
    </row>
    <row r="1752" spans="1:36" x14ac:dyDescent="0.25">
      <c r="A1752" t="s">
        <v>587</v>
      </c>
      <c r="B1752">
        <v>869263803</v>
      </c>
      <c r="C1752" t="s">
        <v>588</v>
      </c>
      <c r="D1752" t="s">
        <v>588</v>
      </c>
      <c r="E1752" t="s">
        <v>65</v>
      </c>
      <c r="F1752" t="s">
        <v>93</v>
      </c>
      <c r="I1752" t="s">
        <v>39</v>
      </c>
      <c r="J1752" t="s">
        <v>40</v>
      </c>
      <c r="K1752" t="s">
        <v>41</v>
      </c>
      <c r="L1752" t="s">
        <v>173</v>
      </c>
      <c r="N1752" t="s">
        <v>43</v>
      </c>
      <c r="O1752" t="s">
        <v>96</v>
      </c>
      <c r="P1752">
        <v>250</v>
      </c>
      <c r="Q1752">
        <v>250</v>
      </c>
      <c r="R1752">
        <v>141</v>
      </c>
      <c r="S1752" t="s">
        <v>56</v>
      </c>
      <c r="T1752">
        <v>0.14000000000000001</v>
      </c>
      <c r="U1752">
        <v>242</v>
      </c>
      <c r="V1752" t="s">
        <v>55</v>
      </c>
      <c r="W1752">
        <v>0.24099999999999999</v>
      </c>
      <c r="X1752">
        <v>5001</v>
      </c>
      <c r="Y1752" t="s">
        <v>47</v>
      </c>
      <c r="Z1752">
        <v>5</v>
      </c>
      <c r="AA1752">
        <v>238</v>
      </c>
      <c r="AB1752" t="s">
        <v>47</v>
      </c>
      <c r="AC1752">
        <v>0.23699999999999999</v>
      </c>
      <c r="AD1752">
        <v>328</v>
      </c>
      <c r="AE1752" t="s">
        <v>56</v>
      </c>
      <c r="AF1752">
        <v>0.32700000000000001</v>
      </c>
      <c r="AG1752">
        <v>261</v>
      </c>
      <c r="AH1752" t="s">
        <v>57</v>
      </c>
      <c r="AI1752">
        <v>0.26</v>
      </c>
      <c r="AJ1752" t="s">
        <v>1153</v>
      </c>
    </row>
    <row r="1753" spans="1:36" x14ac:dyDescent="0.25">
      <c r="A1753" t="s">
        <v>587</v>
      </c>
      <c r="B1753">
        <v>869263803</v>
      </c>
      <c r="C1753" t="s">
        <v>588</v>
      </c>
      <c r="D1753" t="s">
        <v>588</v>
      </c>
      <c r="E1753" t="s">
        <v>65</v>
      </c>
      <c r="F1753" t="s">
        <v>93</v>
      </c>
      <c r="I1753" t="s">
        <v>39</v>
      </c>
      <c r="J1753" t="s">
        <v>40</v>
      </c>
      <c r="K1753" t="s">
        <v>41</v>
      </c>
      <c r="L1753" t="s">
        <v>173</v>
      </c>
      <c r="N1753" t="s">
        <v>43</v>
      </c>
      <c r="O1753" t="s">
        <v>96</v>
      </c>
      <c r="P1753">
        <v>250</v>
      </c>
      <c r="Q1753">
        <v>250</v>
      </c>
      <c r="R1753">
        <v>141</v>
      </c>
      <c r="S1753" t="s">
        <v>56</v>
      </c>
      <c r="T1753">
        <v>0.14000000000000001</v>
      </c>
      <c r="U1753">
        <v>242</v>
      </c>
      <c r="V1753" t="s">
        <v>55</v>
      </c>
      <c r="W1753">
        <v>0.24099999999999999</v>
      </c>
      <c r="X1753">
        <v>5001</v>
      </c>
      <c r="Y1753" t="s">
        <v>47</v>
      </c>
      <c r="Z1753">
        <v>5</v>
      </c>
      <c r="AA1753">
        <v>238</v>
      </c>
      <c r="AB1753" t="s">
        <v>47</v>
      </c>
      <c r="AC1753">
        <v>0.23699999999999999</v>
      </c>
      <c r="AD1753">
        <v>328</v>
      </c>
      <c r="AE1753" t="s">
        <v>56</v>
      </c>
      <c r="AF1753">
        <v>0.32700000000000001</v>
      </c>
      <c r="AG1753">
        <v>261</v>
      </c>
      <c r="AH1753" t="s">
        <v>57</v>
      </c>
      <c r="AI1753">
        <v>0.26</v>
      </c>
      <c r="AJ1753" t="s">
        <v>1154</v>
      </c>
    </row>
    <row r="1754" spans="1:36" x14ac:dyDescent="0.25">
      <c r="A1754" t="s">
        <v>587</v>
      </c>
      <c r="B1754">
        <v>869263803</v>
      </c>
      <c r="C1754" t="s">
        <v>588</v>
      </c>
      <c r="D1754" t="s">
        <v>588</v>
      </c>
      <c r="E1754" t="s">
        <v>65</v>
      </c>
      <c r="F1754" t="s">
        <v>93</v>
      </c>
      <c r="I1754" t="s">
        <v>39</v>
      </c>
      <c r="J1754" t="s">
        <v>40</v>
      </c>
      <c r="K1754" t="s">
        <v>41</v>
      </c>
      <c r="L1754" t="s">
        <v>173</v>
      </c>
      <c r="N1754" t="s">
        <v>43</v>
      </c>
      <c r="O1754" t="s">
        <v>96</v>
      </c>
      <c r="P1754">
        <v>250</v>
      </c>
      <c r="Q1754">
        <v>250</v>
      </c>
      <c r="S1754" t="s">
        <v>39</v>
      </c>
      <c r="V1754" t="s">
        <v>39</v>
      </c>
      <c r="X1754">
        <v>5001</v>
      </c>
      <c r="Y1754" t="s">
        <v>47</v>
      </c>
      <c r="Z1754">
        <v>5</v>
      </c>
      <c r="AA1754">
        <v>238</v>
      </c>
      <c r="AB1754" t="s">
        <v>47</v>
      </c>
      <c r="AC1754">
        <v>0.23699999999999999</v>
      </c>
      <c r="AD1754">
        <v>328</v>
      </c>
      <c r="AE1754" t="s">
        <v>56</v>
      </c>
      <c r="AF1754">
        <v>0.32700000000000001</v>
      </c>
      <c r="AG1754">
        <v>261</v>
      </c>
      <c r="AH1754" t="s">
        <v>57</v>
      </c>
      <c r="AI1754">
        <v>0.26</v>
      </c>
      <c r="AJ1754" t="s">
        <v>1155</v>
      </c>
    </row>
    <row r="1755" spans="1:36" x14ac:dyDescent="0.25">
      <c r="A1755" t="s">
        <v>589</v>
      </c>
      <c r="B1755">
        <v>855937603</v>
      </c>
      <c r="C1755" t="s">
        <v>590</v>
      </c>
      <c r="D1755" t="s">
        <v>590</v>
      </c>
      <c r="E1755" t="s">
        <v>37</v>
      </c>
      <c r="F1755" t="s">
        <v>591</v>
      </c>
      <c r="I1755" t="s">
        <v>39</v>
      </c>
      <c r="J1755" t="s">
        <v>40</v>
      </c>
      <c r="K1755" t="s">
        <v>41</v>
      </c>
      <c r="L1755" t="s">
        <v>118</v>
      </c>
      <c r="N1755" t="s">
        <v>43</v>
      </c>
      <c r="O1755" t="s">
        <v>104</v>
      </c>
      <c r="P1755">
        <v>250</v>
      </c>
      <c r="Q1755">
        <v>250</v>
      </c>
      <c r="R1755">
        <v>281</v>
      </c>
      <c r="S1755" t="s">
        <v>56</v>
      </c>
      <c r="T1755">
        <v>0.28000000000000003</v>
      </c>
      <c r="U1755">
        <v>22</v>
      </c>
      <c r="V1755" t="s">
        <v>55</v>
      </c>
      <c r="W1755">
        <v>2.1000000000000001E-2</v>
      </c>
      <c r="X1755">
        <v>10001</v>
      </c>
      <c r="Y1755" t="s">
        <v>47</v>
      </c>
      <c r="Z1755">
        <v>10</v>
      </c>
      <c r="AA1755">
        <v>174</v>
      </c>
      <c r="AB1755" t="s">
        <v>47</v>
      </c>
      <c r="AC1755">
        <v>0.17299999999999999</v>
      </c>
      <c r="AD1755">
        <v>386</v>
      </c>
      <c r="AE1755" t="s">
        <v>56</v>
      </c>
      <c r="AF1755">
        <v>0.38500000000000001</v>
      </c>
      <c r="AG1755">
        <v>289</v>
      </c>
      <c r="AH1755" t="s">
        <v>57</v>
      </c>
      <c r="AI1755">
        <v>0.28799999999999998</v>
      </c>
      <c r="AJ1755" t="s">
        <v>50</v>
      </c>
    </row>
    <row r="1756" spans="1:36" x14ac:dyDescent="0.25">
      <c r="A1756" t="s">
        <v>589</v>
      </c>
      <c r="B1756">
        <v>855937603</v>
      </c>
      <c r="C1756" t="s">
        <v>590</v>
      </c>
      <c r="D1756" t="s">
        <v>590</v>
      </c>
      <c r="E1756" t="s">
        <v>99</v>
      </c>
      <c r="F1756" t="s">
        <v>591</v>
      </c>
      <c r="I1756" t="s">
        <v>39</v>
      </c>
      <c r="J1756" t="s">
        <v>40</v>
      </c>
      <c r="K1756" t="s">
        <v>41</v>
      </c>
      <c r="L1756" t="s">
        <v>118</v>
      </c>
      <c r="N1756" t="s">
        <v>43</v>
      </c>
      <c r="O1756" t="s">
        <v>102</v>
      </c>
      <c r="P1756">
        <v>250</v>
      </c>
      <c r="Q1756">
        <v>250</v>
      </c>
      <c r="R1756">
        <v>361</v>
      </c>
      <c r="S1756" t="s">
        <v>56</v>
      </c>
      <c r="T1756">
        <v>0.36</v>
      </c>
      <c r="U1756">
        <v>405</v>
      </c>
      <c r="V1756" t="s">
        <v>55</v>
      </c>
      <c r="W1756">
        <v>0.40400000000000003</v>
      </c>
      <c r="X1756">
        <v>9001</v>
      </c>
      <c r="Y1756" t="s">
        <v>47</v>
      </c>
      <c r="Z1756">
        <v>9</v>
      </c>
      <c r="AA1756">
        <v>194</v>
      </c>
      <c r="AB1756" t="s">
        <v>47</v>
      </c>
      <c r="AC1756">
        <v>0.193</v>
      </c>
      <c r="AD1756">
        <v>429</v>
      </c>
      <c r="AE1756" t="s">
        <v>56</v>
      </c>
      <c r="AF1756">
        <v>0.42799999999999999</v>
      </c>
      <c r="AG1756">
        <v>491</v>
      </c>
      <c r="AH1756" t="s">
        <v>57</v>
      </c>
      <c r="AI1756">
        <v>0.49</v>
      </c>
      <c r="AJ1756" t="s">
        <v>50</v>
      </c>
    </row>
    <row r="1757" spans="1:36" x14ac:dyDescent="0.25">
      <c r="A1757" t="s">
        <v>589</v>
      </c>
      <c r="B1757">
        <v>855937603</v>
      </c>
      <c r="C1757" t="s">
        <v>590</v>
      </c>
      <c r="D1757" t="s">
        <v>590</v>
      </c>
      <c r="E1757" t="s">
        <v>65</v>
      </c>
      <c r="F1757" t="s">
        <v>591</v>
      </c>
      <c r="I1757" t="s">
        <v>39</v>
      </c>
      <c r="J1757" t="s">
        <v>40</v>
      </c>
      <c r="K1757" t="s">
        <v>41</v>
      </c>
      <c r="L1757" t="s">
        <v>118</v>
      </c>
      <c r="N1757" t="s">
        <v>43</v>
      </c>
      <c r="O1757" t="s">
        <v>104</v>
      </c>
      <c r="P1757">
        <v>250</v>
      </c>
      <c r="Q1757">
        <v>250</v>
      </c>
      <c r="R1757">
        <v>281</v>
      </c>
      <c r="S1757" t="s">
        <v>56</v>
      </c>
      <c r="T1757">
        <v>0.28000000000000003</v>
      </c>
      <c r="U1757">
        <v>22</v>
      </c>
      <c r="V1757" t="s">
        <v>55</v>
      </c>
      <c r="W1757">
        <v>2.1000000000000001E-2</v>
      </c>
      <c r="X1757">
        <v>10001</v>
      </c>
      <c r="Y1757" t="s">
        <v>47</v>
      </c>
      <c r="Z1757">
        <v>10</v>
      </c>
      <c r="AA1757">
        <v>174</v>
      </c>
      <c r="AB1757" t="s">
        <v>47</v>
      </c>
      <c r="AC1757">
        <v>0.17299999999999999</v>
      </c>
      <c r="AD1757">
        <v>386</v>
      </c>
      <c r="AE1757" t="s">
        <v>56</v>
      </c>
      <c r="AF1757">
        <v>0.38500000000000001</v>
      </c>
      <c r="AG1757">
        <v>289</v>
      </c>
      <c r="AH1757" t="s">
        <v>57</v>
      </c>
      <c r="AI1757">
        <v>0.28799999999999998</v>
      </c>
      <c r="AJ1757" t="s">
        <v>50</v>
      </c>
    </row>
    <row r="1758" spans="1:36" x14ac:dyDescent="0.25">
      <c r="A1758" t="s">
        <v>589</v>
      </c>
      <c r="B1758">
        <v>855937603</v>
      </c>
      <c r="C1758" t="s">
        <v>590</v>
      </c>
      <c r="D1758" t="s">
        <v>590</v>
      </c>
      <c r="E1758" t="s">
        <v>37</v>
      </c>
      <c r="F1758" t="s">
        <v>591</v>
      </c>
      <c r="I1758" t="s">
        <v>39</v>
      </c>
      <c r="J1758" t="s">
        <v>40</v>
      </c>
      <c r="K1758" t="s">
        <v>41</v>
      </c>
      <c r="L1758" t="s">
        <v>118</v>
      </c>
      <c r="N1758" t="s">
        <v>43</v>
      </c>
      <c r="O1758" t="s">
        <v>104</v>
      </c>
      <c r="P1758">
        <v>250</v>
      </c>
      <c r="Q1758">
        <v>250</v>
      </c>
      <c r="R1758">
        <v>141</v>
      </c>
      <c r="S1758" t="s">
        <v>56</v>
      </c>
      <c r="T1758">
        <v>0.14000000000000001</v>
      </c>
      <c r="U1758">
        <v>13</v>
      </c>
      <c r="V1758" t="s">
        <v>55</v>
      </c>
      <c r="W1758">
        <v>1.2E-2</v>
      </c>
      <c r="X1758">
        <v>10001</v>
      </c>
      <c r="Y1758" t="s">
        <v>47</v>
      </c>
      <c r="Z1758">
        <v>10</v>
      </c>
      <c r="AA1758">
        <v>174</v>
      </c>
      <c r="AB1758" t="s">
        <v>47</v>
      </c>
      <c r="AC1758">
        <v>0.17299999999999999</v>
      </c>
      <c r="AD1758">
        <v>386</v>
      </c>
      <c r="AE1758" t="s">
        <v>56</v>
      </c>
      <c r="AF1758">
        <v>0.38500000000000001</v>
      </c>
      <c r="AG1758">
        <v>289</v>
      </c>
      <c r="AH1758" t="s">
        <v>57</v>
      </c>
      <c r="AI1758">
        <v>0.28799999999999998</v>
      </c>
      <c r="AJ1758" t="s">
        <v>1141</v>
      </c>
    </row>
    <row r="1759" spans="1:36" x14ac:dyDescent="0.25">
      <c r="A1759" t="s">
        <v>589</v>
      </c>
      <c r="B1759">
        <v>855937603</v>
      </c>
      <c r="C1759" t="s">
        <v>590</v>
      </c>
      <c r="D1759" t="s">
        <v>590</v>
      </c>
      <c r="E1759" t="s">
        <v>99</v>
      </c>
      <c r="F1759" t="s">
        <v>591</v>
      </c>
      <c r="I1759" t="s">
        <v>39</v>
      </c>
      <c r="J1759" t="s">
        <v>40</v>
      </c>
      <c r="K1759" t="s">
        <v>41</v>
      </c>
      <c r="L1759" t="s">
        <v>118</v>
      </c>
      <c r="N1759" t="s">
        <v>43</v>
      </c>
      <c r="O1759" t="s">
        <v>102</v>
      </c>
      <c r="P1759">
        <v>250</v>
      </c>
      <c r="Q1759">
        <v>250</v>
      </c>
      <c r="R1759">
        <v>181</v>
      </c>
      <c r="S1759" t="s">
        <v>56</v>
      </c>
      <c r="T1759">
        <v>0.18</v>
      </c>
      <c r="U1759">
        <v>283</v>
      </c>
      <c r="V1759" t="s">
        <v>55</v>
      </c>
      <c r="W1759">
        <v>0.28199999999999997</v>
      </c>
      <c r="X1759">
        <v>9001</v>
      </c>
      <c r="Y1759" t="s">
        <v>47</v>
      </c>
      <c r="Z1759">
        <v>9</v>
      </c>
      <c r="AA1759">
        <v>194</v>
      </c>
      <c r="AB1759" t="s">
        <v>47</v>
      </c>
      <c r="AC1759">
        <v>0.193</v>
      </c>
      <c r="AD1759">
        <v>429</v>
      </c>
      <c r="AE1759" t="s">
        <v>56</v>
      </c>
      <c r="AF1759">
        <v>0.42799999999999999</v>
      </c>
      <c r="AG1759">
        <v>491</v>
      </c>
      <c r="AH1759" t="s">
        <v>57</v>
      </c>
      <c r="AI1759">
        <v>0.49</v>
      </c>
      <c r="AJ1759" t="s">
        <v>1141</v>
      </c>
    </row>
    <row r="1760" spans="1:36" x14ac:dyDescent="0.25">
      <c r="A1760" t="s">
        <v>589</v>
      </c>
      <c r="B1760">
        <v>855937603</v>
      </c>
      <c r="C1760" t="s">
        <v>590</v>
      </c>
      <c r="D1760" t="s">
        <v>590</v>
      </c>
      <c r="E1760" t="s">
        <v>65</v>
      </c>
      <c r="F1760" t="s">
        <v>591</v>
      </c>
      <c r="I1760" t="s">
        <v>39</v>
      </c>
      <c r="J1760" t="s">
        <v>40</v>
      </c>
      <c r="K1760" t="s">
        <v>41</v>
      </c>
      <c r="L1760" t="s">
        <v>118</v>
      </c>
      <c r="N1760" t="s">
        <v>43</v>
      </c>
      <c r="O1760" t="s">
        <v>104</v>
      </c>
      <c r="P1760">
        <v>250</v>
      </c>
      <c r="Q1760">
        <v>250</v>
      </c>
      <c r="R1760">
        <v>141</v>
      </c>
      <c r="S1760" t="s">
        <v>56</v>
      </c>
      <c r="T1760">
        <v>0.14000000000000001</v>
      </c>
      <c r="U1760">
        <v>13</v>
      </c>
      <c r="V1760" t="s">
        <v>55</v>
      </c>
      <c r="W1760">
        <v>1.2E-2</v>
      </c>
      <c r="X1760">
        <v>10001</v>
      </c>
      <c r="Y1760" t="s">
        <v>47</v>
      </c>
      <c r="Z1760">
        <v>10</v>
      </c>
      <c r="AA1760">
        <v>174</v>
      </c>
      <c r="AB1760" t="s">
        <v>47</v>
      </c>
      <c r="AC1760">
        <v>0.17299999999999999</v>
      </c>
      <c r="AD1760">
        <v>386</v>
      </c>
      <c r="AE1760" t="s">
        <v>56</v>
      </c>
      <c r="AF1760">
        <v>0.38500000000000001</v>
      </c>
      <c r="AG1760">
        <v>289</v>
      </c>
      <c r="AH1760" t="s">
        <v>57</v>
      </c>
      <c r="AI1760">
        <v>0.28799999999999998</v>
      </c>
      <c r="AJ1760" t="s">
        <v>1141</v>
      </c>
    </row>
    <row r="1761" spans="1:36" x14ac:dyDescent="0.25">
      <c r="A1761" t="s">
        <v>589</v>
      </c>
      <c r="B1761">
        <v>855937603</v>
      </c>
      <c r="C1761" t="s">
        <v>590</v>
      </c>
      <c r="D1761" t="s">
        <v>590</v>
      </c>
      <c r="E1761" t="s">
        <v>37</v>
      </c>
      <c r="F1761" t="s">
        <v>591</v>
      </c>
      <c r="I1761" t="s">
        <v>39</v>
      </c>
      <c r="J1761" t="s">
        <v>40</v>
      </c>
      <c r="K1761" t="s">
        <v>41</v>
      </c>
      <c r="L1761" t="s">
        <v>118</v>
      </c>
      <c r="N1761" t="s">
        <v>43</v>
      </c>
      <c r="O1761" t="s">
        <v>104</v>
      </c>
      <c r="P1761">
        <v>250</v>
      </c>
      <c r="Q1761">
        <v>250</v>
      </c>
      <c r="R1761">
        <v>281</v>
      </c>
      <c r="S1761" t="s">
        <v>56</v>
      </c>
      <c r="T1761">
        <v>0.28000000000000003</v>
      </c>
      <c r="U1761">
        <v>22</v>
      </c>
      <c r="V1761" t="s">
        <v>55</v>
      </c>
      <c r="W1761">
        <v>2.1000000000000001E-2</v>
      </c>
      <c r="X1761">
        <v>10001</v>
      </c>
      <c r="Y1761" t="s">
        <v>47</v>
      </c>
      <c r="Z1761">
        <v>10</v>
      </c>
      <c r="AA1761">
        <v>174</v>
      </c>
      <c r="AB1761" t="s">
        <v>47</v>
      </c>
      <c r="AC1761">
        <v>0.17299999999999999</v>
      </c>
      <c r="AD1761">
        <v>386</v>
      </c>
      <c r="AE1761" t="s">
        <v>56</v>
      </c>
      <c r="AF1761">
        <v>0.38500000000000001</v>
      </c>
      <c r="AG1761">
        <v>289</v>
      </c>
      <c r="AH1761" t="s">
        <v>57</v>
      </c>
      <c r="AI1761">
        <v>0.28799999999999998</v>
      </c>
      <c r="AJ1761" t="s">
        <v>1153</v>
      </c>
    </row>
    <row r="1762" spans="1:36" x14ac:dyDescent="0.25">
      <c r="A1762" t="s">
        <v>589</v>
      </c>
      <c r="B1762">
        <v>855937603</v>
      </c>
      <c r="C1762" t="s">
        <v>590</v>
      </c>
      <c r="D1762" t="s">
        <v>590</v>
      </c>
      <c r="E1762" t="s">
        <v>99</v>
      </c>
      <c r="F1762" t="s">
        <v>591</v>
      </c>
      <c r="I1762" t="s">
        <v>39</v>
      </c>
      <c r="J1762" t="s">
        <v>40</v>
      </c>
      <c r="K1762" t="s">
        <v>41</v>
      </c>
      <c r="L1762" t="s">
        <v>118</v>
      </c>
      <c r="N1762" t="s">
        <v>43</v>
      </c>
      <c r="O1762" t="s">
        <v>102</v>
      </c>
      <c r="P1762">
        <v>250</v>
      </c>
      <c r="Q1762">
        <v>250</v>
      </c>
      <c r="R1762">
        <v>361</v>
      </c>
      <c r="S1762" t="s">
        <v>56</v>
      </c>
      <c r="T1762">
        <v>0.36</v>
      </c>
      <c r="U1762">
        <v>405</v>
      </c>
      <c r="V1762" t="s">
        <v>55</v>
      </c>
      <c r="W1762">
        <v>0.40400000000000003</v>
      </c>
      <c r="X1762">
        <v>9001</v>
      </c>
      <c r="Y1762" t="s">
        <v>47</v>
      </c>
      <c r="Z1762">
        <v>9</v>
      </c>
      <c r="AA1762">
        <v>194</v>
      </c>
      <c r="AB1762" t="s">
        <v>47</v>
      </c>
      <c r="AC1762">
        <v>0.193</v>
      </c>
      <c r="AD1762">
        <v>429</v>
      </c>
      <c r="AE1762" t="s">
        <v>56</v>
      </c>
      <c r="AF1762">
        <v>0.42799999999999999</v>
      </c>
      <c r="AG1762">
        <v>491</v>
      </c>
      <c r="AH1762" t="s">
        <v>57</v>
      </c>
      <c r="AI1762">
        <v>0.49</v>
      </c>
      <c r="AJ1762" t="s">
        <v>1153</v>
      </c>
    </row>
    <row r="1763" spans="1:36" x14ac:dyDescent="0.25">
      <c r="A1763" t="s">
        <v>589</v>
      </c>
      <c r="B1763">
        <v>855937603</v>
      </c>
      <c r="C1763" t="s">
        <v>590</v>
      </c>
      <c r="D1763" t="s">
        <v>590</v>
      </c>
      <c r="E1763" t="s">
        <v>65</v>
      </c>
      <c r="F1763" t="s">
        <v>591</v>
      </c>
      <c r="I1763" t="s">
        <v>39</v>
      </c>
      <c r="J1763" t="s">
        <v>40</v>
      </c>
      <c r="K1763" t="s">
        <v>41</v>
      </c>
      <c r="L1763" t="s">
        <v>118</v>
      </c>
      <c r="N1763" t="s">
        <v>43</v>
      </c>
      <c r="O1763" t="s">
        <v>104</v>
      </c>
      <c r="P1763">
        <v>250</v>
      </c>
      <c r="Q1763">
        <v>250</v>
      </c>
      <c r="R1763">
        <v>281</v>
      </c>
      <c r="S1763" t="s">
        <v>56</v>
      </c>
      <c r="T1763">
        <v>0.28000000000000003</v>
      </c>
      <c r="U1763">
        <v>22</v>
      </c>
      <c r="V1763" t="s">
        <v>55</v>
      </c>
      <c r="W1763">
        <v>2.1000000000000001E-2</v>
      </c>
      <c r="X1763">
        <v>10001</v>
      </c>
      <c r="Y1763" t="s">
        <v>47</v>
      </c>
      <c r="Z1763">
        <v>10</v>
      </c>
      <c r="AA1763">
        <v>174</v>
      </c>
      <c r="AB1763" t="s">
        <v>47</v>
      </c>
      <c r="AC1763">
        <v>0.17299999999999999</v>
      </c>
      <c r="AD1763">
        <v>386</v>
      </c>
      <c r="AE1763" t="s">
        <v>56</v>
      </c>
      <c r="AF1763">
        <v>0.38500000000000001</v>
      </c>
      <c r="AG1763">
        <v>289</v>
      </c>
      <c r="AH1763" t="s">
        <v>57</v>
      </c>
      <c r="AI1763">
        <v>0.28799999999999998</v>
      </c>
      <c r="AJ1763" t="s">
        <v>1153</v>
      </c>
    </row>
    <row r="1764" spans="1:36" x14ac:dyDescent="0.25">
      <c r="A1764" t="s">
        <v>589</v>
      </c>
      <c r="B1764">
        <v>855937603</v>
      </c>
      <c r="C1764" t="s">
        <v>590</v>
      </c>
      <c r="D1764" t="s">
        <v>590</v>
      </c>
      <c r="E1764" t="s">
        <v>37</v>
      </c>
      <c r="F1764" t="s">
        <v>591</v>
      </c>
      <c r="I1764" t="s">
        <v>39</v>
      </c>
      <c r="J1764" t="s">
        <v>40</v>
      </c>
      <c r="K1764" t="s">
        <v>41</v>
      </c>
      <c r="L1764" t="s">
        <v>118</v>
      </c>
      <c r="N1764" t="s">
        <v>43</v>
      </c>
      <c r="O1764" t="s">
        <v>104</v>
      </c>
      <c r="P1764">
        <v>250</v>
      </c>
      <c r="Q1764">
        <v>250</v>
      </c>
      <c r="R1764">
        <v>281</v>
      </c>
      <c r="S1764" t="s">
        <v>56</v>
      </c>
      <c r="T1764">
        <v>0.28000000000000003</v>
      </c>
      <c r="U1764">
        <v>22</v>
      </c>
      <c r="V1764" t="s">
        <v>55</v>
      </c>
      <c r="W1764">
        <v>2.1000000000000001E-2</v>
      </c>
      <c r="X1764">
        <v>10001</v>
      </c>
      <c r="Y1764" t="s">
        <v>47</v>
      </c>
      <c r="Z1764">
        <v>10</v>
      </c>
      <c r="AA1764">
        <v>174</v>
      </c>
      <c r="AB1764" t="s">
        <v>47</v>
      </c>
      <c r="AC1764">
        <v>0.17299999999999999</v>
      </c>
      <c r="AD1764">
        <v>386</v>
      </c>
      <c r="AE1764" t="s">
        <v>56</v>
      </c>
      <c r="AF1764">
        <v>0.38500000000000001</v>
      </c>
      <c r="AG1764">
        <v>289</v>
      </c>
      <c r="AH1764" t="s">
        <v>57</v>
      </c>
      <c r="AI1764">
        <v>0.28799999999999998</v>
      </c>
      <c r="AJ1764" t="s">
        <v>1154</v>
      </c>
    </row>
    <row r="1765" spans="1:36" x14ac:dyDescent="0.25">
      <c r="A1765" t="s">
        <v>589</v>
      </c>
      <c r="B1765">
        <v>855937603</v>
      </c>
      <c r="C1765" t="s">
        <v>590</v>
      </c>
      <c r="D1765" t="s">
        <v>590</v>
      </c>
      <c r="E1765" t="s">
        <v>99</v>
      </c>
      <c r="F1765" t="s">
        <v>591</v>
      </c>
      <c r="I1765" t="s">
        <v>39</v>
      </c>
      <c r="J1765" t="s">
        <v>40</v>
      </c>
      <c r="K1765" t="s">
        <v>41</v>
      </c>
      <c r="L1765" t="s">
        <v>118</v>
      </c>
      <c r="N1765" t="s">
        <v>43</v>
      </c>
      <c r="O1765" t="s">
        <v>102</v>
      </c>
      <c r="P1765">
        <v>250</v>
      </c>
      <c r="Q1765">
        <v>250</v>
      </c>
      <c r="R1765">
        <v>361</v>
      </c>
      <c r="S1765" t="s">
        <v>56</v>
      </c>
      <c r="T1765">
        <v>0.36</v>
      </c>
      <c r="U1765">
        <v>405</v>
      </c>
      <c r="V1765" t="s">
        <v>55</v>
      </c>
      <c r="W1765">
        <v>0.40400000000000003</v>
      </c>
      <c r="X1765">
        <v>9001</v>
      </c>
      <c r="Y1765" t="s">
        <v>47</v>
      </c>
      <c r="Z1765">
        <v>9</v>
      </c>
      <c r="AA1765">
        <v>194</v>
      </c>
      <c r="AB1765" t="s">
        <v>47</v>
      </c>
      <c r="AC1765">
        <v>0.193</v>
      </c>
      <c r="AD1765">
        <v>429</v>
      </c>
      <c r="AE1765" t="s">
        <v>56</v>
      </c>
      <c r="AF1765">
        <v>0.42799999999999999</v>
      </c>
      <c r="AG1765">
        <v>491</v>
      </c>
      <c r="AH1765" t="s">
        <v>57</v>
      </c>
      <c r="AI1765">
        <v>0.49</v>
      </c>
      <c r="AJ1765" t="s">
        <v>1154</v>
      </c>
    </row>
    <row r="1766" spans="1:36" x14ac:dyDescent="0.25">
      <c r="A1766" t="s">
        <v>589</v>
      </c>
      <c r="B1766">
        <v>855937603</v>
      </c>
      <c r="C1766" t="s">
        <v>590</v>
      </c>
      <c r="D1766" t="s">
        <v>590</v>
      </c>
      <c r="E1766" t="s">
        <v>65</v>
      </c>
      <c r="F1766" t="s">
        <v>591</v>
      </c>
      <c r="I1766" t="s">
        <v>39</v>
      </c>
      <c r="J1766" t="s">
        <v>40</v>
      </c>
      <c r="K1766" t="s">
        <v>41</v>
      </c>
      <c r="L1766" t="s">
        <v>118</v>
      </c>
      <c r="N1766" t="s">
        <v>43</v>
      </c>
      <c r="O1766" t="s">
        <v>104</v>
      </c>
      <c r="P1766">
        <v>250</v>
      </c>
      <c r="Q1766">
        <v>250</v>
      </c>
      <c r="R1766">
        <v>281</v>
      </c>
      <c r="S1766" t="s">
        <v>56</v>
      </c>
      <c r="T1766">
        <v>0.28000000000000003</v>
      </c>
      <c r="U1766">
        <v>22</v>
      </c>
      <c r="V1766" t="s">
        <v>55</v>
      </c>
      <c r="W1766">
        <v>2.1000000000000001E-2</v>
      </c>
      <c r="X1766">
        <v>10001</v>
      </c>
      <c r="Y1766" t="s">
        <v>47</v>
      </c>
      <c r="Z1766">
        <v>10</v>
      </c>
      <c r="AA1766">
        <v>174</v>
      </c>
      <c r="AB1766" t="s">
        <v>47</v>
      </c>
      <c r="AC1766">
        <v>0.17299999999999999</v>
      </c>
      <c r="AD1766">
        <v>386</v>
      </c>
      <c r="AE1766" t="s">
        <v>56</v>
      </c>
      <c r="AF1766">
        <v>0.38500000000000001</v>
      </c>
      <c r="AG1766">
        <v>289</v>
      </c>
      <c r="AH1766" t="s">
        <v>57</v>
      </c>
      <c r="AI1766">
        <v>0.28799999999999998</v>
      </c>
      <c r="AJ1766" t="s">
        <v>1154</v>
      </c>
    </row>
    <row r="1767" spans="1:36" x14ac:dyDescent="0.25">
      <c r="A1767" t="s">
        <v>589</v>
      </c>
      <c r="B1767">
        <v>855937603</v>
      </c>
      <c r="C1767" t="s">
        <v>590</v>
      </c>
      <c r="D1767" t="s">
        <v>590</v>
      </c>
      <c r="E1767" t="s">
        <v>37</v>
      </c>
      <c r="F1767" t="s">
        <v>591</v>
      </c>
      <c r="I1767" t="s">
        <v>39</v>
      </c>
      <c r="J1767" t="s">
        <v>40</v>
      </c>
      <c r="K1767" t="s">
        <v>41</v>
      </c>
      <c r="L1767" t="s">
        <v>118</v>
      </c>
      <c r="N1767" t="s">
        <v>43</v>
      </c>
      <c r="O1767" t="s">
        <v>104</v>
      </c>
      <c r="P1767">
        <v>250</v>
      </c>
      <c r="Q1767">
        <v>250</v>
      </c>
      <c r="S1767" t="s">
        <v>39</v>
      </c>
      <c r="V1767" t="s">
        <v>39</v>
      </c>
      <c r="X1767">
        <v>10001</v>
      </c>
      <c r="Y1767" t="s">
        <v>47</v>
      </c>
      <c r="Z1767">
        <v>10</v>
      </c>
      <c r="AA1767">
        <v>174</v>
      </c>
      <c r="AB1767" t="s">
        <v>47</v>
      </c>
      <c r="AC1767">
        <v>0.17299999999999999</v>
      </c>
      <c r="AD1767">
        <v>386</v>
      </c>
      <c r="AE1767" t="s">
        <v>56</v>
      </c>
      <c r="AF1767">
        <v>0.38500000000000001</v>
      </c>
      <c r="AG1767">
        <v>289</v>
      </c>
      <c r="AH1767" t="s">
        <v>57</v>
      </c>
      <c r="AI1767">
        <v>0.28799999999999998</v>
      </c>
      <c r="AJ1767" t="s">
        <v>1155</v>
      </c>
    </row>
    <row r="1768" spans="1:36" x14ac:dyDescent="0.25">
      <c r="A1768" t="s">
        <v>589</v>
      </c>
      <c r="B1768">
        <v>855937603</v>
      </c>
      <c r="C1768" t="s">
        <v>590</v>
      </c>
      <c r="D1768" t="s">
        <v>590</v>
      </c>
      <c r="E1768" t="s">
        <v>99</v>
      </c>
      <c r="F1768" t="s">
        <v>591</v>
      </c>
      <c r="I1768" t="s">
        <v>39</v>
      </c>
      <c r="J1768" t="s">
        <v>40</v>
      </c>
      <c r="K1768" t="s">
        <v>41</v>
      </c>
      <c r="L1768" t="s">
        <v>118</v>
      </c>
      <c r="N1768" t="s">
        <v>43</v>
      </c>
      <c r="O1768" t="s">
        <v>102</v>
      </c>
      <c r="P1768">
        <v>250</v>
      </c>
      <c r="Q1768">
        <v>250</v>
      </c>
      <c r="S1768" t="s">
        <v>39</v>
      </c>
      <c r="V1768" t="s">
        <v>39</v>
      </c>
      <c r="X1768">
        <v>9001</v>
      </c>
      <c r="Y1768" t="s">
        <v>47</v>
      </c>
      <c r="Z1768">
        <v>9</v>
      </c>
      <c r="AA1768">
        <v>194</v>
      </c>
      <c r="AB1768" t="s">
        <v>47</v>
      </c>
      <c r="AC1768">
        <v>0.193</v>
      </c>
      <c r="AD1768">
        <v>429</v>
      </c>
      <c r="AE1768" t="s">
        <v>56</v>
      </c>
      <c r="AF1768">
        <v>0.42799999999999999</v>
      </c>
      <c r="AG1768">
        <v>491</v>
      </c>
      <c r="AH1768" t="s">
        <v>57</v>
      </c>
      <c r="AI1768">
        <v>0.49</v>
      </c>
      <c r="AJ1768" t="s">
        <v>1155</v>
      </c>
    </row>
    <row r="1769" spans="1:36" x14ac:dyDescent="0.25">
      <c r="A1769" t="s">
        <v>589</v>
      </c>
      <c r="B1769">
        <v>855937603</v>
      </c>
      <c r="C1769" t="s">
        <v>590</v>
      </c>
      <c r="D1769" t="s">
        <v>590</v>
      </c>
      <c r="E1769" t="s">
        <v>65</v>
      </c>
      <c r="F1769" t="s">
        <v>591</v>
      </c>
      <c r="I1769" t="s">
        <v>39</v>
      </c>
      <c r="J1769" t="s">
        <v>40</v>
      </c>
      <c r="K1769" t="s">
        <v>41</v>
      </c>
      <c r="L1769" t="s">
        <v>118</v>
      </c>
      <c r="N1769" t="s">
        <v>43</v>
      </c>
      <c r="O1769" t="s">
        <v>104</v>
      </c>
      <c r="P1769">
        <v>250</v>
      </c>
      <c r="Q1769">
        <v>250</v>
      </c>
      <c r="S1769" t="s">
        <v>39</v>
      </c>
      <c r="V1769" t="s">
        <v>39</v>
      </c>
      <c r="X1769">
        <v>10001</v>
      </c>
      <c r="Y1769" t="s">
        <v>47</v>
      </c>
      <c r="Z1769">
        <v>10</v>
      </c>
      <c r="AA1769">
        <v>174</v>
      </c>
      <c r="AB1769" t="s">
        <v>47</v>
      </c>
      <c r="AC1769">
        <v>0.17299999999999999</v>
      </c>
      <c r="AD1769">
        <v>386</v>
      </c>
      <c r="AE1769" t="s">
        <v>56</v>
      </c>
      <c r="AF1769">
        <v>0.38500000000000001</v>
      </c>
      <c r="AG1769">
        <v>289</v>
      </c>
      <c r="AH1769" t="s">
        <v>57</v>
      </c>
      <c r="AI1769">
        <v>0.28799999999999998</v>
      </c>
      <c r="AJ1769" t="s">
        <v>1155</v>
      </c>
    </row>
    <row r="1770" spans="1:36" x14ac:dyDescent="0.25">
      <c r="A1770" t="s">
        <v>585</v>
      </c>
      <c r="B1770">
        <v>881505942</v>
      </c>
      <c r="C1770" t="s">
        <v>586</v>
      </c>
      <c r="D1770" t="s">
        <v>586</v>
      </c>
      <c r="E1770" t="s">
        <v>65</v>
      </c>
      <c r="F1770" t="s">
        <v>93</v>
      </c>
      <c r="I1770" t="s">
        <v>39</v>
      </c>
      <c r="J1770" t="s">
        <v>40</v>
      </c>
      <c r="K1770" t="s">
        <v>41</v>
      </c>
      <c r="L1770" t="s">
        <v>173</v>
      </c>
      <c r="N1770" t="s">
        <v>43</v>
      </c>
      <c r="O1770" t="s">
        <v>483</v>
      </c>
      <c r="P1770">
        <v>251</v>
      </c>
      <c r="Q1770">
        <v>251</v>
      </c>
      <c r="R1770">
        <v>41</v>
      </c>
      <c r="S1770" t="s">
        <v>45</v>
      </c>
      <c r="T1770">
        <v>0.04</v>
      </c>
      <c r="U1770">
        <v>412</v>
      </c>
      <c r="V1770" t="s">
        <v>55</v>
      </c>
      <c r="W1770">
        <v>0.41099999999999998</v>
      </c>
      <c r="X1770">
        <v>18001</v>
      </c>
      <c r="Y1770" t="s">
        <v>47</v>
      </c>
      <c r="Z1770">
        <v>18</v>
      </c>
      <c r="AA1770">
        <v>326</v>
      </c>
      <c r="AB1770" t="s">
        <v>47</v>
      </c>
      <c r="AC1770">
        <v>0.32500000000000001</v>
      </c>
      <c r="AD1770">
        <v>561</v>
      </c>
      <c r="AE1770" t="s">
        <v>48</v>
      </c>
      <c r="AF1770">
        <v>0.56000000000000005</v>
      </c>
      <c r="AG1770">
        <v>527</v>
      </c>
      <c r="AH1770" t="s">
        <v>49</v>
      </c>
      <c r="AI1770">
        <v>0.52600000000000002</v>
      </c>
      <c r="AJ1770" t="s">
        <v>50</v>
      </c>
    </row>
    <row r="1771" spans="1:36" x14ac:dyDescent="0.25">
      <c r="A1771" t="s">
        <v>585</v>
      </c>
      <c r="B1771">
        <v>881505942</v>
      </c>
      <c r="C1771" t="s">
        <v>586</v>
      </c>
      <c r="D1771" t="s">
        <v>586</v>
      </c>
      <c r="E1771" t="s">
        <v>65</v>
      </c>
      <c r="F1771" t="s">
        <v>93</v>
      </c>
      <c r="I1771" t="s">
        <v>39</v>
      </c>
      <c r="J1771" t="s">
        <v>40</v>
      </c>
      <c r="K1771" t="s">
        <v>41</v>
      </c>
      <c r="L1771" t="s">
        <v>173</v>
      </c>
      <c r="N1771" t="s">
        <v>43</v>
      </c>
      <c r="O1771" t="s">
        <v>483</v>
      </c>
      <c r="P1771">
        <v>251</v>
      </c>
      <c r="Q1771">
        <v>251</v>
      </c>
      <c r="R1771">
        <v>41</v>
      </c>
      <c r="S1771" t="s">
        <v>45</v>
      </c>
      <c r="T1771">
        <v>0.04</v>
      </c>
      <c r="U1771">
        <v>143</v>
      </c>
      <c r="V1771" t="s">
        <v>55</v>
      </c>
      <c r="W1771">
        <v>0.14199999999999999</v>
      </c>
      <c r="X1771">
        <v>18001</v>
      </c>
      <c r="Y1771" t="s">
        <v>47</v>
      </c>
      <c r="Z1771">
        <v>18</v>
      </c>
      <c r="AA1771">
        <v>326</v>
      </c>
      <c r="AB1771" t="s">
        <v>47</v>
      </c>
      <c r="AC1771">
        <v>0.32500000000000001</v>
      </c>
      <c r="AD1771">
        <v>561</v>
      </c>
      <c r="AE1771" t="s">
        <v>48</v>
      </c>
      <c r="AF1771">
        <v>0.56000000000000005</v>
      </c>
      <c r="AG1771">
        <v>527</v>
      </c>
      <c r="AH1771" t="s">
        <v>49</v>
      </c>
      <c r="AI1771">
        <v>0.52600000000000002</v>
      </c>
      <c r="AJ1771" t="s">
        <v>1141</v>
      </c>
    </row>
    <row r="1772" spans="1:36" x14ac:dyDescent="0.25">
      <c r="A1772" t="s">
        <v>585</v>
      </c>
      <c r="B1772">
        <v>881505942</v>
      </c>
      <c r="C1772" t="s">
        <v>586</v>
      </c>
      <c r="D1772" t="s">
        <v>586</v>
      </c>
      <c r="E1772" t="s">
        <v>65</v>
      </c>
      <c r="F1772" t="s">
        <v>93</v>
      </c>
      <c r="I1772" t="s">
        <v>39</v>
      </c>
      <c r="J1772" t="s">
        <v>40</v>
      </c>
      <c r="K1772" t="s">
        <v>41</v>
      </c>
      <c r="L1772" t="s">
        <v>173</v>
      </c>
      <c r="N1772" t="s">
        <v>43</v>
      </c>
      <c r="O1772" t="s">
        <v>483</v>
      </c>
      <c r="P1772">
        <v>251</v>
      </c>
      <c r="Q1772">
        <v>251</v>
      </c>
      <c r="R1772">
        <v>41</v>
      </c>
      <c r="S1772" t="s">
        <v>45</v>
      </c>
      <c r="T1772">
        <v>0.04</v>
      </c>
      <c r="U1772">
        <v>412</v>
      </c>
      <c r="V1772" t="s">
        <v>55</v>
      </c>
      <c r="W1772">
        <v>0.41099999999999998</v>
      </c>
      <c r="X1772">
        <v>18001</v>
      </c>
      <c r="Y1772" t="s">
        <v>47</v>
      </c>
      <c r="Z1772">
        <v>18</v>
      </c>
      <c r="AA1772">
        <v>326</v>
      </c>
      <c r="AB1772" t="s">
        <v>47</v>
      </c>
      <c r="AC1772">
        <v>0.32500000000000001</v>
      </c>
      <c r="AD1772">
        <v>561</v>
      </c>
      <c r="AE1772" t="s">
        <v>48</v>
      </c>
      <c r="AF1772">
        <v>0.56000000000000005</v>
      </c>
      <c r="AG1772">
        <v>527</v>
      </c>
      <c r="AH1772" t="s">
        <v>49</v>
      </c>
      <c r="AI1772">
        <v>0.52600000000000002</v>
      </c>
      <c r="AJ1772" t="s">
        <v>1153</v>
      </c>
    </row>
    <row r="1773" spans="1:36" x14ac:dyDescent="0.25">
      <c r="A1773" t="s">
        <v>585</v>
      </c>
      <c r="B1773">
        <v>881505942</v>
      </c>
      <c r="C1773" t="s">
        <v>586</v>
      </c>
      <c r="D1773" t="s">
        <v>586</v>
      </c>
      <c r="E1773" t="s">
        <v>65</v>
      </c>
      <c r="F1773" t="s">
        <v>93</v>
      </c>
      <c r="I1773" t="s">
        <v>39</v>
      </c>
      <c r="J1773" t="s">
        <v>40</v>
      </c>
      <c r="K1773" t="s">
        <v>41</v>
      </c>
      <c r="L1773" t="s">
        <v>173</v>
      </c>
      <c r="N1773" t="s">
        <v>43</v>
      </c>
      <c r="O1773" t="s">
        <v>483</v>
      </c>
      <c r="P1773">
        <v>251</v>
      </c>
      <c r="Q1773">
        <v>251</v>
      </c>
      <c r="R1773">
        <v>41</v>
      </c>
      <c r="S1773" t="s">
        <v>45</v>
      </c>
      <c r="T1773">
        <v>0.04</v>
      </c>
      <c r="U1773">
        <v>412</v>
      </c>
      <c r="V1773" t="s">
        <v>55</v>
      </c>
      <c r="W1773">
        <v>0.41099999999999998</v>
      </c>
      <c r="X1773">
        <v>18001</v>
      </c>
      <c r="Y1773" t="s">
        <v>47</v>
      </c>
      <c r="Z1773">
        <v>18</v>
      </c>
      <c r="AA1773">
        <v>326</v>
      </c>
      <c r="AB1773" t="s">
        <v>47</v>
      </c>
      <c r="AC1773">
        <v>0.32500000000000001</v>
      </c>
      <c r="AD1773">
        <v>561</v>
      </c>
      <c r="AE1773" t="s">
        <v>48</v>
      </c>
      <c r="AF1773">
        <v>0.56000000000000005</v>
      </c>
      <c r="AG1773">
        <v>527</v>
      </c>
      <c r="AH1773" t="s">
        <v>49</v>
      </c>
      <c r="AI1773">
        <v>0.52600000000000002</v>
      </c>
      <c r="AJ1773" t="s">
        <v>1154</v>
      </c>
    </row>
    <row r="1774" spans="1:36" x14ac:dyDescent="0.25">
      <c r="A1774" t="s">
        <v>585</v>
      </c>
      <c r="B1774">
        <v>881505942</v>
      </c>
      <c r="C1774" t="s">
        <v>586</v>
      </c>
      <c r="D1774" t="s">
        <v>586</v>
      </c>
      <c r="E1774" t="s">
        <v>65</v>
      </c>
      <c r="F1774" t="s">
        <v>93</v>
      </c>
      <c r="I1774" t="s">
        <v>39</v>
      </c>
      <c r="J1774" t="s">
        <v>40</v>
      </c>
      <c r="K1774" t="s">
        <v>41</v>
      </c>
      <c r="L1774" t="s">
        <v>173</v>
      </c>
      <c r="N1774" t="s">
        <v>43</v>
      </c>
      <c r="O1774" t="s">
        <v>483</v>
      </c>
      <c r="P1774">
        <v>251</v>
      </c>
      <c r="Q1774">
        <v>251</v>
      </c>
      <c r="S1774" t="s">
        <v>39</v>
      </c>
      <c r="V1774" t="s">
        <v>39</v>
      </c>
      <c r="X1774">
        <v>18001</v>
      </c>
      <c r="Y1774" t="s">
        <v>47</v>
      </c>
      <c r="Z1774">
        <v>18</v>
      </c>
      <c r="AA1774">
        <v>326</v>
      </c>
      <c r="AB1774" t="s">
        <v>47</v>
      </c>
      <c r="AC1774">
        <v>0.32500000000000001</v>
      </c>
      <c r="AD1774">
        <v>561</v>
      </c>
      <c r="AE1774" t="s">
        <v>48</v>
      </c>
      <c r="AF1774">
        <v>0.56000000000000005</v>
      </c>
      <c r="AG1774">
        <v>527</v>
      </c>
      <c r="AH1774" t="s">
        <v>49</v>
      </c>
      <c r="AI1774">
        <v>0.52600000000000002</v>
      </c>
      <c r="AJ1774" t="s">
        <v>1155</v>
      </c>
    </row>
    <row r="1775" spans="1:36" x14ac:dyDescent="0.25">
      <c r="A1775" t="s">
        <v>582</v>
      </c>
      <c r="B1775">
        <v>855761225</v>
      </c>
      <c r="C1775" t="s">
        <v>583</v>
      </c>
      <c r="D1775" t="s">
        <v>583</v>
      </c>
      <c r="E1775" t="s">
        <v>99</v>
      </c>
      <c r="F1775" t="s">
        <v>107</v>
      </c>
      <c r="I1775" t="s">
        <v>39</v>
      </c>
      <c r="J1775" t="s">
        <v>40</v>
      </c>
      <c r="K1775" t="s">
        <v>41</v>
      </c>
      <c r="L1775" t="s">
        <v>53</v>
      </c>
      <c r="N1775" t="s">
        <v>43</v>
      </c>
      <c r="O1775" t="s">
        <v>584</v>
      </c>
      <c r="P1775">
        <v>251</v>
      </c>
      <c r="Q1775">
        <v>251</v>
      </c>
      <c r="R1775">
        <v>11</v>
      </c>
      <c r="S1775" t="s">
        <v>45</v>
      </c>
      <c r="T1775">
        <v>0.01</v>
      </c>
      <c r="U1775">
        <v>847</v>
      </c>
      <c r="V1775" t="s">
        <v>113</v>
      </c>
      <c r="W1775">
        <v>0.84599999999999997</v>
      </c>
      <c r="X1775">
        <v>20001</v>
      </c>
      <c r="Y1775" t="s">
        <v>47</v>
      </c>
      <c r="Z1775">
        <v>20</v>
      </c>
      <c r="AA1775">
        <v>459</v>
      </c>
      <c r="AB1775" t="s">
        <v>47</v>
      </c>
      <c r="AC1775">
        <v>0.45800000000000002</v>
      </c>
      <c r="AD1775">
        <v>791</v>
      </c>
      <c r="AE1775" t="s">
        <v>48</v>
      </c>
      <c r="AF1775">
        <v>0.79</v>
      </c>
      <c r="AG1775">
        <v>958</v>
      </c>
      <c r="AH1775" t="s">
        <v>80</v>
      </c>
      <c r="AI1775">
        <v>0.95699999999999996</v>
      </c>
      <c r="AJ1775" t="s">
        <v>50</v>
      </c>
    </row>
    <row r="1776" spans="1:36" x14ac:dyDescent="0.25">
      <c r="A1776" t="s">
        <v>582</v>
      </c>
      <c r="B1776">
        <v>855761225</v>
      </c>
      <c r="C1776" t="s">
        <v>583</v>
      </c>
      <c r="D1776" t="s">
        <v>583</v>
      </c>
      <c r="E1776" t="s">
        <v>99</v>
      </c>
      <c r="F1776" t="s">
        <v>107</v>
      </c>
      <c r="I1776" t="s">
        <v>39</v>
      </c>
      <c r="J1776" t="s">
        <v>40</v>
      </c>
      <c r="K1776" t="s">
        <v>41</v>
      </c>
      <c r="L1776" t="s">
        <v>53</v>
      </c>
      <c r="N1776" t="s">
        <v>43</v>
      </c>
      <c r="O1776" t="s">
        <v>584</v>
      </c>
      <c r="P1776">
        <v>251</v>
      </c>
      <c r="Q1776">
        <v>251</v>
      </c>
      <c r="R1776">
        <v>1</v>
      </c>
      <c r="S1776" t="s">
        <v>45</v>
      </c>
      <c r="T1776">
        <v>0</v>
      </c>
      <c r="U1776">
        <v>828</v>
      </c>
      <c r="V1776" t="s">
        <v>113</v>
      </c>
      <c r="W1776">
        <v>0.82699999999999996</v>
      </c>
      <c r="X1776">
        <v>20001</v>
      </c>
      <c r="Y1776" t="s">
        <v>47</v>
      </c>
      <c r="Z1776">
        <v>20</v>
      </c>
      <c r="AA1776">
        <v>459</v>
      </c>
      <c r="AB1776" t="s">
        <v>47</v>
      </c>
      <c r="AC1776">
        <v>0.45800000000000002</v>
      </c>
      <c r="AD1776">
        <v>791</v>
      </c>
      <c r="AE1776" t="s">
        <v>48</v>
      </c>
      <c r="AF1776">
        <v>0.79</v>
      </c>
      <c r="AG1776">
        <v>958</v>
      </c>
      <c r="AH1776" t="s">
        <v>80</v>
      </c>
      <c r="AI1776">
        <v>0.95699999999999996</v>
      </c>
      <c r="AJ1776" t="s">
        <v>1141</v>
      </c>
    </row>
    <row r="1777" spans="1:36" x14ac:dyDescent="0.25">
      <c r="A1777" t="s">
        <v>582</v>
      </c>
      <c r="B1777">
        <v>855761225</v>
      </c>
      <c r="C1777" t="s">
        <v>583</v>
      </c>
      <c r="D1777" t="s">
        <v>583</v>
      </c>
      <c r="E1777" t="s">
        <v>99</v>
      </c>
      <c r="F1777" t="s">
        <v>107</v>
      </c>
      <c r="I1777" t="s">
        <v>39</v>
      </c>
      <c r="J1777" t="s">
        <v>40</v>
      </c>
      <c r="K1777" t="s">
        <v>41</v>
      </c>
      <c r="L1777" t="s">
        <v>53</v>
      </c>
      <c r="N1777" t="s">
        <v>43</v>
      </c>
      <c r="O1777" t="s">
        <v>584</v>
      </c>
      <c r="P1777">
        <v>251</v>
      </c>
      <c r="Q1777">
        <v>251</v>
      </c>
      <c r="R1777">
        <v>11</v>
      </c>
      <c r="S1777" t="s">
        <v>45</v>
      </c>
      <c r="T1777">
        <v>0.01</v>
      </c>
      <c r="U1777">
        <v>847</v>
      </c>
      <c r="V1777" t="s">
        <v>113</v>
      </c>
      <c r="W1777">
        <v>0.84599999999999997</v>
      </c>
      <c r="X1777">
        <v>20001</v>
      </c>
      <c r="Y1777" t="s">
        <v>47</v>
      </c>
      <c r="Z1777">
        <v>20</v>
      </c>
      <c r="AA1777">
        <v>459</v>
      </c>
      <c r="AB1777" t="s">
        <v>47</v>
      </c>
      <c r="AC1777">
        <v>0.45800000000000002</v>
      </c>
      <c r="AD1777">
        <v>791</v>
      </c>
      <c r="AE1777" t="s">
        <v>48</v>
      </c>
      <c r="AF1777">
        <v>0.79</v>
      </c>
      <c r="AG1777">
        <v>958</v>
      </c>
      <c r="AH1777" t="s">
        <v>80</v>
      </c>
      <c r="AI1777">
        <v>0.95699999999999996</v>
      </c>
      <c r="AJ1777" t="s">
        <v>1153</v>
      </c>
    </row>
    <row r="1778" spans="1:36" x14ac:dyDescent="0.25">
      <c r="A1778" t="s">
        <v>582</v>
      </c>
      <c r="B1778">
        <v>855761225</v>
      </c>
      <c r="C1778" t="s">
        <v>583</v>
      </c>
      <c r="D1778" t="s">
        <v>583</v>
      </c>
      <c r="E1778" t="s">
        <v>99</v>
      </c>
      <c r="F1778" t="s">
        <v>107</v>
      </c>
      <c r="I1778" t="s">
        <v>39</v>
      </c>
      <c r="J1778" t="s">
        <v>40</v>
      </c>
      <c r="K1778" t="s">
        <v>41</v>
      </c>
      <c r="L1778" t="s">
        <v>53</v>
      </c>
      <c r="N1778" t="s">
        <v>43</v>
      </c>
      <c r="O1778" t="s">
        <v>584</v>
      </c>
      <c r="P1778">
        <v>251</v>
      </c>
      <c r="Q1778">
        <v>251</v>
      </c>
      <c r="R1778">
        <v>11</v>
      </c>
      <c r="S1778" t="s">
        <v>45</v>
      </c>
      <c r="T1778">
        <v>0.01</v>
      </c>
      <c r="U1778">
        <v>847</v>
      </c>
      <c r="V1778" t="s">
        <v>113</v>
      </c>
      <c r="W1778">
        <v>0.84599999999999997</v>
      </c>
      <c r="X1778">
        <v>20001</v>
      </c>
      <c r="Y1778" t="s">
        <v>47</v>
      </c>
      <c r="Z1778">
        <v>20</v>
      </c>
      <c r="AA1778">
        <v>459</v>
      </c>
      <c r="AB1778" t="s">
        <v>47</v>
      </c>
      <c r="AC1778">
        <v>0.45800000000000002</v>
      </c>
      <c r="AD1778">
        <v>791</v>
      </c>
      <c r="AE1778" t="s">
        <v>48</v>
      </c>
      <c r="AF1778">
        <v>0.79</v>
      </c>
      <c r="AG1778">
        <v>958</v>
      </c>
      <c r="AH1778" t="s">
        <v>80</v>
      </c>
      <c r="AI1778">
        <v>0.95699999999999996</v>
      </c>
      <c r="AJ1778" t="s">
        <v>1154</v>
      </c>
    </row>
    <row r="1779" spans="1:36" x14ac:dyDescent="0.25">
      <c r="A1779" t="s">
        <v>582</v>
      </c>
      <c r="B1779">
        <v>855761225</v>
      </c>
      <c r="C1779" t="s">
        <v>583</v>
      </c>
      <c r="D1779" t="s">
        <v>583</v>
      </c>
      <c r="E1779" t="s">
        <v>99</v>
      </c>
      <c r="F1779" t="s">
        <v>107</v>
      </c>
      <c r="I1779" t="s">
        <v>39</v>
      </c>
      <c r="J1779" t="s">
        <v>40</v>
      </c>
      <c r="K1779" t="s">
        <v>41</v>
      </c>
      <c r="L1779" t="s">
        <v>53</v>
      </c>
      <c r="N1779" t="s">
        <v>43</v>
      </c>
      <c r="O1779" t="s">
        <v>584</v>
      </c>
      <c r="P1779">
        <v>251</v>
      </c>
      <c r="Q1779">
        <v>251</v>
      </c>
      <c r="S1779" t="s">
        <v>39</v>
      </c>
      <c r="V1779" t="s">
        <v>39</v>
      </c>
      <c r="X1779">
        <v>20001</v>
      </c>
      <c r="Y1779" t="s">
        <v>47</v>
      </c>
      <c r="Z1779">
        <v>20</v>
      </c>
      <c r="AA1779">
        <v>459</v>
      </c>
      <c r="AB1779" t="s">
        <v>47</v>
      </c>
      <c r="AC1779">
        <v>0.45800000000000002</v>
      </c>
      <c r="AD1779">
        <v>791</v>
      </c>
      <c r="AE1779" t="s">
        <v>48</v>
      </c>
      <c r="AF1779">
        <v>0.79</v>
      </c>
      <c r="AG1779">
        <v>958</v>
      </c>
      <c r="AH1779" t="s">
        <v>80</v>
      </c>
      <c r="AI1779">
        <v>0.95699999999999996</v>
      </c>
      <c r="AJ1779" t="s">
        <v>1155</v>
      </c>
    </row>
    <row r="1780" spans="1:36" x14ac:dyDescent="0.25">
      <c r="A1780" t="s">
        <v>579</v>
      </c>
      <c r="B1780">
        <v>856303034</v>
      </c>
      <c r="C1780" t="s">
        <v>580</v>
      </c>
      <c r="D1780" t="s">
        <v>580</v>
      </c>
      <c r="E1780" t="s">
        <v>37</v>
      </c>
      <c r="F1780" t="s">
        <v>220</v>
      </c>
      <c r="I1780" t="s">
        <v>39</v>
      </c>
      <c r="J1780" t="s">
        <v>40</v>
      </c>
      <c r="K1780" t="s">
        <v>41</v>
      </c>
      <c r="L1780" t="s">
        <v>53</v>
      </c>
      <c r="N1780" t="s">
        <v>43</v>
      </c>
      <c r="O1780" t="s">
        <v>581</v>
      </c>
      <c r="P1780">
        <v>252</v>
      </c>
      <c r="Q1780">
        <v>252</v>
      </c>
      <c r="R1780">
        <v>71</v>
      </c>
      <c r="S1780" t="s">
        <v>56</v>
      </c>
      <c r="T1780">
        <v>7.0000000000000007E-2</v>
      </c>
      <c r="U1780">
        <v>53</v>
      </c>
      <c r="V1780" t="s">
        <v>55</v>
      </c>
      <c r="W1780">
        <v>5.1999999999999998E-2</v>
      </c>
      <c r="X1780">
        <v>4001</v>
      </c>
      <c r="Y1780" t="s">
        <v>47</v>
      </c>
      <c r="Z1780">
        <v>4</v>
      </c>
      <c r="AA1780">
        <v>172</v>
      </c>
      <c r="AB1780" t="s">
        <v>47</v>
      </c>
      <c r="AC1780">
        <v>0.17100000000000001</v>
      </c>
      <c r="AD1780">
        <v>388</v>
      </c>
      <c r="AE1780" t="s">
        <v>56</v>
      </c>
      <c r="AF1780">
        <v>0.38700000000000001</v>
      </c>
      <c r="AG1780">
        <v>159</v>
      </c>
      <c r="AH1780" t="s">
        <v>103</v>
      </c>
      <c r="AI1780">
        <v>0.158</v>
      </c>
      <c r="AJ1780" t="s">
        <v>50</v>
      </c>
    </row>
    <row r="1781" spans="1:36" x14ac:dyDescent="0.25">
      <c r="A1781" t="s">
        <v>579</v>
      </c>
      <c r="B1781">
        <v>856303034</v>
      </c>
      <c r="C1781" t="s">
        <v>580</v>
      </c>
      <c r="D1781" t="s">
        <v>580</v>
      </c>
      <c r="E1781" t="s">
        <v>99</v>
      </c>
      <c r="F1781" t="s">
        <v>220</v>
      </c>
      <c r="I1781" t="s">
        <v>39</v>
      </c>
      <c r="J1781" t="s">
        <v>40</v>
      </c>
      <c r="K1781" t="s">
        <v>41</v>
      </c>
      <c r="L1781" t="s">
        <v>53</v>
      </c>
      <c r="N1781" t="s">
        <v>43</v>
      </c>
      <c r="O1781" t="s">
        <v>544</v>
      </c>
      <c r="P1781">
        <v>252</v>
      </c>
      <c r="Q1781">
        <v>252</v>
      </c>
      <c r="R1781">
        <v>1001</v>
      </c>
      <c r="S1781" t="s">
        <v>56</v>
      </c>
      <c r="T1781">
        <v>1</v>
      </c>
      <c r="U1781">
        <v>13</v>
      </c>
      <c r="V1781" t="s">
        <v>55</v>
      </c>
      <c r="W1781">
        <v>1.2E-2</v>
      </c>
      <c r="X1781">
        <v>1</v>
      </c>
      <c r="Y1781" t="s">
        <v>47</v>
      </c>
      <c r="Z1781">
        <v>0</v>
      </c>
      <c r="AA1781">
        <v>159</v>
      </c>
      <c r="AB1781" t="s">
        <v>47</v>
      </c>
      <c r="AC1781">
        <v>0.158</v>
      </c>
      <c r="AD1781">
        <v>222</v>
      </c>
      <c r="AE1781" t="s">
        <v>56</v>
      </c>
      <c r="AF1781">
        <v>0.221</v>
      </c>
      <c r="AG1781">
        <v>40</v>
      </c>
      <c r="AH1781" t="s">
        <v>103</v>
      </c>
      <c r="AI1781">
        <v>3.9E-2</v>
      </c>
      <c r="AJ1781" t="s">
        <v>50</v>
      </c>
    </row>
    <row r="1782" spans="1:36" x14ac:dyDescent="0.25">
      <c r="A1782" t="s">
        <v>579</v>
      </c>
      <c r="B1782">
        <v>856303034</v>
      </c>
      <c r="C1782" t="s">
        <v>580</v>
      </c>
      <c r="D1782" t="s">
        <v>580</v>
      </c>
      <c r="E1782" t="s">
        <v>37</v>
      </c>
      <c r="F1782" t="s">
        <v>220</v>
      </c>
      <c r="I1782" t="s">
        <v>39</v>
      </c>
      <c r="J1782" t="s">
        <v>40</v>
      </c>
      <c r="K1782" t="s">
        <v>41</v>
      </c>
      <c r="L1782" t="s">
        <v>53</v>
      </c>
      <c r="N1782" t="s">
        <v>43</v>
      </c>
      <c r="O1782" t="s">
        <v>581</v>
      </c>
      <c r="P1782">
        <v>252</v>
      </c>
      <c r="Q1782">
        <v>252</v>
      </c>
      <c r="R1782">
        <v>201</v>
      </c>
      <c r="S1782" t="s">
        <v>56</v>
      </c>
      <c r="T1782">
        <v>0.2</v>
      </c>
      <c r="U1782">
        <v>32</v>
      </c>
      <c r="V1782" t="s">
        <v>55</v>
      </c>
      <c r="W1782">
        <v>3.1E-2</v>
      </c>
      <c r="X1782">
        <v>4001</v>
      </c>
      <c r="Y1782" t="s">
        <v>47</v>
      </c>
      <c r="Z1782">
        <v>4</v>
      </c>
      <c r="AA1782">
        <v>172</v>
      </c>
      <c r="AB1782" t="s">
        <v>47</v>
      </c>
      <c r="AC1782">
        <v>0.17100000000000001</v>
      </c>
      <c r="AD1782">
        <v>388</v>
      </c>
      <c r="AE1782" t="s">
        <v>56</v>
      </c>
      <c r="AF1782">
        <v>0.38700000000000001</v>
      </c>
      <c r="AG1782">
        <v>159</v>
      </c>
      <c r="AH1782" t="s">
        <v>103</v>
      </c>
      <c r="AI1782">
        <v>0.158</v>
      </c>
      <c r="AJ1782" t="s">
        <v>1141</v>
      </c>
    </row>
    <row r="1783" spans="1:36" x14ac:dyDescent="0.25">
      <c r="A1783" t="s">
        <v>579</v>
      </c>
      <c r="B1783">
        <v>856303034</v>
      </c>
      <c r="C1783" t="s">
        <v>580</v>
      </c>
      <c r="D1783" t="s">
        <v>580</v>
      </c>
      <c r="E1783" t="s">
        <v>99</v>
      </c>
      <c r="F1783" t="s">
        <v>220</v>
      </c>
      <c r="I1783" t="s">
        <v>39</v>
      </c>
      <c r="J1783" t="s">
        <v>40</v>
      </c>
      <c r="K1783" t="s">
        <v>41</v>
      </c>
      <c r="L1783" t="s">
        <v>53</v>
      </c>
      <c r="N1783" t="s">
        <v>43</v>
      </c>
      <c r="O1783" t="s">
        <v>544</v>
      </c>
      <c r="P1783">
        <v>252</v>
      </c>
      <c r="Q1783">
        <v>252</v>
      </c>
      <c r="R1783">
        <v>1001</v>
      </c>
      <c r="S1783" t="s">
        <v>56</v>
      </c>
      <c r="T1783">
        <v>1</v>
      </c>
      <c r="U1783">
        <v>8</v>
      </c>
      <c r="V1783" t="s">
        <v>55</v>
      </c>
      <c r="W1783">
        <v>7.0000000000000001E-3</v>
      </c>
      <c r="X1783">
        <v>1</v>
      </c>
      <c r="Y1783" t="s">
        <v>47</v>
      </c>
      <c r="Z1783">
        <v>0</v>
      </c>
      <c r="AA1783">
        <v>159</v>
      </c>
      <c r="AB1783" t="s">
        <v>47</v>
      </c>
      <c r="AC1783">
        <v>0.158</v>
      </c>
      <c r="AD1783">
        <v>222</v>
      </c>
      <c r="AE1783" t="s">
        <v>56</v>
      </c>
      <c r="AF1783">
        <v>0.221</v>
      </c>
      <c r="AG1783">
        <v>40</v>
      </c>
      <c r="AH1783" t="s">
        <v>103</v>
      </c>
      <c r="AI1783">
        <v>3.9E-2</v>
      </c>
      <c r="AJ1783" t="s">
        <v>1141</v>
      </c>
    </row>
    <row r="1784" spans="1:36" x14ac:dyDescent="0.25">
      <c r="A1784" t="s">
        <v>579</v>
      </c>
      <c r="B1784">
        <v>856303034</v>
      </c>
      <c r="C1784" t="s">
        <v>580</v>
      </c>
      <c r="D1784" t="s">
        <v>580</v>
      </c>
      <c r="E1784" t="s">
        <v>37</v>
      </c>
      <c r="F1784" t="s">
        <v>220</v>
      </c>
      <c r="I1784" t="s">
        <v>39</v>
      </c>
      <c r="J1784" t="s">
        <v>40</v>
      </c>
      <c r="K1784" t="s">
        <v>41</v>
      </c>
      <c r="L1784" t="s">
        <v>53</v>
      </c>
      <c r="N1784" t="s">
        <v>43</v>
      </c>
      <c r="O1784" t="s">
        <v>581</v>
      </c>
      <c r="P1784">
        <v>252</v>
      </c>
      <c r="Q1784">
        <v>252</v>
      </c>
      <c r="R1784">
        <v>71</v>
      </c>
      <c r="S1784" t="s">
        <v>56</v>
      </c>
      <c r="T1784">
        <v>7.0000000000000007E-2</v>
      </c>
      <c r="U1784">
        <v>53</v>
      </c>
      <c r="V1784" t="s">
        <v>55</v>
      </c>
      <c r="W1784">
        <v>5.1999999999999998E-2</v>
      </c>
      <c r="X1784">
        <v>4001</v>
      </c>
      <c r="Y1784" t="s">
        <v>47</v>
      </c>
      <c r="Z1784">
        <v>4</v>
      </c>
      <c r="AA1784">
        <v>172</v>
      </c>
      <c r="AB1784" t="s">
        <v>47</v>
      </c>
      <c r="AC1784">
        <v>0.17100000000000001</v>
      </c>
      <c r="AD1784">
        <v>388</v>
      </c>
      <c r="AE1784" t="s">
        <v>56</v>
      </c>
      <c r="AF1784">
        <v>0.38700000000000001</v>
      </c>
      <c r="AG1784">
        <v>159</v>
      </c>
      <c r="AH1784" t="s">
        <v>103</v>
      </c>
      <c r="AI1784">
        <v>0.158</v>
      </c>
      <c r="AJ1784" t="s">
        <v>1153</v>
      </c>
    </row>
    <row r="1785" spans="1:36" x14ac:dyDescent="0.25">
      <c r="A1785" t="s">
        <v>579</v>
      </c>
      <c r="B1785">
        <v>856303034</v>
      </c>
      <c r="C1785" t="s">
        <v>580</v>
      </c>
      <c r="D1785" t="s">
        <v>580</v>
      </c>
      <c r="E1785" t="s">
        <v>99</v>
      </c>
      <c r="F1785" t="s">
        <v>220</v>
      </c>
      <c r="I1785" t="s">
        <v>39</v>
      </c>
      <c r="J1785" t="s">
        <v>40</v>
      </c>
      <c r="K1785" t="s">
        <v>41</v>
      </c>
      <c r="L1785" t="s">
        <v>53</v>
      </c>
      <c r="N1785" t="s">
        <v>43</v>
      </c>
      <c r="O1785" t="s">
        <v>544</v>
      </c>
      <c r="P1785">
        <v>252</v>
      </c>
      <c r="Q1785">
        <v>252</v>
      </c>
      <c r="R1785">
        <v>1001</v>
      </c>
      <c r="S1785" t="s">
        <v>56</v>
      </c>
      <c r="T1785">
        <v>1</v>
      </c>
      <c r="U1785">
        <v>13</v>
      </c>
      <c r="V1785" t="s">
        <v>55</v>
      </c>
      <c r="W1785">
        <v>1.2E-2</v>
      </c>
      <c r="X1785">
        <v>1</v>
      </c>
      <c r="Y1785" t="s">
        <v>47</v>
      </c>
      <c r="Z1785">
        <v>0</v>
      </c>
      <c r="AA1785">
        <v>159</v>
      </c>
      <c r="AB1785" t="s">
        <v>47</v>
      </c>
      <c r="AC1785">
        <v>0.158</v>
      </c>
      <c r="AD1785">
        <v>222</v>
      </c>
      <c r="AE1785" t="s">
        <v>56</v>
      </c>
      <c r="AF1785">
        <v>0.221</v>
      </c>
      <c r="AG1785">
        <v>40</v>
      </c>
      <c r="AH1785" t="s">
        <v>103</v>
      </c>
      <c r="AI1785">
        <v>3.9E-2</v>
      </c>
      <c r="AJ1785" t="s">
        <v>1153</v>
      </c>
    </row>
    <row r="1786" spans="1:36" x14ac:dyDescent="0.25">
      <c r="A1786" t="s">
        <v>579</v>
      </c>
      <c r="B1786">
        <v>856303034</v>
      </c>
      <c r="C1786" t="s">
        <v>580</v>
      </c>
      <c r="D1786" t="s">
        <v>580</v>
      </c>
      <c r="E1786" t="s">
        <v>37</v>
      </c>
      <c r="F1786" t="s">
        <v>220</v>
      </c>
      <c r="I1786" t="s">
        <v>39</v>
      </c>
      <c r="J1786" t="s">
        <v>40</v>
      </c>
      <c r="K1786" t="s">
        <v>41</v>
      </c>
      <c r="L1786" t="s">
        <v>53</v>
      </c>
      <c r="N1786" t="s">
        <v>43</v>
      </c>
      <c r="O1786" t="s">
        <v>581</v>
      </c>
      <c r="P1786">
        <v>252</v>
      </c>
      <c r="Q1786">
        <v>252</v>
      </c>
      <c r="R1786">
        <v>71</v>
      </c>
      <c r="S1786" t="s">
        <v>56</v>
      </c>
      <c r="T1786">
        <v>7.0000000000000007E-2</v>
      </c>
      <c r="U1786">
        <v>53</v>
      </c>
      <c r="V1786" t="s">
        <v>55</v>
      </c>
      <c r="W1786">
        <v>5.1999999999999998E-2</v>
      </c>
      <c r="X1786">
        <v>4001</v>
      </c>
      <c r="Y1786" t="s">
        <v>47</v>
      </c>
      <c r="Z1786">
        <v>4</v>
      </c>
      <c r="AA1786">
        <v>172</v>
      </c>
      <c r="AB1786" t="s">
        <v>47</v>
      </c>
      <c r="AC1786">
        <v>0.17100000000000001</v>
      </c>
      <c r="AD1786">
        <v>388</v>
      </c>
      <c r="AE1786" t="s">
        <v>56</v>
      </c>
      <c r="AF1786">
        <v>0.38700000000000001</v>
      </c>
      <c r="AG1786">
        <v>159</v>
      </c>
      <c r="AH1786" t="s">
        <v>103</v>
      </c>
      <c r="AI1786">
        <v>0.158</v>
      </c>
      <c r="AJ1786" t="s">
        <v>1154</v>
      </c>
    </row>
    <row r="1787" spans="1:36" x14ac:dyDescent="0.25">
      <c r="A1787" t="s">
        <v>579</v>
      </c>
      <c r="B1787">
        <v>856303034</v>
      </c>
      <c r="C1787" t="s">
        <v>580</v>
      </c>
      <c r="D1787" t="s">
        <v>580</v>
      </c>
      <c r="E1787" t="s">
        <v>99</v>
      </c>
      <c r="F1787" t="s">
        <v>220</v>
      </c>
      <c r="I1787" t="s">
        <v>39</v>
      </c>
      <c r="J1787" t="s">
        <v>40</v>
      </c>
      <c r="K1787" t="s">
        <v>41</v>
      </c>
      <c r="L1787" t="s">
        <v>53</v>
      </c>
      <c r="N1787" t="s">
        <v>43</v>
      </c>
      <c r="O1787" t="s">
        <v>544</v>
      </c>
      <c r="P1787">
        <v>252</v>
      </c>
      <c r="Q1787">
        <v>252</v>
      </c>
      <c r="R1787">
        <v>1001</v>
      </c>
      <c r="S1787" t="s">
        <v>56</v>
      </c>
      <c r="T1787">
        <v>1</v>
      </c>
      <c r="U1787">
        <v>13</v>
      </c>
      <c r="V1787" t="s">
        <v>55</v>
      </c>
      <c r="W1787">
        <v>1.2E-2</v>
      </c>
      <c r="X1787">
        <v>1</v>
      </c>
      <c r="Y1787" t="s">
        <v>47</v>
      </c>
      <c r="Z1787">
        <v>0</v>
      </c>
      <c r="AA1787">
        <v>159</v>
      </c>
      <c r="AB1787" t="s">
        <v>47</v>
      </c>
      <c r="AC1787">
        <v>0.158</v>
      </c>
      <c r="AD1787">
        <v>222</v>
      </c>
      <c r="AE1787" t="s">
        <v>56</v>
      </c>
      <c r="AF1787">
        <v>0.221</v>
      </c>
      <c r="AG1787">
        <v>40</v>
      </c>
      <c r="AH1787" t="s">
        <v>103</v>
      </c>
      <c r="AI1787">
        <v>3.9E-2</v>
      </c>
      <c r="AJ1787" t="s">
        <v>1154</v>
      </c>
    </row>
    <row r="1788" spans="1:36" x14ac:dyDescent="0.25">
      <c r="A1788" t="s">
        <v>579</v>
      </c>
      <c r="B1788">
        <v>856303034</v>
      </c>
      <c r="C1788" t="s">
        <v>580</v>
      </c>
      <c r="D1788" t="s">
        <v>580</v>
      </c>
      <c r="E1788" t="s">
        <v>37</v>
      </c>
      <c r="F1788" t="s">
        <v>220</v>
      </c>
      <c r="I1788" t="s">
        <v>39</v>
      </c>
      <c r="J1788" t="s">
        <v>40</v>
      </c>
      <c r="K1788" t="s">
        <v>41</v>
      </c>
      <c r="L1788" t="s">
        <v>53</v>
      </c>
      <c r="N1788" t="s">
        <v>43</v>
      </c>
      <c r="O1788" t="s">
        <v>581</v>
      </c>
      <c r="P1788">
        <v>252</v>
      </c>
      <c r="Q1788">
        <v>252</v>
      </c>
      <c r="S1788" t="s">
        <v>39</v>
      </c>
      <c r="V1788" t="s">
        <v>39</v>
      </c>
      <c r="X1788">
        <v>4001</v>
      </c>
      <c r="Y1788" t="s">
        <v>47</v>
      </c>
      <c r="Z1788">
        <v>4</v>
      </c>
      <c r="AA1788">
        <v>172</v>
      </c>
      <c r="AB1788" t="s">
        <v>47</v>
      </c>
      <c r="AC1788">
        <v>0.17100000000000001</v>
      </c>
      <c r="AD1788">
        <v>388</v>
      </c>
      <c r="AE1788" t="s">
        <v>56</v>
      </c>
      <c r="AF1788">
        <v>0.38700000000000001</v>
      </c>
      <c r="AG1788">
        <v>159</v>
      </c>
      <c r="AH1788" t="s">
        <v>103</v>
      </c>
      <c r="AI1788">
        <v>0.158</v>
      </c>
      <c r="AJ1788" t="s">
        <v>1155</v>
      </c>
    </row>
    <row r="1789" spans="1:36" x14ac:dyDescent="0.25">
      <c r="A1789" t="s">
        <v>579</v>
      </c>
      <c r="B1789">
        <v>856303034</v>
      </c>
      <c r="C1789" t="s">
        <v>580</v>
      </c>
      <c r="D1789" t="s">
        <v>580</v>
      </c>
      <c r="E1789" t="s">
        <v>99</v>
      </c>
      <c r="F1789" t="s">
        <v>220</v>
      </c>
      <c r="I1789" t="s">
        <v>39</v>
      </c>
      <c r="J1789" t="s">
        <v>40</v>
      </c>
      <c r="K1789" t="s">
        <v>41</v>
      </c>
      <c r="L1789" t="s">
        <v>53</v>
      </c>
      <c r="N1789" t="s">
        <v>43</v>
      </c>
      <c r="O1789" t="s">
        <v>544</v>
      </c>
      <c r="P1789">
        <v>252</v>
      </c>
      <c r="Q1789">
        <v>252</v>
      </c>
      <c r="S1789" t="s">
        <v>39</v>
      </c>
      <c r="V1789" t="s">
        <v>39</v>
      </c>
      <c r="X1789">
        <v>1</v>
      </c>
      <c r="Y1789" t="s">
        <v>47</v>
      </c>
      <c r="Z1789">
        <v>0</v>
      </c>
      <c r="AA1789">
        <v>159</v>
      </c>
      <c r="AB1789" t="s">
        <v>47</v>
      </c>
      <c r="AC1789">
        <v>0.158</v>
      </c>
      <c r="AD1789">
        <v>222</v>
      </c>
      <c r="AE1789" t="s">
        <v>56</v>
      </c>
      <c r="AF1789">
        <v>0.221</v>
      </c>
      <c r="AG1789">
        <v>40</v>
      </c>
      <c r="AH1789" t="s">
        <v>103</v>
      </c>
      <c r="AI1789">
        <v>3.9E-2</v>
      </c>
      <c r="AJ1789" t="s">
        <v>1155</v>
      </c>
    </row>
    <row r="1790" spans="1:36" x14ac:dyDescent="0.25">
      <c r="A1790" t="s">
        <v>577</v>
      </c>
      <c r="B1790">
        <v>855174642</v>
      </c>
      <c r="C1790" t="s">
        <v>578</v>
      </c>
      <c r="D1790" t="s">
        <v>578</v>
      </c>
      <c r="E1790" t="s">
        <v>65</v>
      </c>
      <c r="F1790" t="s">
        <v>66</v>
      </c>
      <c r="I1790" t="s">
        <v>39</v>
      </c>
      <c r="J1790" t="s">
        <v>40</v>
      </c>
      <c r="K1790" t="s">
        <v>41</v>
      </c>
      <c r="L1790" t="s">
        <v>53</v>
      </c>
      <c r="N1790" t="s">
        <v>43</v>
      </c>
      <c r="O1790" t="s">
        <v>443</v>
      </c>
      <c r="P1790">
        <v>253</v>
      </c>
      <c r="Q1790">
        <v>253</v>
      </c>
      <c r="R1790">
        <v>801</v>
      </c>
      <c r="S1790" t="s">
        <v>56</v>
      </c>
      <c r="T1790">
        <v>0.8</v>
      </c>
      <c r="U1790">
        <v>6</v>
      </c>
      <c r="V1790" t="s">
        <v>55</v>
      </c>
      <c r="W1790">
        <v>5.0000000000000001E-3</v>
      </c>
      <c r="X1790">
        <v>1</v>
      </c>
      <c r="Y1790" t="s">
        <v>47</v>
      </c>
      <c r="Z1790">
        <v>0</v>
      </c>
      <c r="AA1790">
        <v>298</v>
      </c>
      <c r="AB1790" t="s">
        <v>47</v>
      </c>
      <c r="AC1790">
        <v>0.29699999999999999</v>
      </c>
      <c r="AD1790">
        <v>176</v>
      </c>
      <c r="AE1790" t="s">
        <v>56</v>
      </c>
      <c r="AF1790">
        <v>0.17499999999999999</v>
      </c>
      <c r="AG1790">
        <v>15</v>
      </c>
      <c r="AH1790" t="s">
        <v>103</v>
      </c>
      <c r="AI1790">
        <v>1.4E-2</v>
      </c>
      <c r="AJ1790" t="s">
        <v>50</v>
      </c>
    </row>
    <row r="1791" spans="1:36" x14ac:dyDescent="0.25">
      <c r="A1791" t="s">
        <v>577</v>
      </c>
      <c r="B1791">
        <v>855174642</v>
      </c>
      <c r="C1791" t="s">
        <v>578</v>
      </c>
      <c r="D1791" t="s">
        <v>578</v>
      </c>
      <c r="E1791" t="s">
        <v>65</v>
      </c>
      <c r="F1791" t="s">
        <v>66</v>
      </c>
      <c r="I1791" t="s">
        <v>39</v>
      </c>
      <c r="J1791" t="s">
        <v>40</v>
      </c>
      <c r="K1791" t="s">
        <v>41</v>
      </c>
      <c r="L1791" t="s">
        <v>53</v>
      </c>
      <c r="N1791" t="s">
        <v>43</v>
      </c>
      <c r="O1791" t="s">
        <v>443</v>
      </c>
      <c r="P1791">
        <v>253</v>
      </c>
      <c r="Q1791">
        <v>253</v>
      </c>
      <c r="R1791">
        <v>1001</v>
      </c>
      <c r="S1791" t="s">
        <v>56</v>
      </c>
      <c r="T1791">
        <v>1</v>
      </c>
      <c r="U1791">
        <v>4</v>
      </c>
      <c r="V1791" t="s">
        <v>55</v>
      </c>
      <c r="W1791">
        <v>3.0000000000000001E-3</v>
      </c>
      <c r="X1791">
        <v>1</v>
      </c>
      <c r="Y1791" t="s">
        <v>47</v>
      </c>
      <c r="Z1791">
        <v>0</v>
      </c>
      <c r="AA1791">
        <v>298</v>
      </c>
      <c r="AB1791" t="s">
        <v>47</v>
      </c>
      <c r="AC1791">
        <v>0.29699999999999999</v>
      </c>
      <c r="AD1791">
        <v>176</v>
      </c>
      <c r="AE1791" t="s">
        <v>56</v>
      </c>
      <c r="AF1791">
        <v>0.17499999999999999</v>
      </c>
      <c r="AG1791">
        <v>15</v>
      </c>
      <c r="AH1791" t="s">
        <v>103</v>
      </c>
      <c r="AI1791">
        <v>1.4E-2</v>
      </c>
      <c r="AJ1791" t="s">
        <v>1141</v>
      </c>
    </row>
    <row r="1792" spans="1:36" x14ac:dyDescent="0.25">
      <c r="A1792" t="s">
        <v>577</v>
      </c>
      <c r="B1792">
        <v>855174642</v>
      </c>
      <c r="C1792" t="s">
        <v>578</v>
      </c>
      <c r="D1792" t="s">
        <v>578</v>
      </c>
      <c r="E1792" t="s">
        <v>65</v>
      </c>
      <c r="F1792" t="s">
        <v>66</v>
      </c>
      <c r="I1792" t="s">
        <v>39</v>
      </c>
      <c r="J1792" t="s">
        <v>40</v>
      </c>
      <c r="K1792" t="s">
        <v>41</v>
      </c>
      <c r="L1792" t="s">
        <v>53</v>
      </c>
      <c r="N1792" t="s">
        <v>43</v>
      </c>
      <c r="O1792" t="s">
        <v>443</v>
      </c>
      <c r="P1792">
        <v>253</v>
      </c>
      <c r="Q1792">
        <v>253</v>
      </c>
      <c r="R1792">
        <v>801</v>
      </c>
      <c r="S1792" t="s">
        <v>56</v>
      </c>
      <c r="T1792">
        <v>0.8</v>
      </c>
      <c r="U1792">
        <v>6</v>
      </c>
      <c r="V1792" t="s">
        <v>55</v>
      </c>
      <c r="W1792">
        <v>5.0000000000000001E-3</v>
      </c>
      <c r="X1792">
        <v>1</v>
      </c>
      <c r="Y1792" t="s">
        <v>47</v>
      </c>
      <c r="Z1792">
        <v>0</v>
      </c>
      <c r="AA1792">
        <v>298</v>
      </c>
      <c r="AB1792" t="s">
        <v>47</v>
      </c>
      <c r="AC1792">
        <v>0.29699999999999999</v>
      </c>
      <c r="AD1792">
        <v>176</v>
      </c>
      <c r="AE1792" t="s">
        <v>56</v>
      </c>
      <c r="AF1792">
        <v>0.17499999999999999</v>
      </c>
      <c r="AG1792">
        <v>15</v>
      </c>
      <c r="AH1792" t="s">
        <v>103</v>
      </c>
      <c r="AI1792">
        <v>1.4E-2</v>
      </c>
      <c r="AJ1792" t="s">
        <v>1153</v>
      </c>
    </row>
    <row r="1793" spans="1:36" x14ac:dyDescent="0.25">
      <c r="A1793" t="s">
        <v>577</v>
      </c>
      <c r="B1793">
        <v>855174642</v>
      </c>
      <c r="C1793" t="s">
        <v>578</v>
      </c>
      <c r="D1793" t="s">
        <v>578</v>
      </c>
      <c r="E1793" t="s">
        <v>65</v>
      </c>
      <c r="F1793" t="s">
        <v>66</v>
      </c>
      <c r="I1793" t="s">
        <v>39</v>
      </c>
      <c r="J1793" t="s">
        <v>40</v>
      </c>
      <c r="K1793" t="s">
        <v>41</v>
      </c>
      <c r="L1793" t="s">
        <v>53</v>
      </c>
      <c r="N1793" t="s">
        <v>43</v>
      </c>
      <c r="O1793" t="s">
        <v>443</v>
      </c>
      <c r="P1793">
        <v>253</v>
      </c>
      <c r="Q1793">
        <v>253</v>
      </c>
      <c r="R1793">
        <v>801</v>
      </c>
      <c r="S1793" t="s">
        <v>56</v>
      </c>
      <c r="T1793">
        <v>0.8</v>
      </c>
      <c r="U1793">
        <v>6</v>
      </c>
      <c r="V1793" t="s">
        <v>55</v>
      </c>
      <c r="W1793">
        <v>5.0000000000000001E-3</v>
      </c>
      <c r="X1793">
        <v>1</v>
      </c>
      <c r="Y1793" t="s">
        <v>47</v>
      </c>
      <c r="Z1793">
        <v>0</v>
      </c>
      <c r="AA1793">
        <v>298</v>
      </c>
      <c r="AB1793" t="s">
        <v>47</v>
      </c>
      <c r="AC1793">
        <v>0.29699999999999999</v>
      </c>
      <c r="AD1793">
        <v>176</v>
      </c>
      <c r="AE1793" t="s">
        <v>56</v>
      </c>
      <c r="AF1793">
        <v>0.17499999999999999</v>
      </c>
      <c r="AG1793">
        <v>15</v>
      </c>
      <c r="AH1793" t="s">
        <v>103</v>
      </c>
      <c r="AI1793">
        <v>1.4E-2</v>
      </c>
      <c r="AJ1793" t="s">
        <v>1154</v>
      </c>
    </row>
    <row r="1794" spans="1:36" x14ac:dyDescent="0.25">
      <c r="A1794" t="s">
        <v>577</v>
      </c>
      <c r="B1794">
        <v>855174642</v>
      </c>
      <c r="C1794" t="s">
        <v>578</v>
      </c>
      <c r="D1794" t="s">
        <v>578</v>
      </c>
      <c r="E1794" t="s">
        <v>65</v>
      </c>
      <c r="F1794" t="s">
        <v>66</v>
      </c>
      <c r="I1794" t="s">
        <v>39</v>
      </c>
      <c r="J1794" t="s">
        <v>40</v>
      </c>
      <c r="K1794" t="s">
        <v>41</v>
      </c>
      <c r="L1794" t="s">
        <v>53</v>
      </c>
      <c r="N1794" t="s">
        <v>43</v>
      </c>
      <c r="O1794" t="s">
        <v>443</v>
      </c>
      <c r="P1794">
        <v>253</v>
      </c>
      <c r="Q1794">
        <v>253</v>
      </c>
      <c r="S1794" t="s">
        <v>39</v>
      </c>
      <c r="V1794" t="s">
        <v>39</v>
      </c>
      <c r="X1794">
        <v>1</v>
      </c>
      <c r="Y1794" t="s">
        <v>47</v>
      </c>
      <c r="Z1794">
        <v>0</v>
      </c>
      <c r="AA1794">
        <v>298</v>
      </c>
      <c r="AB1794" t="s">
        <v>47</v>
      </c>
      <c r="AC1794">
        <v>0.29699999999999999</v>
      </c>
      <c r="AD1794">
        <v>176</v>
      </c>
      <c r="AE1794" t="s">
        <v>56</v>
      </c>
      <c r="AF1794">
        <v>0.17499999999999999</v>
      </c>
      <c r="AG1794">
        <v>15</v>
      </c>
      <c r="AH1794" t="s">
        <v>103</v>
      </c>
      <c r="AI1794">
        <v>1.4E-2</v>
      </c>
      <c r="AJ1794" t="s">
        <v>1155</v>
      </c>
    </row>
    <row r="1795" spans="1:36" x14ac:dyDescent="0.25">
      <c r="A1795" t="s">
        <v>574</v>
      </c>
      <c r="B1795">
        <v>873004905</v>
      </c>
      <c r="C1795" t="s">
        <v>575</v>
      </c>
      <c r="D1795" t="s">
        <v>575</v>
      </c>
      <c r="E1795" t="s">
        <v>99</v>
      </c>
      <c r="F1795" t="s">
        <v>143</v>
      </c>
      <c r="I1795" t="s">
        <v>39</v>
      </c>
      <c r="J1795" t="s">
        <v>40</v>
      </c>
      <c r="K1795" t="s">
        <v>41</v>
      </c>
      <c r="L1795" t="s">
        <v>72</v>
      </c>
      <c r="M1795" t="s">
        <v>47</v>
      </c>
      <c r="N1795" t="s">
        <v>43</v>
      </c>
      <c r="O1795" t="s">
        <v>576</v>
      </c>
      <c r="P1795">
        <v>254</v>
      </c>
      <c r="Q1795">
        <v>254</v>
      </c>
      <c r="R1795">
        <v>41</v>
      </c>
      <c r="S1795" t="s">
        <v>45</v>
      </c>
      <c r="T1795">
        <v>0.04</v>
      </c>
      <c r="U1795">
        <v>1</v>
      </c>
      <c r="V1795" t="s">
        <v>55</v>
      </c>
      <c r="W1795">
        <v>0</v>
      </c>
      <c r="X1795">
        <v>12001</v>
      </c>
      <c r="Y1795" t="s">
        <v>47</v>
      </c>
      <c r="Z1795">
        <v>12</v>
      </c>
      <c r="AA1795">
        <v>161</v>
      </c>
      <c r="AB1795" t="s">
        <v>47</v>
      </c>
      <c r="AC1795">
        <v>0.16</v>
      </c>
      <c r="AD1795">
        <v>393</v>
      </c>
      <c r="AE1795" t="s">
        <v>56</v>
      </c>
      <c r="AF1795">
        <v>0.39200000000000002</v>
      </c>
      <c r="AG1795">
        <v>122</v>
      </c>
      <c r="AH1795" t="s">
        <v>103</v>
      </c>
      <c r="AI1795">
        <v>0.121</v>
      </c>
      <c r="AJ1795" t="s">
        <v>50</v>
      </c>
    </row>
    <row r="1796" spans="1:36" x14ac:dyDescent="0.25">
      <c r="A1796" t="s">
        <v>574</v>
      </c>
      <c r="B1796">
        <v>873004905</v>
      </c>
      <c r="C1796" t="s">
        <v>575</v>
      </c>
      <c r="D1796" t="s">
        <v>575</v>
      </c>
      <c r="E1796" t="s">
        <v>99</v>
      </c>
      <c r="F1796" t="s">
        <v>143</v>
      </c>
      <c r="I1796" t="s">
        <v>39</v>
      </c>
      <c r="J1796" t="s">
        <v>40</v>
      </c>
      <c r="K1796" t="s">
        <v>41</v>
      </c>
      <c r="L1796" t="s">
        <v>72</v>
      </c>
      <c r="M1796" t="s">
        <v>47</v>
      </c>
      <c r="N1796" t="s">
        <v>43</v>
      </c>
      <c r="O1796" t="s">
        <v>576</v>
      </c>
      <c r="P1796">
        <v>254</v>
      </c>
      <c r="Q1796">
        <v>254</v>
      </c>
      <c r="R1796">
        <v>61</v>
      </c>
      <c r="S1796" t="s">
        <v>56</v>
      </c>
      <c r="T1796">
        <v>0.06</v>
      </c>
      <c r="U1796">
        <v>1</v>
      </c>
      <c r="V1796" t="s">
        <v>55</v>
      </c>
      <c r="W1796">
        <v>0</v>
      </c>
      <c r="X1796">
        <v>12001</v>
      </c>
      <c r="Y1796" t="s">
        <v>47</v>
      </c>
      <c r="Z1796">
        <v>12</v>
      </c>
      <c r="AA1796">
        <v>161</v>
      </c>
      <c r="AB1796" t="s">
        <v>47</v>
      </c>
      <c r="AC1796">
        <v>0.16</v>
      </c>
      <c r="AD1796">
        <v>393</v>
      </c>
      <c r="AE1796" t="s">
        <v>56</v>
      </c>
      <c r="AF1796">
        <v>0.39200000000000002</v>
      </c>
      <c r="AG1796">
        <v>122</v>
      </c>
      <c r="AH1796" t="s">
        <v>103</v>
      </c>
      <c r="AI1796">
        <v>0.121</v>
      </c>
      <c r="AJ1796" t="s">
        <v>1141</v>
      </c>
    </row>
    <row r="1797" spans="1:36" x14ac:dyDescent="0.25">
      <c r="A1797" t="s">
        <v>574</v>
      </c>
      <c r="B1797">
        <v>873004905</v>
      </c>
      <c r="C1797" t="s">
        <v>575</v>
      </c>
      <c r="D1797" t="s">
        <v>575</v>
      </c>
      <c r="E1797" t="s">
        <v>99</v>
      </c>
      <c r="F1797" t="s">
        <v>143</v>
      </c>
      <c r="I1797" t="s">
        <v>39</v>
      </c>
      <c r="J1797" t="s">
        <v>40</v>
      </c>
      <c r="K1797" t="s">
        <v>41</v>
      </c>
      <c r="L1797" t="s">
        <v>72</v>
      </c>
      <c r="M1797" t="s">
        <v>47</v>
      </c>
      <c r="N1797" t="s">
        <v>43</v>
      </c>
      <c r="O1797" t="s">
        <v>576</v>
      </c>
      <c r="P1797">
        <v>254</v>
      </c>
      <c r="Q1797">
        <v>254</v>
      </c>
      <c r="R1797">
        <v>41</v>
      </c>
      <c r="S1797" t="s">
        <v>45</v>
      </c>
      <c r="T1797">
        <v>0.04</v>
      </c>
      <c r="U1797">
        <v>1</v>
      </c>
      <c r="V1797" t="s">
        <v>55</v>
      </c>
      <c r="W1797">
        <v>0</v>
      </c>
      <c r="X1797">
        <v>12001</v>
      </c>
      <c r="Y1797" t="s">
        <v>47</v>
      </c>
      <c r="Z1797">
        <v>12</v>
      </c>
      <c r="AA1797">
        <v>161</v>
      </c>
      <c r="AB1797" t="s">
        <v>47</v>
      </c>
      <c r="AC1797">
        <v>0.16</v>
      </c>
      <c r="AD1797">
        <v>393</v>
      </c>
      <c r="AE1797" t="s">
        <v>56</v>
      </c>
      <c r="AF1797">
        <v>0.39200000000000002</v>
      </c>
      <c r="AG1797">
        <v>122</v>
      </c>
      <c r="AH1797" t="s">
        <v>103</v>
      </c>
      <c r="AI1797">
        <v>0.121</v>
      </c>
      <c r="AJ1797" t="s">
        <v>1153</v>
      </c>
    </row>
    <row r="1798" spans="1:36" x14ac:dyDescent="0.25">
      <c r="A1798" t="s">
        <v>574</v>
      </c>
      <c r="B1798">
        <v>873004905</v>
      </c>
      <c r="C1798" t="s">
        <v>575</v>
      </c>
      <c r="D1798" t="s">
        <v>575</v>
      </c>
      <c r="E1798" t="s">
        <v>99</v>
      </c>
      <c r="F1798" t="s">
        <v>143</v>
      </c>
      <c r="I1798" t="s">
        <v>39</v>
      </c>
      <c r="J1798" t="s">
        <v>40</v>
      </c>
      <c r="K1798" t="s">
        <v>41</v>
      </c>
      <c r="L1798" t="s">
        <v>72</v>
      </c>
      <c r="M1798" t="s">
        <v>47</v>
      </c>
      <c r="N1798" t="s">
        <v>43</v>
      </c>
      <c r="O1798" t="s">
        <v>576</v>
      </c>
      <c r="P1798">
        <v>254</v>
      </c>
      <c r="Q1798">
        <v>254</v>
      </c>
      <c r="R1798">
        <v>41</v>
      </c>
      <c r="S1798" t="s">
        <v>45</v>
      </c>
      <c r="T1798">
        <v>0.04</v>
      </c>
      <c r="U1798">
        <v>1</v>
      </c>
      <c r="V1798" t="s">
        <v>55</v>
      </c>
      <c r="W1798">
        <v>0</v>
      </c>
      <c r="X1798">
        <v>12001</v>
      </c>
      <c r="Y1798" t="s">
        <v>47</v>
      </c>
      <c r="Z1798">
        <v>12</v>
      </c>
      <c r="AA1798">
        <v>161</v>
      </c>
      <c r="AB1798" t="s">
        <v>47</v>
      </c>
      <c r="AC1798">
        <v>0.16</v>
      </c>
      <c r="AD1798">
        <v>393</v>
      </c>
      <c r="AE1798" t="s">
        <v>56</v>
      </c>
      <c r="AF1798">
        <v>0.39200000000000002</v>
      </c>
      <c r="AG1798">
        <v>122</v>
      </c>
      <c r="AH1798" t="s">
        <v>103</v>
      </c>
      <c r="AI1798">
        <v>0.121</v>
      </c>
      <c r="AJ1798" t="s">
        <v>1154</v>
      </c>
    </row>
    <row r="1799" spans="1:36" x14ac:dyDescent="0.25">
      <c r="A1799" t="s">
        <v>574</v>
      </c>
      <c r="B1799">
        <v>873004905</v>
      </c>
      <c r="C1799" t="s">
        <v>575</v>
      </c>
      <c r="D1799" t="s">
        <v>575</v>
      </c>
      <c r="E1799" t="s">
        <v>99</v>
      </c>
      <c r="F1799" t="s">
        <v>143</v>
      </c>
      <c r="I1799" t="s">
        <v>39</v>
      </c>
      <c r="J1799" t="s">
        <v>40</v>
      </c>
      <c r="K1799" t="s">
        <v>41</v>
      </c>
      <c r="L1799" t="s">
        <v>72</v>
      </c>
      <c r="M1799" t="s">
        <v>47</v>
      </c>
      <c r="N1799" t="s">
        <v>43</v>
      </c>
      <c r="O1799" t="s">
        <v>576</v>
      </c>
      <c r="P1799">
        <v>254</v>
      </c>
      <c r="Q1799">
        <v>254</v>
      </c>
      <c r="S1799" t="s">
        <v>39</v>
      </c>
      <c r="V1799" t="s">
        <v>39</v>
      </c>
      <c r="X1799">
        <v>12001</v>
      </c>
      <c r="Y1799" t="s">
        <v>47</v>
      </c>
      <c r="Z1799">
        <v>12</v>
      </c>
      <c r="AA1799">
        <v>161</v>
      </c>
      <c r="AB1799" t="s">
        <v>47</v>
      </c>
      <c r="AC1799">
        <v>0.16</v>
      </c>
      <c r="AD1799">
        <v>393</v>
      </c>
      <c r="AE1799" t="s">
        <v>56</v>
      </c>
      <c r="AF1799">
        <v>0.39200000000000002</v>
      </c>
      <c r="AG1799">
        <v>122</v>
      </c>
      <c r="AH1799" t="s">
        <v>103</v>
      </c>
      <c r="AI1799">
        <v>0.121</v>
      </c>
      <c r="AJ1799" t="s">
        <v>1155</v>
      </c>
    </row>
    <row r="1800" spans="1:36" x14ac:dyDescent="0.25">
      <c r="A1800" t="s">
        <v>572</v>
      </c>
      <c r="B1800">
        <v>855869139</v>
      </c>
      <c r="C1800" t="s">
        <v>573</v>
      </c>
      <c r="D1800" t="s">
        <v>573</v>
      </c>
      <c r="E1800" t="s">
        <v>65</v>
      </c>
      <c r="F1800" t="s">
        <v>83</v>
      </c>
      <c r="I1800" t="s">
        <v>39</v>
      </c>
      <c r="J1800" t="s">
        <v>40</v>
      </c>
      <c r="K1800" t="s">
        <v>41</v>
      </c>
      <c r="L1800" t="s">
        <v>53</v>
      </c>
      <c r="N1800" t="s">
        <v>43</v>
      </c>
      <c r="O1800" t="s">
        <v>412</v>
      </c>
      <c r="P1800">
        <v>254</v>
      </c>
      <c r="Q1800">
        <v>254</v>
      </c>
      <c r="R1800">
        <v>1001</v>
      </c>
      <c r="S1800" t="s">
        <v>56</v>
      </c>
      <c r="T1800">
        <v>1</v>
      </c>
      <c r="U1800">
        <v>1</v>
      </c>
      <c r="V1800" t="s">
        <v>55</v>
      </c>
      <c r="W1800">
        <v>0</v>
      </c>
      <c r="X1800">
        <v>1</v>
      </c>
      <c r="Y1800" t="s">
        <v>47</v>
      </c>
      <c r="Z1800">
        <v>0</v>
      </c>
      <c r="AA1800">
        <v>192</v>
      </c>
      <c r="AB1800" t="s">
        <v>47</v>
      </c>
      <c r="AC1800">
        <v>0.191</v>
      </c>
      <c r="AD1800">
        <v>215</v>
      </c>
      <c r="AE1800" t="s">
        <v>56</v>
      </c>
      <c r="AF1800">
        <v>0.214</v>
      </c>
      <c r="AG1800">
        <v>8</v>
      </c>
      <c r="AH1800" t="s">
        <v>103</v>
      </c>
      <c r="AI1800">
        <v>7.0000000000000001E-3</v>
      </c>
      <c r="AJ1800" t="s">
        <v>50</v>
      </c>
    </row>
    <row r="1801" spans="1:36" x14ac:dyDescent="0.25">
      <c r="A1801" t="s">
        <v>572</v>
      </c>
      <c r="B1801">
        <v>855869139</v>
      </c>
      <c r="C1801" t="s">
        <v>573</v>
      </c>
      <c r="D1801" t="s">
        <v>573</v>
      </c>
      <c r="E1801" t="s">
        <v>65</v>
      </c>
      <c r="F1801" t="s">
        <v>83</v>
      </c>
      <c r="I1801" t="s">
        <v>39</v>
      </c>
      <c r="J1801" t="s">
        <v>40</v>
      </c>
      <c r="K1801" t="s">
        <v>41</v>
      </c>
      <c r="L1801" t="s">
        <v>53</v>
      </c>
      <c r="N1801" t="s">
        <v>43</v>
      </c>
      <c r="O1801" t="s">
        <v>412</v>
      </c>
      <c r="P1801">
        <v>254</v>
      </c>
      <c r="Q1801">
        <v>254</v>
      </c>
      <c r="R1801">
        <v>1001</v>
      </c>
      <c r="S1801" t="s">
        <v>56</v>
      </c>
      <c r="T1801">
        <v>1</v>
      </c>
      <c r="U1801">
        <v>1</v>
      </c>
      <c r="V1801" t="s">
        <v>55</v>
      </c>
      <c r="W1801">
        <v>0</v>
      </c>
      <c r="X1801">
        <v>1</v>
      </c>
      <c r="Y1801" t="s">
        <v>47</v>
      </c>
      <c r="Z1801">
        <v>0</v>
      </c>
      <c r="AA1801">
        <v>192</v>
      </c>
      <c r="AB1801" t="s">
        <v>47</v>
      </c>
      <c r="AC1801">
        <v>0.191</v>
      </c>
      <c r="AD1801">
        <v>215</v>
      </c>
      <c r="AE1801" t="s">
        <v>56</v>
      </c>
      <c r="AF1801">
        <v>0.214</v>
      </c>
      <c r="AG1801">
        <v>8</v>
      </c>
      <c r="AH1801" t="s">
        <v>103</v>
      </c>
      <c r="AI1801">
        <v>7.0000000000000001E-3</v>
      </c>
      <c r="AJ1801" t="s">
        <v>1141</v>
      </c>
    </row>
    <row r="1802" spans="1:36" x14ac:dyDescent="0.25">
      <c r="A1802" t="s">
        <v>572</v>
      </c>
      <c r="B1802">
        <v>855869139</v>
      </c>
      <c r="C1802" t="s">
        <v>573</v>
      </c>
      <c r="D1802" t="s">
        <v>573</v>
      </c>
      <c r="E1802" t="s">
        <v>65</v>
      </c>
      <c r="F1802" t="s">
        <v>83</v>
      </c>
      <c r="I1802" t="s">
        <v>39</v>
      </c>
      <c r="J1802" t="s">
        <v>40</v>
      </c>
      <c r="K1802" t="s">
        <v>41</v>
      </c>
      <c r="L1802" t="s">
        <v>53</v>
      </c>
      <c r="N1802" t="s">
        <v>43</v>
      </c>
      <c r="O1802" t="s">
        <v>412</v>
      </c>
      <c r="P1802">
        <v>254</v>
      </c>
      <c r="Q1802">
        <v>254</v>
      </c>
      <c r="R1802">
        <v>1001</v>
      </c>
      <c r="S1802" t="s">
        <v>56</v>
      </c>
      <c r="T1802">
        <v>1</v>
      </c>
      <c r="U1802">
        <v>1</v>
      </c>
      <c r="V1802" t="s">
        <v>55</v>
      </c>
      <c r="W1802">
        <v>0</v>
      </c>
      <c r="X1802">
        <v>1</v>
      </c>
      <c r="Y1802" t="s">
        <v>47</v>
      </c>
      <c r="Z1802">
        <v>0</v>
      </c>
      <c r="AA1802">
        <v>192</v>
      </c>
      <c r="AB1802" t="s">
        <v>47</v>
      </c>
      <c r="AC1802">
        <v>0.191</v>
      </c>
      <c r="AD1802">
        <v>215</v>
      </c>
      <c r="AE1802" t="s">
        <v>56</v>
      </c>
      <c r="AF1802">
        <v>0.214</v>
      </c>
      <c r="AG1802">
        <v>8</v>
      </c>
      <c r="AH1802" t="s">
        <v>103</v>
      </c>
      <c r="AI1802">
        <v>7.0000000000000001E-3</v>
      </c>
      <c r="AJ1802" t="s">
        <v>1153</v>
      </c>
    </row>
    <row r="1803" spans="1:36" x14ac:dyDescent="0.25">
      <c r="A1803" t="s">
        <v>572</v>
      </c>
      <c r="B1803">
        <v>855869139</v>
      </c>
      <c r="C1803" t="s">
        <v>573</v>
      </c>
      <c r="D1803" t="s">
        <v>573</v>
      </c>
      <c r="E1803" t="s">
        <v>65</v>
      </c>
      <c r="F1803" t="s">
        <v>83</v>
      </c>
      <c r="I1803" t="s">
        <v>39</v>
      </c>
      <c r="J1803" t="s">
        <v>40</v>
      </c>
      <c r="K1803" t="s">
        <v>41</v>
      </c>
      <c r="L1803" t="s">
        <v>53</v>
      </c>
      <c r="N1803" t="s">
        <v>43</v>
      </c>
      <c r="O1803" t="s">
        <v>412</v>
      </c>
      <c r="P1803">
        <v>254</v>
      </c>
      <c r="Q1803">
        <v>254</v>
      </c>
      <c r="R1803">
        <v>1001</v>
      </c>
      <c r="S1803" t="s">
        <v>56</v>
      </c>
      <c r="T1803">
        <v>1</v>
      </c>
      <c r="U1803">
        <v>1</v>
      </c>
      <c r="V1803" t="s">
        <v>55</v>
      </c>
      <c r="W1803">
        <v>0</v>
      </c>
      <c r="X1803">
        <v>1</v>
      </c>
      <c r="Y1803" t="s">
        <v>47</v>
      </c>
      <c r="Z1803">
        <v>0</v>
      </c>
      <c r="AA1803">
        <v>192</v>
      </c>
      <c r="AB1803" t="s">
        <v>47</v>
      </c>
      <c r="AC1803">
        <v>0.191</v>
      </c>
      <c r="AD1803">
        <v>215</v>
      </c>
      <c r="AE1803" t="s">
        <v>56</v>
      </c>
      <c r="AF1803">
        <v>0.214</v>
      </c>
      <c r="AG1803">
        <v>8</v>
      </c>
      <c r="AH1803" t="s">
        <v>103</v>
      </c>
      <c r="AI1803">
        <v>7.0000000000000001E-3</v>
      </c>
      <c r="AJ1803" t="s">
        <v>1154</v>
      </c>
    </row>
    <row r="1804" spans="1:36" x14ac:dyDescent="0.25">
      <c r="A1804" t="s">
        <v>572</v>
      </c>
      <c r="B1804">
        <v>855869139</v>
      </c>
      <c r="C1804" t="s">
        <v>573</v>
      </c>
      <c r="D1804" t="s">
        <v>573</v>
      </c>
      <c r="E1804" t="s">
        <v>65</v>
      </c>
      <c r="F1804" t="s">
        <v>83</v>
      </c>
      <c r="I1804" t="s">
        <v>39</v>
      </c>
      <c r="J1804" t="s">
        <v>40</v>
      </c>
      <c r="K1804" t="s">
        <v>41</v>
      </c>
      <c r="L1804" t="s">
        <v>53</v>
      </c>
      <c r="N1804" t="s">
        <v>43</v>
      </c>
      <c r="O1804" t="s">
        <v>412</v>
      </c>
      <c r="P1804">
        <v>254</v>
      </c>
      <c r="Q1804">
        <v>254</v>
      </c>
      <c r="S1804" t="s">
        <v>39</v>
      </c>
      <c r="V1804" t="s">
        <v>39</v>
      </c>
      <c r="X1804">
        <v>1</v>
      </c>
      <c r="Y1804" t="s">
        <v>47</v>
      </c>
      <c r="Z1804">
        <v>0</v>
      </c>
      <c r="AA1804">
        <v>192</v>
      </c>
      <c r="AB1804" t="s">
        <v>47</v>
      </c>
      <c r="AC1804">
        <v>0.191</v>
      </c>
      <c r="AD1804">
        <v>215</v>
      </c>
      <c r="AE1804" t="s">
        <v>56</v>
      </c>
      <c r="AF1804">
        <v>0.214</v>
      </c>
      <c r="AG1804">
        <v>8</v>
      </c>
      <c r="AH1804" t="s">
        <v>103</v>
      </c>
      <c r="AI1804">
        <v>7.0000000000000001E-3</v>
      </c>
      <c r="AJ1804" t="s">
        <v>1155</v>
      </c>
    </row>
    <row r="1805" spans="1:36" x14ac:dyDescent="0.25">
      <c r="A1805" t="s">
        <v>569</v>
      </c>
      <c r="B1805">
        <v>881505589</v>
      </c>
      <c r="C1805" t="s">
        <v>570</v>
      </c>
      <c r="D1805" t="s">
        <v>570</v>
      </c>
      <c r="E1805" t="s">
        <v>60</v>
      </c>
      <c r="F1805" t="s">
        <v>88</v>
      </c>
      <c r="I1805" t="s">
        <v>39</v>
      </c>
      <c r="J1805" t="s">
        <v>40</v>
      </c>
      <c r="K1805" t="s">
        <v>41</v>
      </c>
      <c r="L1805" t="s">
        <v>42</v>
      </c>
      <c r="N1805" t="s">
        <v>43</v>
      </c>
      <c r="O1805" t="s">
        <v>571</v>
      </c>
      <c r="P1805">
        <v>256</v>
      </c>
      <c r="Q1805">
        <v>256</v>
      </c>
      <c r="R1805">
        <v>511</v>
      </c>
      <c r="S1805" t="s">
        <v>56</v>
      </c>
      <c r="T1805">
        <v>0.51</v>
      </c>
      <c r="U1805">
        <v>395</v>
      </c>
      <c r="V1805" t="s">
        <v>55</v>
      </c>
      <c r="W1805">
        <v>0.39400000000000002</v>
      </c>
      <c r="X1805">
        <v>4001</v>
      </c>
      <c r="Y1805" t="s">
        <v>47</v>
      </c>
      <c r="Z1805">
        <v>4</v>
      </c>
      <c r="AA1805">
        <v>328</v>
      </c>
      <c r="AB1805" t="s">
        <v>47</v>
      </c>
      <c r="AC1805">
        <v>0.32700000000000001</v>
      </c>
      <c r="AD1805">
        <v>589</v>
      </c>
      <c r="AE1805" t="s">
        <v>48</v>
      </c>
      <c r="AF1805">
        <v>0.58799999999999997</v>
      </c>
      <c r="AG1805">
        <v>559</v>
      </c>
      <c r="AH1805" t="s">
        <v>49</v>
      </c>
      <c r="AI1805">
        <v>0.55800000000000005</v>
      </c>
      <c r="AJ1805" t="s">
        <v>50</v>
      </c>
    </row>
    <row r="1806" spans="1:36" x14ac:dyDescent="0.25">
      <c r="A1806" t="s">
        <v>569</v>
      </c>
      <c r="B1806">
        <v>881505589</v>
      </c>
      <c r="C1806" t="s">
        <v>570</v>
      </c>
      <c r="D1806" t="s">
        <v>570</v>
      </c>
      <c r="E1806" t="s">
        <v>60</v>
      </c>
      <c r="F1806" t="s">
        <v>88</v>
      </c>
      <c r="I1806" t="s">
        <v>39</v>
      </c>
      <c r="J1806" t="s">
        <v>40</v>
      </c>
      <c r="K1806" t="s">
        <v>41</v>
      </c>
      <c r="L1806" t="s">
        <v>42</v>
      </c>
      <c r="N1806" t="s">
        <v>43</v>
      </c>
      <c r="O1806" t="s">
        <v>571</v>
      </c>
      <c r="P1806">
        <v>256</v>
      </c>
      <c r="Q1806">
        <v>256</v>
      </c>
      <c r="R1806">
        <v>1001</v>
      </c>
      <c r="S1806" t="s">
        <v>56</v>
      </c>
      <c r="T1806">
        <v>1</v>
      </c>
      <c r="U1806">
        <v>437</v>
      </c>
      <c r="V1806" t="s">
        <v>55</v>
      </c>
      <c r="W1806">
        <v>0.436</v>
      </c>
      <c r="X1806">
        <v>4001</v>
      </c>
      <c r="Y1806" t="s">
        <v>47</v>
      </c>
      <c r="Z1806">
        <v>4</v>
      </c>
      <c r="AA1806">
        <v>328</v>
      </c>
      <c r="AB1806" t="s">
        <v>47</v>
      </c>
      <c r="AC1806">
        <v>0.32700000000000001</v>
      </c>
      <c r="AD1806">
        <v>589</v>
      </c>
      <c r="AE1806" t="s">
        <v>48</v>
      </c>
      <c r="AF1806">
        <v>0.58799999999999997</v>
      </c>
      <c r="AG1806">
        <v>559</v>
      </c>
      <c r="AH1806" t="s">
        <v>49</v>
      </c>
      <c r="AI1806">
        <v>0.55800000000000005</v>
      </c>
      <c r="AJ1806" t="s">
        <v>1141</v>
      </c>
    </row>
    <row r="1807" spans="1:36" x14ac:dyDescent="0.25">
      <c r="A1807" t="s">
        <v>569</v>
      </c>
      <c r="B1807">
        <v>881505589</v>
      </c>
      <c r="C1807" t="s">
        <v>570</v>
      </c>
      <c r="D1807" t="s">
        <v>570</v>
      </c>
      <c r="E1807" t="s">
        <v>60</v>
      </c>
      <c r="F1807" t="s">
        <v>88</v>
      </c>
      <c r="I1807" t="s">
        <v>39</v>
      </c>
      <c r="J1807" t="s">
        <v>40</v>
      </c>
      <c r="K1807" t="s">
        <v>41</v>
      </c>
      <c r="L1807" t="s">
        <v>42</v>
      </c>
      <c r="N1807" t="s">
        <v>43</v>
      </c>
      <c r="O1807" t="s">
        <v>571</v>
      </c>
      <c r="P1807">
        <v>256</v>
      </c>
      <c r="Q1807">
        <v>256</v>
      </c>
      <c r="R1807">
        <v>511</v>
      </c>
      <c r="S1807" t="s">
        <v>56</v>
      </c>
      <c r="T1807">
        <v>0.51</v>
      </c>
      <c r="U1807">
        <v>395</v>
      </c>
      <c r="V1807" t="s">
        <v>55</v>
      </c>
      <c r="W1807">
        <v>0.39400000000000002</v>
      </c>
      <c r="X1807">
        <v>4001</v>
      </c>
      <c r="Y1807" t="s">
        <v>47</v>
      </c>
      <c r="Z1807">
        <v>4</v>
      </c>
      <c r="AA1807">
        <v>328</v>
      </c>
      <c r="AB1807" t="s">
        <v>47</v>
      </c>
      <c r="AC1807">
        <v>0.32700000000000001</v>
      </c>
      <c r="AD1807">
        <v>589</v>
      </c>
      <c r="AE1807" t="s">
        <v>48</v>
      </c>
      <c r="AF1807">
        <v>0.58799999999999997</v>
      </c>
      <c r="AG1807">
        <v>559</v>
      </c>
      <c r="AH1807" t="s">
        <v>49</v>
      </c>
      <c r="AI1807">
        <v>0.55800000000000005</v>
      </c>
      <c r="AJ1807" t="s">
        <v>1153</v>
      </c>
    </row>
    <row r="1808" spans="1:36" x14ac:dyDescent="0.25">
      <c r="A1808" t="s">
        <v>569</v>
      </c>
      <c r="B1808">
        <v>881505589</v>
      </c>
      <c r="C1808" t="s">
        <v>570</v>
      </c>
      <c r="D1808" t="s">
        <v>570</v>
      </c>
      <c r="E1808" t="s">
        <v>60</v>
      </c>
      <c r="F1808" t="s">
        <v>88</v>
      </c>
      <c r="I1808" t="s">
        <v>39</v>
      </c>
      <c r="J1808" t="s">
        <v>40</v>
      </c>
      <c r="K1808" t="s">
        <v>41</v>
      </c>
      <c r="L1808" t="s">
        <v>42</v>
      </c>
      <c r="N1808" t="s">
        <v>43</v>
      </c>
      <c r="O1808" t="s">
        <v>571</v>
      </c>
      <c r="P1808">
        <v>256</v>
      </c>
      <c r="Q1808">
        <v>256</v>
      </c>
      <c r="R1808">
        <v>511</v>
      </c>
      <c r="S1808" t="s">
        <v>56</v>
      </c>
      <c r="T1808">
        <v>0.51</v>
      </c>
      <c r="U1808">
        <v>395</v>
      </c>
      <c r="V1808" t="s">
        <v>55</v>
      </c>
      <c r="W1808">
        <v>0.39400000000000002</v>
      </c>
      <c r="X1808">
        <v>4001</v>
      </c>
      <c r="Y1808" t="s">
        <v>47</v>
      </c>
      <c r="Z1808">
        <v>4</v>
      </c>
      <c r="AA1808">
        <v>328</v>
      </c>
      <c r="AB1808" t="s">
        <v>47</v>
      </c>
      <c r="AC1808">
        <v>0.32700000000000001</v>
      </c>
      <c r="AD1808">
        <v>589</v>
      </c>
      <c r="AE1808" t="s">
        <v>48</v>
      </c>
      <c r="AF1808">
        <v>0.58799999999999997</v>
      </c>
      <c r="AG1808">
        <v>559</v>
      </c>
      <c r="AH1808" t="s">
        <v>49</v>
      </c>
      <c r="AI1808">
        <v>0.55800000000000005</v>
      </c>
      <c r="AJ1808" t="s">
        <v>1154</v>
      </c>
    </row>
    <row r="1809" spans="1:36" x14ac:dyDescent="0.25">
      <c r="A1809" t="s">
        <v>569</v>
      </c>
      <c r="B1809">
        <v>881505589</v>
      </c>
      <c r="C1809" t="s">
        <v>570</v>
      </c>
      <c r="D1809" t="s">
        <v>570</v>
      </c>
      <c r="E1809" t="s">
        <v>60</v>
      </c>
      <c r="F1809" t="s">
        <v>88</v>
      </c>
      <c r="I1809" t="s">
        <v>39</v>
      </c>
      <c r="J1809" t="s">
        <v>40</v>
      </c>
      <c r="K1809" t="s">
        <v>41</v>
      </c>
      <c r="L1809" t="s">
        <v>42</v>
      </c>
      <c r="N1809" t="s">
        <v>43</v>
      </c>
      <c r="O1809" t="s">
        <v>571</v>
      </c>
      <c r="P1809">
        <v>256</v>
      </c>
      <c r="Q1809">
        <v>256</v>
      </c>
      <c r="S1809" t="s">
        <v>39</v>
      </c>
      <c r="V1809" t="s">
        <v>39</v>
      </c>
      <c r="X1809">
        <v>4001</v>
      </c>
      <c r="Y1809" t="s">
        <v>47</v>
      </c>
      <c r="Z1809">
        <v>4</v>
      </c>
      <c r="AA1809">
        <v>328</v>
      </c>
      <c r="AB1809" t="s">
        <v>47</v>
      </c>
      <c r="AC1809">
        <v>0.32700000000000001</v>
      </c>
      <c r="AD1809">
        <v>589</v>
      </c>
      <c r="AE1809" t="s">
        <v>48</v>
      </c>
      <c r="AF1809">
        <v>0.58799999999999997</v>
      </c>
      <c r="AG1809">
        <v>559</v>
      </c>
      <c r="AH1809" t="s">
        <v>49</v>
      </c>
      <c r="AI1809">
        <v>0.55800000000000005</v>
      </c>
      <c r="AJ1809" t="s">
        <v>1155</v>
      </c>
    </row>
    <row r="1810" spans="1:36" x14ac:dyDescent="0.25">
      <c r="A1810" t="s">
        <v>566</v>
      </c>
      <c r="B1810">
        <v>851632307</v>
      </c>
      <c r="C1810" t="s">
        <v>567</v>
      </c>
      <c r="D1810" t="s">
        <v>567</v>
      </c>
      <c r="E1810" t="s">
        <v>99</v>
      </c>
      <c r="F1810" t="s">
        <v>214</v>
      </c>
      <c r="I1810" t="s">
        <v>39</v>
      </c>
      <c r="J1810" t="s">
        <v>40</v>
      </c>
      <c r="K1810" t="s">
        <v>41</v>
      </c>
      <c r="L1810" t="s">
        <v>197</v>
      </c>
      <c r="M1810" t="s">
        <v>47</v>
      </c>
      <c r="N1810" t="s">
        <v>43</v>
      </c>
      <c r="O1810" t="s">
        <v>568</v>
      </c>
      <c r="P1810">
        <v>256</v>
      </c>
      <c r="Q1810">
        <v>256</v>
      </c>
      <c r="R1810">
        <v>91</v>
      </c>
      <c r="S1810" t="s">
        <v>56</v>
      </c>
      <c r="T1810">
        <v>0.09</v>
      </c>
      <c r="U1810">
        <v>921</v>
      </c>
      <c r="V1810" t="s">
        <v>46</v>
      </c>
      <c r="W1810">
        <v>0.92</v>
      </c>
      <c r="X1810">
        <v>5001</v>
      </c>
      <c r="Y1810" t="s">
        <v>47</v>
      </c>
      <c r="Z1810">
        <v>5</v>
      </c>
      <c r="AA1810">
        <v>392</v>
      </c>
      <c r="AB1810" t="s">
        <v>47</v>
      </c>
      <c r="AC1810">
        <v>0.39100000000000001</v>
      </c>
      <c r="AD1810">
        <v>700</v>
      </c>
      <c r="AE1810" t="s">
        <v>48</v>
      </c>
      <c r="AF1810">
        <v>0.69899999999999995</v>
      </c>
      <c r="AG1810">
        <v>827</v>
      </c>
      <c r="AH1810" t="s">
        <v>49</v>
      </c>
      <c r="AI1810">
        <v>0.82599999999999996</v>
      </c>
      <c r="AJ1810" t="s">
        <v>50</v>
      </c>
    </row>
    <row r="1811" spans="1:36" x14ac:dyDescent="0.25">
      <c r="A1811" t="s">
        <v>566</v>
      </c>
      <c r="B1811">
        <v>851632307</v>
      </c>
      <c r="C1811" t="s">
        <v>567</v>
      </c>
      <c r="D1811" t="s">
        <v>567</v>
      </c>
      <c r="E1811" t="s">
        <v>99</v>
      </c>
      <c r="F1811" t="s">
        <v>214</v>
      </c>
      <c r="I1811" t="s">
        <v>39</v>
      </c>
      <c r="J1811" t="s">
        <v>40</v>
      </c>
      <c r="K1811" t="s">
        <v>41</v>
      </c>
      <c r="L1811" t="s">
        <v>197</v>
      </c>
      <c r="M1811" t="s">
        <v>47</v>
      </c>
      <c r="N1811" t="s">
        <v>43</v>
      </c>
      <c r="O1811" t="s">
        <v>568</v>
      </c>
      <c r="P1811">
        <v>256</v>
      </c>
      <c r="Q1811">
        <v>256</v>
      </c>
      <c r="R1811">
        <v>191</v>
      </c>
      <c r="S1811" t="s">
        <v>56</v>
      </c>
      <c r="T1811">
        <v>0.19</v>
      </c>
      <c r="U1811">
        <v>862</v>
      </c>
      <c r="V1811" t="s">
        <v>113</v>
      </c>
      <c r="W1811">
        <v>0.86099999999999999</v>
      </c>
      <c r="X1811">
        <v>5001</v>
      </c>
      <c r="Y1811" t="s">
        <v>47</v>
      </c>
      <c r="Z1811">
        <v>5</v>
      </c>
      <c r="AA1811">
        <v>392</v>
      </c>
      <c r="AB1811" t="s">
        <v>47</v>
      </c>
      <c r="AC1811">
        <v>0.39100000000000001</v>
      </c>
      <c r="AD1811">
        <v>700</v>
      </c>
      <c r="AE1811" t="s">
        <v>48</v>
      </c>
      <c r="AF1811">
        <v>0.69899999999999995</v>
      </c>
      <c r="AG1811">
        <v>827</v>
      </c>
      <c r="AH1811" t="s">
        <v>49</v>
      </c>
      <c r="AI1811">
        <v>0.82599999999999996</v>
      </c>
      <c r="AJ1811" t="s">
        <v>1141</v>
      </c>
    </row>
    <row r="1812" spans="1:36" x14ac:dyDescent="0.25">
      <c r="A1812" t="s">
        <v>566</v>
      </c>
      <c r="B1812">
        <v>851632307</v>
      </c>
      <c r="C1812" t="s">
        <v>567</v>
      </c>
      <c r="D1812" t="s">
        <v>567</v>
      </c>
      <c r="E1812" t="s">
        <v>99</v>
      </c>
      <c r="F1812" t="s">
        <v>214</v>
      </c>
      <c r="I1812" t="s">
        <v>39</v>
      </c>
      <c r="J1812" t="s">
        <v>40</v>
      </c>
      <c r="K1812" t="s">
        <v>41</v>
      </c>
      <c r="L1812" t="s">
        <v>197</v>
      </c>
      <c r="M1812" t="s">
        <v>47</v>
      </c>
      <c r="N1812" t="s">
        <v>43</v>
      </c>
      <c r="O1812" t="s">
        <v>568</v>
      </c>
      <c r="P1812">
        <v>256</v>
      </c>
      <c r="Q1812">
        <v>256</v>
      </c>
      <c r="R1812">
        <v>91</v>
      </c>
      <c r="S1812" t="s">
        <v>56</v>
      </c>
      <c r="T1812">
        <v>0.09</v>
      </c>
      <c r="U1812">
        <v>921</v>
      </c>
      <c r="V1812" t="s">
        <v>46</v>
      </c>
      <c r="W1812">
        <v>0.92</v>
      </c>
      <c r="X1812">
        <v>5001</v>
      </c>
      <c r="Y1812" t="s">
        <v>47</v>
      </c>
      <c r="Z1812">
        <v>5</v>
      </c>
      <c r="AA1812">
        <v>392</v>
      </c>
      <c r="AB1812" t="s">
        <v>47</v>
      </c>
      <c r="AC1812">
        <v>0.39100000000000001</v>
      </c>
      <c r="AD1812">
        <v>700</v>
      </c>
      <c r="AE1812" t="s">
        <v>48</v>
      </c>
      <c r="AF1812">
        <v>0.69899999999999995</v>
      </c>
      <c r="AG1812">
        <v>827</v>
      </c>
      <c r="AH1812" t="s">
        <v>49</v>
      </c>
      <c r="AI1812">
        <v>0.82599999999999996</v>
      </c>
      <c r="AJ1812" t="s">
        <v>1153</v>
      </c>
    </row>
    <row r="1813" spans="1:36" x14ac:dyDescent="0.25">
      <c r="A1813" t="s">
        <v>566</v>
      </c>
      <c r="B1813">
        <v>851632307</v>
      </c>
      <c r="C1813" t="s">
        <v>567</v>
      </c>
      <c r="D1813" t="s">
        <v>567</v>
      </c>
      <c r="E1813" t="s">
        <v>99</v>
      </c>
      <c r="F1813" t="s">
        <v>214</v>
      </c>
      <c r="I1813" t="s">
        <v>39</v>
      </c>
      <c r="J1813" t="s">
        <v>40</v>
      </c>
      <c r="K1813" t="s">
        <v>41</v>
      </c>
      <c r="L1813" t="s">
        <v>197</v>
      </c>
      <c r="M1813" t="s">
        <v>47</v>
      </c>
      <c r="N1813" t="s">
        <v>43</v>
      </c>
      <c r="O1813" t="s">
        <v>568</v>
      </c>
      <c r="P1813">
        <v>256</v>
      </c>
      <c r="Q1813">
        <v>256</v>
      </c>
      <c r="R1813">
        <v>91</v>
      </c>
      <c r="S1813" t="s">
        <v>56</v>
      </c>
      <c r="T1813">
        <v>0.09</v>
      </c>
      <c r="U1813">
        <v>921</v>
      </c>
      <c r="V1813" t="s">
        <v>46</v>
      </c>
      <c r="W1813">
        <v>0.92</v>
      </c>
      <c r="X1813">
        <v>5001</v>
      </c>
      <c r="Y1813" t="s">
        <v>47</v>
      </c>
      <c r="Z1813">
        <v>5</v>
      </c>
      <c r="AA1813">
        <v>392</v>
      </c>
      <c r="AB1813" t="s">
        <v>47</v>
      </c>
      <c r="AC1813">
        <v>0.39100000000000001</v>
      </c>
      <c r="AD1813">
        <v>700</v>
      </c>
      <c r="AE1813" t="s">
        <v>48</v>
      </c>
      <c r="AF1813">
        <v>0.69899999999999995</v>
      </c>
      <c r="AG1813">
        <v>827</v>
      </c>
      <c r="AH1813" t="s">
        <v>49</v>
      </c>
      <c r="AI1813">
        <v>0.82599999999999996</v>
      </c>
      <c r="AJ1813" t="s">
        <v>1154</v>
      </c>
    </row>
    <row r="1814" spans="1:36" x14ac:dyDescent="0.25">
      <c r="A1814" t="s">
        <v>566</v>
      </c>
      <c r="B1814">
        <v>851632307</v>
      </c>
      <c r="C1814" t="s">
        <v>567</v>
      </c>
      <c r="D1814" t="s">
        <v>567</v>
      </c>
      <c r="E1814" t="s">
        <v>99</v>
      </c>
      <c r="F1814" t="s">
        <v>214</v>
      </c>
      <c r="I1814" t="s">
        <v>39</v>
      </c>
      <c r="J1814" t="s">
        <v>40</v>
      </c>
      <c r="K1814" t="s">
        <v>41</v>
      </c>
      <c r="L1814" t="s">
        <v>197</v>
      </c>
      <c r="M1814" t="s">
        <v>47</v>
      </c>
      <c r="N1814" t="s">
        <v>43</v>
      </c>
      <c r="O1814" t="s">
        <v>568</v>
      </c>
      <c r="P1814">
        <v>256</v>
      </c>
      <c r="Q1814">
        <v>256</v>
      </c>
      <c r="S1814" t="s">
        <v>39</v>
      </c>
      <c r="V1814" t="s">
        <v>39</v>
      </c>
      <c r="X1814">
        <v>5001</v>
      </c>
      <c r="Y1814" t="s">
        <v>47</v>
      </c>
      <c r="Z1814">
        <v>5</v>
      </c>
      <c r="AA1814">
        <v>392</v>
      </c>
      <c r="AB1814" t="s">
        <v>47</v>
      </c>
      <c r="AC1814">
        <v>0.39100000000000001</v>
      </c>
      <c r="AD1814">
        <v>700</v>
      </c>
      <c r="AE1814" t="s">
        <v>48</v>
      </c>
      <c r="AF1814">
        <v>0.69899999999999995</v>
      </c>
      <c r="AG1814">
        <v>827</v>
      </c>
      <c r="AH1814" t="s">
        <v>49</v>
      </c>
      <c r="AI1814">
        <v>0.82599999999999996</v>
      </c>
      <c r="AJ1814" t="s">
        <v>1155</v>
      </c>
    </row>
    <row r="1815" spans="1:36" x14ac:dyDescent="0.25">
      <c r="A1815" t="s">
        <v>561</v>
      </c>
      <c r="B1815">
        <v>853522784</v>
      </c>
      <c r="C1815" t="s">
        <v>562</v>
      </c>
      <c r="D1815" t="s">
        <v>562</v>
      </c>
      <c r="E1815" t="s">
        <v>37</v>
      </c>
      <c r="F1815" t="s">
        <v>563</v>
      </c>
      <c r="I1815" t="s">
        <v>39</v>
      </c>
      <c r="J1815" t="s">
        <v>40</v>
      </c>
      <c r="K1815" t="s">
        <v>41</v>
      </c>
      <c r="L1815" t="s">
        <v>211</v>
      </c>
      <c r="N1815" t="s">
        <v>43</v>
      </c>
      <c r="O1815" t="s">
        <v>128</v>
      </c>
      <c r="P1815">
        <v>257</v>
      </c>
      <c r="Q1815">
        <v>257</v>
      </c>
      <c r="R1815">
        <v>131</v>
      </c>
      <c r="S1815" t="s">
        <v>56</v>
      </c>
      <c r="T1815">
        <v>0.13</v>
      </c>
      <c r="U1815">
        <v>38</v>
      </c>
      <c r="V1815" t="s">
        <v>55</v>
      </c>
      <c r="W1815">
        <v>3.6999999999999998E-2</v>
      </c>
      <c r="X1815">
        <v>1</v>
      </c>
      <c r="Y1815" t="s">
        <v>47</v>
      </c>
      <c r="Z1815">
        <v>0</v>
      </c>
      <c r="AA1815">
        <v>139</v>
      </c>
      <c r="AB1815" t="s">
        <v>47</v>
      </c>
      <c r="AC1815">
        <v>0.13800000000000001</v>
      </c>
      <c r="AD1815">
        <v>449</v>
      </c>
      <c r="AE1815" t="s">
        <v>56</v>
      </c>
      <c r="AF1815">
        <v>0.44800000000000001</v>
      </c>
      <c r="AG1815">
        <v>212</v>
      </c>
      <c r="AH1815" t="s">
        <v>57</v>
      </c>
      <c r="AI1815">
        <v>0.21099999999999999</v>
      </c>
      <c r="AJ1815" t="s">
        <v>50</v>
      </c>
    </row>
    <row r="1816" spans="1:36" x14ac:dyDescent="0.25">
      <c r="A1816" t="s">
        <v>561</v>
      </c>
      <c r="B1816">
        <v>853522784</v>
      </c>
      <c r="C1816" t="s">
        <v>562</v>
      </c>
      <c r="D1816" t="s">
        <v>562</v>
      </c>
      <c r="E1816" t="s">
        <v>65</v>
      </c>
      <c r="F1816" t="s">
        <v>563</v>
      </c>
      <c r="I1816" t="s">
        <v>39</v>
      </c>
      <c r="J1816" t="s">
        <v>40</v>
      </c>
      <c r="K1816" t="s">
        <v>41</v>
      </c>
      <c r="L1816" t="s">
        <v>211</v>
      </c>
      <c r="N1816" t="s">
        <v>43</v>
      </c>
      <c r="O1816" t="s">
        <v>128</v>
      </c>
      <c r="P1816">
        <v>257</v>
      </c>
      <c r="Q1816">
        <v>257</v>
      </c>
      <c r="R1816">
        <v>131</v>
      </c>
      <c r="S1816" t="s">
        <v>56</v>
      </c>
      <c r="T1816">
        <v>0.13</v>
      </c>
      <c r="U1816">
        <v>38</v>
      </c>
      <c r="V1816" t="s">
        <v>55</v>
      </c>
      <c r="W1816">
        <v>3.6999999999999998E-2</v>
      </c>
      <c r="X1816">
        <v>1</v>
      </c>
      <c r="Y1816" t="s">
        <v>47</v>
      </c>
      <c r="Z1816">
        <v>0</v>
      </c>
      <c r="AA1816">
        <v>139</v>
      </c>
      <c r="AB1816" t="s">
        <v>47</v>
      </c>
      <c r="AC1816">
        <v>0.13800000000000001</v>
      </c>
      <c r="AD1816">
        <v>449</v>
      </c>
      <c r="AE1816" t="s">
        <v>56</v>
      </c>
      <c r="AF1816">
        <v>0.44800000000000001</v>
      </c>
      <c r="AG1816">
        <v>212</v>
      </c>
      <c r="AH1816" t="s">
        <v>57</v>
      </c>
      <c r="AI1816">
        <v>0.21099999999999999</v>
      </c>
      <c r="AJ1816" t="s">
        <v>50</v>
      </c>
    </row>
    <row r="1817" spans="1:36" x14ac:dyDescent="0.25">
      <c r="A1817" t="s">
        <v>561</v>
      </c>
      <c r="B1817">
        <v>853522784</v>
      </c>
      <c r="C1817" t="s">
        <v>562</v>
      </c>
      <c r="D1817" t="s">
        <v>562</v>
      </c>
      <c r="E1817" t="s">
        <v>37</v>
      </c>
      <c r="F1817" t="s">
        <v>563</v>
      </c>
      <c r="I1817" t="s">
        <v>39</v>
      </c>
      <c r="J1817" t="s">
        <v>40</v>
      </c>
      <c r="K1817" t="s">
        <v>41</v>
      </c>
      <c r="L1817" t="s">
        <v>211</v>
      </c>
      <c r="N1817" t="s">
        <v>43</v>
      </c>
      <c r="O1817" t="s">
        <v>128</v>
      </c>
      <c r="P1817">
        <v>257</v>
      </c>
      <c r="Q1817">
        <v>257</v>
      </c>
      <c r="R1817">
        <v>271</v>
      </c>
      <c r="S1817" t="s">
        <v>56</v>
      </c>
      <c r="T1817">
        <v>0.27</v>
      </c>
      <c r="U1817">
        <v>22</v>
      </c>
      <c r="V1817" t="s">
        <v>55</v>
      </c>
      <c r="W1817">
        <v>2.1000000000000001E-2</v>
      </c>
      <c r="X1817">
        <v>1</v>
      </c>
      <c r="Y1817" t="s">
        <v>47</v>
      </c>
      <c r="Z1817">
        <v>0</v>
      </c>
      <c r="AA1817">
        <v>139</v>
      </c>
      <c r="AB1817" t="s">
        <v>47</v>
      </c>
      <c r="AC1817">
        <v>0.13800000000000001</v>
      </c>
      <c r="AD1817">
        <v>449</v>
      </c>
      <c r="AE1817" t="s">
        <v>56</v>
      </c>
      <c r="AF1817">
        <v>0.44800000000000001</v>
      </c>
      <c r="AG1817">
        <v>212</v>
      </c>
      <c r="AH1817" t="s">
        <v>57</v>
      </c>
      <c r="AI1817">
        <v>0.21099999999999999</v>
      </c>
      <c r="AJ1817" t="s">
        <v>1141</v>
      </c>
    </row>
    <row r="1818" spans="1:36" x14ac:dyDescent="0.25">
      <c r="A1818" t="s">
        <v>561</v>
      </c>
      <c r="B1818">
        <v>853522784</v>
      </c>
      <c r="C1818" t="s">
        <v>562</v>
      </c>
      <c r="D1818" t="s">
        <v>562</v>
      </c>
      <c r="E1818" t="s">
        <v>65</v>
      </c>
      <c r="F1818" t="s">
        <v>563</v>
      </c>
      <c r="I1818" t="s">
        <v>39</v>
      </c>
      <c r="J1818" t="s">
        <v>40</v>
      </c>
      <c r="K1818" t="s">
        <v>41</v>
      </c>
      <c r="L1818" t="s">
        <v>211</v>
      </c>
      <c r="N1818" t="s">
        <v>43</v>
      </c>
      <c r="O1818" t="s">
        <v>128</v>
      </c>
      <c r="P1818">
        <v>257</v>
      </c>
      <c r="Q1818">
        <v>257</v>
      </c>
      <c r="R1818">
        <v>271</v>
      </c>
      <c r="S1818" t="s">
        <v>56</v>
      </c>
      <c r="T1818">
        <v>0.27</v>
      </c>
      <c r="U1818">
        <v>22</v>
      </c>
      <c r="V1818" t="s">
        <v>55</v>
      </c>
      <c r="W1818">
        <v>2.1000000000000001E-2</v>
      </c>
      <c r="X1818">
        <v>1</v>
      </c>
      <c r="Y1818" t="s">
        <v>47</v>
      </c>
      <c r="Z1818">
        <v>0</v>
      </c>
      <c r="AA1818">
        <v>139</v>
      </c>
      <c r="AB1818" t="s">
        <v>47</v>
      </c>
      <c r="AC1818">
        <v>0.13800000000000001</v>
      </c>
      <c r="AD1818">
        <v>449</v>
      </c>
      <c r="AE1818" t="s">
        <v>56</v>
      </c>
      <c r="AF1818">
        <v>0.44800000000000001</v>
      </c>
      <c r="AG1818">
        <v>212</v>
      </c>
      <c r="AH1818" t="s">
        <v>57</v>
      </c>
      <c r="AI1818">
        <v>0.21099999999999999</v>
      </c>
      <c r="AJ1818" t="s">
        <v>1141</v>
      </c>
    </row>
    <row r="1819" spans="1:36" x14ac:dyDescent="0.25">
      <c r="A1819" t="s">
        <v>561</v>
      </c>
      <c r="B1819">
        <v>853522784</v>
      </c>
      <c r="C1819" t="s">
        <v>562</v>
      </c>
      <c r="D1819" t="s">
        <v>562</v>
      </c>
      <c r="E1819" t="s">
        <v>37</v>
      </c>
      <c r="F1819" t="s">
        <v>563</v>
      </c>
      <c r="I1819" t="s">
        <v>39</v>
      </c>
      <c r="J1819" t="s">
        <v>40</v>
      </c>
      <c r="K1819" t="s">
        <v>41</v>
      </c>
      <c r="L1819" t="s">
        <v>211</v>
      </c>
      <c r="N1819" t="s">
        <v>43</v>
      </c>
      <c r="O1819" t="s">
        <v>128</v>
      </c>
      <c r="P1819">
        <v>257</v>
      </c>
      <c r="Q1819">
        <v>257</v>
      </c>
      <c r="R1819">
        <v>131</v>
      </c>
      <c r="S1819" t="s">
        <v>56</v>
      </c>
      <c r="T1819">
        <v>0.13</v>
      </c>
      <c r="U1819">
        <v>38</v>
      </c>
      <c r="V1819" t="s">
        <v>55</v>
      </c>
      <c r="W1819">
        <v>3.6999999999999998E-2</v>
      </c>
      <c r="X1819">
        <v>1</v>
      </c>
      <c r="Y1819" t="s">
        <v>47</v>
      </c>
      <c r="Z1819">
        <v>0</v>
      </c>
      <c r="AA1819">
        <v>139</v>
      </c>
      <c r="AB1819" t="s">
        <v>47</v>
      </c>
      <c r="AC1819">
        <v>0.13800000000000001</v>
      </c>
      <c r="AD1819">
        <v>449</v>
      </c>
      <c r="AE1819" t="s">
        <v>56</v>
      </c>
      <c r="AF1819">
        <v>0.44800000000000001</v>
      </c>
      <c r="AG1819">
        <v>212</v>
      </c>
      <c r="AH1819" t="s">
        <v>57</v>
      </c>
      <c r="AI1819">
        <v>0.21099999999999999</v>
      </c>
      <c r="AJ1819" t="s">
        <v>1153</v>
      </c>
    </row>
    <row r="1820" spans="1:36" x14ac:dyDescent="0.25">
      <c r="A1820" t="s">
        <v>561</v>
      </c>
      <c r="B1820">
        <v>853522784</v>
      </c>
      <c r="C1820" t="s">
        <v>562</v>
      </c>
      <c r="D1820" t="s">
        <v>562</v>
      </c>
      <c r="E1820" t="s">
        <v>65</v>
      </c>
      <c r="F1820" t="s">
        <v>563</v>
      </c>
      <c r="I1820" t="s">
        <v>39</v>
      </c>
      <c r="J1820" t="s">
        <v>40</v>
      </c>
      <c r="K1820" t="s">
        <v>41</v>
      </c>
      <c r="L1820" t="s">
        <v>211</v>
      </c>
      <c r="N1820" t="s">
        <v>43</v>
      </c>
      <c r="O1820" t="s">
        <v>128</v>
      </c>
      <c r="P1820">
        <v>257</v>
      </c>
      <c r="Q1820">
        <v>257</v>
      </c>
      <c r="R1820">
        <v>131</v>
      </c>
      <c r="S1820" t="s">
        <v>56</v>
      </c>
      <c r="T1820">
        <v>0.13</v>
      </c>
      <c r="U1820">
        <v>38</v>
      </c>
      <c r="V1820" t="s">
        <v>55</v>
      </c>
      <c r="W1820">
        <v>3.6999999999999998E-2</v>
      </c>
      <c r="X1820">
        <v>1</v>
      </c>
      <c r="Y1820" t="s">
        <v>47</v>
      </c>
      <c r="Z1820">
        <v>0</v>
      </c>
      <c r="AA1820">
        <v>139</v>
      </c>
      <c r="AB1820" t="s">
        <v>47</v>
      </c>
      <c r="AC1820">
        <v>0.13800000000000001</v>
      </c>
      <c r="AD1820">
        <v>449</v>
      </c>
      <c r="AE1820" t="s">
        <v>56</v>
      </c>
      <c r="AF1820">
        <v>0.44800000000000001</v>
      </c>
      <c r="AG1820">
        <v>212</v>
      </c>
      <c r="AH1820" t="s">
        <v>57</v>
      </c>
      <c r="AI1820">
        <v>0.21099999999999999</v>
      </c>
      <c r="AJ1820" t="s">
        <v>1153</v>
      </c>
    </row>
    <row r="1821" spans="1:36" x14ac:dyDescent="0.25">
      <c r="A1821" t="s">
        <v>561</v>
      </c>
      <c r="B1821">
        <v>853522784</v>
      </c>
      <c r="C1821" t="s">
        <v>562</v>
      </c>
      <c r="D1821" t="s">
        <v>562</v>
      </c>
      <c r="E1821" t="s">
        <v>37</v>
      </c>
      <c r="F1821" t="s">
        <v>563</v>
      </c>
      <c r="I1821" t="s">
        <v>39</v>
      </c>
      <c r="J1821" t="s">
        <v>40</v>
      </c>
      <c r="K1821" t="s">
        <v>41</v>
      </c>
      <c r="L1821" t="s">
        <v>211</v>
      </c>
      <c r="N1821" t="s">
        <v>43</v>
      </c>
      <c r="O1821" t="s">
        <v>128</v>
      </c>
      <c r="P1821">
        <v>257</v>
      </c>
      <c r="Q1821">
        <v>257</v>
      </c>
      <c r="R1821">
        <v>131</v>
      </c>
      <c r="S1821" t="s">
        <v>56</v>
      </c>
      <c r="T1821">
        <v>0.13</v>
      </c>
      <c r="U1821">
        <v>38</v>
      </c>
      <c r="V1821" t="s">
        <v>55</v>
      </c>
      <c r="W1821">
        <v>3.6999999999999998E-2</v>
      </c>
      <c r="X1821">
        <v>1</v>
      </c>
      <c r="Y1821" t="s">
        <v>47</v>
      </c>
      <c r="Z1821">
        <v>0</v>
      </c>
      <c r="AA1821">
        <v>139</v>
      </c>
      <c r="AB1821" t="s">
        <v>47</v>
      </c>
      <c r="AC1821">
        <v>0.13800000000000001</v>
      </c>
      <c r="AD1821">
        <v>449</v>
      </c>
      <c r="AE1821" t="s">
        <v>56</v>
      </c>
      <c r="AF1821">
        <v>0.44800000000000001</v>
      </c>
      <c r="AG1821">
        <v>212</v>
      </c>
      <c r="AH1821" t="s">
        <v>57</v>
      </c>
      <c r="AI1821">
        <v>0.21099999999999999</v>
      </c>
      <c r="AJ1821" t="s">
        <v>1154</v>
      </c>
    </row>
    <row r="1822" spans="1:36" x14ac:dyDescent="0.25">
      <c r="A1822" t="s">
        <v>561</v>
      </c>
      <c r="B1822">
        <v>853522784</v>
      </c>
      <c r="C1822" t="s">
        <v>562</v>
      </c>
      <c r="D1822" t="s">
        <v>562</v>
      </c>
      <c r="E1822" t="s">
        <v>65</v>
      </c>
      <c r="F1822" t="s">
        <v>563</v>
      </c>
      <c r="I1822" t="s">
        <v>39</v>
      </c>
      <c r="J1822" t="s">
        <v>40</v>
      </c>
      <c r="K1822" t="s">
        <v>41</v>
      </c>
      <c r="L1822" t="s">
        <v>211</v>
      </c>
      <c r="N1822" t="s">
        <v>43</v>
      </c>
      <c r="O1822" t="s">
        <v>128</v>
      </c>
      <c r="P1822">
        <v>257</v>
      </c>
      <c r="Q1822">
        <v>257</v>
      </c>
      <c r="R1822">
        <v>131</v>
      </c>
      <c r="S1822" t="s">
        <v>56</v>
      </c>
      <c r="T1822">
        <v>0.13</v>
      </c>
      <c r="U1822">
        <v>38</v>
      </c>
      <c r="V1822" t="s">
        <v>55</v>
      </c>
      <c r="W1822">
        <v>3.6999999999999998E-2</v>
      </c>
      <c r="X1822">
        <v>1</v>
      </c>
      <c r="Y1822" t="s">
        <v>47</v>
      </c>
      <c r="Z1822">
        <v>0</v>
      </c>
      <c r="AA1822">
        <v>139</v>
      </c>
      <c r="AB1822" t="s">
        <v>47</v>
      </c>
      <c r="AC1822">
        <v>0.13800000000000001</v>
      </c>
      <c r="AD1822">
        <v>449</v>
      </c>
      <c r="AE1822" t="s">
        <v>56</v>
      </c>
      <c r="AF1822">
        <v>0.44800000000000001</v>
      </c>
      <c r="AG1822">
        <v>212</v>
      </c>
      <c r="AH1822" t="s">
        <v>57</v>
      </c>
      <c r="AI1822">
        <v>0.21099999999999999</v>
      </c>
      <c r="AJ1822" t="s">
        <v>1154</v>
      </c>
    </row>
    <row r="1823" spans="1:36" x14ac:dyDescent="0.25">
      <c r="A1823" t="s">
        <v>561</v>
      </c>
      <c r="B1823">
        <v>853522784</v>
      </c>
      <c r="C1823" t="s">
        <v>562</v>
      </c>
      <c r="D1823" t="s">
        <v>562</v>
      </c>
      <c r="E1823" t="s">
        <v>37</v>
      </c>
      <c r="F1823" t="s">
        <v>563</v>
      </c>
      <c r="I1823" t="s">
        <v>39</v>
      </c>
      <c r="J1823" t="s">
        <v>40</v>
      </c>
      <c r="K1823" t="s">
        <v>41</v>
      </c>
      <c r="L1823" t="s">
        <v>211</v>
      </c>
      <c r="N1823" t="s">
        <v>43</v>
      </c>
      <c r="O1823" t="s">
        <v>128</v>
      </c>
      <c r="P1823">
        <v>257</v>
      </c>
      <c r="Q1823">
        <v>257</v>
      </c>
      <c r="S1823" t="s">
        <v>39</v>
      </c>
      <c r="V1823" t="s">
        <v>39</v>
      </c>
      <c r="X1823">
        <v>1</v>
      </c>
      <c r="Y1823" t="s">
        <v>47</v>
      </c>
      <c r="Z1823">
        <v>0</v>
      </c>
      <c r="AA1823">
        <v>139</v>
      </c>
      <c r="AB1823" t="s">
        <v>47</v>
      </c>
      <c r="AC1823">
        <v>0.13800000000000001</v>
      </c>
      <c r="AD1823">
        <v>449</v>
      </c>
      <c r="AE1823" t="s">
        <v>56</v>
      </c>
      <c r="AF1823">
        <v>0.44800000000000001</v>
      </c>
      <c r="AG1823">
        <v>212</v>
      </c>
      <c r="AH1823" t="s">
        <v>57</v>
      </c>
      <c r="AI1823">
        <v>0.21099999999999999</v>
      </c>
      <c r="AJ1823" t="s">
        <v>1155</v>
      </c>
    </row>
    <row r="1824" spans="1:36" x14ac:dyDescent="0.25">
      <c r="A1824" t="s">
        <v>561</v>
      </c>
      <c r="B1824">
        <v>853522784</v>
      </c>
      <c r="C1824" t="s">
        <v>562</v>
      </c>
      <c r="D1824" t="s">
        <v>562</v>
      </c>
      <c r="E1824" t="s">
        <v>65</v>
      </c>
      <c r="F1824" t="s">
        <v>563</v>
      </c>
      <c r="I1824" t="s">
        <v>39</v>
      </c>
      <c r="J1824" t="s">
        <v>40</v>
      </c>
      <c r="K1824" t="s">
        <v>41</v>
      </c>
      <c r="L1824" t="s">
        <v>211</v>
      </c>
      <c r="N1824" t="s">
        <v>43</v>
      </c>
      <c r="O1824" t="s">
        <v>128</v>
      </c>
      <c r="P1824">
        <v>257</v>
      </c>
      <c r="Q1824">
        <v>257</v>
      </c>
      <c r="S1824" t="s">
        <v>39</v>
      </c>
      <c r="V1824" t="s">
        <v>39</v>
      </c>
      <c r="X1824">
        <v>1</v>
      </c>
      <c r="Y1824" t="s">
        <v>47</v>
      </c>
      <c r="Z1824">
        <v>0</v>
      </c>
      <c r="AA1824">
        <v>139</v>
      </c>
      <c r="AB1824" t="s">
        <v>47</v>
      </c>
      <c r="AC1824">
        <v>0.13800000000000001</v>
      </c>
      <c r="AD1824">
        <v>449</v>
      </c>
      <c r="AE1824" t="s">
        <v>56</v>
      </c>
      <c r="AF1824">
        <v>0.44800000000000001</v>
      </c>
      <c r="AG1824">
        <v>212</v>
      </c>
      <c r="AH1824" t="s">
        <v>57</v>
      </c>
      <c r="AI1824">
        <v>0.21099999999999999</v>
      </c>
      <c r="AJ1824" t="s">
        <v>1155</v>
      </c>
    </row>
    <row r="1825" spans="1:36" x14ac:dyDescent="0.25">
      <c r="A1825" t="s">
        <v>564</v>
      </c>
      <c r="B1825">
        <v>855547068</v>
      </c>
      <c r="C1825" t="s">
        <v>565</v>
      </c>
      <c r="D1825" t="s">
        <v>565</v>
      </c>
      <c r="E1825" t="s">
        <v>99</v>
      </c>
      <c r="F1825" t="s">
        <v>143</v>
      </c>
      <c r="I1825" t="s">
        <v>39</v>
      </c>
      <c r="J1825" t="s">
        <v>40</v>
      </c>
      <c r="K1825" t="s">
        <v>41</v>
      </c>
      <c r="L1825" t="s">
        <v>89</v>
      </c>
      <c r="N1825" t="s">
        <v>43</v>
      </c>
      <c r="O1825" t="s">
        <v>332</v>
      </c>
      <c r="P1825">
        <v>257</v>
      </c>
      <c r="Q1825">
        <v>257</v>
      </c>
      <c r="R1825">
        <v>1001</v>
      </c>
      <c r="S1825" t="s">
        <v>56</v>
      </c>
      <c r="T1825">
        <v>1</v>
      </c>
      <c r="U1825">
        <v>1</v>
      </c>
      <c r="V1825" t="s">
        <v>55</v>
      </c>
      <c r="W1825">
        <v>0</v>
      </c>
      <c r="X1825">
        <v>1</v>
      </c>
      <c r="Y1825" t="s">
        <v>47</v>
      </c>
      <c r="Z1825">
        <v>0</v>
      </c>
      <c r="AA1825">
        <v>150</v>
      </c>
      <c r="AB1825" t="s">
        <v>47</v>
      </c>
      <c r="AC1825">
        <v>0.14899999999999999</v>
      </c>
      <c r="AD1825">
        <v>241</v>
      </c>
      <c r="AE1825" t="s">
        <v>56</v>
      </c>
      <c r="AF1825">
        <v>0.24</v>
      </c>
      <c r="AG1825">
        <v>7</v>
      </c>
      <c r="AH1825" t="s">
        <v>103</v>
      </c>
      <c r="AI1825">
        <v>6.0000000000000001E-3</v>
      </c>
      <c r="AJ1825" t="s">
        <v>50</v>
      </c>
    </row>
    <row r="1826" spans="1:36" x14ac:dyDescent="0.25">
      <c r="A1826" t="s">
        <v>564</v>
      </c>
      <c r="B1826">
        <v>855547068</v>
      </c>
      <c r="C1826" t="s">
        <v>565</v>
      </c>
      <c r="D1826" t="s">
        <v>565</v>
      </c>
      <c r="E1826" t="s">
        <v>99</v>
      </c>
      <c r="F1826" t="s">
        <v>143</v>
      </c>
      <c r="I1826" t="s">
        <v>39</v>
      </c>
      <c r="J1826" t="s">
        <v>40</v>
      </c>
      <c r="K1826" t="s">
        <v>41</v>
      </c>
      <c r="L1826" t="s">
        <v>89</v>
      </c>
      <c r="N1826" t="s">
        <v>43</v>
      </c>
      <c r="O1826" t="s">
        <v>332</v>
      </c>
      <c r="P1826">
        <v>257</v>
      </c>
      <c r="Q1826">
        <v>257</v>
      </c>
      <c r="R1826">
        <v>1001</v>
      </c>
      <c r="S1826" t="s">
        <v>56</v>
      </c>
      <c r="T1826">
        <v>1</v>
      </c>
      <c r="U1826">
        <v>1</v>
      </c>
      <c r="V1826" t="s">
        <v>55</v>
      </c>
      <c r="W1826">
        <v>0</v>
      </c>
      <c r="X1826">
        <v>1</v>
      </c>
      <c r="Y1826" t="s">
        <v>47</v>
      </c>
      <c r="Z1826">
        <v>0</v>
      </c>
      <c r="AA1826">
        <v>150</v>
      </c>
      <c r="AB1826" t="s">
        <v>47</v>
      </c>
      <c r="AC1826">
        <v>0.14899999999999999</v>
      </c>
      <c r="AD1826">
        <v>241</v>
      </c>
      <c r="AE1826" t="s">
        <v>56</v>
      </c>
      <c r="AF1826">
        <v>0.24</v>
      </c>
      <c r="AG1826">
        <v>7</v>
      </c>
      <c r="AH1826" t="s">
        <v>103</v>
      </c>
      <c r="AI1826">
        <v>6.0000000000000001E-3</v>
      </c>
      <c r="AJ1826" t="s">
        <v>1141</v>
      </c>
    </row>
    <row r="1827" spans="1:36" x14ac:dyDescent="0.25">
      <c r="A1827" t="s">
        <v>564</v>
      </c>
      <c r="B1827">
        <v>855547068</v>
      </c>
      <c r="C1827" t="s">
        <v>565</v>
      </c>
      <c r="D1827" t="s">
        <v>565</v>
      </c>
      <c r="E1827" t="s">
        <v>99</v>
      </c>
      <c r="F1827" t="s">
        <v>143</v>
      </c>
      <c r="I1827" t="s">
        <v>39</v>
      </c>
      <c r="J1827" t="s">
        <v>40</v>
      </c>
      <c r="K1827" t="s">
        <v>41</v>
      </c>
      <c r="L1827" t="s">
        <v>89</v>
      </c>
      <c r="N1827" t="s">
        <v>43</v>
      </c>
      <c r="O1827" t="s">
        <v>332</v>
      </c>
      <c r="P1827">
        <v>257</v>
      </c>
      <c r="Q1827">
        <v>257</v>
      </c>
      <c r="R1827">
        <v>1001</v>
      </c>
      <c r="S1827" t="s">
        <v>56</v>
      </c>
      <c r="T1827">
        <v>1</v>
      </c>
      <c r="U1827">
        <v>1</v>
      </c>
      <c r="V1827" t="s">
        <v>55</v>
      </c>
      <c r="W1827">
        <v>0</v>
      </c>
      <c r="X1827">
        <v>1</v>
      </c>
      <c r="Y1827" t="s">
        <v>47</v>
      </c>
      <c r="Z1827">
        <v>0</v>
      </c>
      <c r="AA1827">
        <v>150</v>
      </c>
      <c r="AB1827" t="s">
        <v>47</v>
      </c>
      <c r="AC1827">
        <v>0.14899999999999999</v>
      </c>
      <c r="AD1827">
        <v>241</v>
      </c>
      <c r="AE1827" t="s">
        <v>56</v>
      </c>
      <c r="AF1827">
        <v>0.24</v>
      </c>
      <c r="AG1827">
        <v>7</v>
      </c>
      <c r="AH1827" t="s">
        <v>103</v>
      </c>
      <c r="AI1827">
        <v>6.0000000000000001E-3</v>
      </c>
      <c r="AJ1827" t="s">
        <v>1153</v>
      </c>
    </row>
    <row r="1828" spans="1:36" x14ac:dyDescent="0.25">
      <c r="A1828" t="s">
        <v>564</v>
      </c>
      <c r="B1828">
        <v>855547068</v>
      </c>
      <c r="C1828" t="s">
        <v>565</v>
      </c>
      <c r="D1828" t="s">
        <v>565</v>
      </c>
      <c r="E1828" t="s">
        <v>99</v>
      </c>
      <c r="F1828" t="s">
        <v>143</v>
      </c>
      <c r="I1828" t="s">
        <v>39</v>
      </c>
      <c r="J1828" t="s">
        <v>40</v>
      </c>
      <c r="K1828" t="s">
        <v>41</v>
      </c>
      <c r="L1828" t="s">
        <v>89</v>
      </c>
      <c r="N1828" t="s">
        <v>43</v>
      </c>
      <c r="O1828" t="s">
        <v>332</v>
      </c>
      <c r="P1828">
        <v>257</v>
      </c>
      <c r="Q1828">
        <v>257</v>
      </c>
      <c r="R1828">
        <v>1001</v>
      </c>
      <c r="S1828" t="s">
        <v>56</v>
      </c>
      <c r="T1828">
        <v>1</v>
      </c>
      <c r="U1828">
        <v>1</v>
      </c>
      <c r="V1828" t="s">
        <v>55</v>
      </c>
      <c r="W1828">
        <v>0</v>
      </c>
      <c r="X1828">
        <v>1</v>
      </c>
      <c r="Y1828" t="s">
        <v>47</v>
      </c>
      <c r="Z1828">
        <v>0</v>
      </c>
      <c r="AA1828">
        <v>150</v>
      </c>
      <c r="AB1828" t="s">
        <v>47</v>
      </c>
      <c r="AC1828">
        <v>0.14899999999999999</v>
      </c>
      <c r="AD1828">
        <v>241</v>
      </c>
      <c r="AE1828" t="s">
        <v>56</v>
      </c>
      <c r="AF1828">
        <v>0.24</v>
      </c>
      <c r="AG1828">
        <v>7</v>
      </c>
      <c r="AH1828" t="s">
        <v>103</v>
      </c>
      <c r="AI1828">
        <v>6.0000000000000001E-3</v>
      </c>
      <c r="AJ1828" t="s">
        <v>1154</v>
      </c>
    </row>
    <row r="1829" spans="1:36" x14ac:dyDescent="0.25">
      <c r="A1829" t="s">
        <v>564</v>
      </c>
      <c r="B1829">
        <v>855547068</v>
      </c>
      <c r="C1829" t="s">
        <v>565</v>
      </c>
      <c r="D1829" t="s">
        <v>565</v>
      </c>
      <c r="E1829" t="s">
        <v>99</v>
      </c>
      <c r="F1829" t="s">
        <v>143</v>
      </c>
      <c r="I1829" t="s">
        <v>39</v>
      </c>
      <c r="J1829" t="s">
        <v>40</v>
      </c>
      <c r="K1829" t="s">
        <v>41</v>
      </c>
      <c r="L1829" t="s">
        <v>89</v>
      </c>
      <c r="N1829" t="s">
        <v>43</v>
      </c>
      <c r="O1829" t="s">
        <v>332</v>
      </c>
      <c r="P1829">
        <v>257</v>
      </c>
      <c r="Q1829">
        <v>257</v>
      </c>
      <c r="S1829" t="s">
        <v>39</v>
      </c>
      <c r="V1829" t="s">
        <v>39</v>
      </c>
      <c r="X1829">
        <v>1</v>
      </c>
      <c r="Y1829" t="s">
        <v>47</v>
      </c>
      <c r="Z1829">
        <v>0</v>
      </c>
      <c r="AA1829">
        <v>150</v>
      </c>
      <c r="AB1829" t="s">
        <v>47</v>
      </c>
      <c r="AC1829">
        <v>0.14899999999999999</v>
      </c>
      <c r="AD1829">
        <v>241</v>
      </c>
      <c r="AE1829" t="s">
        <v>56</v>
      </c>
      <c r="AF1829">
        <v>0.24</v>
      </c>
      <c r="AG1829">
        <v>7</v>
      </c>
      <c r="AH1829" t="s">
        <v>103</v>
      </c>
      <c r="AI1829">
        <v>6.0000000000000001E-3</v>
      </c>
      <c r="AJ1829" t="s">
        <v>1155</v>
      </c>
    </row>
    <row r="1830" spans="1:36" x14ac:dyDescent="0.25">
      <c r="A1830" t="s">
        <v>559</v>
      </c>
      <c r="B1830">
        <v>874100665</v>
      </c>
      <c r="C1830" t="s">
        <v>560</v>
      </c>
      <c r="D1830" t="s">
        <v>560</v>
      </c>
      <c r="E1830" t="s">
        <v>37</v>
      </c>
      <c r="F1830" t="s">
        <v>71</v>
      </c>
      <c r="I1830" t="s">
        <v>39</v>
      </c>
      <c r="J1830" t="s">
        <v>40</v>
      </c>
      <c r="K1830" t="s">
        <v>41</v>
      </c>
      <c r="L1830" t="s">
        <v>72</v>
      </c>
      <c r="M1830" t="s">
        <v>47</v>
      </c>
      <c r="N1830" t="s">
        <v>43</v>
      </c>
      <c r="O1830" t="s">
        <v>123</v>
      </c>
      <c r="P1830">
        <v>260</v>
      </c>
      <c r="Q1830">
        <v>260</v>
      </c>
      <c r="R1830">
        <v>1</v>
      </c>
      <c r="S1830" t="s">
        <v>45</v>
      </c>
      <c r="T1830">
        <v>0</v>
      </c>
      <c r="U1830">
        <v>545</v>
      </c>
      <c r="V1830" t="s">
        <v>113</v>
      </c>
      <c r="W1830">
        <v>0.54400000000000004</v>
      </c>
      <c r="X1830">
        <v>19001</v>
      </c>
      <c r="Y1830" t="s">
        <v>47</v>
      </c>
      <c r="Z1830">
        <v>19</v>
      </c>
      <c r="AA1830">
        <v>280</v>
      </c>
      <c r="AB1830" t="s">
        <v>47</v>
      </c>
      <c r="AC1830">
        <v>0.27900000000000003</v>
      </c>
      <c r="AD1830">
        <v>704</v>
      </c>
      <c r="AE1830" t="s">
        <v>48</v>
      </c>
      <c r="AF1830">
        <v>0.70299999999999996</v>
      </c>
      <c r="AG1830">
        <v>443</v>
      </c>
      <c r="AH1830" t="s">
        <v>57</v>
      </c>
      <c r="AI1830">
        <v>0.442</v>
      </c>
      <c r="AJ1830" t="s">
        <v>50</v>
      </c>
    </row>
    <row r="1831" spans="1:36" x14ac:dyDescent="0.25">
      <c r="A1831" t="s">
        <v>559</v>
      </c>
      <c r="B1831">
        <v>874100665</v>
      </c>
      <c r="C1831" t="s">
        <v>560</v>
      </c>
      <c r="D1831" t="s">
        <v>560</v>
      </c>
      <c r="E1831" t="s">
        <v>37</v>
      </c>
      <c r="F1831" t="s">
        <v>71</v>
      </c>
      <c r="I1831" t="s">
        <v>39</v>
      </c>
      <c r="J1831" t="s">
        <v>40</v>
      </c>
      <c r="K1831" t="s">
        <v>41</v>
      </c>
      <c r="L1831" t="s">
        <v>72</v>
      </c>
      <c r="M1831" t="s">
        <v>47</v>
      </c>
      <c r="N1831" t="s">
        <v>43</v>
      </c>
      <c r="O1831" t="s">
        <v>123</v>
      </c>
      <c r="P1831">
        <v>260</v>
      </c>
      <c r="Q1831">
        <v>260</v>
      </c>
      <c r="R1831">
        <v>1</v>
      </c>
      <c r="S1831" t="s">
        <v>45</v>
      </c>
      <c r="T1831">
        <v>0</v>
      </c>
      <c r="U1831">
        <v>43</v>
      </c>
      <c r="V1831" t="s">
        <v>55</v>
      </c>
      <c r="W1831">
        <v>4.2000000000000003E-2</v>
      </c>
      <c r="X1831">
        <v>19001</v>
      </c>
      <c r="Y1831" t="s">
        <v>47</v>
      </c>
      <c r="Z1831">
        <v>19</v>
      </c>
      <c r="AA1831">
        <v>280</v>
      </c>
      <c r="AB1831" t="s">
        <v>47</v>
      </c>
      <c r="AC1831">
        <v>0.27900000000000003</v>
      </c>
      <c r="AD1831">
        <v>704</v>
      </c>
      <c r="AE1831" t="s">
        <v>48</v>
      </c>
      <c r="AF1831">
        <v>0.70299999999999996</v>
      </c>
      <c r="AG1831">
        <v>443</v>
      </c>
      <c r="AH1831" t="s">
        <v>57</v>
      </c>
      <c r="AI1831">
        <v>0.442</v>
      </c>
      <c r="AJ1831" t="s">
        <v>1141</v>
      </c>
    </row>
    <row r="1832" spans="1:36" x14ac:dyDescent="0.25">
      <c r="A1832" t="s">
        <v>559</v>
      </c>
      <c r="B1832">
        <v>874100665</v>
      </c>
      <c r="C1832" t="s">
        <v>560</v>
      </c>
      <c r="D1832" t="s">
        <v>560</v>
      </c>
      <c r="E1832" t="s">
        <v>37</v>
      </c>
      <c r="F1832" t="s">
        <v>71</v>
      </c>
      <c r="I1832" t="s">
        <v>39</v>
      </c>
      <c r="J1832" t="s">
        <v>40</v>
      </c>
      <c r="K1832" t="s">
        <v>41</v>
      </c>
      <c r="L1832" t="s">
        <v>72</v>
      </c>
      <c r="M1832" t="s">
        <v>47</v>
      </c>
      <c r="N1832" t="s">
        <v>43</v>
      </c>
      <c r="O1832" t="s">
        <v>123</v>
      </c>
      <c r="P1832">
        <v>260</v>
      </c>
      <c r="Q1832">
        <v>260</v>
      </c>
      <c r="R1832">
        <v>1</v>
      </c>
      <c r="S1832" t="s">
        <v>45</v>
      </c>
      <c r="T1832">
        <v>0</v>
      </c>
      <c r="U1832">
        <v>545</v>
      </c>
      <c r="V1832" t="s">
        <v>113</v>
      </c>
      <c r="W1832">
        <v>0.54400000000000004</v>
      </c>
      <c r="X1832">
        <v>19001</v>
      </c>
      <c r="Y1832" t="s">
        <v>47</v>
      </c>
      <c r="Z1832">
        <v>19</v>
      </c>
      <c r="AA1832">
        <v>280</v>
      </c>
      <c r="AB1832" t="s">
        <v>47</v>
      </c>
      <c r="AC1832">
        <v>0.27900000000000003</v>
      </c>
      <c r="AD1832">
        <v>704</v>
      </c>
      <c r="AE1832" t="s">
        <v>48</v>
      </c>
      <c r="AF1832">
        <v>0.70299999999999996</v>
      </c>
      <c r="AG1832">
        <v>443</v>
      </c>
      <c r="AH1832" t="s">
        <v>57</v>
      </c>
      <c r="AI1832">
        <v>0.442</v>
      </c>
      <c r="AJ1832" t="s">
        <v>1153</v>
      </c>
    </row>
    <row r="1833" spans="1:36" x14ac:dyDescent="0.25">
      <c r="A1833" t="s">
        <v>559</v>
      </c>
      <c r="B1833">
        <v>874100665</v>
      </c>
      <c r="C1833" t="s">
        <v>560</v>
      </c>
      <c r="D1833" t="s">
        <v>560</v>
      </c>
      <c r="E1833" t="s">
        <v>37</v>
      </c>
      <c r="F1833" t="s">
        <v>71</v>
      </c>
      <c r="I1833" t="s">
        <v>39</v>
      </c>
      <c r="J1833" t="s">
        <v>40</v>
      </c>
      <c r="K1833" t="s">
        <v>41</v>
      </c>
      <c r="L1833" t="s">
        <v>72</v>
      </c>
      <c r="M1833" t="s">
        <v>47</v>
      </c>
      <c r="N1833" t="s">
        <v>43</v>
      </c>
      <c r="O1833" t="s">
        <v>123</v>
      </c>
      <c r="P1833">
        <v>260</v>
      </c>
      <c r="Q1833">
        <v>260</v>
      </c>
      <c r="R1833">
        <v>1</v>
      </c>
      <c r="S1833" t="s">
        <v>45</v>
      </c>
      <c r="T1833">
        <v>0</v>
      </c>
      <c r="U1833">
        <v>545</v>
      </c>
      <c r="V1833" t="s">
        <v>113</v>
      </c>
      <c r="W1833">
        <v>0.54400000000000004</v>
      </c>
      <c r="X1833">
        <v>19001</v>
      </c>
      <c r="Y1833" t="s">
        <v>47</v>
      </c>
      <c r="Z1833">
        <v>19</v>
      </c>
      <c r="AA1833">
        <v>280</v>
      </c>
      <c r="AB1833" t="s">
        <v>47</v>
      </c>
      <c r="AC1833">
        <v>0.27900000000000003</v>
      </c>
      <c r="AD1833">
        <v>704</v>
      </c>
      <c r="AE1833" t="s">
        <v>48</v>
      </c>
      <c r="AF1833">
        <v>0.70299999999999996</v>
      </c>
      <c r="AG1833">
        <v>443</v>
      </c>
      <c r="AH1833" t="s">
        <v>57</v>
      </c>
      <c r="AI1833">
        <v>0.442</v>
      </c>
      <c r="AJ1833" t="s">
        <v>1154</v>
      </c>
    </row>
    <row r="1834" spans="1:36" x14ac:dyDescent="0.25">
      <c r="A1834" t="s">
        <v>559</v>
      </c>
      <c r="B1834">
        <v>874100665</v>
      </c>
      <c r="C1834" t="s">
        <v>560</v>
      </c>
      <c r="D1834" t="s">
        <v>560</v>
      </c>
      <c r="E1834" t="s">
        <v>37</v>
      </c>
      <c r="F1834" t="s">
        <v>71</v>
      </c>
      <c r="I1834" t="s">
        <v>39</v>
      </c>
      <c r="J1834" t="s">
        <v>40</v>
      </c>
      <c r="K1834" t="s">
        <v>41</v>
      </c>
      <c r="L1834" t="s">
        <v>72</v>
      </c>
      <c r="M1834" t="s">
        <v>47</v>
      </c>
      <c r="N1834" t="s">
        <v>43</v>
      </c>
      <c r="O1834" t="s">
        <v>123</v>
      </c>
      <c r="P1834">
        <v>260</v>
      </c>
      <c r="Q1834">
        <v>260</v>
      </c>
      <c r="S1834" t="s">
        <v>39</v>
      </c>
      <c r="V1834" t="s">
        <v>39</v>
      </c>
      <c r="X1834">
        <v>19001</v>
      </c>
      <c r="Y1834" t="s">
        <v>47</v>
      </c>
      <c r="Z1834">
        <v>19</v>
      </c>
      <c r="AA1834">
        <v>280</v>
      </c>
      <c r="AB1834" t="s">
        <v>47</v>
      </c>
      <c r="AC1834">
        <v>0.27900000000000003</v>
      </c>
      <c r="AD1834">
        <v>704</v>
      </c>
      <c r="AE1834" t="s">
        <v>48</v>
      </c>
      <c r="AF1834">
        <v>0.70299999999999996</v>
      </c>
      <c r="AG1834">
        <v>443</v>
      </c>
      <c r="AH1834" t="s">
        <v>57</v>
      </c>
      <c r="AI1834">
        <v>0.442</v>
      </c>
      <c r="AJ1834" t="s">
        <v>1155</v>
      </c>
    </row>
    <row r="1835" spans="1:36" x14ac:dyDescent="0.25">
      <c r="A1835" t="s">
        <v>557</v>
      </c>
      <c r="B1835">
        <v>856357299</v>
      </c>
      <c r="C1835" t="s">
        <v>558</v>
      </c>
      <c r="D1835" t="s">
        <v>558</v>
      </c>
      <c r="E1835" t="s">
        <v>37</v>
      </c>
      <c r="F1835" t="s">
        <v>127</v>
      </c>
      <c r="I1835" t="s">
        <v>39</v>
      </c>
      <c r="J1835" t="s">
        <v>40</v>
      </c>
      <c r="K1835" t="s">
        <v>41</v>
      </c>
      <c r="L1835" t="s">
        <v>118</v>
      </c>
      <c r="N1835" t="s">
        <v>43</v>
      </c>
      <c r="O1835" t="s">
        <v>423</v>
      </c>
      <c r="P1835">
        <v>261</v>
      </c>
      <c r="Q1835">
        <v>261</v>
      </c>
      <c r="R1835">
        <v>1</v>
      </c>
      <c r="S1835" t="s">
        <v>45</v>
      </c>
      <c r="T1835">
        <v>0</v>
      </c>
      <c r="U1835">
        <v>913</v>
      </c>
      <c r="V1835" t="s">
        <v>46</v>
      </c>
      <c r="W1835">
        <v>0.91200000000000003</v>
      </c>
      <c r="X1835">
        <v>22001</v>
      </c>
      <c r="Y1835" t="s">
        <v>47</v>
      </c>
      <c r="Z1835">
        <v>22</v>
      </c>
      <c r="AA1835">
        <v>490</v>
      </c>
      <c r="AB1835" t="s">
        <v>47</v>
      </c>
      <c r="AC1835">
        <v>0.48899999999999999</v>
      </c>
      <c r="AD1835">
        <v>716</v>
      </c>
      <c r="AE1835" t="s">
        <v>48</v>
      </c>
      <c r="AF1835">
        <v>0.71499999999999997</v>
      </c>
      <c r="AG1835">
        <v>762</v>
      </c>
      <c r="AH1835" t="s">
        <v>49</v>
      </c>
      <c r="AI1835">
        <v>0.76100000000000001</v>
      </c>
      <c r="AJ1835" t="s">
        <v>50</v>
      </c>
    </row>
    <row r="1836" spans="1:36" x14ac:dyDescent="0.25">
      <c r="A1836" t="s">
        <v>557</v>
      </c>
      <c r="B1836">
        <v>856357299</v>
      </c>
      <c r="C1836" t="s">
        <v>558</v>
      </c>
      <c r="D1836" t="s">
        <v>558</v>
      </c>
      <c r="E1836" t="s">
        <v>37</v>
      </c>
      <c r="F1836" t="s">
        <v>127</v>
      </c>
      <c r="I1836" t="s">
        <v>39</v>
      </c>
      <c r="J1836" t="s">
        <v>40</v>
      </c>
      <c r="K1836" t="s">
        <v>41</v>
      </c>
      <c r="L1836" t="s">
        <v>118</v>
      </c>
      <c r="N1836" t="s">
        <v>43</v>
      </c>
      <c r="O1836" t="s">
        <v>423</v>
      </c>
      <c r="P1836">
        <v>261</v>
      </c>
      <c r="Q1836">
        <v>261</v>
      </c>
      <c r="R1836">
        <v>11</v>
      </c>
      <c r="S1836" t="s">
        <v>45</v>
      </c>
      <c r="T1836">
        <v>0.01</v>
      </c>
      <c r="U1836">
        <v>712</v>
      </c>
      <c r="V1836" t="s">
        <v>113</v>
      </c>
      <c r="W1836">
        <v>0.71099999999999997</v>
      </c>
      <c r="X1836">
        <v>22001</v>
      </c>
      <c r="Y1836" t="s">
        <v>47</v>
      </c>
      <c r="Z1836">
        <v>22</v>
      </c>
      <c r="AA1836">
        <v>490</v>
      </c>
      <c r="AB1836" t="s">
        <v>47</v>
      </c>
      <c r="AC1836">
        <v>0.48899999999999999</v>
      </c>
      <c r="AD1836">
        <v>716</v>
      </c>
      <c r="AE1836" t="s">
        <v>48</v>
      </c>
      <c r="AF1836">
        <v>0.71499999999999997</v>
      </c>
      <c r="AG1836">
        <v>762</v>
      </c>
      <c r="AH1836" t="s">
        <v>49</v>
      </c>
      <c r="AI1836">
        <v>0.76100000000000001</v>
      </c>
      <c r="AJ1836" t="s">
        <v>1141</v>
      </c>
    </row>
    <row r="1837" spans="1:36" x14ac:dyDescent="0.25">
      <c r="A1837" t="s">
        <v>557</v>
      </c>
      <c r="B1837">
        <v>856357299</v>
      </c>
      <c r="C1837" t="s">
        <v>558</v>
      </c>
      <c r="D1837" t="s">
        <v>558</v>
      </c>
      <c r="E1837" t="s">
        <v>37</v>
      </c>
      <c r="F1837" t="s">
        <v>127</v>
      </c>
      <c r="I1837" t="s">
        <v>39</v>
      </c>
      <c r="J1837" t="s">
        <v>40</v>
      </c>
      <c r="K1837" t="s">
        <v>41</v>
      </c>
      <c r="L1837" t="s">
        <v>118</v>
      </c>
      <c r="N1837" t="s">
        <v>43</v>
      </c>
      <c r="O1837" t="s">
        <v>423</v>
      </c>
      <c r="P1837">
        <v>261</v>
      </c>
      <c r="Q1837">
        <v>261</v>
      </c>
      <c r="R1837">
        <v>1</v>
      </c>
      <c r="S1837" t="s">
        <v>45</v>
      </c>
      <c r="T1837">
        <v>0</v>
      </c>
      <c r="U1837">
        <v>913</v>
      </c>
      <c r="V1837" t="s">
        <v>46</v>
      </c>
      <c r="W1837">
        <v>0.91200000000000003</v>
      </c>
      <c r="X1837">
        <v>22001</v>
      </c>
      <c r="Y1837" t="s">
        <v>47</v>
      </c>
      <c r="Z1837">
        <v>22</v>
      </c>
      <c r="AA1837">
        <v>490</v>
      </c>
      <c r="AB1837" t="s">
        <v>47</v>
      </c>
      <c r="AC1837">
        <v>0.48899999999999999</v>
      </c>
      <c r="AD1837">
        <v>716</v>
      </c>
      <c r="AE1837" t="s">
        <v>48</v>
      </c>
      <c r="AF1837">
        <v>0.71499999999999997</v>
      </c>
      <c r="AG1837">
        <v>762</v>
      </c>
      <c r="AH1837" t="s">
        <v>49</v>
      </c>
      <c r="AI1837">
        <v>0.76100000000000001</v>
      </c>
      <c r="AJ1837" t="s">
        <v>1153</v>
      </c>
    </row>
    <row r="1838" spans="1:36" x14ac:dyDescent="0.25">
      <c r="A1838" t="s">
        <v>557</v>
      </c>
      <c r="B1838">
        <v>856357299</v>
      </c>
      <c r="C1838" t="s">
        <v>558</v>
      </c>
      <c r="D1838" t="s">
        <v>558</v>
      </c>
      <c r="E1838" t="s">
        <v>37</v>
      </c>
      <c r="F1838" t="s">
        <v>127</v>
      </c>
      <c r="I1838" t="s">
        <v>39</v>
      </c>
      <c r="J1838" t="s">
        <v>40</v>
      </c>
      <c r="K1838" t="s">
        <v>41</v>
      </c>
      <c r="L1838" t="s">
        <v>118</v>
      </c>
      <c r="N1838" t="s">
        <v>43</v>
      </c>
      <c r="O1838" t="s">
        <v>423</v>
      </c>
      <c r="P1838">
        <v>261</v>
      </c>
      <c r="Q1838">
        <v>261</v>
      </c>
      <c r="R1838">
        <v>1</v>
      </c>
      <c r="S1838" t="s">
        <v>45</v>
      </c>
      <c r="T1838">
        <v>0</v>
      </c>
      <c r="U1838">
        <v>913</v>
      </c>
      <c r="V1838" t="s">
        <v>46</v>
      </c>
      <c r="W1838">
        <v>0.91200000000000003</v>
      </c>
      <c r="X1838">
        <v>22001</v>
      </c>
      <c r="Y1838" t="s">
        <v>47</v>
      </c>
      <c r="Z1838">
        <v>22</v>
      </c>
      <c r="AA1838">
        <v>490</v>
      </c>
      <c r="AB1838" t="s">
        <v>47</v>
      </c>
      <c r="AC1838">
        <v>0.48899999999999999</v>
      </c>
      <c r="AD1838">
        <v>716</v>
      </c>
      <c r="AE1838" t="s">
        <v>48</v>
      </c>
      <c r="AF1838">
        <v>0.71499999999999997</v>
      </c>
      <c r="AG1838">
        <v>762</v>
      </c>
      <c r="AH1838" t="s">
        <v>49</v>
      </c>
      <c r="AI1838">
        <v>0.76100000000000001</v>
      </c>
      <c r="AJ1838" t="s">
        <v>1154</v>
      </c>
    </row>
    <row r="1839" spans="1:36" x14ac:dyDescent="0.25">
      <c r="A1839" t="s">
        <v>557</v>
      </c>
      <c r="B1839">
        <v>856357299</v>
      </c>
      <c r="C1839" t="s">
        <v>558</v>
      </c>
      <c r="D1839" t="s">
        <v>558</v>
      </c>
      <c r="E1839" t="s">
        <v>37</v>
      </c>
      <c r="F1839" t="s">
        <v>127</v>
      </c>
      <c r="I1839" t="s">
        <v>39</v>
      </c>
      <c r="J1839" t="s">
        <v>40</v>
      </c>
      <c r="K1839" t="s">
        <v>41</v>
      </c>
      <c r="L1839" t="s">
        <v>118</v>
      </c>
      <c r="N1839" t="s">
        <v>43</v>
      </c>
      <c r="O1839" t="s">
        <v>423</v>
      </c>
      <c r="P1839">
        <v>261</v>
      </c>
      <c r="Q1839">
        <v>261</v>
      </c>
      <c r="S1839" t="s">
        <v>39</v>
      </c>
      <c r="V1839" t="s">
        <v>39</v>
      </c>
      <c r="X1839">
        <v>22001</v>
      </c>
      <c r="Y1839" t="s">
        <v>47</v>
      </c>
      <c r="Z1839">
        <v>22</v>
      </c>
      <c r="AA1839">
        <v>490</v>
      </c>
      <c r="AB1839" t="s">
        <v>47</v>
      </c>
      <c r="AC1839">
        <v>0.48899999999999999</v>
      </c>
      <c r="AD1839">
        <v>716</v>
      </c>
      <c r="AE1839" t="s">
        <v>48</v>
      </c>
      <c r="AF1839">
        <v>0.71499999999999997</v>
      </c>
      <c r="AG1839">
        <v>762</v>
      </c>
      <c r="AH1839" t="s">
        <v>49</v>
      </c>
      <c r="AI1839">
        <v>0.76100000000000001</v>
      </c>
      <c r="AJ1839" t="s">
        <v>1155</v>
      </c>
    </row>
    <row r="1840" spans="1:36" x14ac:dyDescent="0.25">
      <c r="A1840" t="s">
        <v>554</v>
      </c>
      <c r="B1840">
        <v>862694802</v>
      </c>
      <c r="C1840" t="s">
        <v>555</v>
      </c>
      <c r="D1840" t="s">
        <v>555</v>
      </c>
      <c r="E1840" t="s">
        <v>37</v>
      </c>
      <c r="F1840" t="s">
        <v>127</v>
      </c>
      <c r="I1840" t="s">
        <v>39</v>
      </c>
      <c r="J1840" t="s">
        <v>40</v>
      </c>
      <c r="K1840" t="s">
        <v>41</v>
      </c>
      <c r="L1840" t="s">
        <v>173</v>
      </c>
      <c r="N1840" t="s">
        <v>43</v>
      </c>
      <c r="O1840" t="s">
        <v>556</v>
      </c>
      <c r="P1840">
        <v>262</v>
      </c>
      <c r="Q1840">
        <v>262</v>
      </c>
      <c r="R1840">
        <v>21</v>
      </c>
      <c r="S1840" t="s">
        <v>45</v>
      </c>
      <c r="T1840">
        <v>0.02</v>
      </c>
      <c r="U1840">
        <v>999</v>
      </c>
      <c r="V1840" t="s">
        <v>46</v>
      </c>
      <c r="W1840">
        <v>0.998</v>
      </c>
      <c r="X1840">
        <v>23001</v>
      </c>
      <c r="Y1840" t="s">
        <v>47</v>
      </c>
      <c r="Z1840">
        <v>23</v>
      </c>
      <c r="AA1840">
        <v>427</v>
      </c>
      <c r="AB1840" t="s">
        <v>47</v>
      </c>
      <c r="AC1840">
        <v>0.42599999999999999</v>
      </c>
      <c r="AD1840">
        <v>735</v>
      </c>
      <c r="AE1840" t="s">
        <v>48</v>
      </c>
      <c r="AF1840">
        <v>0.73399999999999999</v>
      </c>
      <c r="AG1840">
        <v>859</v>
      </c>
      <c r="AH1840" t="s">
        <v>49</v>
      </c>
      <c r="AI1840">
        <v>0.85799999999999998</v>
      </c>
      <c r="AJ1840" t="s">
        <v>50</v>
      </c>
    </row>
    <row r="1841" spans="1:36" x14ac:dyDescent="0.25">
      <c r="A1841" t="s">
        <v>554</v>
      </c>
      <c r="B1841">
        <v>862694802</v>
      </c>
      <c r="C1841" t="s">
        <v>555</v>
      </c>
      <c r="D1841" t="s">
        <v>555</v>
      </c>
      <c r="E1841" t="s">
        <v>37</v>
      </c>
      <c r="F1841" t="s">
        <v>127</v>
      </c>
      <c r="I1841" t="s">
        <v>39</v>
      </c>
      <c r="J1841" t="s">
        <v>40</v>
      </c>
      <c r="K1841" t="s">
        <v>41</v>
      </c>
      <c r="L1841" t="s">
        <v>173</v>
      </c>
      <c r="N1841" t="s">
        <v>43</v>
      </c>
      <c r="O1841" t="s">
        <v>556</v>
      </c>
      <c r="P1841">
        <v>262</v>
      </c>
      <c r="Q1841">
        <v>262</v>
      </c>
      <c r="R1841">
        <v>21</v>
      </c>
      <c r="S1841" t="s">
        <v>45</v>
      </c>
      <c r="T1841">
        <v>0.02</v>
      </c>
      <c r="U1841">
        <v>997</v>
      </c>
      <c r="V1841" t="s">
        <v>46</v>
      </c>
      <c r="W1841">
        <v>0.996</v>
      </c>
      <c r="X1841">
        <v>23001</v>
      </c>
      <c r="Y1841" t="s">
        <v>47</v>
      </c>
      <c r="Z1841">
        <v>23</v>
      </c>
      <c r="AA1841">
        <v>427</v>
      </c>
      <c r="AB1841" t="s">
        <v>47</v>
      </c>
      <c r="AC1841">
        <v>0.42599999999999999</v>
      </c>
      <c r="AD1841">
        <v>735</v>
      </c>
      <c r="AE1841" t="s">
        <v>48</v>
      </c>
      <c r="AF1841">
        <v>0.73399999999999999</v>
      </c>
      <c r="AG1841">
        <v>859</v>
      </c>
      <c r="AH1841" t="s">
        <v>49</v>
      </c>
      <c r="AI1841">
        <v>0.85799999999999998</v>
      </c>
      <c r="AJ1841" t="s">
        <v>1141</v>
      </c>
    </row>
    <row r="1842" spans="1:36" x14ac:dyDescent="0.25">
      <c r="A1842" t="s">
        <v>554</v>
      </c>
      <c r="B1842">
        <v>862694802</v>
      </c>
      <c r="C1842" t="s">
        <v>555</v>
      </c>
      <c r="D1842" t="s">
        <v>555</v>
      </c>
      <c r="E1842" t="s">
        <v>37</v>
      </c>
      <c r="F1842" t="s">
        <v>127</v>
      </c>
      <c r="I1842" t="s">
        <v>39</v>
      </c>
      <c r="J1842" t="s">
        <v>40</v>
      </c>
      <c r="K1842" t="s">
        <v>41</v>
      </c>
      <c r="L1842" t="s">
        <v>173</v>
      </c>
      <c r="N1842" t="s">
        <v>43</v>
      </c>
      <c r="O1842" t="s">
        <v>556</v>
      </c>
      <c r="P1842">
        <v>262</v>
      </c>
      <c r="Q1842">
        <v>262</v>
      </c>
      <c r="R1842">
        <v>21</v>
      </c>
      <c r="S1842" t="s">
        <v>45</v>
      </c>
      <c r="T1842">
        <v>0.02</v>
      </c>
      <c r="U1842">
        <v>999</v>
      </c>
      <c r="V1842" t="s">
        <v>46</v>
      </c>
      <c r="W1842">
        <v>0.998</v>
      </c>
      <c r="X1842">
        <v>23001</v>
      </c>
      <c r="Y1842" t="s">
        <v>47</v>
      </c>
      <c r="Z1842">
        <v>23</v>
      </c>
      <c r="AA1842">
        <v>427</v>
      </c>
      <c r="AB1842" t="s">
        <v>47</v>
      </c>
      <c r="AC1842">
        <v>0.42599999999999999</v>
      </c>
      <c r="AD1842">
        <v>735</v>
      </c>
      <c r="AE1842" t="s">
        <v>48</v>
      </c>
      <c r="AF1842">
        <v>0.73399999999999999</v>
      </c>
      <c r="AG1842">
        <v>859</v>
      </c>
      <c r="AH1842" t="s">
        <v>49</v>
      </c>
      <c r="AI1842">
        <v>0.85799999999999998</v>
      </c>
      <c r="AJ1842" t="s">
        <v>1153</v>
      </c>
    </row>
    <row r="1843" spans="1:36" x14ac:dyDescent="0.25">
      <c r="A1843" t="s">
        <v>554</v>
      </c>
      <c r="B1843">
        <v>862694802</v>
      </c>
      <c r="C1843" t="s">
        <v>555</v>
      </c>
      <c r="D1843" t="s">
        <v>555</v>
      </c>
      <c r="E1843" t="s">
        <v>37</v>
      </c>
      <c r="F1843" t="s">
        <v>127</v>
      </c>
      <c r="I1843" t="s">
        <v>39</v>
      </c>
      <c r="J1843" t="s">
        <v>40</v>
      </c>
      <c r="K1843" t="s">
        <v>41</v>
      </c>
      <c r="L1843" t="s">
        <v>173</v>
      </c>
      <c r="N1843" t="s">
        <v>43</v>
      </c>
      <c r="O1843" t="s">
        <v>556</v>
      </c>
      <c r="P1843">
        <v>262</v>
      </c>
      <c r="Q1843">
        <v>262</v>
      </c>
      <c r="R1843">
        <v>21</v>
      </c>
      <c r="S1843" t="s">
        <v>45</v>
      </c>
      <c r="T1843">
        <v>0.02</v>
      </c>
      <c r="U1843">
        <v>999</v>
      </c>
      <c r="V1843" t="s">
        <v>46</v>
      </c>
      <c r="W1843">
        <v>0.998</v>
      </c>
      <c r="X1843">
        <v>23001</v>
      </c>
      <c r="Y1843" t="s">
        <v>47</v>
      </c>
      <c r="Z1843">
        <v>23</v>
      </c>
      <c r="AA1843">
        <v>427</v>
      </c>
      <c r="AB1843" t="s">
        <v>47</v>
      </c>
      <c r="AC1843">
        <v>0.42599999999999999</v>
      </c>
      <c r="AD1843">
        <v>735</v>
      </c>
      <c r="AE1843" t="s">
        <v>48</v>
      </c>
      <c r="AF1843">
        <v>0.73399999999999999</v>
      </c>
      <c r="AG1843">
        <v>859</v>
      </c>
      <c r="AH1843" t="s">
        <v>49</v>
      </c>
      <c r="AI1843">
        <v>0.85799999999999998</v>
      </c>
      <c r="AJ1843" t="s">
        <v>1154</v>
      </c>
    </row>
    <row r="1844" spans="1:36" x14ac:dyDescent="0.25">
      <c r="A1844" t="s">
        <v>554</v>
      </c>
      <c r="B1844">
        <v>862694802</v>
      </c>
      <c r="C1844" t="s">
        <v>555</v>
      </c>
      <c r="D1844" t="s">
        <v>555</v>
      </c>
      <c r="E1844" t="s">
        <v>37</v>
      </c>
      <c r="F1844" t="s">
        <v>127</v>
      </c>
      <c r="I1844" t="s">
        <v>39</v>
      </c>
      <c r="J1844" t="s">
        <v>40</v>
      </c>
      <c r="K1844" t="s">
        <v>41</v>
      </c>
      <c r="L1844" t="s">
        <v>173</v>
      </c>
      <c r="N1844" t="s">
        <v>43</v>
      </c>
      <c r="O1844" t="s">
        <v>556</v>
      </c>
      <c r="P1844">
        <v>262</v>
      </c>
      <c r="Q1844">
        <v>262</v>
      </c>
      <c r="S1844" t="s">
        <v>39</v>
      </c>
      <c r="V1844" t="s">
        <v>39</v>
      </c>
      <c r="X1844">
        <v>23001</v>
      </c>
      <c r="Y1844" t="s">
        <v>47</v>
      </c>
      <c r="Z1844">
        <v>23</v>
      </c>
      <c r="AA1844">
        <v>427</v>
      </c>
      <c r="AB1844" t="s">
        <v>47</v>
      </c>
      <c r="AC1844">
        <v>0.42599999999999999</v>
      </c>
      <c r="AD1844">
        <v>735</v>
      </c>
      <c r="AE1844" t="s">
        <v>48</v>
      </c>
      <c r="AF1844">
        <v>0.73399999999999999</v>
      </c>
      <c r="AG1844">
        <v>859</v>
      </c>
      <c r="AH1844" t="s">
        <v>49</v>
      </c>
      <c r="AI1844">
        <v>0.85799999999999998</v>
      </c>
      <c r="AJ1844" t="s">
        <v>1155</v>
      </c>
    </row>
    <row r="1845" spans="1:36" x14ac:dyDescent="0.25">
      <c r="A1845" t="s">
        <v>552</v>
      </c>
      <c r="B1845">
        <v>856031371</v>
      </c>
      <c r="C1845" t="s">
        <v>553</v>
      </c>
      <c r="D1845" t="s">
        <v>553</v>
      </c>
      <c r="E1845" t="s">
        <v>99</v>
      </c>
      <c r="F1845" t="s">
        <v>280</v>
      </c>
      <c r="I1845" t="s">
        <v>39</v>
      </c>
      <c r="J1845" t="s">
        <v>40</v>
      </c>
      <c r="K1845" t="s">
        <v>41</v>
      </c>
      <c r="L1845" t="s">
        <v>248</v>
      </c>
      <c r="M1845" t="s">
        <v>73</v>
      </c>
      <c r="N1845" t="s">
        <v>43</v>
      </c>
      <c r="O1845" t="s">
        <v>112</v>
      </c>
      <c r="P1845">
        <v>265</v>
      </c>
      <c r="Q1845">
        <v>265</v>
      </c>
      <c r="R1845">
        <v>371</v>
      </c>
      <c r="S1845" t="s">
        <v>56</v>
      </c>
      <c r="T1845">
        <v>0.37</v>
      </c>
      <c r="U1845">
        <v>31</v>
      </c>
      <c r="V1845" t="s">
        <v>55</v>
      </c>
      <c r="W1845">
        <v>0.03</v>
      </c>
      <c r="X1845">
        <v>1001</v>
      </c>
      <c r="Y1845" t="s">
        <v>47</v>
      </c>
      <c r="Z1845">
        <v>1</v>
      </c>
      <c r="AA1845">
        <v>216</v>
      </c>
      <c r="AB1845" t="s">
        <v>47</v>
      </c>
      <c r="AC1845">
        <v>0.215</v>
      </c>
      <c r="AD1845">
        <v>432</v>
      </c>
      <c r="AE1845" t="s">
        <v>56</v>
      </c>
      <c r="AF1845">
        <v>0.43099999999999999</v>
      </c>
      <c r="AG1845">
        <v>190</v>
      </c>
      <c r="AH1845" t="s">
        <v>103</v>
      </c>
      <c r="AI1845">
        <v>0.189</v>
      </c>
      <c r="AJ1845" t="s">
        <v>50</v>
      </c>
    </row>
    <row r="1846" spans="1:36" x14ac:dyDescent="0.25">
      <c r="A1846" t="s">
        <v>552</v>
      </c>
      <c r="B1846">
        <v>856031371</v>
      </c>
      <c r="C1846" t="s">
        <v>553</v>
      </c>
      <c r="D1846" t="s">
        <v>553</v>
      </c>
      <c r="E1846" t="s">
        <v>99</v>
      </c>
      <c r="F1846" t="s">
        <v>280</v>
      </c>
      <c r="I1846" t="s">
        <v>39</v>
      </c>
      <c r="J1846" t="s">
        <v>40</v>
      </c>
      <c r="K1846" t="s">
        <v>41</v>
      </c>
      <c r="L1846" t="s">
        <v>248</v>
      </c>
      <c r="M1846" t="s">
        <v>73</v>
      </c>
      <c r="N1846" t="s">
        <v>43</v>
      </c>
      <c r="O1846" t="s">
        <v>112</v>
      </c>
      <c r="P1846">
        <v>265</v>
      </c>
      <c r="Q1846">
        <v>265</v>
      </c>
      <c r="R1846">
        <v>311</v>
      </c>
      <c r="S1846" t="s">
        <v>56</v>
      </c>
      <c r="T1846">
        <v>0.31</v>
      </c>
      <c r="U1846">
        <v>8</v>
      </c>
      <c r="V1846" t="s">
        <v>55</v>
      </c>
      <c r="W1846">
        <v>7.0000000000000001E-3</v>
      </c>
      <c r="X1846">
        <v>1001</v>
      </c>
      <c r="Y1846" t="s">
        <v>47</v>
      </c>
      <c r="Z1846">
        <v>1</v>
      </c>
      <c r="AA1846">
        <v>216</v>
      </c>
      <c r="AB1846" t="s">
        <v>47</v>
      </c>
      <c r="AC1846">
        <v>0.215</v>
      </c>
      <c r="AD1846">
        <v>432</v>
      </c>
      <c r="AE1846" t="s">
        <v>56</v>
      </c>
      <c r="AF1846">
        <v>0.43099999999999999</v>
      </c>
      <c r="AG1846">
        <v>190</v>
      </c>
      <c r="AH1846" t="s">
        <v>103</v>
      </c>
      <c r="AI1846">
        <v>0.189</v>
      </c>
      <c r="AJ1846" t="s">
        <v>1141</v>
      </c>
    </row>
    <row r="1847" spans="1:36" x14ac:dyDescent="0.25">
      <c r="A1847" t="s">
        <v>552</v>
      </c>
      <c r="B1847">
        <v>856031371</v>
      </c>
      <c r="C1847" t="s">
        <v>553</v>
      </c>
      <c r="D1847" t="s">
        <v>553</v>
      </c>
      <c r="E1847" t="s">
        <v>99</v>
      </c>
      <c r="F1847" t="s">
        <v>280</v>
      </c>
      <c r="I1847" t="s">
        <v>39</v>
      </c>
      <c r="J1847" t="s">
        <v>40</v>
      </c>
      <c r="K1847" t="s">
        <v>41</v>
      </c>
      <c r="L1847" t="s">
        <v>248</v>
      </c>
      <c r="M1847" t="s">
        <v>73</v>
      </c>
      <c r="N1847" t="s">
        <v>43</v>
      </c>
      <c r="O1847" t="s">
        <v>112</v>
      </c>
      <c r="P1847">
        <v>265</v>
      </c>
      <c r="Q1847">
        <v>265</v>
      </c>
      <c r="R1847">
        <v>371</v>
      </c>
      <c r="S1847" t="s">
        <v>56</v>
      </c>
      <c r="T1847">
        <v>0.37</v>
      </c>
      <c r="U1847">
        <v>31</v>
      </c>
      <c r="V1847" t="s">
        <v>55</v>
      </c>
      <c r="W1847">
        <v>0.03</v>
      </c>
      <c r="X1847">
        <v>1001</v>
      </c>
      <c r="Y1847" t="s">
        <v>47</v>
      </c>
      <c r="Z1847">
        <v>1</v>
      </c>
      <c r="AA1847">
        <v>216</v>
      </c>
      <c r="AB1847" t="s">
        <v>47</v>
      </c>
      <c r="AC1847">
        <v>0.215</v>
      </c>
      <c r="AD1847">
        <v>432</v>
      </c>
      <c r="AE1847" t="s">
        <v>56</v>
      </c>
      <c r="AF1847">
        <v>0.43099999999999999</v>
      </c>
      <c r="AG1847">
        <v>190</v>
      </c>
      <c r="AH1847" t="s">
        <v>103</v>
      </c>
      <c r="AI1847">
        <v>0.189</v>
      </c>
      <c r="AJ1847" t="s">
        <v>1153</v>
      </c>
    </row>
    <row r="1848" spans="1:36" x14ac:dyDescent="0.25">
      <c r="A1848" t="s">
        <v>552</v>
      </c>
      <c r="B1848">
        <v>856031371</v>
      </c>
      <c r="C1848" t="s">
        <v>553</v>
      </c>
      <c r="D1848" t="s">
        <v>553</v>
      </c>
      <c r="E1848" t="s">
        <v>99</v>
      </c>
      <c r="F1848" t="s">
        <v>280</v>
      </c>
      <c r="I1848" t="s">
        <v>39</v>
      </c>
      <c r="J1848" t="s">
        <v>40</v>
      </c>
      <c r="K1848" t="s">
        <v>41</v>
      </c>
      <c r="L1848" t="s">
        <v>248</v>
      </c>
      <c r="M1848" t="s">
        <v>73</v>
      </c>
      <c r="N1848" t="s">
        <v>43</v>
      </c>
      <c r="O1848" t="s">
        <v>112</v>
      </c>
      <c r="P1848">
        <v>265</v>
      </c>
      <c r="Q1848">
        <v>265</v>
      </c>
      <c r="R1848">
        <v>371</v>
      </c>
      <c r="S1848" t="s">
        <v>56</v>
      </c>
      <c r="T1848">
        <v>0.37</v>
      </c>
      <c r="U1848">
        <v>31</v>
      </c>
      <c r="V1848" t="s">
        <v>55</v>
      </c>
      <c r="W1848">
        <v>0.03</v>
      </c>
      <c r="X1848">
        <v>1001</v>
      </c>
      <c r="Y1848" t="s">
        <v>47</v>
      </c>
      <c r="Z1848">
        <v>1</v>
      </c>
      <c r="AA1848">
        <v>216</v>
      </c>
      <c r="AB1848" t="s">
        <v>47</v>
      </c>
      <c r="AC1848">
        <v>0.215</v>
      </c>
      <c r="AD1848">
        <v>432</v>
      </c>
      <c r="AE1848" t="s">
        <v>56</v>
      </c>
      <c r="AF1848">
        <v>0.43099999999999999</v>
      </c>
      <c r="AG1848">
        <v>190</v>
      </c>
      <c r="AH1848" t="s">
        <v>103</v>
      </c>
      <c r="AI1848">
        <v>0.189</v>
      </c>
      <c r="AJ1848" t="s">
        <v>1154</v>
      </c>
    </row>
    <row r="1849" spans="1:36" x14ac:dyDescent="0.25">
      <c r="A1849" t="s">
        <v>552</v>
      </c>
      <c r="B1849">
        <v>856031371</v>
      </c>
      <c r="C1849" t="s">
        <v>553</v>
      </c>
      <c r="D1849" t="s">
        <v>553</v>
      </c>
      <c r="E1849" t="s">
        <v>99</v>
      </c>
      <c r="F1849" t="s">
        <v>280</v>
      </c>
      <c r="I1849" t="s">
        <v>39</v>
      </c>
      <c r="J1849" t="s">
        <v>40</v>
      </c>
      <c r="K1849" t="s">
        <v>41</v>
      </c>
      <c r="L1849" t="s">
        <v>248</v>
      </c>
      <c r="M1849" t="s">
        <v>73</v>
      </c>
      <c r="N1849" t="s">
        <v>43</v>
      </c>
      <c r="O1849" t="s">
        <v>112</v>
      </c>
      <c r="P1849">
        <v>265</v>
      </c>
      <c r="Q1849">
        <v>265</v>
      </c>
      <c r="S1849" t="s">
        <v>39</v>
      </c>
      <c r="V1849" t="s">
        <v>39</v>
      </c>
      <c r="X1849">
        <v>1001</v>
      </c>
      <c r="Y1849" t="s">
        <v>47</v>
      </c>
      <c r="Z1849">
        <v>1</v>
      </c>
      <c r="AA1849">
        <v>216</v>
      </c>
      <c r="AB1849" t="s">
        <v>47</v>
      </c>
      <c r="AC1849">
        <v>0.215</v>
      </c>
      <c r="AD1849">
        <v>432</v>
      </c>
      <c r="AE1849" t="s">
        <v>56</v>
      </c>
      <c r="AF1849">
        <v>0.43099999999999999</v>
      </c>
      <c r="AG1849">
        <v>190</v>
      </c>
      <c r="AH1849" t="s">
        <v>103</v>
      </c>
      <c r="AI1849">
        <v>0.189</v>
      </c>
      <c r="AJ1849" t="s">
        <v>1155</v>
      </c>
    </row>
    <row r="1850" spans="1:36" x14ac:dyDescent="0.25">
      <c r="A1850" t="s">
        <v>550</v>
      </c>
      <c r="B1850">
        <v>856392360</v>
      </c>
      <c r="C1850" t="s">
        <v>551</v>
      </c>
      <c r="D1850" t="s">
        <v>551</v>
      </c>
      <c r="E1850" t="s">
        <v>65</v>
      </c>
      <c r="F1850" t="s">
        <v>93</v>
      </c>
      <c r="I1850" t="s">
        <v>39</v>
      </c>
      <c r="J1850" t="s">
        <v>40</v>
      </c>
      <c r="K1850" t="s">
        <v>41</v>
      </c>
      <c r="L1850" t="s">
        <v>118</v>
      </c>
      <c r="N1850" t="s">
        <v>43</v>
      </c>
      <c r="O1850" t="s">
        <v>96</v>
      </c>
      <c r="P1850">
        <v>266</v>
      </c>
      <c r="Q1850">
        <v>266</v>
      </c>
      <c r="R1850">
        <v>41</v>
      </c>
      <c r="S1850" t="s">
        <v>45</v>
      </c>
      <c r="T1850">
        <v>0.04</v>
      </c>
      <c r="U1850">
        <v>438</v>
      </c>
      <c r="V1850" t="s">
        <v>55</v>
      </c>
      <c r="W1850">
        <v>0.437</v>
      </c>
      <c r="X1850">
        <v>15001</v>
      </c>
      <c r="Y1850" t="s">
        <v>47</v>
      </c>
      <c r="Z1850">
        <v>15</v>
      </c>
      <c r="AA1850">
        <v>595</v>
      </c>
      <c r="AB1850" t="s">
        <v>75</v>
      </c>
      <c r="AC1850">
        <v>0.59399999999999997</v>
      </c>
      <c r="AD1850">
        <v>734</v>
      </c>
      <c r="AE1850" t="s">
        <v>48</v>
      </c>
      <c r="AF1850">
        <v>0.73299999999999998</v>
      </c>
      <c r="AG1850">
        <v>852</v>
      </c>
      <c r="AH1850" t="s">
        <v>49</v>
      </c>
      <c r="AI1850">
        <v>0.85099999999999998</v>
      </c>
      <c r="AJ1850" t="s">
        <v>50</v>
      </c>
    </row>
    <row r="1851" spans="1:36" x14ac:dyDescent="0.25">
      <c r="A1851" t="s">
        <v>550</v>
      </c>
      <c r="B1851">
        <v>856392360</v>
      </c>
      <c r="C1851" t="s">
        <v>551</v>
      </c>
      <c r="D1851" t="s">
        <v>551</v>
      </c>
      <c r="E1851" t="s">
        <v>65</v>
      </c>
      <c r="F1851" t="s">
        <v>93</v>
      </c>
      <c r="I1851" t="s">
        <v>39</v>
      </c>
      <c r="J1851" t="s">
        <v>40</v>
      </c>
      <c r="K1851" t="s">
        <v>41</v>
      </c>
      <c r="L1851" t="s">
        <v>118</v>
      </c>
      <c r="N1851" t="s">
        <v>43</v>
      </c>
      <c r="O1851" t="s">
        <v>96</v>
      </c>
      <c r="P1851">
        <v>266</v>
      </c>
      <c r="Q1851">
        <v>266</v>
      </c>
      <c r="R1851">
        <v>41</v>
      </c>
      <c r="S1851" t="s">
        <v>45</v>
      </c>
      <c r="T1851">
        <v>0.04</v>
      </c>
      <c r="U1851">
        <v>788</v>
      </c>
      <c r="V1851" t="s">
        <v>113</v>
      </c>
      <c r="W1851">
        <v>0.78700000000000003</v>
      </c>
      <c r="X1851">
        <v>15001</v>
      </c>
      <c r="Y1851" t="s">
        <v>47</v>
      </c>
      <c r="Z1851">
        <v>15</v>
      </c>
      <c r="AA1851">
        <v>595</v>
      </c>
      <c r="AB1851" t="s">
        <v>75</v>
      </c>
      <c r="AC1851">
        <v>0.59399999999999997</v>
      </c>
      <c r="AD1851">
        <v>734</v>
      </c>
      <c r="AE1851" t="s">
        <v>48</v>
      </c>
      <c r="AF1851">
        <v>0.73299999999999998</v>
      </c>
      <c r="AG1851">
        <v>852</v>
      </c>
      <c r="AH1851" t="s">
        <v>49</v>
      </c>
      <c r="AI1851">
        <v>0.85099999999999998</v>
      </c>
      <c r="AJ1851" t="s">
        <v>1141</v>
      </c>
    </row>
    <row r="1852" spans="1:36" x14ac:dyDescent="0.25">
      <c r="A1852" t="s">
        <v>550</v>
      </c>
      <c r="B1852">
        <v>856392360</v>
      </c>
      <c r="C1852" t="s">
        <v>551</v>
      </c>
      <c r="D1852" t="s">
        <v>551</v>
      </c>
      <c r="E1852" t="s">
        <v>65</v>
      </c>
      <c r="F1852" t="s">
        <v>93</v>
      </c>
      <c r="I1852" t="s">
        <v>39</v>
      </c>
      <c r="J1852" t="s">
        <v>40</v>
      </c>
      <c r="K1852" t="s">
        <v>41</v>
      </c>
      <c r="L1852" t="s">
        <v>118</v>
      </c>
      <c r="N1852" t="s">
        <v>43</v>
      </c>
      <c r="O1852" t="s">
        <v>96</v>
      </c>
      <c r="P1852">
        <v>266</v>
      </c>
      <c r="Q1852">
        <v>266</v>
      </c>
      <c r="R1852">
        <v>41</v>
      </c>
      <c r="S1852" t="s">
        <v>45</v>
      </c>
      <c r="T1852">
        <v>0.04</v>
      </c>
      <c r="U1852">
        <v>438</v>
      </c>
      <c r="V1852" t="s">
        <v>55</v>
      </c>
      <c r="W1852">
        <v>0.437</v>
      </c>
      <c r="X1852">
        <v>15001</v>
      </c>
      <c r="Y1852" t="s">
        <v>47</v>
      </c>
      <c r="Z1852">
        <v>15</v>
      </c>
      <c r="AA1852">
        <v>595</v>
      </c>
      <c r="AB1852" t="s">
        <v>75</v>
      </c>
      <c r="AC1852">
        <v>0.59399999999999997</v>
      </c>
      <c r="AD1852">
        <v>734</v>
      </c>
      <c r="AE1852" t="s">
        <v>48</v>
      </c>
      <c r="AF1852">
        <v>0.73299999999999998</v>
      </c>
      <c r="AG1852">
        <v>852</v>
      </c>
      <c r="AH1852" t="s">
        <v>49</v>
      </c>
      <c r="AI1852">
        <v>0.85099999999999998</v>
      </c>
      <c r="AJ1852" t="s">
        <v>1153</v>
      </c>
    </row>
    <row r="1853" spans="1:36" x14ac:dyDescent="0.25">
      <c r="A1853" t="s">
        <v>550</v>
      </c>
      <c r="B1853">
        <v>856392360</v>
      </c>
      <c r="C1853" t="s">
        <v>551</v>
      </c>
      <c r="D1853" t="s">
        <v>551</v>
      </c>
      <c r="E1853" t="s">
        <v>65</v>
      </c>
      <c r="F1853" t="s">
        <v>93</v>
      </c>
      <c r="I1853" t="s">
        <v>39</v>
      </c>
      <c r="J1853" t="s">
        <v>40</v>
      </c>
      <c r="K1853" t="s">
        <v>41</v>
      </c>
      <c r="L1853" t="s">
        <v>118</v>
      </c>
      <c r="N1853" t="s">
        <v>43</v>
      </c>
      <c r="O1853" t="s">
        <v>96</v>
      </c>
      <c r="P1853">
        <v>266</v>
      </c>
      <c r="Q1853">
        <v>266</v>
      </c>
      <c r="R1853">
        <v>41</v>
      </c>
      <c r="S1853" t="s">
        <v>45</v>
      </c>
      <c r="T1853">
        <v>0.04</v>
      </c>
      <c r="U1853">
        <v>438</v>
      </c>
      <c r="V1853" t="s">
        <v>55</v>
      </c>
      <c r="W1853">
        <v>0.437</v>
      </c>
      <c r="X1853">
        <v>15001</v>
      </c>
      <c r="Y1853" t="s">
        <v>47</v>
      </c>
      <c r="Z1853">
        <v>15</v>
      </c>
      <c r="AA1853">
        <v>595</v>
      </c>
      <c r="AB1853" t="s">
        <v>75</v>
      </c>
      <c r="AC1853">
        <v>0.59399999999999997</v>
      </c>
      <c r="AD1853">
        <v>734</v>
      </c>
      <c r="AE1853" t="s">
        <v>48</v>
      </c>
      <c r="AF1853">
        <v>0.73299999999999998</v>
      </c>
      <c r="AG1853">
        <v>852</v>
      </c>
      <c r="AH1853" t="s">
        <v>49</v>
      </c>
      <c r="AI1853">
        <v>0.85099999999999998</v>
      </c>
      <c r="AJ1853" t="s">
        <v>1154</v>
      </c>
    </row>
    <row r="1854" spans="1:36" x14ac:dyDescent="0.25">
      <c r="A1854" t="s">
        <v>550</v>
      </c>
      <c r="B1854">
        <v>856392360</v>
      </c>
      <c r="C1854" t="s">
        <v>551</v>
      </c>
      <c r="D1854" t="s">
        <v>551</v>
      </c>
      <c r="E1854" t="s">
        <v>65</v>
      </c>
      <c r="F1854" t="s">
        <v>93</v>
      </c>
      <c r="I1854" t="s">
        <v>39</v>
      </c>
      <c r="J1854" t="s">
        <v>40</v>
      </c>
      <c r="K1854" t="s">
        <v>41</v>
      </c>
      <c r="L1854" t="s">
        <v>118</v>
      </c>
      <c r="N1854" t="s">
        <v>43</v>
      </c>
      <c r="O1854" t="s">
        <v>96</v>
      </c>
      <c r="P1854">
        <v>266</v>
      </c>
      <c r="Q1854">
        <v>266</v>
      </c>
      <c r="S1854" t="s">
        <v>39</v>
      </c>
      <c r="V1854" t="s">
        <v>39</v>
      </c>
      <c r="X1854">
        <v>15001</v>
      </c>
      <c r="Y1854" t="s">
        <v>47</v>
      </c>
      <c r="Z1854">
        <v>15</v>
      </c>
      <c r="AA1854">
        <v>595</v>
      </c>
      <c r="AB1854" t="s">
        <v>75</v>
      </c>
      <c r="AC1854">
        <v>0.59399999999999997</v>
      </c>
      <c r="AD1854">
        <v>734</v>
      </c>
      <c r="AE1854" t="s">
        <v>48</v>
      </c>
      <c r="AF1854">
        <v>0.73299999999999998</v>
      </c>
      <c r="AG1854">
        <v>852</v>
      </c>
      <c r="AH1854" t="s">
        <v>49</v>
      </c>
      <c r="AI1854">
        <v>0.85099999999999998</v>
      </c>
      <c r="AJ1854" t="s">
        <v>1155</v>
      </c>
    </row>
    <row r="1855" spans="1:36" x14ac:dyDescent="0.25">
      <c r="A1855" t="s">
        <v>548</v>
      </c>
      <c r="B1855">
        <v>870191448</v>
      </c>
      <c r="C1855" t="s">
        <v>549</v>
      </c>
      <c r="D1855" t="s">
        <v>549</v>
      </c>
      <c r="E1855" t="s">
        <v>65</v>
      </c>
      <c r="F1855" t="s">
        <v>66</v>
      </c>
      <c r="I1855" t="s">
        <v>39</v>
      </c>
      <c r="J1855" t="s">
        <v>40</v>
      </c>
      <c r="K1855" t="s">
        <v>41</v>
      </c>
      <c r="L1855" t="s">
        <v>42</v>
      </c>
      <c r="N1855" t="s">
        <v>43</v>
      </c>
      <c r="O1855" t="s">
        <v>128</v>
      </c>
      <c r="P1855">
        <v>267</v>
      </c>
      <c r="Q1855">
        <v>267</v>
      </c>
      <c r="R1855">
        <v>311</v>
      </c>
      <c r="S1855" t="s">
        <v>56</v>
      </c>
      <c r="T1855">
        <v>0.31</v>
      </c>
      <c r="U1855">
        <v>49</v>
      </c>
      <c r="V1855" t="s">
        <v>55</v>
      </c>
      <c r="W1855">
        <v>4.8000000000000001E-2</v>
      </c>
      <c r="X1855">
        <v>4001</v>
      </c>
      <c r="Y1855" t="s">
        <v>47</v>
      </c>
      <c r="Z1855">
        <v>4</v>
      </c>
      <c r="AA1855">
        <v>93</v>
      </c>
      <c r="AB1855" t="s">
        <v>47</v>
      </c>
      <c r="AC1855">
        <v>9.1999999999999998E-2</v>
      </c>
      <c r="AD1855">
        <v>334</v>
      </c>
      <c r="AE1855" t="s">
        <v>56</v>
      </c>
      <c r="AF1855">
        <v>0.33300000000000002</v>
      </c>
      <c r="AG1855">
        <v>169</v>
      </c>
      <c r="AH1855" t="s">
        <v>103</v>
      </c>
      <c r="AI1855">
        <v>0.16800000000000001</v>
      </c>
      <c r="AJ1855" t="s">
        <v>50</v>
      </c>
    </row>
    <row r="1856" spans="1:36" x14ac:dyDescent="0.25">
      <c r="A1856" t="s">
        <v>548</v>
      </c>
      <c r="B1856">
        <v>870191448</v>
      </c>
      <c r="C1856" t="s">
        <v>549</v>
      </c>
      <c r="D1856" t="s">
        <v>549</v>
      </c>
      <c r="E1856" t="s">
        <v>65</v>
      </c>
      <c r="F1856" t="s">
        <v>66</v>
      </c>
      <c r="I1856" t="s">
        <v>39</v>
      </c>
      <c r="J1856" t="s">
        <v>40</v>
      </c>
      <c r="K1856" t="s">
        <v>41</v>
      </c>
      <c r="L1856" t="s">
        <v>42</v>
      </c>
      <c r="N1856" t="s">
        <v>43</v>
      </c>
      <c r="O1856" t="s">
        <v>128</v>
      </c>
      <c r="P1856">
        <v>267</v>
      </c>
      <c r="Q1856">
        <v>267</v>
      </c>
      <c r="R1856">
        <v>131</v>
      </c>
      <c r="S1856" t="s">
        <v>56</v>
      </c>
      <c r="T1856">
        <v>0.13</v>
      </c>
      <c r="U1856">
        <v>57</v>
      </c>
      <c r="V1856" t="s">
        <v>55</v>
      </c>
      <c r="W1856">
        <v>5.6000000000000001E-2</v>
      </c>
      <c r="X1856">
        <v>4001</v>
      </c>
      <c r="Y1856" t="s">
        <v>47</v>
      </c>
      <c r="Z1856">
        <v>4</v>
      </c>
      <c r="AA1856">
        <v>93</v>
      </c>
      <c r="AB1856" t="s">
        <v>47</v>
      </c>
      <c r="AC1856">
        <v>9.1999999999999998E-2</v>
      </c>
      <c r="AD1856">
        <v>334</v>
      </c>
      <c r="AE1856" t="s">
        <v>56</v>
      </c>
      <c r="AF1856">
        <v>0.33300000000000002</v>
      </c>
      <c r="AG1856">
        <v>169</v>
      </c>
      <c r="AH1856" t="s">
        <v>103</v>
      </c>
      <c r="AI1856">
        <v>0.16800000000000001</v>
      </c>
      <c r="AJ1856" t="s">
        <v>1141</v>
      </c>
    </row>
    <row r="1857" spans="1:36" x14ac:dyDescent="0.25">
      <c r="A1857" t="s">
        <v>548</v>
      </c>
      <c r="B1857">
        <v>870191448</v>
      </c>
      <c r="C1857" t="s">
        <v>549</v>
      </c>
      <c r="D1857" t="s">
        <v>549</v>
      </c>
      <c r="E1857" t="s">
        <v>65</v>
      </c>
      <c r="F1857" t="s">
        <v>66</v>
      </c>
      <c r="I1857" t="s">
        <v>39</v>
      </c>
      <c r="J1857" t="s">
        <v>40</v>
      </c>
      <c r="K1857" t="s">
        <v>41</v>
      </c>
      <c r="L1857" t="s">
        <v>42</v>
      </c>
      <c r="N1857" t="s">
        <v>43</v>
      </c>
      <c r="O1857" t="s">
        <v>128</v>
      </c>
      <c r="P1857">
        <v>267</v>
      </c>
      <c r="Q1857">
        <v>267</v>
      </c>
      <c r="R1857">
        <v>311</v>
      </c>
      <c r="S1857" t="s">
        <v>56</v>
      </c>
      <c r="T1857">
        <v>0.31</v>
      </c>
      <c r="U1857">
        <v>49</v>
      </c>
      <c r="V1857" t="s">
        <v>55</v>
      </c>
      <c r="W1857">
        <v>4.8000000000000001E-2</v>
      </c>
      <c r="X1857">
        <v>4001</v>
      </c>
      <c r="Y1857" t="s">
        <v>47</v>
      </c>
      <c r="Z1857">
        <v>4</v>
      </c>
      <c r="AA1857">
        <v>93</v>
      </c>
      <c r="AB1857" t="s">
        <v>47</v>
      </c>
      <c r="AC1857">
        <v>9.1999999999999998E-2</v>
      </c>
      <c r="AD1857">
        <v>334</v>
      </c>
      <c r="AE1857" t="s">
        <v>56</v>
      </c>
      <c r="AF1857">
        <v>0.33300000000000002</v>
      </c>
      <c r="AG1857">
        <v>169</v>
      </c>
      <c r="AH1857" t="s">
        <v>103</v>
      </c>
      <c r="AI1857">
        <v>0.16800000000000001</v>
      </c>
      <c r="AJ1857" t="s">
        <v>1153</v>
      </c>
    </row>
    <row r="1858" spans="1:36" x14ac:dyDescent="0.25">
      <c r="A1858" t="s">
        <v>548</v>
      </c>
      <c r="B1858">
        <v>870191448</v>
      </c>
      <c r="C1858" t="s">
        <v>549</v>
      </c>
      <c r="D1858" t="s">
        <v>549</v>
      </c>
      <c r="E1858" t="s">
        <v>65</v>
      </c>
      <c r="F1858" t="s">
        <v>66</v>
      </c>
      <c r="I1858" t="s">
        <v>39</v>
      </c>
      <c r="J1858" t="s">
        <v>40</v>
      </c>
      <c r="K1858" t="s">
        <v>41</v>
      </c>
      <c r="L1858" t="s">
        <v>42</v>
      </c>
      <c r="N1858" t="s">
        <v>43</v>
      </c>
      <c r="O1858" t="s">
        <v>128</v>
      </c>
      <c r="P1858">
        <v>267</v>
      </c>
      <c r="Q1858">
        <v>267</v>
      </c>
      <c r="R1858">
        <v>311</v>
      </c>
      <c r="S1858" t="s">
        <v>56</v>
      </c>
      <c r="T1858">
        <v>0.31</v>
      </c>
      <c r="U1858">
        <v>49</v>
      </c>
      <c r="V1858" t="s">
        <v>55</v>
      </c>
      <c r="W1858">
        <v>4.8000000000000001E-2</v>
      </c>
      <c r="X1858">
        <v>4001</v>
      </c>
      <c r="Y1858" t="s">
        <v>47</v>
      </c>
      <c r="Z1858">
        <v>4</v>
      </c>
      <c r="AA1858">
        <v>93</v>
      </c>
      <c r="AB1858" t="s">
        <v>47</v>
      </c>
      <c r="AC1858">
        <v>9.1999999999999998E-2</v>
      </c>
      <c r="AD1858">
        <v>334</v>
      </c>
      <c r="AE1858" t="s">
        <v>56</v>
      </c>
      <c r="AF1858">
        <v>0.33300000000000002</v>
      </c>
      <c r="AG1858">
        <v>169</v>
      </c>
      <c r="AH1858" t="s">
        <v>103</v>
      </c>
      <c r="AI1858">
        <v>0.16800000000000001</v>
      </c>
      <c r="AJ1858" t="s">
        <v>1154</v>
      </c>
    </row>
    <row r="1859" spans="1:36" x14ac:dyDescent="0.25">
      <c r="A1859" t="s">
        <v>548</v>
      </c>
      <c r="B1859">
        <v>870191448</v>
      </c>
      <c r="C1859" t="s">
        <v>549</v>
      </c>
      <c r="D1859" t="s">
        <v>549</v>
      </c>
      <c r="E1859" t="s">
        <v>65</v>
      </c>
      <c r="F1859" t="s">
        <v>66</v>
      </c>
      <c r="I1859" t="s">
        <v>39</v>
      </c>
      <c r="J1859" t="s">
        <v>40</v>
      </c>
      <c r="K1859" t="s">
        <v>41</v>
      </c>
      <c r="L1859" t="s">
        <v>42</v>
      </c>
      <c r="N1859" t="s">
        <v>43</v>
      </c>
      <c r="O1859" t="s">
        <v>128</v>
      </c>
      <c r="P1859">
        <v>267</v>
      </c>
      <c r="Q1859">
        <v>267</v>
      </c>
      <c r="S1859" t="s">
        <v>39</v>
      </c>
      <c r="V1859" t="s">
        <v>39</v>
      </c>
      <c r="X1859">
        <v>4001</v>
      </c>
      <c r="Y1859" t="s">
        <v>47</v>
      </c>
      <c r="Z1859">
        <v>4</v>
      </c>
      <c r="AA1859">
        <v>93</v>
      </c>
      <c r="AB1859" t="s">
        <v>47</v>
      </c>
      <c r="AC1859">
        <v>9.1999999999999998E-2</v>
      </c>
      <c r="AD1859">
        <v>334</v>
      </c>
      <c r="AE1859" t="s">
        <v>56</v>
      </c>
      <c r="AF1859">
        <v>0.33300000000000002</v>
      </c>
      <c r="AG1859">
        <v>169</v>
      </c>
      <c r="AH1859" t="s">
        <v>103</v>
      </c>
      <c r="AI1859">
        <v>0.16800000000000001</v>
      </c>
      <c r="AJ1859" t="s">
        <v>1155</v>
      </c>
    </row>
    <row r="1860" spans="1:36" x14ac:dyDescent="0.25">
      <c r="A1860" t="s">
        <v>545</v>
      </c>
      <c r="B1860">
        <v>881504909</v>
      </c>
      <c r="C1860" t="s">
        <v>546</v>
      </c>
      <c r="D1860" t="s">
        <v>546</v>
      </c>
      <c r="E1860" t="s">
        <v>60</v>
      </c>
      <c r="F1860" t="s">
        <v>88</v>
      </c>
      <c r="I1860" t="s">
        <v>39</v>
      </c>
      <c r="J1860" t="s">
        <v>40</v>
      </c>
      <c r="K1860" t="s">
        <v>41</v>
      </c>
      <c r="L1860" t="s">
        <v>78</v>
      </c>
      <c r="N1860" t="s">
        <v>43</v>
      </c>
      <c r="O1860" t="s">
        <v>547</v>
      </c>
      <c r="P1860">
        <v>270</v>
      </c>
      <c r="Q1860">
        <v>270</v>
      </c>
      <c r="R1860">
        <v>1</v>
      </c>
      <c r="S1860" t="s">
        <v>45</v>
      </c>
      <c r="T1860">
        <v>0</v>
      </c>
      <c r="U1860">
        <v>989</v>
      </c>
      <c r="V1860" t="s">
        <v>46</v>
      </c>
      <c r="W1860">
        <v>0.98799999999999999</v>
      </c>
      <c r="X1860">
        <v>23001</v>
      </c>
      <c r="Y1860" t="s">
        <v>47</v>
      </c>
      <c r="Z1860">
        <v>23</v>
      </c>
      <c r="AA1860">
        <v>662</v>
      </c>
      <c r="AB1860" t="s">
        <v>75</v>
      </c>
      <c r="AC1860">
        <v>0.66100000000000003</v>
      </c>
      <c r="AD1860">
        <v>819</v>
      </c>
      <c r="AE1860" t="s">
        <v>48</v>
      </c>
      <c r="AF1860">
        <v>0.81799999999999995</v>
      </c>
      <c r="AG1860">
        <v>819</v>
      </c>
      <c r="AH1860" t="s">
        <v>49</v>
      </c>
      <c r="AI1860">
        <v>0.81799999999999995</v>
      </c>
      <c r="AJ1860" t="s">
        <v>50</v>
      </c>
    </row>
    <row r="1861" spans="1:36" x14ac:dyDescent="0.25">
      <c r="A1861" t="s">
        <v>545</v>
      </c>
      <c r="B1861">
        <v>881504909</v>
      </c>
      <c r="C1861" t="s">
        <v>546</v>
      </c>
      <c r="D1861" t="s">
        <v>546</v>
      </c>
      <c r="E1861" t="s">
        <v>60</v>
      </c>
      <c r="F1861" t="s">
        <v>88</v>
      </c>
      <c r="I1861" t="s">
        <v>39</v>
      </c>
      <c r="J1861" t="s">
        <v>40</v>
      </c>
      <c r="K1861" t="s">
        <v>41</v>
      </c>
      <c r="L1861" t="s">
        <v>78</v>
      </c>
      <c r="N1861" t="s">
        <v>43</v>
      </c>
      <c r="O1861" t="s">
        <v>547</v>
      </c>
      <c r="P1861">
        <v>270</v>
      </c>
      <c r="Q1861">
        <v>270</v>
      </c>
      <c r="R1861">
        <v>1</v>
      </c>
      <c r="S1861" t="s">
        <v>45</v>
      </c>
      <c r="T1861">
        <v>0</v>
      </c>
      <c r="U1861">
        <v>753</v>
      </c>
      <c r="V1861" t="s">
        <v>113</v>
      </c>
      <c r="W1861">
        <v>0.752</v>
      </c>
      <c r="X1861">
        <v>23001</v>
      </c>
      <c r="Y1861" t="s">
        <v>47</v>
      </c>
      <c r="Z1861">
        <v>23</v>
      </c>
      <c r="AA1861">
        <v>662</v>
      </c>
      <c r="AB1861" t="s">
        <v>75</v>
      </c>
      <c r="AC1861">
        <v>0.66100000000000003</v>
      </c>
      <c r="AD1861">
        <v>819</v>
      </c>
      <c r="AE1861" t="s">
        <v>48</v>
      </c>
      <c r="AF1861">
        <v>0.81799999999999995</v>
      </c>
      <c r="AG1861">
        <v>819</v>
      </c>
      <c r="AH1861" t="s">
        <v>49</v>
      </c>
      <c r="AI1861">
        <v>0.81799999999999995</v>
      </c>
      <c r="AJ1861" t="s">
        <v>1141</v>
      </c>
    </row>
    <row r="1862" spans="1:36" x14ac:dyDescent="0.25">
      <c r="A1862" t="s">
        <v>545</v>
      </c>
      <c r="B1862">
        <v>881504909</v>
      </c>
      <c r="C1862" t="s">
        <v>546</v>
      </c>
      <c r="D1862" t="s">
        <v>546</v>
      </c>
      <c r="E1862" t="s">
        <v>60</v>
      </c>
      <c r="F1862" t="s">
        <v>88</v>
      </c>
      <c r="I1862" t="s">
        <v>39</v>
      </c>
      <c r="J1862" t="s">
        <v>40</v>
      </c>
      <c r="K1862" t="s">
        <v>41</v>
      </c>
      <c r="L1862" t="s">
        <v>78</v>
      </c>
      <c r="N1862" t="s">
        <v>43</v>
      </c>
      <c r="O1862" t="s">
        <v>547</v>
      </c>
      <c r="P1862">
        <v>270</v>
      </c>
      <c r="Q1862">
        <v>270</v>
      </c>
      <c r="R1862">
        <v>1</v>
      </c>
      <c r="S1862" t="s">
        <v>45</v>
      </c>
      <c r="T1862">
        <v>0</v>
      </c>
      <c r="U1862">
        <v>989</v>
      </c>
      <c r="V1862" t="s">
        <v>46</v>
      </c>
      <c r="W1862">
        <v>0.98799999999999999</v>
      </c>
      <c r="X1862">
        <v>23001</v>
      </c>
      <c r="Y1862" t="s">
        <v>47</v>
      </c>
      <c r="Z1862">
        <v>23</v>
      </c>
      <c r="AA1862">
        <v>662</v>
      </c>
      <c r="AB1862" t="s">
        <v>75</v>
      </c>
      <c r="AC1862">
        <v>0.66100000000000003</v>
      </c>
      <c r="AD1862">
        <v>819</v>
      </c>
      <c r="AE1862" t="s">
        <v>48</v>
      </c>
      <c r="AF1862">
        <v>0.81799999999999995</v>
      </c>
      <c r="AG1862">
        <v>819</v>
      </c>
      <c r="AH1862" t="s">
        <v>49</v>
      </c>
      <c r="AI1862">
        <v>0.81799999999999995</v>
      </c>
      <c r="AJ1862" t="s">
        <v>1153</v>
      </c>
    </row>
    <row r="1863" spans="1:36" x14ac:dyDescent="0.25">
      <c r="A1863" t="s">
        <v>545</v>
      </c>
      <c r="B1863">
        <v>881504909</v>
      </c>
      <c r="C1863" t="s">
        <v>546</v>
      </c>
      <c r="D1863" t="s">
        <v>546</v>
      </c>
      <c r="E1863" t="s">
        <v>60</v>
      </c>
      <c r="F1863" t="s">
        <v>88</v>
      </c>
      <c r="I1863" t="s">
        <v>39</v>
      </c>
      <c r="J1863" t="s">
        <v>40</v>
      </c>
      <c r="K1863" t="s">
        <v>41</v>
      </c>
      <c r="L1863" t="s">
        <v>78</v>
      </c>
      <c r="N1863" t="s">
        <v>43</v>
      </c>
      <c r="O1863" t="s">
        <v>547</v>
      </c>
      <c r="P1863">
        <v>270</v>
      </c>
      <c r="Q1863">
        <v>270</v>
      </c>
      <c r="R1863">
        <v>1</v>
      </c>
      <c r="S1863" t="s">
        <v>45</v>
      </c>
      <c r="T1863">
        <v>0</v>
      </c>
      <c r="U1863">
        <v>989</v>
      </c>
      <c r="V1863" t="s">
        <v>46</v>
      </c>
      <c r="W1863">
        <v>0.98799999999999999</v>
      </c>
      <c r="X1863">
        <v>23001</v>
      </c>
      <c r="Y1863" t="s">
        <v>47</v>
      </c>
      <c r="Z1863">
        <v>23</v>
      </c>
      <c r="AA1863">
        <v>662</v>
      </c>
      <c r="AB1863" t="s">
        <v>75</v>
      </c>
      <c r="AC1863">
        <v>0.66100000000000003</v>
      </c>
      <c r="AD1863">
        <v>819</v>
      </c>
      <c r="AE1863" t="s">
        <v>48</v>
      </c>
      <c r="AF1863">
        <v>0.81799999999999995</v>
      </c>
      <c r="AG1863">
        <v>819</v>
      </c>
      <c r="AH1863" t="s">
        <v>49</v>
      </c>
      <c r="AI1863">
        <v>0.81799999999999995</v>
      </c>
      <c r="AJ1863" t="s">
        <v>1154</v>
      </c>
    </row>
    <row r="1864" spans="1:36" x14ac:dyDescent="0.25">
      <c r="A1864" t="s">
        <v>545</v>
      </c>
      <c r="B1864">
        <v>881504909</v>
      </c>
      <c r="C1864" t="s">
        <v>546</v>
      </c>
      <c r="D1864" t="s">
        <v>546</v>
      </c>
      <c r="E1864" t="s">
        <v>60</v>
      </c>
      <c r="F1864" t="s">
        <v>88</v>
      </c>
      <c r="I1864" t="s">
        <v>39</v>
      </c>
      <c r="J1864" t="s">
        <v>40</v>
      </c>
      <c r="K1864" t="s">
        <v>41</v>
      </c>
      <c r="L1864" t="s">
        <v>78</v>
      </c>
      <c r="N1864" t="s">
        <v>43</v>
      </c>
      <c r="O1864" t="s">
        <v>547</v>
      </c>
      <c r="P1864">
        <v>270</v>
      </c>
      <c r="Q1864">
        <v>270</v>
      </c>
      <c r="S1864" t="s">
        <v>39</v>
      </c>
      <c r="V1864" t="s">
        <v>39</v>
      </c>
      <c r="X1864">
        <v>23001</v>
      </c>
      <c r="Y1864" t="s">
        <v>47</v>
      </c>
      <c r="Z1864">
        <v>23</v>
      </c>
      <c r="AA1864">
        <v>662</v>
      </c>
      <c r="AB1864" t="s">
        <v>75</v>
      </c>
      <c r="AC1864">
        <v>0.66100000000000003</v>
      </c>
      <c r="AD1864">
        <v>819</v>
      </c>
      <c r="AE1864" t="s">
        <v>48</v>
      </c>
      <c r="AF1864">
        <v>0.81799999999999995</v>
      </c>
      <c r="AG1864">
        <v>819</v>
      </c>
      <c r="AH1864" t="s">
        <v>49</v>
      </c>
      <c r="AI1864">
        <v>0.81799999999999995</v>
      </c>
      <c r="AJ1864" t="s">
        <v>1155</v>
      </c>
    </row>
    <row r="1865" spans="1:36" x14ac:dyDescent="0.25">
      <c r="A1865" t="s">
        <v>542</v>
      </c>
      <c r="B1865">
        <v>855635107</v>
      </c>
      <c r="C1865" t="s">
        <v>543</v>
      </c>
      <c r="D1865" t="s">
        <v>543</v>
      </c>
      <c r="E1865" t="s">
        <v>99</v>
      </c>
      <c r="F1865" t="s">
        <v>143</v>
      </c>
      <c r="I1865" t="s">
        <v>39</v>
      </c>
      <c r="J1865" t="s">
        <v>40</v>
      </c>
      <c r="K1865" t="s">
        <v>41</v>
      </c>
      <c r="L1865" t="s">
        <v>300</v>
      </c>
      <c r="N1865" t="s">
        <v>43</v>
      </c>
      <c r="O1865" t="s">
        <v>544</v>
      </c>
      <c r="P1865">
        <v>271</v>
      </c>
      <c r="Q1865">
        <v>271</v>
      </c>
      <c r="R1865">
        <v>201</v>
      </c>
      <c r="S1865" t="s">
        <v>56</v>
      </c>
      <c r="T1865">
        <v>0.2</v>
      </c>
      <c r="U1865">
        <v>124</v>
      </c>
      <c r="V1865" t="s">
        <v>55</v>
      </c>
      <c r="W1865">
        <v>0.123</v>
      </c>
      <c r="X1865">
        <v>13001</v>
      </c>
      <c r="Y1865" t="s">
        <v>47</v>
      </c>
      <c r="Z1865">
        <v>13</v>
      </c>
      <c r="AA1865">
        <v>276</v>
      </c>
      <c r="AB1865" t="s">
        <v>47</v>
      </c>
      <c r="AC1865">
        <v>0.27500000000000002</v>
      </c>
      <c r="AD1865">
        <v>548</v>
      </c>
      <c r="AE1865" t="s">
        <v>48</v>
      </c>
      <c r="AF1865">
        <v>0.54700000000000004</v>
      </c>
      <c r="AG1865">
        <v>394</v>
      </c>
      <c r="AH1865" t="s">
        <v>57</v>
      </c>
      <c r="AI1865">
        <v>0.39300000000000002</v>
      </c>
      <c r="AJ1865" t="s">
        <v>50</v>
      </c>
    </row>
    <row r="1866" spans="1:36" x14ac:dyDescent="0.25">
      <c r="A1866" t="s">
        <v>542</v>
      </c>
      <c r="B1866">
        <v>855635107</v>
      </c>
      <c r="C1866" t="s">
        <v>543</v>
      </c>
      <c r="D1866" t="s">
        <v>543</v>
      </c>
      <c r="E1866" t="s">
        <v>99</v>
      </c>
      <c r="F1866" t="s">
        <v>143</v>
      </c>
      <c r="I1866" t="s">
        <v>39</v>
      </c>
      <c r="J1866" t="s">
        <v>40</v>
      </c>
      <c r="K1866" t="s">
        <v>41</v>
      </c>
      <c r="L1866" t="s">
        <v>300</v>
      </c>
      <c r="N1866" t="s">
        <v>43</v>
      </c>
      <c r="O1866" t="s">
        <v>544</v>
      </c>
      <c r="P1866">
        <v>271</v>
      </c>
      <c r="Q1866">
        <v>271</v>
      </c>
      <c r="R1866">
        <v>211</v>
      </c>
      <c r="S1866" t="s">
        <v>56</v>
      </c>
      <c r="T1866">
        <v>0.21</v>
      </c>
      <c r="U1866">
        <v>62</v>
      </c>
      <c r="V1866" t="s">
        <v>55</v>
      </c>
      <c r="W1866">
        <v>6.0999999999999999E-2</v>
      </c>
      <c r="X1866">
        <v>13001</v>
      </c>
      <c r="Y1866" t="s">
        <v>47</v>
      </c>
      <c r="Z1866">
        <v>13</v>
      </c>
      <c r="AA1866">
        <v>276</v>
      </c>
      <c r="AB1866" t="s">
        <v>47</v>
      </c>
      <c r="AC1866">
        <v>0.27500000000000002</v>
      </c>
      <c r="AD1866">
        <v>548</v>
      </c>
      <c r="AE1866" t="s">
        <v>48</v>
      </c>
      <c r="AF1866">
        <v>0.54700000000000004</v>
      </c>
      <c r="AG1866">
        <v>394</v>
      </c>
      <c r="AH1866" t="s">
        <v>57</v>
      </c>
      <c r="AI1866">
        <v>0.39300000000000002</v>
      </c>
      <c r="AJ1866" t="s">
        <v>1141</v>
      </c>
    </row>
    <row r="1867" spans="1:36" x14ac:dyDescent="0.25">
      <c r="A1867" t="s">
        <v>542</v>
      </c>
      <c r="B1867">
        <v>855635107</v>
      </c>
      <c r="C1867" t="s">
        <v>543</v>
      </c>
      <c r="D1867" t="s">
        <v>543</v>
      </c>
      <c r="E1867" t="s">
        <v>99</v>
      </c>
      <c r="F1867" t="s">
        <v>143</v>
      </c>
      <c r="I1867" t="s">
        <v>39</v>
      </c>
      <c r="J1867" t="s">
        <v>40</v>
      </c>
      <c r="K1867" t="s">
        <v>41</v>
      </c>
      <c r="L1867" t="s">
        <v>300</v>
      </c>
      <c r="N1867" t="s">
        <v>43</v>
      </c>
      <c r="O1867" t="s">
        <v>544</v>
      </c>
      <c r="P1867">
        <v>271</v>
      </c>
      <c r="Q1867">
        <v>271</v>
      </c>
      <c r="R1867">
        <v>201</v>
      </c>
      <c r="S1867" t="s">
        <v>56</v>
      </c>
      <c r="T1867">
        <v>0.2</v>
      </c>
      <c r="U1867">
        <v>124</v>
      </c>
      <c r="V1867" t="s">
        <v>55</v>
      </c>
      <c r="W1867">
        <v>0.123</v>
      </c>
      <c r="X1867">
        <v>13001</v>
      </c>
      <c r="Y1867" t="s">
        <v>47</v>
      </c>
      <c r="Z1867">
        <v>13</v>
      </c>
      <c r="AA1867">
        <v>276</v>
      </c>
      <c r="AB1867" t="s">
        <v>47</v>
      </c>
      <c r="AC1867">
        <v>0.27500000000000002</v>
      </c>
      <c r="AD1867">
        <v>548</v>
      </c>
      <c r="AE1867" t="s">
        <v>48</v>
      </c>
      <c r="AF1867">
        <v>0.54700000000000004</v>
      </c>
      <c r="AG1867">
        <v>394</v>
      </c>
      <c r="AH1867" t="s">
        <v>57</v>
      </c>
      <c r="AI1867">
        <v>0.39300000000000002</v>
      </c>
      <c r="AJ1867" t="s">
        <v>1153</v>
      </c>
    </row>
    <row r="1868" spans="1:36" x14ac:dyDescent="0.25">
      <c r="A1868" t="s">
        <v>542</v>
      </c>
      <c r="B1868">
        <v>855635107</v>
      </c>
      <c r="C1868" t="s">
        <v>543</v>
      </c>
      <c r="D1868" t="s">
        <v>543</v>
      </c>
      <c r="E1868" t="s">
        <v>99</v>
      </c>
      <c r="F1868" t="s">
        <v>143</v>
      </c>
      <c r="I1868" t="s">
        <v>39</v>
      </c>
      <c r="J1868" t="s">
        <v>40</v>
      </c>
      <c r="K1868" t="s">
        <v>41</v>
      </c>
      <c r="L1868" t="s">
        <v>300</v>
      </c>
      <c r="N1868" t="s">
        <v>43</v>
      </c>
      <c r="O1868" t="s">
        <v>544</v>
      </c>
      <c r="P1868">
        <v>271</v>
      </c>
      <c r="Q1868">
        <v>271</v>
      </c>
      <c r="R1868">
        <v>201</v>
      </c>
      <c r="S1868" t="s">
        <v>56</v>
      </c>
      <c r="T1868">
        <v>0.2</v>
      </c>
      <c r="U1868">
        <v>124</v>
      </c>
      <c r="V1868" t="s">
        <v>55</v>
      </c>
      <c r="W1868">
        <v>0.123</v>
      </c>
      <c r="X1868">
        <v>13001</v>
      </c>
      <c r="Y1868" t="s">
        <v>47</v>
      </c>
      <c r="Z1868">
        <v>13</v>
      </c>
      <c r="AA1868">
        <v>276</v>
      </c>
      <c r="AB1868" t="s">
        <v>47</v>
      </c>
      <c r="AC1868">
        <v>0.27500000000000002</v>
      </c>
      <c r="AD1868">
        <v>548</v>
      </c>
      <c r="AE1868" t="s">
        <v>48</v>
      </c>
      <c r="AF1868">
        <v>0.54700000000000004</v>
      </c>
      <c r="AG1868">
        <v>394</v>
      </c>
      <c r="AH1868" t="s">
        <v>57</v>
      </c>
      <c r="AI1868">
        <v>0.39300000000000002</v>
      </c>
      <c r="AJ1868" t="s">
        <v>1154</v>
      </c>
    </row>
    <row r="1869" spans="1:36" x14ac:dyDescent="0.25">
      <c r="A1869" t="s">
        <v>542</v>
      </c>
      <c r="B1869">
        <v>855635107</v>
      </c>
      <c r="C1869" t="s">
        <v>543</v>
      </c>
      <c r="D1869" t="s">
        <v>543</v>
      </c>
      <c r="E1869" t="s">
        <v>99</v>
      </c>
      <c r="F1869" t="s">
        <v>143</v>
      </c>
      <c r="I1869" t="s">
        <v>39</v>
      </c>
      <c r="J1869" t="s">
        <v>40</v>
      </c>
      <c r="K1869" t="s">
        <v>41</v>
      </c>
      <c r="L1869" t="s">
        <v>300</v>
      </c>
      <c r="N1869" t="s">
        <v>43</v>
      </c>
      <c r="O1869" t="s">
        <v>544</v>
      </c>
      <c r="P1869">
        <v>271</v>
      </c>
      <c r="Q1869">
        <v>271</v>
      </c>
      <c r="S1869" t="s">
        <v>39</v>
      </c>
      <c r="V1869" t="s">
        <v>39</v>
      </c>
      <c r="X1869">
        <v>13001</v>
      </c>
      <c r="Y1869" t="s">
        <v>47</v>
      </c>
      <c r="Z1869">
        <v>13</v>
      </c>
      <c r="AA1869">
        <v>276</v>
      </c>
      <c r="AB1869" t="s">
        <v>47</v>
      </c>
      <c r="AC1869">
        <v>0.27500000000000002</v>
      </c>
      <c r="AD1869">
        <v>548</v>
      </c>
      <c r="AE1869" t="s">
        <v>48</v>
      </c>
      <c r="AF1869">
        <v>0.54700000000000004</v>
      </c>
      <c r="AG1869">
        <v>394</v>
      </c>
      <c r="AH1869" t="s">
        <v>57</v>
      </c>
      <c r="AI1869">
        <v>0.39300000000000002</v>
      </c>
      <c r="AJ1869" t="s">
        <v>1155</v>
      </c>
    </row>
    <row r="1870" spans="1:36" x14ac:dyDescent="0.25">
      <c r="A1870" t="s">
        <v>540</v>
      </c>
      <c r="B1870">
        <v>860606973</v>
      </c>
      <c r="C1870" t="s">
        <v>541</v>
      </c>
      <c r="D1870" t="s">
        <v>541</v>
      </c>
      <c r="E1870" t="s">
        <v>60</v>
      </c>
      <c r="F1870" t="s">
        <v>61</v>
      </c>
      <c r="I1870" t="s">
        <v>39</v>
      </c>
      <c r="J1870" t="s">
        <v>40</v>
      </c>
      <c r="K1870" t="s">
        <v>41</v>
      </c>
      <c r="L1870" t="s">
        <v>42</v>
      </c>
      <c r="N1870" t="s">
        <v>43</v>
      </c>
      <c r="O1870" t="s">
        <v>226</v>
      </c>
      <c r="P1870">
        <v>272</v>
      </c>
      <c r="Q1870">
        <v>272</v>
      </c>
      <c r="R1870">
        <v>1</v>
      </c>
      <c r="S1870" t="s">
        <v>45</v>
      </c>
      <c r="T1870">
        <v>0</v>
      </c>
      <c r="U1870">
        <v>207</v>
      </c>
      <c r="V1870" t="s">
        <v>55</v>
      </c>
      <c r="W1870">
        <v>0.20599999999999999</v>
      </c>
      <c r="X1870">
        <v>16001</v>
      </c>
      <c r="Y1870" t="s">
        <v>47</v>
      </c>
      <c r="Z1870">
        <v>16</v>
      </c>
      <c r="AA1870">
        <v>632</v>
      </c>
      <c r="AB1870" t="s">
        <v>75</v>
      </c>
      <c r="AC1870">
        <v>0.63100000000000001</v>
      </c>
      <c r="AD1870">
        <v>631</v>
      </c>
      <c r="AE1870" t="s">
        <v>48</v>
      </c>
      <c r="AF1870">
        <v>0.63</v>
      </c>
      <c r="AG1870">
        <v>451</v>
      </c>
      <c r="AH1870" t="s">
        <v>57</v>
      </c>
      <c r="AI1870">
        <v>0.45</v>
      </c>
      <c r="AJ1870" t="s">
        <v>50</v>
      </c>
    </row>
    <row r="1871" spans="1:36" x14ac:dyDescent="0.25">
      <c r="A1871" t="s">
        <v>540</v>
      </c>
      <c r="B1871">
        <v>860606973</v>
      </c>
      <c r="C1871" t="s">
        <v>541</v>
      </c>
      <c r="D1871" t="s">
        <v>541</v>
      </c>
      <c r="E1871" t="s">
        <v>60</v>
      </c>
      <c r="F1871" t="s">
        <v>61</v>
      </c>
      <c r="I1871" t="s">
        <v>39</v>
      </c>
      <c r="J1871" t="s">
        <v>40</v>
      </c>
      <c r="K1871" t="s">
        <v>41</v>
      </c>
      <c r="L1871" t="s">
        <v>42</v>
      </c>
      <c r="N1871" t="s">
        <v>43</v>
      </c>
      <c r="O1871" t="s">
        <v>226</v>
      </c>
      <c r="P1871">
        <v>272</v>
      </c>
      <c r="Q1871">
        <v>272</v>
      </c>
      <c r="R1871">
        <v>1</v>
      </c>
      <c r="S1871" t="s">
        <v>45</v>
      </c>
      <c r="T1871">
        <v>0</v>
      </c>
      <c r="U1871">
        <v>96</v>
      </c>
      <c r="V1871" t="s">
        <v>55</v>
      </c>
      <c r="W1871">
        <v>9.5000000000000001E-2</v>
      </c>
      <c r="X1871">
        <v>16001</v>
      </c>
      <c r="Y1871" t="s">
        <v>47</v>
      </c>
      <c r="Z1871">
        <v>16</v>
      </c>
      <c r="AA1871">
        <v>632</v>
      </c>
      <c r="AB1871" t="s">
        <v>75</v>
      </c>
      <c r="AC1871">
        <v>0.63100000000000001</v>
      </c>
      <c r="AD1871">
        <v>631</v>
      </c>
      <c r="AE1871" t="s">
        <v>48</v>
      </c>
      <c r="AF1871">
        <v>0.63</v>
      </c>
      <c r="AG1871">
        <v>451</v>
      </c>
      <c r="AH1871" t="s">
        <v>57</v>
      </c>
      <c r="AI1871">
        <v>0.45</v>
      </c>
      <c r="AJ1871" t="s">
        <v>1141</v>
      </c>
    </row>
    <row r="1872" spans="1:36" x14ac:dyDescent="0.25">
      <c r="A1872" t="s">
        <v>540</v>
      </c>
      <c r="B1872">
        <v>860606973</v>
      </c>
      <c r="C1872" t="s">
        <v>541</v>
      </c>
      <c r="D1872" t="s">
        <v>541</v>
      </c>
      <c r="E1872" t="s">
        <v>60</v>
      </c>
      <c r="F1872" t="s">
        <v>61</v>
      </c>
      <c r="I1872" t="s">
        <v>39</v>
      </c>
      <c r="J1872" t="s">
        <v>40</v>
      </c>
      <c r="K1872" t="s">
        <v>41</v>
      </c>
      <c r="L1872" t="s">
        <v>42</v>
      </c>
      <c r="N1872" t="s">
        <v>43</v>
      </c>
      <c r="O1872" t="s">
        <v>226</v>
      </c>
      <c r="P1872">
        <v>272</v>
      </c>
      <c r="Q1872">
        <v>272</v>
      </c>
      <c r="R1872">
        <v>1</v>
      </c>
      <c r="S1872" t="s">
        <v>45</v>
      </c>
      <c r="T1872">
        <v>0</v>
      </c>
      <c r="U1872">
        <v>207</v>
      </c>
      <c r="V1872" t="s">
        <v>55</v>
      </c>
      <c r="W1872">
        <v>0.20599999999999999</v>
      </c>
      <c r="X1872">
        <v>16001</v>
      </c>
      <c r="Y1872" t="s">
        <v>47</v>
      </c>
      <c r="Z1872">
        <v>16</v>
      </c>
      <c r="AA1872">
        <v>632</v>
      </c>
      <c r="AB1872" t="s">
        <v>75</v>
      </c>
      <c r="AC1872">
        <v>0.63100000000000001</v>
      </c>
      <c r="AD1872">
        <v>631</v>
      </c>
      <c r="AE1872" t="s">
        <v>48</v>
      </c>
      <c r="AF1872">
        <v>0.63</v>
      </c>
      <c r="AG1872">
        <v>451</v>
      </c>
      <c r="AH1872" t="s">
        <v>57</v>
      </c>
      <c r="AI1872">
        <v>0.45</v>
      </c>
      <c r="AJ1872" t="s">
        <v>1153</v>
      </c>
    </row>
    <row r="1873" spans="1:36" x14ac:dyDescent="0.25">
      <c r="A1873" t="s">
        <v>540</v>
      </c>
      <c r="B1873">
        <v>860606973</v>
      </c>
      <c r="C1873" t="s">
        <v>541</v>
      </c>
      <c r="D1873" t="s">
        <v>541</v>
      </c>
      <c r="E1873" t="s">
        <v>60</v>
      </c>
      <c r="F1873" t="s">
        <v>61</v>
      </c>
      <c r="I1873" t="s">
        <v>39</v>
      </c>
      <c r="J1873" t="s">
        <v>40</v>
      </c>
      <c r="K1873" t="s">
        <v>41</v>
      </c>
      <c r="L1873" t="s">
        <v>42</v>
      </c>
      <c r="N1873" t="s">
        <v>43</v>
      </c>
      <c r="O1873" t="s">
        <v>226</v>
      </c>
      <c r="P1873">
        <v>272</v>
      </c>
      <c r="Q1873">
        <v>272</v>
      </c>
      <c r="R1873">
        <v>1</v>
      </c>
      <c r="S1873" t="s">
        <v>45</v>
      </c>
      <c r="T1873">
        <v>0</v>
      </c>
      <c r="U1873">
        <v>207</v>
      </c>
      <c r="V1873" t="s">
        <v>55</v>
      </c>
      <c r="W1873">
        <v>0.20599999999999999</v>
      </c>
      <c r="X1873">
        <v>16001</v>
      </c>
      <c r="Y1873" t="s">
        <v>47</v>
      </c>
      <c r="Z1873">
        <v>16</v>
      </c>
      <c r="AA1873">
        <v>632</v>
      </c>
      <c r="AB1873" t="s">
        <v>75</v>
      </c>
      <c r="AC1873">
        <v>0.63100000000000001</v>
      </c>
      <c r="AD1873">
        <v>631</v>
      </c>
      <c r="AE1873" t="s">
        <v>48</v>
      </c>
      <c r="AF1873">
        <v>0.63</v>
      </c>
      <c r="AG1873">
        <v>451</v>
      </c>
      <c r="AH1873" t="s">
        <v>57</v>
      </c>
      <c r="AI1873">
        <v>0.45</v>
      </c>
      <c r="AJ1873" t="s">
        <v>1154</v>
      </c>
    </row>
    <row r="1874" spans="1:36" x14ac:dyDescent="0.25">
      <c r="A1874" t="s">
        <v>540</v>
      </c>
      <c r="B1874">
        <v>860606973</v>
      </c>
      <c r="C1874" t="s">
        <v>541</v>
      </c>
      <c r="D1874" t="s">
        <v>541</v>
      </c>
      <c r="E1874" t="s">
        <v>60</v>
      </c>
      <c r="F1874" t="s">
        <v>61</v>
      </c>
      <c r="I1874" t="s">
        <v>39</v>
      </c>
      <c r="J1874" t="s">
        <v>40</v>
      </c>
      <c r="K1874" t="s">
        <v>41</v>
      </c>
      <c r="L1874" t="s">
        <v>42</v>
      </c>
      <c r="N1874" t="s">
        <v>43</v>
      </c>
      <c r="O1874" t="s">
        <v>226</v>
      </c>
      <c r="P1874">
        <v>272</v>
      </c>
      <c r="Q1874">
        <v>272</v>
      </c>
      <c r="S1874" t="s">
        <v>39</v>
      </c>
      <c r="V1874" t="s">
        <v>39</v>
      </c>
      <c r="X1874">
        <v>16001</v>
      </c>
      <c r="Y1874" t="s">
        <v>47</v>
      </c>
      <c r="Z1874">
        <v>16</v>
      </c>
      <c r="AA1874">
        <v>632</v>
      </c>
      <c r="AB1874" t="s">
        <v>75</v>
      </c>
      <c r="AC1874">
        <v>0.63100000000000001</v>
      </c>
      <c r="AD1874">
        <v>631</v>
      </c>
      <c r="AE1874" t="s">
        <v>48</v>
      </c>
      <c r="AF1874">
        <v>0.63</v>
      </c>
      <c r="AG1874">
        <v>451</v>
      </c>
      <c r="AH1874" t="s">
        <v>57</v>
      </c>
      <c r="AI1874">
        <v>0.45</v>
      </c>
      <c r="AJ1874" t="s">
        <v>1155</v>
      </c>
    </row>
    <row r="1875" spans="1:36" x14ac:dyDescent="0.25">
      <c r="A1875" t="s">
        <v>538</v>
      </c>
      <c r="B1875">
        <v>855536117</v>
      </c>
      <c r="C1875" t="s">
        <v>539</v>
      </c>
      <c r="D1875" t="s">
        <v>539</v>
      </c>
      <c r="E1875" t="s">
        <v>37</v>
      </c>
      <c r="F1875" t="s">
        <v>191</v>
      </c>
      <c r="I1875" t="s">
        <v>39</v>
      </c>
      <c r="J1875" t="s">
        <v>40</v>
      </c>
      <c r="K1875" t="s">
        <v>41</v>
      </c>
      <c r="L1875" t="s">
        <v>53</v>
      </c>
      <c r="N1875" t="s">
        <v>43</v>
      </c>
      <c r="O1875" t="s">
        <v>324</v>
      </c>
      <c r="P1875">
        <v>274</v>
      </c>
      <c r="Q1875">
        <v>274</v>
      </c>
      <c r="R1875">
        <v>101</v>
      </c>
      <c r="S1875" t="s">
        <v>56</v>
      </c>
      <c r="T1875">
        <v>0.1</v>
      </c>
      <c r="U1875">
        <v>898</v>
      </c>
      <c r="V1875" t="s">
        <v>113</v>
      </c>
      <c r="W1875">
        <v>0.89700000000000002</v>
      </c>
      <c r="X1875">
        <v>21001</v>
      </c>
      <c r="Y1875" t="s">
        <v>47</v>
      </c>
      <c r="Z1875">
        <v>21</v>
      </c>
      <c r="AA1875">
        <v>643</v>
      </c>
      <c r="AB1875" t="s">
        <v>75</v>
      </c>
      <c r="AC1875">
        <v>0.64200000000000002</v>
      </c>
      <c r="AD1875">
        <v>719</v>
      </c>
      <c r="AE1875" t="s">
        <v>48</v>
      </c>
      <c r="AF1875">
        <v>0.71799999999999997</v>
      </c>
      <c r="AG1875">
        <v>905</v>
      </c>
      <c r="AH1875" t="s">
        <v>49</v>
      </c>
      <c r="AI1875">
        <v>0.90400000000000003</v>
      </c>
      <c r="AJ1875" t="s">
        <v>50</v>
      </c>
    </row>
    <row r="1876" spans="1:36" x14ac:dyDescent="0.25">
      <c r="A1876" t="s">
        <v>538</v>
      </c>
      <c r="B1876">
        <v>855536117</v>
      </c>
      <c r="C1876" t="s">
        <v>539</v>
      </c>
      <c r="D1876" t="s">
        <v>539</v>
      </c>
      <c r="E1876" t="s">
        <v>60</v>
      </c>
      <c r="F1876" t="s">
        <v>191</v>
      </c>
      <c r="I1876" t="s">
        <v>39</v>
      </c>
      <c r="J1876" t="s">
        <v>40</v>
      </c>
      <c r="K1876" t="s">
        <v>41</v>
      </c>
      <c r="L1876" t="s">
        <v>53</v>
      </c>
      <c r="N1876" t="s">
        <v>43</v>
      </c>
      <c r="O1876" t="s">
        <v>229</v>
      </c>
      <c r="P1876">
        <v>274</v>
      </c>
      <c r="Q1876">
        <v>274</v>
      </c>
      <c r="R1876">
        <v>31</v>
      </c>
      <c r="S1876" t="s">
        <v>45</v>
      </c>
      <c r="T1876">
        <v>0.03</v>
      </c>
      <c r="U1876">
        <v>811</v>
      </c>
      <c r="V1876" t="s">
        <v>113</v>
      </c>
      <c r="W1876">
        <v>0.81</v>
      </c>
      <c r="X1876">
        <v>24001</v>
      </c>
      <c r="Y1876" t="s">
        <v>47</v>
      </c>
      <c r="Z1876">
        <v>24</v>
      </c>
      <c r="AA1876">
        <v>645</v>
      </c>
      <c r="AB1876" t="s">
        <v>75</v>
      </c>
      <c r="AC1876">
        <v>0.64400000000000002</v>
      </c>
      <c r="AD1876">
        <v>691</v>
      </c>
      <c r="AE1876" t="s">
        <v>48</v>
      </c>
      <c r="AF1876">
        <v>0.69</v>
      </c>
      <c r="AG1876">
        <v>711</v>
      </c>
      <c r="AH1876" t="s">
        <v>49</v>
      </c>
      <c r="AI1876">
        <v>0.71</v>
      </c>
      <c r="AJ1876" t="s">
        <v>50</v>
      </c>
    </row>
    <row r="1877" spans="1:36" x14ac:dyDescent="0.25">
      <c r="A1877" t="s">
        <v>538</v>
      </c>
      <c r="B1877">
        <v>855536117</v>
      </c>
      <c r="C1877" t="s">
        <v>539</v>
      </c>
      <c r="D1877" t="s">
        <v>539</v>
      </c>
      <c r="E1877" t="s">
        <v>37</v>
      </c>
      <c r="F1877" t="s">
        <v>191</v>
      </c>
      <c r="I1877" t="s">
        <v>39</v>
      </c>
      <c r="J1877" t="s">
        <v>40</v>
      </c>
      <c r="K1877" t="s">
        <v>41</v>
      </c>
      <c r="L1877" t="s">
        <v>53</v>
      </c>
      <c r="N1877" t="s">
        <v>43</v>
      </c>
      <c r="O1877" t="s">
        <v>324</v>
      </c>
      <c r="P1877">
        <v>274</v>
      </c>
      <c r="Q1877">
        <v>274</v>
      </c>
      <c r="R1877">
        <v>31</v>
      </c>
      <c r="S1877" t="s">
        <v>45</v>
      </c>
      <c r="T1877">
        <v>0.03</v>
      </c>
      <c r="U1877">
        <v>550</v>
      </c>
      <c r="V1877" t="s">
        <v>113</v>
      </c>
      <c r="W1877">
        <v>0.54900000000000004</v>
      </c>
      <c r="X1877">
        <v>21001</v>
      </c>
      <c r="Y1877" t="s">
        <v>47</v>
      </c>
      <c r="Z1877">
        <v>21</v>
      </c>
      <c r="AA1877">
        <v>643</v>
      </c>
      <c r="AB1877" t="s">
        <v>75</v>
      </c>
      <c r="AC1877">
        <v>0.64200000000000002</v>
      </c>
      <c r="AD1877">
        <v>719</v>
      </c>
      <c r="AE1877" t="s">
        <v>48</v>
      </c>
      <c r="AF1877">
        <v>0.71799999999999997</v>
      </c>
      <c r="AG1877">
        <v>905</v>
      </c>
      <c r="AH1877" t="s">
        <v>49</v>
      </c>
      <c r="AI1877">
        <v>0.90400000000000003</v>
      </c>
      <c r="AJ1877" t="s">
        <v>1141</v>
      </c>
    </row>
    <row r="1878" spans="1:36" x14ac:dyDescent="0.25">
      <c r="A1878" t="s">
        <v>538</v>
      </c>
      <c r="B1878">
        <v>855536117</v>
      </c>
      <c r="C1878" t="s">
        <v>539</v>
      </c>
      <c r="D1878" t="s">
        <v>539</v>
      </c>
      <c r="E1878" t="s">
        <v>60</v>
      </c>
      <c r="F1878" t="s">
        <v>191</v>
      </c>
      <c r="I1878" t="s">
        <v>39</v>
      </c>
      <c r="J1878" t="s">
        <v>40</v>
      </c>
      <c r="K1878" t="s">
        <v>41</v>
      </c>
      <c r="L1878" t="s">
        <v>53</v>
      </c>
      <c r="N1878" t="s">
        <v>43</v>
      </c>
      <c r="O1878" t="s">
        <v>229</v>
      </c>
      <c r="P1878">
        <v>274</v>
      </c>
      <c r="Q1878">
        <v>274</v>
      </c>
      <c r="R1878">
        <v>61</v>
      </c>
      <c r="S1878" t="s">
        <v>56</v>
      </c>
      <c r="T1878">
        <v>0.06</v>
      </c>
      <c r="U1878">
        <v>135</v>
      </c>
      <c r="V1878" t="s">
        <v>55</v>
      </c>
      <c r="W1878">
        <v>0.13400000000000001</v>
      </c>
      <c r="X1878">
        <v>24001</v>
      </c>
      <c r="Y1878" t="s">
        <v>47</v>
      </c>
      <c r="Z1878">
        <v>24</v>
      </c>
      <c r="AA1878">
        <v>645</v>
      </c>
      <c r="AB1878" t="s">
        <v>75</v>
      </c>
      <c r="AC1878">
        <v>0.64400000000000002</v>
      </c>
      <c r="AD1878">
        <v>691</v>
      </c>
      <c r="AE1878" t="s">
        <v>48</v>
      </c>
      <c r="AF1878">
        <v>0.69</v>
      </c>
      <c r="AG1878">
        <v>711</v>
      </c>
      <c r="AH1878" t="s">
        <v>49</v>
      </c>
      <c r="AI1878">
        <v>0.71</v>
      </c>
      <c r="AJ1878" t="s">
        <v>1141</v>
      </c>
    </row>
    <row r="1879" spans="1:36" x14ac:dyDescent="0.25">
      <c r="A1879" t="s">
        <v>538</v>
      </c>
      <c r="B1879">
        <v>855536117</v>
      </c>
      <c r="C1879" t="s">
        <v>539</v>
      </c>
      <c r="D1879" t="s">
        <v>539</v>
      </c>
      <c r="E1879" t="s">
        <v>37</v>
      </c>
      <c r="F1879" t="s">
        <v>191</v>
      </c>
      <c r="I1879" t="s">
        <v>39</v>
      </c>
      <c r="J1879" t="s">
        <v>40</v>
      </c>
      <c r="K1879" t="s">
        <v>41</v>
      </c>
      <c r="L1879" t="s">
        <v>53</v>
      </c>
      <c r="N1879" t="s">
        <v>43</v>
      </c>
      <c r="O1879" t="s">
        <v>324</v>
      </c>
      <c r="P1879">
        <v>274</v>
      </c>
      <c r="Q1879">
        <v>274</v>
      </c>
      <c r="R1879">
        <v>101</v>
      </c>
      <c r="S1879" t="s">
        <v>56</v>
      </c>
      <c r="T1879">
        <v>0.1</v>
      </c>
      <c r="U1879">
        <v>898</v>
      </c>
      <c r="V1879" t="s">
        <v>113</v>
      </c>
      <c r="W1879">
        <v>0.89700000000000002</v>
      </c>
      <c r="X1879">
        <v>21001</v>
      </c>
      <c r="Y1879" t="s">
        <v>47</v>
      </c>
      <c r="Z1879">
        <v>21</v>
      </c>
      <c r="AA1879">
        <v>643</v>
      </c>
      <c r="AB1879" t="s">
        <v>75</v>
      </c>
      <c r="AC1879">
        <v>0.64200000000000002</v>
      </c>
      <c r="AD1879">
        <v>719</v>
      </c>
      <c r="AE1879" t="s">
        <v>48</v>
      </c>
      <c r="AF1879">
        <v>0.71799999999999997</v>
      </c>
      <c r="AG1879">
        <v>905</v>
      </c>
      <c r="AH1879" t="s">
        <v>49</v>
      </c>
      <c r="AI1879">
        <v>0.90400000000000003</v>
      </c>
      <c r="AJ1879" t="s">
        <v>1153</v>
      </c>
    </row>
    <row r="1880" spans="1:36" x14ac:dyDescent="0.25">
      <c r="A1880" t="s">
        <v>538</v>
      </c>
      <c r="B1880">
        <v>855536117</v>
      </c>
      <c r="C1880" t="s">
        <v>539</v>
      </c>
      <c r="D1880" t="s">
        <v>539</v>
      </c>
      <c r="E1880" t="s">
        <v>60</v>
      </c>
      <c r="F1880" t="s">
        <v>191</v>
      </c>
      <c r="I1880" t="s">
        <v>39</v>
      </c>
      <c r="J1880" t="s">
        <v>40</v>
      </c>
      <c r="K1880" t="s">
        <v>41</v>
      </c>
      <c r="L1880" t="s">
        <v>53</v>
      </c>
      <c r="N1880" t="s">
        <v>43</v>
      </c>
      <c r="O1880" t="s">
        <v>229</v>
      </c>
      <c r="P1880">
        <v>274</v>
      </c>
      <c r="Q1880">
        <v>274</v>
      </c>
      <c r="R1880">
        <v>31</v>
      </c>
      <c r="S1880" t="s">
        <v>45</v>
      </c>
      <c r="T1880">
        <v>0.03</v>
      </c>
      <c r="U1880">
        <v>811</v>
      </c>
      <c r="V1880" t="s">
        <v>113</v>
      </c>
      <c r="W1880">
        <v>0.81</v>
      </c>
      <c r="X1880">
        <v>24001</v>
      </c>
      <c r="Y1880" t="s">
        <v>47</v>
      </c>
      <c r="Z1880">
        <v>24</v>
      </c>
      <c r="AA1880">
        <v>645</v>
      </c>
      <c r="AB1880" t="s">
        <v>75</v>
      </c>
      <c r="AC1880">
        <v>0.64400000000000002</v>
      </c>
      <c r="AD1880">
        <v>691</v>
      </c>
      <c r="AE1880" t="s">
        <v>48</v>
      </c>
      <c r="AF1880">
        <v>0.69</v>
      </c>
      <c r="AG1880">
        <v>711</v>
      </c>
      <c r="AH1880" t="s">
        <v>49</v>
      </c>
      <c r="AI1880">
        <v>0.71</v>
      </c>
      <c r="AJ1880" t="s">
        <v>1153</v>
      </c>
    </row>
    <row r="1881" spans="1:36" x14ac:dyDescent="0.25">
      <c r="A1881" t="s">
        <v>538</v>
      </c>
      <c r="B1881">
        <v>855536117</v>
      </c>
      <c r="C1881" t="s">
        <v>539</v>
      </c>
      <c r="D1881" t="s">
        <v>539</v>
      </c>
      <c r="E1881" t="s">
        <v>37</v>
      </c>
      <c r="F1881" t="s">
        <v>191</v>
      </c>
      <c r="I1881" t="s">
        <v>39</v>
      </c>
      <c r="J1881" t="s">
        <v>40</v>
      </c>
      <c r="K1881" t="s">
        <v>41</v>
      </c>
      <c r="L1881" t="s">
        <v>53</v>
      </c>
      <c r="N1881" t="s">
        <v>43</v>
      </c>
      <c r="O1881" t="s">
        <v>324</v>
      </c>
      <c r="P1881">
        <v>274</v>
      </c>
      <c r="Q1881">
        <v>274</v>
      </c>
      <c r="R1881">
        <v>101</v>
      </c>
      <c r="S1881" t="s">
        <v>56</v>
      </c>
      <c r="T1881">
        <v>0.1</v>
      </c>
      <c r="U1881">
        <v>898</v>
      </c>
      <c r="V1881" t="s">
        <v>113</v>
      </c>
      <c r="W1881">
        <v>0.89700000000000002</v>
      </c>
      <c r="X1881">
        <v>21001</v>
      </c>
      <c r="Y1881" t="s">
        <v>47</v>
      </c>
      <c r="Z1881">
        <v>21</v>
      </c>
      <c r="AA1881">
        <v>643</v>
      </c>
      <c r="AB1881" t="s">
        <v>75</v>
      </c>
      <c r="AC1881">
        <v>0.64200000000000002</v>
      </c>
      <c r="AD1881">
        <v>719</v>
      </c>
      <c r="AE1881" t="s">
        <v>48</v>
      </c>
      <c r="AF1881">
        <v>0.71799999999999997</v>
      </c>
      <c r="AG1881">
        <v>905</v>
      </c>
      <c r="AH1881" t="s">
        <v>49</v>
      </c>
      <c r="AI1881">
        <v>0.90400000000000003</v>
      </c>
      <c r="AJ1881" t="s">
        <v>1154</v>
      </c>
    </row>
    <row r="1882" spans="1:36" x14ac:dyDescent="0.25">
      <c r="A1882" t="s">
        <v>538</v>
      </c>
      <c r="B1882">
        <v>855536117</v>
      </c>
      <c r="C1882" t="s">
        <v>539</v>
      </c>
      <c r="D1882" t="s">
        <v>539</v>
      </c>
      <c r="E1882" t="s">
        <v>60</v>
      </c>
      <c r="F1882" t="s">
        <v>191</v>
      </c>
      <c r="I1882" t="s">
        <v>39</v>
      </c>
      <c r="J1882" t="s">
        <v>40</v>
      </c>
      <c r="K1882" t="s">
        <v>41</v>
      </c>
      <c r="L1882" t="s">
        <v>53</v>
      </c>
      <c r="N1882" t="s">
        <v>43</v>
      </c>
      <c r="O1882" t="s">
        <v>229</v>
      </c>
      <c r="P1882">
        <v>274</v>
      </c>
      <c r="Q1882">
        <v>274</v>
      </c>
      <c r="R1882">
        <v>31</v>
      </c>
      <c r="S1882" t="s">
        <v>45</v>
      </c>
      <c r="T1882">
        <v>0.03</v>
      </c>
      <c r="U1882">
        <v>811</v>
      </c>
      <c r="V1882" t="s">
        <v>113</v>
      </c>
      <c r="W1882">
        <v>0.81</v>
      </c>
      <c r="X1882">
        <v>24001</v>
      </c>
      <c r="Y1882" t="s">
        <v>47</v>
      </c>
      <c r="Z1882">
        <v>24</v>
      </c>
      <c r="AA1882">
        <v>645</v>
      </c>
      <c r="AB1882" t="s">
        <v>75</v>
      </c>
      <c r="AC1882">
        <v>0.64400000000000002</v>
      </c>
      <c r="AD1882">
        <v>691</v>
      </c>
      <c r="AE1882" t="s">
        <v>48</v>
      </c>
      <c r="AF1882">
        <v>0.69</v>
      </c>
      <c r="AG1882">
        <v>711</v>
      </c>
      <c r="AH1882" t="s">
        <v>49</v>
      </c>
      <c r="AI1882">
        <v>0.71</v>
      </c>
      <c r="AJ1882" t="s">
        <v>1154</v>
      </c>
    </row>
    <row r="1883" spans="1:36" x14ac:dyDescent="0.25">
      <c r="A1883" t="s">
        <v>538</v>
      </c>
      <c r="B1883">
        <v>855536117</v>
      </c>
      <c r="C1883" t="s">
        <v>539</v>
      </c>
      <c r="D1883" t="s">
        <v>539</v>
      </c>
      <c r="E1883" t="s">
        <v>37</v>
      </c>
      <c r="F1883" t="s">
        <v>191</v>
      </c>
      <c r="I1883" t="s">
        <v>39</v>
      </c>
      <c r="J1883" t="s">
        <v>40</v>
      </c>
      <c r="K1883" t="s">
        <v>41</v>
      </c>
      <c r="L1883" t="s">
        <v>53</v>
      </c>
      <c r="N1883" t="s">
        <v>43</v>
      </c>
      <c r="O1883" t="s">
        <v>324</v>
      </c>
      <c r="P1883">
        <v>274</v>
      </c>
      <c r="Q1883">
        <v>274</v>
      </c>
      <c r="S1883" t="s">
        <v>39</v>
      </c>
      <c r="V1883" t="s">
        <v>39</v>
      </c>
      <c r="X1883">
        <v>21001</v>
      </c>
      <c r="Y1883" t="s">
        <v>47</v>
      </c>
      <c r="Z1883">
        <v>21</v>
      </c>
      <c r="AA1883">
        <v>643</v>
      </c>
      <c r="AB1883" t="s">
        <v>75</v>
      </c>
      <c r="AC1883">
        <v>0.64200000000000002</v>
      </c>
      <c r="AD1883">
        <v>719</v>
      </c>
      <c r="AE1883" t="s">
        <v>48</v>
      </c>
      <c r="AF1883">
        <v>0.71799999999999997</v>
      </c>
      <c r="AG1883">
        <v>905</v>
      </c>
      <c r="AH1883" t="s">
        <v>49</v>
      </c>
      <c r="AI1883">
        <v>0.90400000000000003</v>
      </c>
      <c r="AJ1883" t="s">
        <v>1155</v>
      </c>
    </row>
    <row r="1884" spans="1:36" x14ac:dyDescent="0.25">
      <c r="A1884" t="s">
        <v>538</v>
      </c>
      <c r="B1884">
        <v>855536117</v>
      </c>
      <c r="C1884" t="s">
        <v>539</v>
      </c>
      <c r="D1884" t="s">
        <v>539</v>
      </c>
      <c r="E1884" t="s">
        <v>60</v>
      </c>
      <c r="F1884" t="s">
        <v>191</v>
      </c>
      <c r="I1884" t="s">
        <v>39</v>
      </c>
      <c r="J1884" t="s">
        <v>40</v>
      </c>
      <c r="K1884" t="s">
        <v>41</v>
      </c>
      <c r="L1884" t="s">
        <v>53</v>
      </c>
      <c r="N1884" t="s">
        <v>43</v>
      </c>
      <c r="O1884" t="s">
        <v>229</v>
      </c>
      <c r="P1884">
        <v>274</v>
      </c>
      <c r="Q1884">
        <v>274</v>
      </c>
      <c r="S1884" t="s">
        <v>39</v>
      </c>
      <c r="V1884" t="s">
        <v>39</v>
      </c>
      <c r="X1884">
        <v>24001</v>
      </c>
      <c r="Y1884" t="s">
        <v>47</v>
      </c>
      <c r="Z1884">
        <v>24</v>
      </c>
      <c r="AA1884">
        <v>645</v>
      </c>
      <c r="AB1884" t="s">
        <v>75</v>
      </c>
      <c r="AC1884">
        <v>0.64400000000000002</v>
      </c>
      <c r="AD1884">
        <v>691</v>
      </c>
      <c r="AE1884" t="s">
        <v>48</v>
      </c>
      <c r="AF1884">
        <v>0.69</v>
      </c>
      <c r="AG1884">
        <v>711</v>
      </c>
      <c r="AH1884" t="s">
        <v>49</v>
      </c>
      <c r="AI1884">
        <v>0.71</v>
      </c>
      <c r="AJ1884" t="s">
        <v>1155</v>
      </c>
    </row>
    <row r="1885" spans="1:36" x14ac:dyDescent="0.25">
      <c r="A1885" t="s">
        <v>535</v>
      </c>
      <c r="B1885">
        <v>866563433</v>
      </c>
      <c r="C1885" t="s">
        <v>536</v>
      </c>
      <c r="D1885" t="s">
        <v>536</v>
      </c>
      <c r="E1885" t="s">
        <v>37</v>
      </c>
      <c r="F1885" t="s">
        <v>38</v>
      </c>
      <c r="I1885" t="s">
        <v>39</v>
      </c>
      <c r="J1885" t="s">
        <v>40</v>
      </c>
      <c r="K1885" t="s">
        <v>41</v>
      </c>
      <c r="L1885" t="s">
        <v>173</v>
      </c>
      <c r="N1885" t="s">
        <v>43</v>
      </c>
      <c r="O1885" t="s">
        <v>537</v>
      </c>
      <c r="P1885">
        <v>275</v>
      </c>
      <c r="Q1885">
        <v>275</v>
      </c>
      <c r="R1885">
        <v>601</v>
      </c>
      <c r="S1885" t="s">
        <v>56</v>
      </c>
      <c r="T1885">
        <v>0.6</v>
      </c>
      <c r="U1885">
        <v>1</v>
      </c>
      <c r="V1885" t="s">
        <v>55</v>
      </c>
      <c r="W1885">
        <v>0</v>
      </c>
      <c r="X1885">
        <v>1</v>
      </c>
      <c r="Y1885" t="s">
        <v>47</v>
      </c>
      <c r="Z1885">
        <v>0</v>
      </c>
      <c r="AA1885">
        <v>258</v>
      </c>
      <c r="AB1885" t="s">
        <v>47</v>
      </c>
      <c r="AC1885">
        <v>0.25700000000000001</v>
      </c>
      <c r="AD1885">
        <v>235</v>
      </c>
      <c r="AE1885" t="s">
        <v>56</v>
      </c>
      <c r="AF1885">
        <v>0.23400000000000001</v>
      </c>
      <c r="AG1885">
        <v>81</v>
      </c>
      <c r="AH1885" t="s">
        <v>103</v>
      </c>
      <c r="AI1885">
        <v>0.08</v>
      </c>
      <c r="AJ1885" t="s">
        <v>50</v>
      </c>
    </row>
    <row r="1886" spans="1:36" x14ac:dyDescent="0.25">
      <c r="A1886" t="s">
        <v>535</v>
      </c>
      <c r="B1886">
        <v>866563433</v>
      </c>
      <c r="C1886" t="s">
        <v>536</v>
      </c>
      <c r="D1886" t="s">
        <v>536</v>
      </c>
      <c r="E1886" t="s">
        <v>37</v>
      </c>
      <c r="F1886" t="s">
        <v>38</v>
      </c>
      <c r="I1886" t="s">
        <v>39</v>
      </c>
      <c r="J1886" t="s">
        <v>40</v>
      </c>
      <c r="K1886" t="s">
        <v>41</v>
      </c>
      <c r="L1886" t="s">
        <v>173</v>
      </c>
      <c r="N1886" t="s">
        <v>43</v>
      </c>
      <c r="O1886" t="s">
        <v>537</v>
      </c>
      <c r="P1886">
        <v>275</v>
      </c>
      <c r="Q1886">
        <v>275</v>
      </c>
      <c r="R1886">
        <v>1001</v>
      </c>
      <c r="S1886" t="s">
        <v>56</v>
      </c>
      <c r="T1886">
        <v>1</v>
      </c>
      <c r="U1886">
        <v>1</v>
      </c>
      <c r="V1886" t="s">
        <v>55</v>
      </c>
      <c r="W1886">
        <v>0</v>
      </c>
      <c r="X1886">
        <v>1</v>
      </c>
      <c r="Y1886" t="s">
        <v>47</v>
      </c>
      <c r="Z1886">
        <v>0</v>
      </c>
      <c r="AA1886">
        <v>258</v>
      </c>
      <c r="AB1886" t="s">
        <v>47</v>
      </c>
      <c r="AC1886">
        <v>0.25700000000000001</v>
      </c>
      <c r="AD1886">
        <v>235</v>
      </c>
      <c r="AE1886" t="s">
        <v>56</v>
      </c>
      <c r="AF1886">
        <v>0.23400000000000001</v>
      </c>
      <c r="AG1886">
        <v>81</v>
      </c>
      <c r="AH1886" t="s">
        <v>103</v>
      </c>
      <c r="AI1886">
        <v>0.08</v>
      </c>
      <c r="AJ1886" t="s">
        <v>1141</v>
      </c>
    </row>
    <row r="1887" spans="1:36" x14ac:dyDescent="0.25">
      <c r="A1887" t="s">
        <v>535</v>
      </c>
      <c r="B1887">
        <v>866563433</v>
      </c>
      <c r="C1887" t="s">
        <v>536</v>
      </c>
      <c r="D1887" t="s">
        <v>536</v>
      </c>
      <c r="E1887" t="s">
        <v>37</v>
      </c>
      <c r="F1887" t="s">
        <v>38</v>
      </c>
      <c r="I1887" t="s">
        <v>39</v>
      </c>
      <c r="J1887" t="s">
        <v>40</v>
      </c>
      <c r="K1887" t="s">
        <v>41</v>
      </c>
      <c r="L1887" t="s">
        <v>173</v>
      </c>
      <c r="N1887" t="s">
        <v>43</v>
      </c>
      <c r="O1887" t="s">
        <v>537</v>
      </c>
      <c r="P1887">
        <v>275</v>
      </c>
      <c r="Q1887">
        <v>275</v>
      </c>
      <c r="R1887">
        <v>601</v>
      </c>
      <c r="S1887" t="s">
        <v>56</v>
      </c>
      <c r="T1887">
        <v>0.6</v>
      </c>
      <c r="U1887">
        <v>1</v>
      </c>
      <c r="V1887" t="s">
        <v>55</v>
      </c>
      <c r="W1887">
        <v>0</v>
      </c>
      <c r="X1887">
        <v>1</v>
      </c>
      <c r="Y1887" t="s">
        <v>47</v>
      </c>
      <c r="Z1887">
        <v>0</v>
      </c>
      <c r="AA1887">
        <v>258</v>
      </c>
      <c r="AB1887" t="s">
        <v>47</v>
      </c>
      <c r="AC1887">
        <v>0.25700000000000001</v>
      </c>
      <c r="AD1887">
        <v>235</v>
      </c>
      <c r="AE1887" t="s">
        <v>56</v>
      </c>
      <c r="AF1887">
        <v>0.23400000000000001</v>
      </c>
      <c r="AG1887">
        <v>81</v>
      </c>
      <c r="AH1887" t="s">
        <v>103</v>
      </c>
      <c r="AI1887">
        <v>0.08</v>
      </c>
      <c r="AJ1887" t="s">
        <v>1153</v>
      </c>
    </row>
    <row r="1888" spans="1:36" x14ac:dyDescent="0.25">
      <c r="A1888" t="s">
        <v>535</v>
      </c>
      <c r="B1888">
        <v>866563433</v>
      </c>
      <c r="C1888" t="s">
        <v>536</v>
      </c>
      <c r="D1888" t="s">
        <v>536</v>
      </c>
      <c r="E1888" t="s">
        <v>37</v>
      </c>
      <c r="F1888" t="s">
        <v>38</v>
      </c>
      <c r="I1888" t="s">
        <v>39</v>
      </c>
      <c r="J1888" t="s">
        <v>40</v>
      </c>
      <c r="K1888" t="s">
        <v>41</v>
      </c>
      <c r="L1888" t="s">
        <v>173</v>
      </c>
      <c r="N1888" t="s">
        <v>43</v>
      </c>
      <c r="O1888" t="s">
        <v>537</v>
      </c>
      <c r="P1888">
        <v>275</v>
      </c>
      <c r="Q1888">
        <v>275</v>
      </c>
      <c r="R1888">
        <v>601</v>
      </c>
      <c r="S1888" t="s">
        <v>56</v>
      </c>
      <c r="T1888">
        <v>0.6</v>
      </c>
      <c r="U1888">
        <v>1</v>
      </c>
      <c r="V1888" t="s">
        <v>55</v>
      </c>
      <c r="W1888">
        <v>0</v>
      </c>
      <c r="X1888">
        <v>1</v>
      </c>
      <c r="Y1888" t="s">
        <v>47</v>
      </c>
      <c r="Z1888">
        <v>0</v>
      </c>
      <c r="AA1888">
        <v>258</v>
      </c>
      <c r="AB1888" t="s">
        <v>47</v>
      </c>
      <c r="AC1888">
        <v>0.25700000000000001</v>
      </c>
      <c r="AD1888">
        <v>235</v>
      </c>
      <c r="AE1888" t="s">
        <v>56</v>
      </c>
      <c r="AF1888">
        <v>0.23400000000000001</v>
      </c>
      <c r="AG1888">
        <v>81</v>
      </c>
      <c r="AH1888" t="s">
        <v>103</v>
      </c>
      <c r="AI1888">
        <v>0.08</v>
      </c>
      <c r="AJ1888" t="s">
        <v>1154</v>
      </c>
    </row>
    <row r="1889" spans="1:36" x14ac:dyDescent="0.25">
      <c r="A1889" t="s">
        <v>535</v>
      </c>
      <c r="B1889">
        <v>866563433</v>
      </c>
      <c r="C1889" t="s">
        <v>536</v>
      </c>
      <c r="D1889" t="s">
        <v>536</v>
      </c>
      <c r="E1889" t="s">
        <v>37</v>
      </c>
      <c r="F1889" t="s">
        <v>38</v>
      </c>
      <c r="I1889" t="s">
        <v>39</v>
      </c>
      <c r="J1889" t="s">
        <v>40</v>
      </c>
      <c r="K1889" t="s">
        <v>41</v>
      </c>
      <c r="L1889" t="s">
        <v>173</v>
      </c>
      <c r="N1889" t="s">
        <v>43</v>
      </c>
      <c r="O1889" t="s">
        <v>537</v>
      </c>
      <c r="P1889">
        <v>275</v>
      </c>
      <c r="Q1889">
        <v>275</v>
      </c>
      <c r="S1889" t="s">
        <v>39</v>
      </c>
      <c r="V1889" t="s">
        <v>39</v>
      </c>
      <c r="X1889">
        <v>1</v>
      </c>
      <c r="Y1889" t="s">
        <v>47</v>
      </c>
      <c r="Z1889">
        <v>0</v>
      </c>
      <c r="AA1889">
        <v>258</v>
      </c>
      <c r="AB1889" t="s">
        <v>47</v>
      </c>
      <c r="AC1889">
        <v>0.25700000000000001</v>
      </c>
      <c r="AD1889">
        <v>235</v>
      </c>
      <c r="AE1889" t="s">
        <v>56</v>
      </c>
      <c r="AF1889">
        <v>0.23400000000000001</v>
      </c>
      <c r="AG1889">
        <v>81</v>
      </c>
      <c r="AH1889" t="s">
        <v>103</v>
      </c>
      <c r="AI1889">
        <v>0.08</v>
      </c>
      <c r="AJ1889" t="s">
        <v>1155</v>
      </c>
    </row>
    <row r="1890" spans="1:36" x14ac:dyDescent="0.25">
      <c r="A1890" t="s">
        <v>533</v>
      </c>
      <c r="B1890">
        <v>873004678</v>
      </c>
      <c r="C1890" t="s">
        <v>534</v>
      </c>
      <c r="D1890" t="s">
        <v>534</v>
      </c>
      <c r="E1890" t="s">
        <v>60</v>
      </c>
      <c r="F1890" t="s">
        <v>122</v>
      </c>
      <c r="I1890" t="s">
        <v>39</v>
      </c>
      <c r="J1890" t="s">
        <v>40</v>
      </c>
      <c r="K1890" t="s">
        <v>41</v>
      </c>
      <c r="L1890" t="s">
        <v>72</v>
      </c>
      <c r="M1890" t="s">
        <v>47</v>
      </c>
      <c r="N1890" t="s">
        <v>43</v>
      </c>
      <c r="O1890" t="s">
        <v>483</v>
      </c>
      <c r="P1890">
        <v>276</v>
      </c>
      <c r="Q1890">
        <v>276</v>
      </c>
      <c r="R1890">
        <v>101</v>
      </c>
      <c r="S1890" t="s">
        <v>56</v>
      </c>
      <c r="T1890">
        <v>0.1</v>
      </c>
      <c r="U1890">
        <v>842</v>
      </c>
      <c r="V1890" t="s">
        <v>113</v>
      </c>
      <c r="W1890">
        <v>0.84099999999999997</v>
      </c>
      <c r="X1890">
        <v>21001</v>
      </c>
      <c r="Y1890" t="s">
        <v>47</v>
      </c>
      <c r="Z1890">
        <v>21</v>
      </c>
      <c r="AA1890">
        <v>637</v>
      </c>
      <c r="AB1890" t="s">
        <v>75</v>
      </c>
      <c r="AC1890">
        <v>0.63600000000000001</v>
      </c>
      <c r="AD1890">
        <v>614</v>
      </c>
      <c r="AE1890" t="s">
        <v>48</v>
      </c>
      <c r="AF1890">
        <v>0.61299999999999999</v>
      </c>
      <c r="AG1890">
        <v>211</v>
      </c>
      <c r="AH1890" t="s">
        <v>57</v>
      </c>
      <c r="AI1890">
        <v>0.21</v>
      </c>
      <c r="AJ1890" t="s">
        <v>50</v>
      </c>
    </row>
    <row r="1891" spans="1:36" x14ac:dyDescent="0.25">
      <c r="A1891" t="s">
        <v>533</v>
      </c>
      <c r="B1891">
        <v>873004678</v>
      </c>
      <c r="C1891" t="s">
        <v>534</v>
      </c>
      <c r="D1891" t="s">
        <v>534</v>
      </c>
      <c r="E1891" t="s">
        <v>60</v>
      </c>
      <c r="F1891" t="s">
        <v>122</v>
      </c>
      <c r="I1891" t="s">
        <v>39</v>
      </c>
      <c r="J1891" t="s">
        <v>40</v>
      </c>
      <c r="K1891" t="s">
        <v>41</v>
      </c>
      <c r="L1891" t="s">
        <v>72</v>
      </c>
      <c r="M1891" t="s">
        <v>47</v>
      </c>
      <c r="N1891" t="s">
        <v>43</v>
      </c>
      <c r="O1891" t="s">
        <v>483</v>
      </c>
      <c r="P1891">
        <v>276</v>
      </c>
      <c r="Q1891">
        <v>276</v>
      </c>
      <c r="R1891">
        <v>151</v>
      </c>
      <c r="S1891" t="s">
        <v>56</v>
      </c>
      <c r="T1891">
        <v>0.15</v>
      </c>
      <c r="U1891">
        <v>205</v>
      </c>
      <c r="V1891" t="s">
        <v>55</v>
      </c>
      <c r="W1891">
        <v>0.20399999999999999</v>
      </c>
      <c r="X1891">
        <v>21001</v>
      </c>
      <c r="Y1891" t="s">
        <v>47</v>
      </c>
      <c r="Z1891">
        <v>21</v>
      </c>
      <c r="AA1891">
        <v>637</v>
      </c>
      <c r="AB1891" t="s">
        <v>75</v>
      </c>
      <c r="AC1891">
        <v>0.63600000000000001</v>
      </c>
      <c r="AD1891">
        <v>614</v>
      </c>
      <c r="AE1891" t="s">
        <v>48</v>
      </c>
      <c r="AF1891">
        <v>0.61299999999999999</v>
      </c>
      <c r="AG1891">
        <v>211</v>
      </c>
      <c r="AH1891" t="s">
        <v>57</v>
      </c>
      <c r="AI1891">
        <v>0.21</v>
      </c>
      <c r="AJ1891" t="s">
        <v>1141</v>
      </c>
    </row>
    <row r="1892" spans="1:36" x14ac:dyDescent="0.25">
      <c r="A1892" t="s">
        <v>533</v>
      </c>
      <c r="B1892">
        <v>873004678</v>
      </c>
      <c r="C1892" t="s">
        <v>534</v>
      </c>
      <c r="D1892" t="s">
        <v>534</v>
      </c>
      <c r="E1892" t="s">
        <v>60</v>
      </c>
      <c r="F1892" t="s">
        <v>122</v>
      </c>
      <c r="I1892" t="s">
        <v>39</v>
      </c>
      <c r="J1892" t="s">
        <v>40</v>
      </c>
      <c r="K1892" t="s">
        <v>41</v>
      </c>
      <c r="L1892" t="s">
        <v>72</v>
      </c>
      <c r="M1892" t="s">
        <v>47</v>
      </c>
      <c r="N1892" t="s">
        <v>43</v>
      </c>
      <c r="O1892" t="s">
        <v>483</v>
      </c>
      <c r="P1892">
        <v>276</v>
      </c>
      <c r="Q1892">
        <v>276</v>
      </c>
      <c r="R1892">
        <v>101</v>
      </c>
      <c r="S1892" t="s">
        <v>56</v>
      </c>
      <c r="T1892">
        <v>0.1</v>
      </c>
      <c r="U1892">
        <v>842</v>
      </c>
      <c r="V1892" t="s">
        <v>113</v>
      </c>
      <c r="W1892">
        <v>0.84099999999999997</v>
      </c>
      <c r="X1892">
        <v>21001</v>
      </c>
      <c r="Y1892" t="s">
        <v>47</v>
      </c>
      <c r="Z1892">
        <v>21</v>
      </c>
      <c r="AA1892">
        <v>637</v>
      </c>
      <c r="AB1892" t="s">
        <v>75</v>
      </c>
      <c r="AC1892">
        <v>0.63600000000000001</v>
      </c>
      <c r="AD1892">
        <v>614</v>
      </c>
      <c r="AE1892" t="s">
        <v>48</v>
      </c>
      <c r="AF1892">
        <v>0.61299999999999999</v>
      </c>
      <c r="AG1892">
        <v>211</v>
      </c>
      <c r="AH1892" t="s">
        <v>57</v>
      </c>
      <c r="AI1892">
        <v>0.21</v>
      </c>
      <c r="AJ1892" t="s">
        <v>1153</v>
      </c>
    </row>
    <row r="1893" spans="1:36" x14ac:dyDescent="0.25">
      <c r="A1893" t="s">
        <v>533</v>
      </c>
      <c r="B1893">
        <v>873004678</v>
      </c>
      <c r="C1893" t="s">
        <v>534</v>
      </c>
      <c r="D1893" t="s">
        <v>534</v>
      </c>
      <c r="E1893" t="s">
        <v>60</v>
      </c>
      <c r="F1893" t="s">
        <v>122</v>
      </c>
      <c r="I1893" t="s">
        <v>39</v>
      </c>
      <c r="J1893" t="s">
        <v>40</v>
      </c>
      <c r="K1893" t="s">
        <v>41</v>
      </c>
      <c r="L1893" t="s">
        <v>72</v>
      </c>
      <c r="M1893" t="s">
        <v>47</v>
      </c>
      <c r="N1893" t="s">
        <v>43</v>
      </c>
      <c r="O1893" t="s">
        <v>483</v>
      </c>
      <c r="P1893">
        <v>276</v>
      </c>
      <c r="Q1893">
        <v>276</v>
      </c>
      <c r="R1893">
        <v>101</v>
      </c>
      <c r="S1893" t="s">
        <v>56</v>
      </c>
      <c r="T1893">
        <v>0.1</v>
      </c>
      <c r="U1893">
        <v>842</v>
      </c>
      <c r="V1893" t="s">
        <v>113</v>
      </c>
      <c r="W1893">
        <v>0.84099999999999997</v>
      </c>
      <c r="X1893">
        <v>21001</v>
      </c>
      <c r="Y1893" t="s">
        <v>47</v>
      </c>
      <c r="Z1893">
        <v>21</v>
      </c>
      <c r="AA1893">
        <v>637</v>
      </c>
      <c r="AB1893" t="s">
        <v>75</v>
      </c>
      <c r="AC1893">
        <v>0.63600000000000001</v>
      </c>
      <c r="AD1893">
        <v>614</v>
      </c>
      <c r="AE1893" t="s">
        <v>48</v>
      </c>
      <c r="AF1893">
        <v>0.61299999999999999</v>
      </c>
      <c r="AG1893">
        <v>211</v>
      </c>
      <c r="AH1893" t="s">
        <v>57</v>
      </c>
      <c r="AI1893">
        <v>0.21</v>
      </c>
      <c r="AJ1893" t="s">
        <v>1154</v>
      </c>
    </row>
    <row r="1894" spans="1:36" x14ac:dyDescent="0.25">
      <c r="A1894" t="s">
        <v>533</v>
      </c>
      <c r="B1894">
        <v>873004678</v>
      </c>
      <c r="C1894" t="s">
        <v>534</v>
      </c>
      <c r="D1894" t="s">
        <v>534</v>
      </c>
      <c r="E1894" t="s">
        <v>60</v>
      </c>
      <c r="F1894" t="s">
        <v>122</v>
      </c>
      <c r="I1894" t="s">
        <v>39</v>
      </c>
      <c r="J1894" t="s">
        <v>40</v>
      </c>
      <c r="K1894" t="s">
        <v>41</v>
      </c>
      <c r="L1894" t="s">
        <v>72</v>
      </c>
      <c r="M1894" t="s">
        <v>47</v>
      </c>
      <c r="N1894" t="s">
        <v>43</v>
      </c>
      <c r="O1894" t="s">
        <v>483</v>
      </c>
      <c r="P1894">
        <v>276</v>
      </c>
      <c r="Q1894">
        <v>276</v>
      </c>
      <c r="S1894" t="s">
        <v>39</v>
      </c>
      <c r="V1894" t="s">
        <v>39</v>
      </c>
      <c r="X1894">
        <v>21001</v>
      </c>
      <c r="Y1894" t="s">
        <v>47</v>
      </c>
      <c r="Z1894">
        <v>21</v>
      </c>
      <c r="AA1894">
        <v>637</v>
      </c>
      <c r="AB1894" t="s">
        <v>75</v>
      </c>
      <c r="AC1894">
        <v>0.63600000000000001</v>
      </c>
      <c r="AD1894">
        <v>614</v>
      </c>
      <c r="AE1894" t="s">
        <v>48</v>
      </c>
      <c r="AF1894">
        <v>0.61299999999999999</v>
      </c>
      <c r="AG1894">
        <v>211</v>
      </c>
      <c r="AH1894" t="s">
        <v>57</v>
      </c>
      <c r="AI1894">
        <v>0.21</v>
      </c>
      <c r="AJ1894" t="s">
        <v>1155</v>
      </c>
    </row>
    <row r="1895" spans="1:36" x14ac:dyDescent="0.25">
      <c r="A1895" t="s">
        <v>531</v>
      </c>
      <c r="B1895">
        <v>873004665</v>
      </c>
      <c r="C1895" t="s">
        <v>532</v>
      </c>
      <c r="D1895" t="s">
        <v>532</v>
      </c>
      <c r="E1895" t="s">
        <v>65</v>
      </c>
      <c r="F1895" t="s">
        <v>93</v>
      </c>
      <c r="I1895" t="s">
        <v>39</v>
      </c>
      <c r="J1895" t="s">
        <v>40</v>
      </c>
      <c r="K1895" t="s">
        <v>41</v>
      </c>
      <c r="L1895" t="s">
        <v>72</v>
      </c>
      <c r="M1895" t="s">
        <v>216</v>
      </c>
      <c r="N1895" t="s">
        <v>43</v>
      </c>
      <c r="O1895" t="s">
        <v>307</v>
      </c>
      <c r="P1895">
        <v>278</v>
      </c>
      <c r="Q1895">
        <v>278</v>
      </c>
      <c r="R1895">
        <v>1</v>
      </c>
      <c r="S1895" t="s">
        <v>45</v>
      </c>
      <c r="T1895">
        <v>0</v>
      </c>
      <c r="U1895">
        <v>1001</v>
      </c>
      <c r="V1895" t="s">
        <v>46</v>
      </c>
      <c r="W1895">
        <v>1</v>
      </c>
      <c r="X1895">
        <v>25001</v>
      </c>
      <c r="Y1895" t="s">
        <v>47</v>
      </c>
      <c r="Z1895">
        <v>25</v>
      </c>
      <c r="AA1895">
        <v>871</v>
      </c>
      <c r="AB1895" t="s">
        <v>75</v>
      </c>
      <c r="AC1895">
        <v>0.87</v>
      </c>
      <c r="AD1895">
        <v>906</v>
      </c>
      <c r="AE1895" t="s">
        <v>48</v>
      </c>
      <c r="AF1895">
        <v>0.90500000000000003</v>
      </c>
      <c r="AG1895">
        <v>995</v>
      </c>
      <c r="AH1895" t="s">
        <v>80</v>
      </c>
      <c r="AI1895">
        <v>0.99399999999999999</v>
      </c>
      <c r="AJ1895" t="s">
        <v>50</v>
      </c>
    </row>
    <row r="1896" spans="1:36" x14ac:dyDescent="0.25">
      <c r="A1896" t="s">
        <v>531</v>
      </c>
      <c r="B1896">
        <v>873004665</v>
      </c>
      <c r="C1896" t="s">
        <v>532</v>
      </c>
      <c r="D1896" t="s">
        <v>532</v>
      </c>
      <c r="E1896" t="s">
        <v>65</v>
      </c>
      <c r="F1896" t="s">
        <v>93</v>
      </c>
      <c r="I1896" t="s">
        <v>39</v>
      </c>
      <c r="J1896" t="s">
        <v>40</v>
      </c>
      <c r="K1896" t="s">
        <v>41</v>
      </c>
      <c r="L1896" t="s">
        <v>72</v>
      </c>
      <c r="M1896" t="s">
        <v>216</v>
      </c>
      <c r="N1896" t="s">
        <v>43</v>
      </c>
      <c r="O1896" t="s">
        <v>307</v>
      </c>
      <c r="P1896">
        <v>278</v>
      </c>
      <c r="Q1896">
        <v>278</v>
      </c>
      <c r="R1896">
        <v>21</v>
      </c>
      <c r="S1896" t="s">
        <v>45</v>
      </c>
      <c r="T1896">
        <v>0.02</v>
      </c>
      <c r="U1896">
        <v>1001</v>
      </c>
      <c r="V1896" t="s">
        <v>46</v>
      </c>
      <c r="W1896">
        <v>1</v>
      </c>
      <c r="X1896">
        <v>25001</v>
      </c>
      <c r="Y1896" t="s">
        <v>47</v>
      </c>
      <c r="Z1896">
        <v>25</v>
      </c>
      <c r="AA1896">
        <v>871</v>
      </c>
      <c r="AB1896" t="s">
        <v>75</v>
      </c>
      <c r="AC1896">
        <v>0.87</v>
      </c>
      <c r="AD1896">
        <v>906</v>
      </c>
      <c r="AE1896" t="s">
        <v>48</v>
      </c>
      <c r="AF1896">
        <v>0.90500000000000003</v>
      </c>
      <c r="AG1896">
        <v>995</v>
      </c>
      <c r="AH1896" t="s">
        <v>80</v>
      </c>
      <c r="AI1896">
        <v>0.99399999999999999</v>
      </c>
      <c r="AJ1896" t="s">
        <v>1141</v>
      </c>
    </row>
    <row r="1897" spans="1:36" x14ac:dyDescent="0.25">
      <c r="A1897" t="s">
        <v>531</v>
      </c>
      <c r="B1897">
        <v>873004665</v>
      </c>
      <c r="C1897" t="s">
        <v>532</v>
      </c>
      <c r="D1897" t="s">
        <v>532</v>
      </c>
      <c r="E1897" t="s">
        <v>65</v>
      </c>
      <c r="F1897" t="s">
        <v>93</v>
      </c>
      <c r="I1897" t="s">
        <v>39</v>
      </c>
      <c r="J1897" t="s">
        <v>40</v>
      </c>
      <c r="K1897" t="s">
        <v>41</v>
      </c>
      <c r="L1897" t="s">
        <v>72</v>
      </c>
      <c r="M1897" t="s">
        <v>216</v>
      </c>
      <c r="N1897" t="s">
        <v>43</v>
      </c>
      <c r="O1897" t="s">
        <v>307</v>
      </c>
      <c r="P1897">
        <v>278</v>
      </c>
      <c r="Q1897">
        <v>278</v>
      </c>
      <c r="R1897">
        <v>1</v>
      </c>
      <c r="S1897" t="s">
        <v>45</v>
      </c>
      <c r="T1897">
        <v>0</v>
      </c>
      <c r="U1897">
        <v>1001</v>
      </c>
      <c r="V1897" t="s">
        <v>46</v>
      </c>
      <c r="W1897">
        <v>1</v>
      </c>
      <c r="X1897">
        <v>25001</v>
      </c>
      <c r="Y1897" t="s">
        <v>47</v>
      </c>
      <c r="Z1897">
        <v>25</v>
      </c>
      <c r="AA1897">
        <v>871</v>
      </c>
      <c r="AB1897" t="s">
        <v>75</v>
      </c>
      <c r="AC1897">
        <v>0.87</v>
      </c>
      <c r="AD1897">
        <v>906</v>
      </c>
      <c r="AE1897" t="s">
        <v>48</v>
      </c>
      <c r="AF1897">
        <v>0.90500000000000003</v>
      </c>
      <c r="AG1897">
        <v>995</v>
      </c>
      <c r="AH1897" t="s">
        <v>80</v>
      </c>
      <c r="AI1897">
        <v>0.99399999999999999</v>
      </c>
      <c r="AJ1897" t="s">
        <v>1153</v>
      </c>
    </row>
    <row r="1898" spans="1:36" x14ac:dyDescent="0.25">
      <c r="A1898" t="s">
        <v>531</v>
      </c>
      <c r="B1898">
        <v>873004665</v>
      </c>
      <c r="C1898" t="s">
        <v>532</v>
      </c>
      <c r="D1898" t="s">
        <v>532</v>
      </c>
      <c r="E1898" t="s">
        <v>65</v>
      </c>
      <c r="F1898" t="s">
        <v>93</v>
      </c>
      <c r="I1898" t="s">
        <v>39</v>
      </c>
      <c r="J1898" t="s">
        <v>40</v>
      </c>
      <c r="K1898" t="s">
        <v>41</v>
      </c>
      <c r="L1898" t="s">
        <v>72</v>
      </c>
      <c r="M1898" t="s">
        <v>216</v>
      </c>
      <c r="N1898" t="s">
        <v>43</v>
      </c>
      <c r="O1898" t="s">
        <v>307</v>
      </c>
      <c r="P1898">
        <v>278</v>
      </c>
      <c r="Q1898">
        <v>278</v>
      </c>
      <c r="R1898">
        <v>1</v>
      </c>
      <c r="S1898" t="s">
        <v>45</v>
      </c>
      <c r="T1898">
        <v>0</v>
      </c>
      <c r="U1898">
        <v>1001</v>
      </c>
      <c r="V1898" t="s">
        <v>46</v>
      </c>
      <c r="W1898">
        <v>1</v>
      </c>
      <c r="X1898">
        <v>25001</v>
      </c>
      <c r="Y1898" t="s">
        <v>47</v>
      </c>
      <c r="Z1898">
        <v>25</v>
      </c>
      <c r="AA1898">
        <v>871</v>
      </c>
      <c r="AB1898" t="s">
        <v>75</v>
      </c>
      <c r="AC1898">
        <v>0.87</v>
      </c>
      <c r="AD1898">
        <v>906</v>
      </c>
      <c r="AE1898" t="s">
        <v>48</v>
      </c>
      <c r="AF1898">
        <v>0.90500000000000003</v>
      </c>
      <c r="AG1898">
        <v>995</v>
      </c>
      <c r="AH1898" t="s">
        <v>80</v>
      </c>
      <c r="AI1898">
        <v>0.99399999999999999</v>
      </c>
      <c r="AJ1898" t="s">
        <v>1154</v>
      </c>
    </row>
    <row r="1899" spans="1:36" x14ac:dyDescent="0.25">
      <c r="A1899" t="s">
        <v>531</v>
      </c>
      <c r="B1899">
        <v>873004665</v>
      </c>
      <c r="C1899" t="s">
        <v>532</v>
      </c>
      <c r="D1899" t="s">
        <v>532</v>
      </c>
      <c r="E1899" t="s">
        <v>65</v>
      </c>
      <c r="F1899" t="s">
        <v>93</v>
      </c>
      <c r="I1899" t="s">
        <v>39</v>
      </c>
      <c r="J1899" t="s">
        <v>40</v>
      </c>
      <c r="K1899" t="s">
        <v>41</v>
      </c>
      <c r="L1899" t="s">
        <v>72</v>
      </c>
      <c r="M1899" t="s">
        <v>216</v>
      </c>
      <c r="N1899" t="s">
        <v>43</v>
      </c>
      <c r="O1899" t="s">
        <v>307</v>
      </c>
      <c r="P1899">
        <v>278</v>
      </c>
      <c r="Q1899">
        <v>278</v>
      </c>
      <c r="S1899" t="s">
        <v>39</v>
      </c>
      <c r="V1899" t="s">
        <v>39</v>
      </c>
      <c r="X1899">
        <v>25001</v>
      </c>
      <c r="Y1899" t="s">
        <v>47</v>
      </c>
      <c r="Z1899">
        <v>25</v>
      </c>
      <c r="AA1899">
        <v>871</v>
      </c>
      <c r="AB1899" t="s">
        <v>75</v>
      </c>
      <c r="AC1899">
        <v>0.87</v>
      </c>
      <c r="AD1899">
        <v>906</v>
      </c>
      <c r="AE1899" t="s">
        <v>48</v>
      </c>
      <c r="AF1899">
        <v>0.90500000000000003</v>
      </c>
      <c r="AG1899">
        <v>995</v>
      </c>
      <c r="AH1899" t="s">
        <v>80</v>
      </c>
      <c r="AI1899">
        <v>0.99399999999999999</v>
      </c>
      <c r="AJ1899" t="s">
        <v>1155</v>
      </c>
    </row>
    <row r="1900" spans="1:36" x14ac:dyDescent="0.25">
      <c r="A1900" t="s">
        <v>529</v>
      </c>
      <c r="B1900">
        <v>855758016</v>
      </c>
      <c r="C1900" t="s">
        <v>530</v>
      </c>
      <c r="D1900" t="s">
        <v>530</v>
      </c>
      <c r="E1900" t="s">
        <v>60</v>
      </c>
      <c r="F1900" t="s">
        <v>61</v>
      </c>
      <c r="I1900" t="s">
        <v>39</v>
      </c>
      <c r="J1900" t="s">
        <v>40</v>
      </c>
      <c r="K1900" t="s">
        <v>41</v>
      </c>
      <c r="L1900" t="s">
        <v>248</v>
      </c>
      <c r="M1900" t="s">
        <v>73</v>
      </c>
      <c r="N1900" t="s">
        <v>43</v>
      </c>
      <c r="O1900" t="s">
        <v>119</v>
      </c>
      <c r="P1900">
        <v>279</v>
      </c>
      <c r="Q1900">
        <v>279</v>
      </c>
      <c r="R1900">
        <v>1</v>
      </c>
      <c r="S1900" t="s">
        <v>45</v>
      </c>
      <c r="T1900">
        <v>0</v>
      </c>
      <c r="U1900">
        <v>999</v>
      </c>
      <c r="V1900" t="s">
        <v>46</v>
      </c>
      <c r="W1900">
        <v>0.998</v>
      </c>
      <c r="X1900">
        <v>24001</v>
      </c>
      <c r="Y1900" t="s">
        <v>47</v>
      </c>
      <c r="Z1900">
        <v>24</v>
      </c>
      <c r="AA1900">
        <v>951</v>
      </c>
      <c r="AB1900" t="s">
        <v>75</v>
      </c>
      <c r="AC1900">
        <v>0.95</v>
      </c>
      <c r="AD1900">
        <v>975</v>
      </c>
      <c r="AE1900" t="s">
        <v>48</v>
      </c>
      <c r="AF1900">
        <v>0.97399999999999998</v>
      </c>
      <c r="AG1900">
        <v>963</v>
      </c>
      <c r="AH1900" t="s">
        <v>80</v>
      </c>
      <c r="AI1900">
        <v>0.96199999999999997</v>
      </c>
      <c r="AJ1900" t="s">
        <v>50</v>
      </c>
    </row>
    <row r="1901" spans="1:36" x14ac:dyDescent="0.25">
      <c r="A1901" t="s">
        <v>529</v>
      </c>
      <c r="B1901">
        <v>855758016</v>
      </c>
      <c r="C1901" t="s">
        <v>530</v>
      </c>
      <c r="D1901" t="s">
        <v>530</v>
      </c>
      <c r="E1901" t="s">
        <v>60</v>
      </c>
      <c r="F1901" t="s">
        <v>61</v>
      </c>
      <c r="I1901" t="s">
        <v>39</v>
      </c>
      <c r="J1901" t="s">
        <v>40</v>
      </c>
      <c r="K1901" t="s">
        <v>41</v>
      </c>
      <c r="L1901" t="s">
        <v>248</v>
      </c>
      <c r="M1901" t="s">
        <v>73</v>
      </c>
      <c r="N1901" t="s">
        <v>43</v>
      </c>
      <c r="O1901" t="s">
        <v>119</v>
      </c>
      <c r="P1901">
        <v>279</v>
      </c>
      <c r="Q1901">
        <v>279</v>
      </c>
      <c r="R1901">
        <v>1</v>
      </c>
      <c r="S1901" t="s">
        <v>45</v>
      </c>
      <c r="T1901">
        <v>0</v>
      </c>
      <c r="U1901">
        <v>997</v>
      </c>
      <c r="V1901" t="s">
        <v>46</v>
      </c>
      <c r="W1901">
        <v>0.996</v>
      </c>
      <c r="X1901">
        <v>24001</v>
      </c>
      <c r="Y1901" t="s">
        <v>47</v>
      </c>
      <c r="Z1901">
        <v>24</v>
      </c>
      <c r="AA1901">
        <v>951</v>
      </c>
      <c r="AB1901" t="s">
        <v>75</v>
      </c>
      <c r="AC1901">
        <v>0.95</v>
      </c>
      <c r="AD1901">
        <v>975</v>
      </c>
      <c r="AE1901" t="s">
        <v>48</v>
      </c>
      <c r="AF1901">
        <v>0.97399999999999998</v>
      </c>
      <c r="AG1901">
        <v>963</v>
      </c>
      <c r="AH1901" t="s">
        <v>80</v>
      </c>
      <c r="AI1901">
        <v>0.96199999999999997</v>
      </c>
      <c r="AJ1901" t="s">
        <v>1141</v>
      </c>
    </row>
    <row r="1902" spans="1:36" x14ac:dyDescent="0.25">
      <c r="A1902" t="s">
        <v>529</v>
      </c>
      <c r="B1902">
        <v>855758016</v>
      </c>
      <c r="C1902" t="s">
        <v>530</v>
      </c>
      <c r="D1902" t="s">
        <v>530</v>
      </c>
      <c r="E1902" t="s">
        <v>60</v>
      </c>
      <c r="F1902" t="s">
        <v>61</v>
      </c>
      <c r="I1902" t="s">
        <v>39</v>
      </c>
      <c r="J1902" t="s">
        <v>40</v>
      </c>
      <c r="K1902" t="s">
        <v>41</v>
      </c>
      <c r="L1902" t="s">
        <v>248</v>
      </c>
      <c r="M1902" t="s">
        <v>73</v>
      </c>
      <c r="N1902" t="s">
        <v>43</v>
      </c>
      <c r="O1902" t="s">
        <v>119</v>
      </c>
      <c r="P1902">
        <v>279</v>
      </c>
      <c r="Q1902">
        <v>279</v>
      </c>
      <c r="R1902">
        <v>1</v>
      </c>
      <c r="S1902" t="s">
        <v>45</v>
      </c>
      <c r="T1902">
        <v>0</v>
      </c>
      <c r="U1902">
        <v>999</v>
      </c>
      <c r="V1902" t="s">
        <v>46</v>
      </c>
      <c r="W1902">
        <v>0.998</v>
      </c>
      <c r="X1902">
        <v>24001</v>
      </c>
      <c r="Y1902" t="s">
        <v>47</v>
      </c>
      <c r="Z1902">
        <v>24</v>
      </c>
      <c r="AA1902">
        <v>951</v>
      </c>
      <c r="AB1902" t="s">
        <v>75</v>
      </c>
      <c r="AC1902">
        <v>0.95</v>
      </c>
      <c r="AD1902">
        <v>975</v>
      </c>
      <c r="AE1902" t="s">
        <v>48</v>
      </c>
      <c r="AF1902">
        <v>0.97399999999999998</v>
      </c>
      <c r="AG1902">
        <v>963</v>
      </c>
      <c r="AH1902" t="s">
        <v>80</v>
      </c>
      <c r="AI1902">
        <v>0.96199999999999997</v>
      </c>
      <c r="AJ1902" t="s">
        <v>1153</v>
      </c>
    </row>
    <row r="1903" spans="1:36" x14ac:dyDescent="0.25">
      <c r="A1903" t="s">
        <v>529</v>
      </c>
      <c r="B1903">
        <v>855758016</v>
      </c>
      <c r="C1903" t="s">
        <v>530</v>
      </c>
      <c r="D1903" t="s">
        <v>530</v>
      </c>
      <c r="E1903" t="s">
        <v>60</v>
      </c>
      <c r="F1903" t="s">
        <v>61</v>
      </c>
      <c r="I1903" t="s">
        <v>39</v>
      </c>
      <c r="J1903" t="s">
        <v>40</v>
      </c>
      <c r="K1903" t="s">
        <v>41</v>
      </c>
      <c r="L1903" t="s">
        <v>248</v>
      </c>
      <c r="M1903" t="s">
        <v>73</v>
      </c>
      <c r="N1903" t="s">
        <v>43</v>
      </c>
      <c r="O1903" t="s">
        <v>119</v>
      </c>
      <c r="P1903">
        <v>279</v>
      </c>
      <c r="Q1903">
        <v>279</v>
      </c>
      <c r="R1903">
        <v>1</v>
      </c>
      <c r="S1903" t="s">
        <v>45</v>
      </c>
      <c r="T1903">
        <v>0</v>
      </c>
      <c r="U1903">
        <v>999</v>
      </c>
      <c r="V1903" t="s">
        <v>46</v>
      </c>
      <c r="W1903">
        <v>0.998</v>
      </c>
      <c r="X1903">
        <v>24001</v>
      </c>
      <c r="Y1903" t="s">
        <v>47</v>
      </c>
      <c r="Z1903">
        <v>24</v>
      </c>
      <c r="AA1903">
        <v>951</v>
      </c>
      <c r="AB1903" t="s">
        <v>75</v>
      </c>
      <c r="AC1903">
        <v>0.95</v>
      </c>
      <c r="AD1903">
        <v>975</v>
      </c>
      <c r="AE1903" t="s">
        <v>48</v>
      </c>
      <c r="AF1903">
        <v>0.97399999999999998</v>
      </c>
      <c r="AG1903">
        <v>963</v>
      </c>
      <c r="AH1903" t="s">
        <v>80</v>
      </c>
      <c r="AI1903">
        <v>0.96199999999999997</v>
      </c>
      <c r="AJ1903" t="s">
        <v>1154</v>
      </c>
    </row>
    <row r="1904" spans="1:36" x14ac:dyDescent="0.25">
      <c r="A1904" t="s">
        <v>529</v>
      </c>
      <c r="B1904">
        <v>855758016</v>
      </c>
      <c r="C1904" t="s">
        <v>530</v>
      </c>
      <c r="D1904" t="s">
        <v>530</v>
      </c>
      <c r="E1904" t="s">
        <v>60</v>
      </c>
      <c r="F1904" t="s">
        <v>61</v>
      </c>
      <c r="I1904" t="s">
        <v>39</v>
      </c>
      <c r="J1904" t="s">
        <v>40</v>
      </c>
      <c r="K1904" t="s">
        <v>41</v>
      </c>
      <c r="L1904" t="s">
        <v>248</v>
      </c>
      <c r="M1904" t="s">
        <v>73</v>
      </c>
      <c r="N1904" t="s">
        <v>43</v>
      </c>
      <c r="O1904" t="s">
        <v>119</v>
      </c>
      <c r="P1904">
        <v>279</v>
      </c>
      <c r="Q1904">
        <v>279</v>
      </c>
      <c r="S1904" t="s">
        <v>39</v>
      </c>
      <c r="V1904" t="s">
        <v>39</v>
      </c>
      <c r="X1904">
        <v>24001</v>
      </c>
      <c r="Y1904" t="s">
        <v>47</v>
      </c>
      <c r="Z1904">
        <v>24</v>
      </c>
      <c r="AA1904">
        <v>951</v>
      </c>
      <c r="AB1904" t="s">
        <v>75</v>
      </c>
      <c r="AC1904">
        <v>0.95</v>
      </c>
      <c r="AD1904">
        <v>975</v>
      </c>
      <c r="AE1904" t="s">
        <v>48</v>
      </c>
      <c r="AF1904">
        <v>0.97399999999999998</v>
      </c>
      <c r="AG1904">
        <v>963</v>
      </c>
      <c r="AH1904" t="s">
        <v>80</v>
      </c>
      <c r="AI1904">
        <v>0.96199999999999997</v>
      </c>
      <c r="AJ1904" t="s">
        <v>1155</v>
      </c>
    </row>
    <row r="1905" spans="1:36" x14ac:dyDescent="0.25">
      <c r="A1905" t="s">
        <v>523</v>
      </c>
      <c r="B1905">
        <v>851650236</v>
      </c>
      <c r="C1905" t="s">
        <v>524</v>
      </c>
      <c r="D1905" t="s">
        <v>524</v>
      </c>
      <c r="E1905" t="s">
        <v>99</v>
      </c>
      <c r="F1905" t="s">
        <v>525</v>
      </c>
      <c r="I1905" t="s">
        <v>39</v>
      </c>
      <c r="J1905" t="s">
        <v>40</v>
      </c>
      <c r="K1905" t="s">
        <v>41</v>
      </c>
      <c r="L1905" t="s">
        <v>151</v>
      </c>
      <c r="M1905" t="s">
        <v>419</v>
      </c>
      <c r="N1905" t="s">
        <v>43</v>
      </c>
      <c r="O1905" t="s">
        <v>283</v>
      </c>
      <c r="P1905">
        <v>280</v>
      </c>
      <c r="Q1905">
        <v>280</v>
      </c>
      <c r="R1905">
        <v>51</v>
      </c>
      <c r="S1905" t="s">
        <v>45</v>
      </c>
      <c r="T1905">
        <v>0.05</v>
      </c>
      <c r="U1905">
        <v>137</v>
      </c>
      <c r="V1905" t="s">
        <v>55</v>
      </c>
      <c r="W1905">
        <v>0.13600000000000001</v>
      </c>
      <c r="X1905">
        <v>6001</v>
      </c>
      <c r="Y1905" t="s">
        <v>47</v>
      </c>
      <c r="Z1905">
        <v>6</v>
      </c>
      <c r="AA1905">
        <v>216</v>
      </c>
      <c r="AB1905" t="s">
        <v>47</v>
      </c>
      <c r="AC1905">
        <v>0.215</v>
      </c>
      <c r="AD1905">
        <v>415</v>
      </c>
      <c r="AE1905" t="s">
        <v>56</v>
      </c>
      <c r="AF1905">
        <v>0.41399999999999998</v>
      </c>
      <c r="AG1905">
        <v>614</v>
      </c>
      <c r="AH1905" t="s">
        <v>49</v>
      </c>
      <c r="AI1905">
        <v>0.61299999999999999</v>
      </c>
      <c r="AJ1905" t="s">
        <v>50</v>
      </c>
    </row>
    <row r="1906" spans="1:36" x14ac:dyDescent="0.25">
      <c r="A1906" t="s">
        <v>523</v>
      </c>
      <c r="B1906">
        <v>851650236</v>
      </c>
      <c r="C1906" t="s">
        <v>524</v>
      </c>
      <c r="D1906" t="s">
        <v>524</v>
      </c>
      <c r="E1906" t="s">
        <v>60</v>
      </c>
      <c r="F1906" t="s">
        <v>525</v>
      </c>
      <c r="I1906" t="s">
        <v>39</v>
      </c>
      <c r="J1906" t="s">
        <v>40</v>
      </c>
      <c r="K1906" t="s">
        <v>41</v>
      </c>
      <c r="L1906" t="s">
        <v>151</v>
      </c>
      <c r="M1906" t="s">
        <v>419</v>
      </c>
      <c r="N1906" t="s">
        <v>43</v>
      </c>
      <c r="O1906" t="s">
        <v>283</v>
      </c>
      <c r="P1906">
        <v>280</v>
      </c>
      <c r="Q1906">
        <v>280</v>
      </c>
      <c r="R1906">
        <v>51</v>
      </c>
      <c r="S1906" t="s">
        <v>45</v>
      </c>
      <c r="T1906">
        <v>0.05</v>
      </c>
      <c r="U1906">
        <v>137</v>
      </c>
      <c r="V1906" t="s">
        <v>55</v>
      </c>
      <c r="W1906">
        <v>0.13600000000000001</v>
      </c>
      <c r="X1906">
        <v>6001</v>
      </c>
      <c r="Y1906" t="s">
        <v>47</v>
      </c>
      <c r="Z1906">
        <v>6</v>
      </c>
      <c r="AA1906">
        <v>216</v>
      </c>
      <c r="AB1906" t="s">
        <v>47</v>
      </c>
      <c r="AC1906">
        <v>0.215</v>
      </c>
      <c r="AD1906">
        <v>415</v>
      </c>
      <c r="AE1906" t="s">
        <v>56</v>
      </c>
      <c r="AF1906">
        <v>0.41399999999999998</v>
      </c>
      <c r="AG1906">
        <v>614</v>
      </c>
      <c r="AH1906" t="s">
        <v>49</v>
      </c>
      <c r="AI1906">
        <v>0.61299999999999999</v>
      </c>
      <c r="AJ1906" t="s">
        <v>50</v>
      </c>
    </row>
    <row r="1907" spans="1:36" x14ac:dyDescent="0.25">
      <c r="A1907" t="s">
        <v>523</v>
      </c>
      <c r="B1907">
        <v>851650236</v>
      </c>
      <c r="C1907" t="s">
        <v>524</v>
      </c>
      <c r="D1907" t="s">
        <v>524</v>
      </c>
      <c r="E1907" t="s">
        <v>99</v>
      </c>
      <c r="F1907" t="s">
        <v>525</v>
      </c>
      <c r="I1907" t="s">
        <v>39</v>
      </c>
      <c r="J1907" t="s">
        <v>40</v>
      </c>
      <c r="K1907" t="s">
        <v>41</v>
      </c>
      <c r="L1907" t="s">
        <v>151</v>
      </c>
      <c r="M1907" t="s">
        <v>419</v>
      </c>
      <c r="N1907" t="s">
        <v>43</v>
      </c>
      <c r="O1907" t="s">
        <v>283</v>
      </c>
      <c r="P1907">
        <v>280</v>
      </c>
      <c r="Q1907">
        <v>280</v>
      </c>
      <c r="R1907">
        <v>101</v>
      </c>
      <c r="S1907" t="s">
        <v>56</v>
      </c>
      <c r="T1907">
        <v>0.1</v>
      </c>
      <c r="U1907">
        <v>21</v>
      </c>
      <c r="V1907" t="s">
        <v>55</v>
      </c>
      <c r="W1907">
        <v>0.02</v>
      </c>
      <c r="X1907">
        <v>6001</v>
      </c>
      <c r="Y1907" t="s">
        <v>47</v>
      </c>
      <c r="Z1907">
        <v>6</v>
      </c>
      <c r="AA1907">
        <v>216</v>
      </c>
      <c r="AB1907" t="s">
        <v>47</v>
      </c>
      <c r="AC1907">
        <v>0.215</v>
      </c>
      <c r="AD1907">
        <v>415</v>
      </c>
      <c r="AE1907" t="s">
        <v>56</v>
      </c>
      <c r="AF1907">
        <v>0.41399999999999998</v>
      </c>
      <c r="AG1907">
        <v>614</v>
      </c>
      <c r="AH1907" t="s">
        <v>49</v>
      </c>
      <c r="AI1907">
        <v>0.61299999999999999</v>
      </c>
      <c r="AJ1907" t="s">
        <v>1141</v>
      </c>
    </row>
    <row r="1908" spans="1:36" x14ac:dyDescent="0.25">
      <c r="A1908" t="s">
        <v>523</v>
      </c>
      <c r="B1908">
        <v>851650236</v>
      </c>
      <c r="C1908" t="s">
        <v>524</v>
      </c>
      <c r="D1908" t="s">
        <v>524</v>
      </c>
      <c r="E1908" t="s">
        <v>60</v>
      </c>
      <c r="F1908" t="s">
        <v>525</v>
      </c>
      <c r="I1908" t="s">
        <v>39</v>
      </c>
      <c r="J1908" t="s">
        <v>40</v>
      </c>
      <c r="K1908" t="s">
        <v>41</v>
      </c>
      <c r="L1908" t="s">
        <v>151</v>
      </c>
      <c r="M1908" t="s">
        <v>419</v>
      </c>
      <c r="N1908" t="s">
        <v>43</v>
      </c>
      <c r="O1908" t="s">
        <v>283</v>
      </c>
      <c r="P1908">
        <v>280</v>
      </c>
      <c r="Q1908">
        <v>280</v>
      </c>
      <c r="R1908">
        <v>101</v>
      </c>
      <c r="S1908" t="s">
        <v>56</v>
      </c>
      <c r="T1908">
        <v>0.1</v>
      </c>
      <c r="U1908">
        <v>21</v>
      </c>
      <c r="V1908" t="s">
        <v>55</v>
      </c>
      <c r="W1908">
        <v>0.02</v>
      </c>
      <c r="X1908">
        <v>6001</v>
      </c>
      <c r="Y1908" t="s">
        <v>47</v>
      </c>
      <c r="Z1908">
        <v>6</v>
      </c>
      <c r="AA1908">
        <v>216</v>
      </c>
      <c r="AB1908" t="s">
        <v>47</v>
      </c>
      <c r="AC1908">
        <v>0.215</v>
      </c>
      <c r="AD1908">
        <v>415</v>
      </c>
      <c r="AE1908" t="s">
        <v>56</v>
      </c>
      <c r="AF1908">
        <v>0.41399999999999998</v>
      </c>
      <c r="AG1908">
        <v>614</v>
      </c>
      <c r="AH1908" t="s">
        <v>49</v>
      </c>
      <c r="AI1908">
        <v>0.61299999999999999</v>
      </c>
      <c r="AJ1908" t="s">
        <v>1141</v>
      </c>
    </row>
    <row r="1909" spans="1:36" x14ac:dyDescent="0.25">
      <c r="A1909" t="s">
        <v>523</v>
      </c>
      <c r="B1909">
        <v>851650236</v>
      </c>
      <c r="C1909" t="s">
        <v>524</v>
      </c>
      <c r="D1909" t="s">
        <v>524</v>
      </c>
      <c r="E1909" t="s">
        <v>99</v>
      </c>
      <c r="F1909" t="s">
        <v>525</v>
      </c>
      <c r="I1909" t="s">
        <v>39</v>
      </c>
      <c r="J1909" t="s">
        <v>40</v>
      </c>
      <c r="K1909" t="s">
        <v>41</v>
      </c>
      <c r="L1909" t="s">
        <v>151</v>
      </c>
      <c r="M1909" t="s">
        <v>419</v>
      </c>
      <c r="N1909" t="s">
        <v>43</v>
      </c>
      <c r="O1909" t="s">
        <v>283</v>
      </c>
      <c r="P1909">
        <v>280</v>
      </c>
      <c r="Q1909">
        <v>280</v>
      </c>
      <c r="R1909">
        <v>51</v>
      </c>
      <c r="S1909" t="s">
        <v>45</v>
      </c>
      <c r="T1909">
        <v>0.05</v>
      </c>
      <c r="U1909">
        <v>137</v>
      </c>
      <c r="V1909" t="s">
        <v>55</v>
      </c>
      <c r="W1909">
        <v>0.13600000000000001</v>
      </c>
      <c r="X1909">
        <v>6001</v>
      </c>
      <c r="Y1909" t="s">
        <v>47</v>
      </c>
      <c r="Z1909">
        <v>6</v>
      </c>
      <c r="AA1909">
        <v>216</v>
      </c>
      <c r="AB1909" t="s">
        <v>47</v>
      </c>
      <c r="AC1909">
        <v>0.215</v>
      </c>
      <c r="AD1909">
        <v>415</v>
      </c>
      <c r="AE1909" t="s">
        <v>56</v>
      </c>
      <c r="AF1909">
        <v>0.41399999999999998</v>
      </c>
      <c r="AG1909">
        <v>614</v>
      </c>
      <c r="AH1909" t="s">
        <v>49</v>
      </c>
      <c r="AI1909">
        <v>0.61299999999999999</v>
      </c>
      <c r="AJ1909" t="s">
        <v>1153</v>
      </c>
    </row>
    <row r="1910" spans="1:36" x14ac:dyDescent="0.25">
      <c r="A1910" t="s">
        <v>523</v>
      </c>
      <c r="B1910">
        <v>851650236</v>
      </c>
      <c r="C1910" t="s">
        <v>524</v>
      </c>
      <c r="D1910" t="s">
        <v>524</v>
      </c>
      <c r="E1910" t="s">
        <v>60</v>
      </c>
      <c r="F1910" t="s">
        <v>525</v>
      </c>
      <c r="I1910" t="s">
        <v>39</v>
      </c>
      <c r="J1910" t="s">
        <v>40</v>
      </c>
      <c r="K1910" t="s">
        <v>41</v>
      </c>
      <c r="L1910" t="s">
        <v>151</v>
      </c>
      <c r="M1910" t="s">
        <v>419</v>
      </c>
      <c r="N1910" t="s">
        <v>43</v>
      </c>
      <c r="O1910" t="s">
        <v>283</v>
      </c>
      <c r="P1910">
        <v>280</v>
      </c>
      <c r="Q1910">
        <v>280</v>
      </c>
      <c r="R1910">
        <v>51</v>
      </c>
      <c r="S1910" t="s">
        <v>45</v>
      </c>
      <c r="T1910">
        <v>0.05</v>
      </c>
      <c r="U1910">
        <v>137</v>
      </c>
      <c r="V1910" t="s">
        <v>55</v>
      </c>
      <c r="W1910">
        <v>0.13600000000000001</v>
      </c>
      <c r="X1910">
        <v>6001</v>
      </c>
      <c r="Y1910" t="s">
        <v>47</v>
      </c>
      <c r="Z1910">
        <v>6</v>
      </c>
      <c r="AA1910">
        <v>216</v>
      </c>
      <c r="AB1910" t="s">
        <v>47</v>
      </c>
      <c r="AC1910">
        <v>0.215</v>
      </c>
      <c r="AD1910">
        <v>415</v>
      </c>
      <c r="AE1910" t="s">
        <v>56</v>
      </c>
      <c r="AF1910">
        <v>0.41399999999999998</v>
      </c>
      <c r="AG1910">
        <v>614</v>
      </c>
      <c r="AH1910" t="s">
        <v>49</v>
      </c>
      <c r="AI1910">
        <v>0.61299999999999999</v>
      </c>
      <c r="AJ1910" t="s">
        <v>1153</v>
      </c>
    </row>
    <row r="1911" spans="1:36" x14ac:dyDescent="0.25">
      <c r="A1911" t="s">
        <v>523</v>
      </c>
      <c r="B1911">
        <v>851650236</v>
      </c>
      <c r="C1911" t="s">
        <v>524</v>
      </c>
      <c r="D1911" t="s">
        <v>524</v>
      </c>
      <c r="E1911" t="s">
        <v>99</v>
      </c>
      <c r="F1911" t="s">
        <v>525</v>
      </c>
      <c r="I1911" t="s">
        <v>39</v>
      </c>
      <c r="J1911" t="s">
        <v>40</v>
      </c>
      <c r="K1911" t="s">
        <v>41</v>
      </c>
      <c r="L1911" t="s">
        <v>151</v>
      </c>
      <c r="M1911" t="s">
        <v>419</v>
      </c>
      <c r="N1911" t="s">
        <v>43</v>
      </c>
      <c r="O1911" t="s">
        <v>283</v>
      </c>
      <c r="P1911">
        <v>280</v>
      </c>
      <c r="Q1911">
        <v>280</v>
      </c>
      <c r="R1911">
        <v>51</v>
      </c>
      <c r="S1911" t="s">
        <v>45</v>
      </c>
      <c r="T1911">
        <v>0.05</v>
      </c>
      <c r="U1911">
        <v>137</v>
      </c>
      <c r="V1911" t="s">
        <v>55</v>
      </c>
      <c r="W1911">
        <v>0.13600000000000001</v>
      </c>
      <c r="X1911">
        <v>6001</v>
      </c>
      <c r="Y1911" t="s">
        <v>47</v>
      </c>
      <c r="Z1911">
        <v>6</v>
      </c>
      <c r="AA1911">
        <v>216</v>
      </c>
      <c r="AB1911" t="s">
        <v>47</v>
      </c>
      <c r="AC1911">
        <v>0.215</v>
      </c>
      <c r="AD1911">
        <v>415</v>
      </c>
      <c r="AE1911" t="s">
        <v>56</v>
      </c>
      <c r="AF1911">
        <v>0.41399999999999998</v>
      </c>
      <c r="AG1911">
        <v>614</v>
      </c>
      <c r="AH1911" t="s">
        <v>49</v>
      </c>
      <c r="AI1911">
        <v>0.61299999999999999</v>
      </c>
      <c r="AJ1911" t="s">
        <v>1154</v>
      </c>
    </row>
    <row r="1912" spans="1:36" x14ac:dyDescent="0.25">
      <c r="A1912" t="s">
        <v>523</v>
      </c>
      <c r="B1912">
        <v>851650236</v>
      </c>
      <c r="C1912" t="s">
        <v>524</v>
      </c>
      <c r="D1912" t="s">
        <v>524</v>
      </c>
      <c r="E1912" t="s">
        <v>60</v>
      </c>
      <c r="F1912" t="s">
        <v>525</v>
      </c>
      <c r="I1912" t="s">
        <v>39</v>
      </c>
      <c r="J1912" t="s">
        <v>40</v>
      </c>
      <c r="K1912" t="s">
        <v>41</v>
      </c>
      <c r="L1912" t="s">
        <v>151</v>
      </c>
      <c r="M1912" t="s">
        <v>419</v>
      </c>
      <c r="N1912" t="s">
        <v>43</v>
      </c>
      <c r="O1912" t="s">
        <v>283</v>
      </c>
      <c r="P1912">
        <v>280</v>
      </c>
      <c r="Q1912">
        <v>280</v>
      </c>
      <c r="R1912">
        <v>51</v>
      </c>
      <c r="S1912" t="s">
        <v>45</v>
      </c>
      <c r="T1912">
        <v>0.05</v>
      </c>
      <c r="U1912">
        <v>137</v>
      </c>
      <c r="V1912" t="s">
        <v>55</v>
      </c>
      <c r="W1912">
        <v>0.13600000000000001</v>
      </c>
      <c r="X1912">
        <v>6001</v>
      </c>
      <c r="Y1912" t="s">
        <v>47</v>
      </c>
      <c r="Z1912">
        <v>6</v>
      </c>
      <c r="AA1912">
        <v>216</v>
      </c>
      <c r="AB1912" t="s">
        <v>47</v>
      </c>
      <c r="AC1912">
        <v>0.215</v>
      </c>
      <c r="AD1912">
        <v>415</v>
      </c>
      <c r="AE1912" t="s">
        <v>56</v>
      </c>
      <c r="AF1912">
        <v>0.41399999999999998</v>
      </c>
      <c r="AG1912">
        <v>614</v>
      </c>
      <c r="AH1912" t="s">
        <v>49</v>
      </c>
      <c r="AI1912">
        <v>0.61299999999999999</v>
      </c>
      <c r="AJ1912" t="s">
        <v>1154</v>
      </c>
    </row>
    <row r="1913" spans="1:36" x14ac:dyDescent="0.25">
      <c r="A1913" t="s">
        <v>523</v>
      </c>
      <c r="B1913">
        <v>851650236</v>
      </c>
      <c r="C1913" t="s">
        <v>524</v>
      </c>
      <c r="D1913" t="s">
        <v>524</v>
      </c>
      <c r="E1913" t="s">
        <v>99</v>
      </c>
      <c r="F1913" t="s">
        <v>525</v>
      </c>
      <c r="I1913" t="s">
        <v>39</v>
      </c>
      <c r="J1913" t="s">
        <v>40</v>
      </c>
      <c r="K1913" t="s">
        <v>41</v>
      </c>
      <c r="L1913" t="s">
        <v>151</v>
      </c>
      <c r="M1913" t="s">
        <v>419</v>
      </c>
      <c r="N1913" t="s">
        <v>43</v>
      </c>
      <c r="O1913" t="s">
        <v>283</v>
      </c>
      <c r="P1913">
        <v>280</v>
      </c>
      <c r="Q1913">
        <v>280</v>
      </c>
      <c r="S1913" t="s">
        <v>39</v>
      </c>
      <c r="V1913" t="s">
        <v>39</v>
      </c>
      <c r="X1913">
        <v>6001</v>
      </c>
      <c r="Y1913" t="s">
        <v>47</v>
      </c>
      <c r="Z1913">
        <v>6</v>
      </c>
      <c r="AA1913">
        <v>216</v>
      </c>
      <c r="AB1913" t="s">
        <v>47</v>
      </c>
      <c r="AC1913">
        <v>0.215</v>
      </c>
      <c r="AD1913">
        <v>415</v>
      </c>
      <c r="AE1913" t="s">
        <v>56</v>
      </c>
      <c r="AF1913">
        <v>0.41399999999999998</v>
      </c>
      <c r="AG1913">
        <v>614</v>
      </c>
      <c r="AH1913" t="s">
        <v>49</v>
      </c>
      <c r="AI1913">
        <v>0.61299999999999999</v>
      </c>
      <c r="AJ1913" t="s">
        <v>1155</v>
      </c>
    </row>
    <row r="1914" spans="1:36" x14ac:dyDescent="0.25">
      <c r="A1914" t="s">
        <v>523</v>
      </c>
      <c r="B1914">
        <v>851650236</v>
      </c>
      <c r="C1914" t="s">
        <v>524</v>
      </c>
      <c r="D1914" t="s">
        <v>524</v>
      </c>
      <c r="E1914" t="s">
        <v>60</v>
      </c>
      <c r="F1914" t="s">
        <v>525</v>
      </c>
      <c r="I1914" t="s">
        <v>39</v>
      </c>
      <c r="J1914" t="s">
        <v>40</v>
      </c>
      <c r="K1914" t="s">
        <v>41</v>
      </c>
      <c r="L1914" t="s">
        <v>151</v>
      </c>
      <c r="M1914" t="s">
        <v>419</v>
      </c>
      <c r="N1914" t="s">
        <v>43</v>
      </c>
      <c r="O1914" t="s">
        <v>283</v>
      </c>
      <c r="P1914">
        <v>280</v>
      </c>
      <c r="Q1914">
        <v>280</v>
      </c>
      <c r="S1914" t="s">
        <v>39</v>
      </c>
      <c r="V1914" t="s">
        <v>39</v>
      </c>
      <c r="X1914">
        <v>6001</v>
      </c>
      <c r="Y1914" t="s">
        <v>47</v>
      </c>
      <c r="Z1914">
        <v>6</v>
      </c>
      <c r="AA1914">
        <v>216</v>
      </c>
      <c r="AB1914" t="s">
        <v>47</v>
      </c>
      <c r="AC1914">
        <v>0.215</v>
      </c>
      <c r="AD1914">
        <v>415</v>
      </c>
      <c r="AE1914" t="s">
        <v>56</v>
      </c>
      <c r="AF1914">
        <v>0.41399999999999998</v>
      </c>
      <c r="AG1914">
        <v>614</v>
      </c>
      <c r="AH1914" t="s">
        <v>49</v>
      </c>
      <c r="AI1914">
        <v>0.61299999999999999</v>
      </c>
      <c r="AJ1914" t="s">
        <v>1155</v>
      </c>
    </row>
    <row r="1915" spans="1:36" x14ac:dyDescent="0.25">
      <c r="A1915" t="s">
        <v>526</v>
      </c>
      <c r="B1915">
        <v>852414775</v>
      </c>
      <c r="C1915" t="s">
        <v>527</v>
      </c>
      <c r="D1915" t="s">
        <v>527</v>
      </c>
      <c r="E1915" t="s">
        <v>37</v>
      </c>
      <c r="F1915" t="s">
        <v>38</v>
      </c>
      <c r="I1915" t="s">
        <v>39</v>
      </c>
      <c r="J1915" t="s">
        <v>40</v>
      </c>
      <c r="K1915" t="s">
        <v>41</v>
      </c>
      <c r="L1915" t="s">
        <v>177</v>
      </c>
      <c r="M1915" t="s">
        <v>528</v>
      </c>
      <c r="N1915" t="s">
        <v>43</v>
      </c>
      <c r="O1915" t="s">
        <v>287</v>
      </c>
      <c r="P1915">
        <v>280</v>
      </c>
      <c r="Q1915">
        <v>280</v>
      </c>
      <c r="R1915">
        <v>1</v>
      </c>
      <c r="S1915" t="s">
        <v>45</v>
      </c>
      <c r="T1915">
        <v>0</v>
      </c>
      <c r="U1915">
        <v>884</v>
      </c>
      <c r="V1915" t="s">
        <v>113</v>
      </c>
      <c r="W1915">
        <v>0.88300000000000001</v>
      </c>
      <c r="X1915">
        <v>21001</v>
      </c>
      <c r="Y1915" t="s">
        <v>47</v>
      </c>
      <c r="Z1915">
        <v>21</v>
      </c>
      <c r="AA1915">
        <v>669</v>
      </c>
      <c r="AB1915" t="s">
        <v>75</v>
      </c>
      <c r="AC1915">
        <v>0.66800000000000004</v>
      </c>
      <c r="AD1915">
        <v>741</v>
      </c>
      <c r="AE1915" t="s">
        <v>48</v>
      </c>
      <c r="AF1915">
        <v>0.74</v>
      </c>
      <c r="AG1915">
        <v>809</v>
      </c>
      <c r="AH1915" t="s">
        <v>49</v>
      </c>
      <c r="AI1915">
        <v>0.80800000000000005</v>
      </c>
      <c r="AJ1915" t="s">
        <v>50</v>
      </c>
    </row>
    <row r="1916" spans="1:36" x14ac:dyDescent="0.25">
      <c r="A1916" t="s">
        <v>526</v>
      </c>
      <c r="B1916">
        <v>852414775</v>
      </c>
      <c r="C1916" t="s">
        <v>527</v>
      </c>
      <c r="D1916" t="s">
        <v>527</v>
      </c>
      <c r="E1916" t="s">
        <v>37</v>
      </c>
      <c r="F1916" t="s">
        <v>38</v>
      </c>
      <c r="I1916" t="s">
        <v>39</v>
      </c>
      <c r="J1916" t="s">
        <v>40</v>
      </c>
      <c r="K1916" t="s">
        <v>41</v>
      </c>
      <c r="L1916" t="s">
        <v>177</v>
      </c>
      <c r="M1916" t="s">
        <v>528</v>
      </c>
      <c r="N1916" t="s">
        <v>43</v>
      </c>
      <c r="O1916" t="s">
        <v>287</v>
      </c>
      <c r="P1916">
        <v>280</v>
      </c>
      <c r="Q1916">
        <v>280</v>
      </c>
      <c r="R1916">
        <v>1</v>
      </c>
      <c r="S1916" t="s">
        <v>45</v>
      </c>
      <c r="T1916">
        <v>0</v>
      </c>
      <c r="U1916">
        <v>598</v>
      </c>
      <c r="V1916" t="s">
        <v>113</v>
      </c>
      <c r="W1916">
        <v>0.59699999999999998</v>
      </c>
      <c r="X1916">
        <v>21001</v>
      </c>
      <c r="Y1916" t="s">
        <v>47</v>
      </c>
      <c r="Z1916">
        <v>21</v>
      </c>
      <c r="AA1916">
        <v>669</v>
      </c>
      <c r="AB1916" t="s">
        <v>75</v>
      </c>
      <c r="AC1916">
        <v>0.66800000000000004</v>
      </c>
      <c r="AD1916">
        <v>741</v>
      </c>
      <c r="AE1916" t="s">
        <v>48</v>
      </c>
      <c r="AF1916">
        <v>0.74</v>
      </c>
      <c r="AG1916">
        <v>809</v>
      </c>
      <c r="AH1916" t="s">
        <v>49</v>
      </c>
      <c r="AI1916">
        <v>0.80800000000000005</v>
      </c>
      <c r="AJ1916" t="s">
        <v>1141</v>
      </c>
    </row>
    <row r="1917" spans="1:36" x14ac:dyDescent="0.25">
      <c r="A1917" t="s">
        <v>526</v>
      </c>
      <c r="B1917">
        <v>852414775</v>
      </c>
      <c r="C1917" t="s">
        <v>527</v>
      </c>
      <c r="D1917" t="s">
        <v>527</v>
      </c>
      <c r="E1917" t="s">
        <v>37</v>
      </c>
      <c r="F1917" t="s">
        <v>38</v>
      </c>
      <c r="I1917" t="s">
        <v>39</v>
      </c>
      <c r="J1917" t="s">
        <v>40</v>
      </c>
      <c r="K1917" t="s">
        <v>41</v>
      </c>
      <c r="L1917" t="s">
        <v>177</v>
      </c>
      <c r="M1917" t="s">
        <v>528</v>
      </c>
      <c r="N1917" t="s">
        <v>43</v>
      </c>
      <c r="O1917" t="s">
        <v>287</v>
      </c>
      <c r="P1917">
        <v>280</v>
      </c>
      <c r="Q1917">
        <v>280</v>
      </c>
      <c r="R1917">
        <v>1</v>
      </c>
      <c r="S1917" t="s">
        <v>45</v>
      </c>
      <c r="T1917">
        <v>0</v>
      </c>
      <c r="U1917">
        <v>884</v>
      </c>
      <c r="V1917" t="s">
        <v>113</v>
      </c>
      <c r="W1917">
        <v>0.88300000000000001</v>
      </c>
      <c r="X1917">
        <v>21001</v>
      </c>
      <c r="Y1917" t="s">
        <v>47</v>
      </c>
      <c r="Z1917">
        <v>21</v>
      </c>
      <c r="AA1917">
        <v>669</v>
      </c>
      <c r="AB1917" t="s">
        <v>75</v>
      </c>
      <c r="AC1917">
        <v>0.66800000000000004</v>
      </c>
      <c r="AD1917">
        <v>741</v>
      </c>
      <c r="AE1917" t="s">
        <v>48</v>
      </c>
      <c r="AF1917">
        <v>0.74</v>
      </c>
      <c r="AG1917">
        <v>809</v>
      </c>
      <c r="AH1917" t="s">
        <v>49</v>
      </c>
      <c r="AI1917">
        <v>0.80800000000000005</v>
      </c>
      <c r="AJ1917" t="s">
        <v>1153</v>
      </c>
    </row>
    <row r="1918" spans="1:36" x14ac:dyDescent="0.25">
      <c r="A1918" t="s">
        <v>526</v>
      </c>
      <c r="B1918">
        <v>852414775</v>
      </c>
      <c r="C1918" t="s">
        <v>527</v>
      </c>
      <c r="D1918" t="s">
        <v>527</v>
      </c>
      <c r="E1918" t="s">
        <v>37</v>
      </c>
      <c r="F1918" t="s">
        <v>38</v>
      </c>
      <c r="I1918" t="s">
        <v>39</v>
      </c>
      <c r="J1918" t="s">
        <v>40</v>
      </c>
      <c r="K1918" t="s">
        <v>41</v>
      </c>
      <c r="L1918" t="s">
        <v>177</v>
      </c>
      <c r="M1918" t="s">
        <v>528</v>
      </c>
      <c r="N1918" t="s">
        <v>43</v>
      </c>
      <c r="O1918" t="s">
        <v>287</v>
      </c>
      <c r="P1918">
        <v>280</v>
      </c>
      <c r="Q1918">
        <v>280</v>
      </c>
      <c r="R1918">
        <v>1</v>
      </c>
      <c r="S1918" t="s">
        <v>45</v>
      </c>
      <c r="T1918">
        <v>0</v>
      </c>
      <c r="U1918">
        <v>884</v>
      </c>
      <c r="V1918" t="s">
        <v>113</v>
      </c>
      <c r="W1918">
        <v>0.88300000000000001</v>
      </c>
      <c r="X1918">
        <v>21001</v>
      </c>
      <c r="Y1918" t="s">
        <v>47</v>
      </c>
      <c r="Z1918">
        <v>21</v>
      </c>
      <c r="AA1918">
        <v>669</v>
      </c>
      <c r="AB1918" t="s">
        <v>75</v>
      </c>
      <c r="AC1918">
        <v>0.66800000000000004</v>
      </c>
      <c r="AD1918">
        <v>741</v>
      </c>
      <c r="AE1918" t="s">
        <v>48</v>
      </c>
      <c r="AF1918">
        <v>0.74</v>
      </c>
      <c r="AG1918">
        <v>809</v>
      </c>
      <c r="AH1918" t="s">
        <v>49</v>
      </c>
      <c r="AI1918">
        <v>0.80800000000000005</v>
      </c>
      <c r="AJ1918" t="s">
        <v>1154</v>
      </c>
    </row>
    <row r="1919" spans="1:36" x14ac:dyDescent="0.25">
      <c r="A1919" t="s">
        <v>526</v>
      </c>
      <c r="B1919">
        <v>852414775</v>
      </c>
      <c r="C1919" t="s">
        <v>527</v>
      </c>
      <c r="D1919" t="s">
        <v>527</v>
      </c>
      <c r="E1919" t="s">
        <v>37</v>
      </c>
      <c r="F1919" t="s">
        <v>38</v>
      </c>
      <c r="I1919" t="s">
        <v>39</v>
      </c>
      <c r="J1919" t="s">
        <v>40</v>
      </c>
      <c r="K1919" t="s">
        <v>41</v>
      </c>
      <c r="L1919" t="s">
        <v>177</v>
      </c>
      <c r="M1919" t="s">
        <v>528</v>
      </c>
      <c r="N1919" t="s">
        <v>43</v>
      </c>
      <c r="O1919" t="s">
        <v>287</v>
      </c>
      <c r="P1919">
        <v>280</v>
      </c>
      <c r="Q1919">
        <v>280</v>
      </c>
      <c r="S1919" t="s">
        <v>39</v>
      </c>
      <c r="V1919" t="s">
        <v>39</v>
      </c>
      <c r="X1919">
        <v>21001</v>
      </c>
      <c r="Y1919" t="s">
        <v>47</v>
      </c>
      <c r="Z1919">
        <v>21</v>
      </c>
      <c r="AA1919">
        <v>669</v>
      </c>
      <c r="AB1919" t="s">
        <v>75</v>
      </c>
      <c r="AC1919">
        <v>0.66800000000000004</v>
      </c>
      <c r="AD1919">
        <v>741</v>
      </c>
      <c r="AE1919" t="s">
        <v>48</v>
      </c>
      <c r="AF1919">
        <v>0.74</v>
      </c>
      <c r="AG1919">
        <v>809</v>
      </c>
      <c r="AH1919" t="s">
        <v>49</v>
      </c>
      <c r="AI1919">
        <v>0.80800000000000005</v>
      </c>
      <c r="AJ1919" t="s">
        <v>1155</v>
      </c>
    </row>
    <row r="1920" spans="1:36" x14ac:dyDescent="0.25">
      <c r="A1920" t="s">
        <v>521</v>
      </c>
      <c r="B1920">
        <v>855795469</v>
      </c>
      <c r="C1920" t="s">
        <v>522</v>
      </c>
      <c r="D1920" t="s">
        <v>522</v>
      </c>
      <c r="E1920" t="s">
        <v>60</v>
      </c>
      <c r="F1920" t="s">
        <v>191</v>
      </c>
      <c r="I1920" t="s">
        <v>39</v>
      </c>
      <c r="J1920" t="s">
        <v>40</v>
      </c>
      <c r="K1920" t="s">
        <v>41</v>
      </c>
      <c r="L1920" t="s">
        <v>137</v>
      </c>
      <c r="M1920" t="s">
        <v>216</v>
      </c>
      <c r="N1920" t="s">
        <v>43</v>
      </c>
      <c r="O1920" t="s">
        <v>194</v>
      </c>
      <c r="P1920">
        <v>281</v>
      </c>
      <c r="Q1920">
        <v>281</v>
      </c>
      <c r="R1920">
        <v>251</v>
      </c>
      <c r="S1920" t="s">
        <v>56</v>
      </c>
      <c r="T1920">
        <v>0.25</v>
      </c>
      <c r="U1920">
        <v>19</v>
      </c>
      <c r="V1920" t="s">
        <v>55</v>
      </c>
      <c r="W1920">
        <v>1.7999999999999999E-2</v>
      </c>
      <c r="X1920">
        <v>1001</v>
      </c>
      <c r="Y1920" t="s">
        <v>47</v>
      </c>
      <c r="Z1920">
        <v>1</v>
      </c>
      <c r="AA1920">
        <v>250</v>
      </c>
      <c r="AB1920" t="s">
        <v>47</v>
      </c>
      <c r="AC1920">
        <v>0.249</v>
      </c>
      <c r="AD1920">
        <v>537</v>
      </c>
      <c r="AE1920" t="s">
        <v>48</v>
      </c>
      <c r="AF1920">
        <v>0.53600000000000003</v>
      </c>
      <c r="AG1920">
        <v>303</v>
      </c>
      <c r="AH1920" t="s">
        <v>57</v>
      </c>
      <c r="AI1920">
        <v>0.30199999999999999</v>
      </c>
      <c r="AJ1920" t="s">
        <v>50</v>
      </c>
    </row>
    <row r="1921" spans="1:36" x14ac:dyDescent="0.25">
      <c r="A1921" t="s">
        <v>521</v>
      </c>
      <c r="B1921">
        <v>855795469</v>
      </c>
      <c r="C1921" t="s">
        <v>522</v>
      </c>
      <c r="D1921" t="s">
        <v>522</v>
      </c>
      <c r="E1921" t="s">
        <v>60</v>
      </c>
      <c r="F1921" t="s">
        <v>191</v>
      </c>
      <c r="I1921" t="s">
        <v>39</v>
      </c>
      <c r="J1921" t="s">
        <v>40</v>
      </c>
      <c r="K1921" t="s">
        <v>41</v>
      </c>
      <c r="L1921" t="s">
        <v>137</v>
      </c>
      <c r="M1921" t="s">
        <v>216</v>
      </c>
      <c r="N1921" t="s">
        <v>43</v>
      </c>
      <c r="O1921" t="s">
        <v>194</v>
      </c>
      <c r="P1921">
        <v>281</v>
      </c>
      <c r="Q1921">
        <v>281</v>
      </c>
      <c r="R1921">
        <v>551</v>
      </c>
      <c r="S1921" t="s">
        <v>56</v>
      </c>
      <c r="T1921">
        <v>0.55000000000000004</v>
      </c>
      <c r="U1921">
        <v>2</v>
      </c>
      <c r="V1921" t="s">
        <v>55</v>
      </c>
      <c r="W1921">
        <v>1E-3</v>
      </c>
      <c r="X1921">
        <v>1001</v>
      </c>
      <c r="Y1921" t="s">
        <v>47</v>
      </c>
      <c r="Z1921">
        <v>1</v>
      </c>
      <c r="AA1921">
        <v>250</v>
      </c>
      <c r="AB1921" t="s">
        <v>47</v>
      </c>
      <c r="AC1921">
        <v>0.249</v>
      </c>
      <c r="AD1921">
        <v>537</v>
      </c>
      <c r="AE1921" t="s">
        <v>48</v>
      </c>
      <c r="AF1921">
        <v>0.53600000000000003</v>
      </c>
      <c r="AG1921">
        <v>303</v>
      </c>
      <c r="AH1921" t="s">
        <v>57</v>
      </c>
      <c r="AI1921">
        <v>0.30199999999999999</v>
      </c>
      <c r="AJ1921" t="s">
        <v>1141</v>
      </c>
    </row>
    <row r="1922" spans="1:36" x14ac:dyDescent="0.25">
      <c r="A1922" t="s">
        <v>521</v>
      </c>
      <c r="B1922">
        <v>855795469</v>
      </c>
      <c r="C1922" t="s">
        <v>522</v>
      </c>
      <c r="D1922" t="s">
        <v>522</v>
      </c>
      <c r="E1922" t="s">
        <v>60</v>
      </c>
      <c r="F1922" t="s">
        <v>191</v>
      </c>
      <c r="I1922" t="s">
        <v>39</v>
      </c>
      <c r="J1922" t="s">
        <v>40</v>
      </c>
      <c r="K1922" t="s">
        <v>41</v>
      </c>
      <c r="L1922" t="s">
        <v>137</v>
      </c>
      <c r="M1922" t="s">
        <v>216</v>
      </c>
      <c r="N1922" t="s">
        <v>43</v>
      </c>
      <c r="O1922" t="s">
        <v>194</v>
      </c>
      <c r="P1922">
        <v>281</v>
      </c>
      <c r="Q1922">
        <v>281</v>
      </c>
      <c r="R1922">
        <v>251</v>
      </c>
      <c r="S1922" t="s">
        <v>56</v>
      </c>
      <c r="T1922">
        <v>0.25</v>
      </c>
      <c r="U1922">
        <v>19</v>
      </c>
      <c r="V1922" t="s">
        <v>55</v>
      </c>
      <c r="W1922">
        <v>1.7999999999999999E-2</v>
      </c>
      <c r="X1922">
        <v>1001</v>
      </c>
      <c r="Y1922" t="s">
        <v>47</v>
      </c>
      <c r="Z1922">
        <v>1</v>
      </c>
      <c r="AA1922">
        <v>250</v>
      </c>
      <c r="AB1922" t="s">
        <v>47</v>
      </c>
      <c r="AC1922">
        <v>0.249</v>
      </c>
      <c r="AD1922">
        <v>537</v>
      </c>
      <c r="AE1922" t="s">
        <v>48</v>
      </c>
      <c r="AF1922">
        <v>0.53600000000000003</v>
      </c>
      <c r="AG1922">
        <v>303</v>
      </c>
      <c r="AH1922" t="s">
        <v>57</v>
      </c>
      <c r="AI1922">
        <v>0.30199999999999999</v>
      </c>
      <c r="AJ1922" t="s">
        <v>1153</v>
      </c>
    </row>
    <row r="1923" spans="1:36" x14ac:dyDescent="0.25">
      <c r="A1923" t="s">
        <v>521</v>
      </c>
      <c r="B1923">
        <v>855795469</v>
      </c>
      <c r="C1923" t="s">
        <v>522</v>
      </c>
      <c r="D1923" t="s">
        <v>522</v>
      </c>
      <c r="E1923" t="s">
        <v>60</v>
      </c>
      <c r="F1923" t="s">
        <v>191</v>
      </c>
      <c r="I1923" t="s">
        <v>39</v>
      </c>
      <c r="J1923" t="s">
        <v>40</v>
      </c>
      <c r="K1923" t="s">
        <v>41</v>
      </c>
      <c r="L1923" t="s">
        <v>137</v>
      </c>
      <c r="M1923" t="s">
        <v>216</v>
      </c>
      <c r="N1923" t="s">
        <v>43</v>
      </c>
      <c r="O1923" t="s">
        <v>194</v>
      </c>
      <c r="P1923">
        <v>281</v>
      </c>
      <c r="Q1923">
        <v>281</v>
      </c>
      <c r="R1923">
        <v>251</v>
      </c>
      <c r="S1923" t="s">
        <v>56</v>
      </c>
      <c r="T1923">
        <v>0.25</v>
      </c>
      <c r="U1923">
        <v>19</v>
      </c>
      <c r="V1923" t="s">
        <v>55</v>
      </c>
      <c r="W1923">
        <v>1.7999999999999999E-2</v>
      </c>
      <c r="X1923">
        <v>1001</v>
      </c>
      <c r="Y1923" t="s">
        <v>47</v>
      </c>
      <c r="Z1923">
        <v>1</v>
      </c>
      <c r="AA1923">
        <v>250</v>
      </c>
      <c r="AB1923" t="s">
        <v>47</v>
      </c>
      <c r="AC1923">
        <v>0.249</v>
      </c>
      <c r="AD1923">
        <v>537</v>
      </c>
      <c r="AE1923" t="s">
        <v>48</v>
      </c>
      <c r="AF1923">
        <v>0.53600000000000003</v>
      </c>
      <c r="AG1923">
        <v>303</v>
      </c>
      <c r="AH1923" t="s">
        <v>57</v>
      </c>
      <c r="AI1923">
        <v>0.30199999999999999</v>
      </c>
      <c r="AJ1923" t="s">
        <v>1154</v>
      </c>
    </row>
    <row r="1924" spans="1:36" x14ac:dyDescent="0.25">
      <c r="A1924" t="s">
        <v>521</v>
      </c>
      <c r="B1924">
        <v>855795469</v>
      </c>
      <c r="C1924" t="s">
        <v>522</v>
      </c>
      <c r="D1924" t="s">
        <v>522</v>
      </c>
      <c r="E1924" t="s">
        <v>60</v>
      </c>
      <c r="F1924" t="s">
        <v>191</v>
      </c>
      <c r="I1924" t="s">
        <v>39</v>
      </c>
      <c r="J1924" t="s">
        <v>40</v>
      </c>
      <c r="K1924" t="s">
        <v>41</v>
      </c>
      <c r="L1924" t="s">
        <v>137</v>
      </c>
      <c r="M1924" t="s">
        <v>216</v>
      </c>
      <c r="N1924" t="s">
        <v>43</v>
      </c>
      <c r="O1924" t="s">
        <v>194</v>
      </c>
      <c r="P1924">
        <v>281</v>
      </c>
      <c r="Q1924">
        <v>281</v>
      </c>
      <c r="S1924" t="s">
        <v>39</v>
      </c>
      <c r="V1924" t="s">
        <v>39</v>
      </c>
      <c r="X1924">
        <v>1001</v>
      </c>
      <c r="Y1924" t="s">
        <v>47</v>
      </c>
      <c r="Z1924">
        <v>1</v>
      </c>
      <c r="AA1924">
        <v>250</v>
      </c>
      <c r="AB1924" t="s">
        <v>47</v>
      </c>
      <c r="AC1924">
        <v>0.249</v>
      </c>
      <c r="AD1924">
        <v>537</v>
      </c>
      <c r="AE1924" t="s">
        <v>48</v>
      </c>
      <c r="AF1924">
        <v>0.53600000000000003</v>
      </c>
      <c r="AG1924">
        <v>303</v>
      </c>
      <c r="AH1924" t="s">
        <v>57</v>
      </c>
      <c r="AI1924">
        <v>0.30199999999999999</v>
      </c>
      <c r="AJ1924" t="s">
        <v>1155</v>
      </c>
    </row>
    <row r="1925" spans="1:36" x14ac:dyDescent="0.25">
      <c r="A1925" t="s">
        <v>519</v>
      </c>
      <c r="B1925">
        <v>853369108</v>
      </c>
      <c r="C1925" t="s">
        <v>520</v>
      </c>
      <c r="D1925" t="s">
        <v>520</v>
      </c>
      <c r="E1925" t="s">
        <v>60</v>
      </c>
      <c r="F1925" t="s">
        <v>88</v>
      </c>
      <c r="I1925" t="s">
        <v>39</v>
      </c>
      <c r="J1925" t="s">
        <v>40</v>
      </c>
      <c r="K1925" t="s">
        <v>41</v>
      </c>
      <c r="L1925" t="s">
        <v>101</v>
      </c>
      <c r="M1925" t="s">
        <v>73</v>
      </c>
      <c r="N1925" t="s">
        <v>43</v>
      </c>
      <c r="O1925" t="s">
        <v>253</v>
      </c>
      <c r="P1925">
        <v>282</v>
      </c>
      <c r="Q1925">
        <v>282</v>
      </c>
      <c r="R1925">
        <v>11</v>
      </c>
      <c r="S1925" t="s">
        <v>45</v>
      </c>
      <c r="T1925">
        <v>0.01</v>
      </c>
      <c r="U1925">
        <v>923</v>
      </c>
      <c r="V1925" t="s">
        <v>46</v>
      </c>
      <c r="W1925">
        <v>0.92200000000000004</v>
      </c>
      <c r="X1925">
        <v>22001</v>
      </c>
      <c r="Y1925" t="s">
        <v>47</v>
      </c>
      <c r="Z1925">
        <v>22</v>
      </c>
      <c r="AA1925">
        <v>506</v>
      </c>
      <c r="AB1925" t="s">
        <v>75</v>
      </c>
      <c r="AC1925">
        <v>0.505</v>
      </c>
      <c r="AD1925">
        <v>774</v>
      </c>
      <c r="AE1925" t="s">
        <v>48</v>
      </c>
      <c r="AF1925">
        <v>0.77300000000000002</v>
      </c>
      <c r="AG1925">
        <v>806</v>
      </c>
      <c r="AH1925" t="s">
        <v>49</v>
      </c>
      <c r="AI1925">
        <v>0.80500000000000005</v>
      </c>
      <c r="AJ1925" t="s">
        <v>50</v>
      </c>
    </row>
    <row r="1926" spans="1:36" x14ac:dyDescent="0.25">
      <c r="A1926" t="s">
        <v>519</v>
      </c>
      <c r="B1926">
        <v>853369108</v>
      </c>
      <c r="C1926" t="s">
        <v>520</v>
      </c>
      <c r="D1926" t="s">
        <v>520</v>
      </c>
      <c r="E1926" t="s">
        <v>60</v>
      </c>
      <c r="F1926" t="s">
        <v>88</v>
      </c>
      <c r="I1926" t="s">
        <v>39</v>
      </c>
      <c r="J1926" t="s">
        <v>40</v>
      </c>
      <c r="K1926" t="s">
        <v>41</v>
      </c>
      <c r="L1926" t="s">
        <v>101</v>
      </c>
      <c r="M1926" t="s">
        <v>73</v>
      </c>
      <c r="N1926" t="s">
        <v>43</v>
      </c>
      <c r="O1926" t="s">
        <v>253</v>
      </c>
      <c r="P1926">
        <v>282</v>
      </c>
      <c r="Q1926">
        <v>282</v>
      </c>
      <c r="R1926">
        <v>31</v>
      </c>
      <c r="S1926" t="s">
        <v>45</v>
      </c>
      <c r="T1926">
        <v>0.03</v>
      </c>
      <c r="U1926">
        <v>472</v>
      </c>
      <c r="V1926" t="s">
        <v>113</v>
      </c>
      <c r="W1926">
        <v>0.47099999999999997</v>
      </c>
      <c r="X1926">
        <v>22001</v>
      </c>
      <c r="Y1926" t="s">
        <v>47</v>
      </c>
      <c r="Z1926">
        <v>22</v>
      </c>
      <c r="AA1926">
        <v>506</v>
      </c>
      <c r="AB1926" t="s">
        <v>75</v>
      </c>
      <c r="AC1926">
        <v>0.505</v>
      </c>
      <c r="AD1926">
        <v>774</v>
      </c>
      <c r="AE1926" t="s">
        <v>48</v>
      </c>
      <c r="AF1926">
        <v>0.77300000000000002</v>
      </c>
      <c r="AG1926">
        <v>806</v>
      </c>
      <c r="AH1926" t="s">
        <v>49</v>
      </c>
      <c r="AI1926">
        <v>0.80500000000000005</v>
      </c>
      <c r="AJ1926" t="s">
        <v>1141</v>
      </c>
    </row>
    <row r="1927" spans="1:36" x14ac:dyDescent="0.25">
      <c r="A1927" t="s">
        <v>519</v>
      </c>
      <c r="B1927">
        <v>853369108</v>
      </c>
      <c r="C1927" t="s">
        <v>520</v>
      </c>
      <c r="D1927" t="s">
        <v>520</v>
      </c>
      <c r="E1927" t="s">
        <v>60</v>
      </c>
      <c r="F1927" t="s">
        <v>88</v>
      </c>
      <c r="I1927" t="s">
        <v>39</v>
      </c>
      <c r="J1927" t="s">
        <v>40</v>
      </c>
      <c r="K1927" t="s">
        <v>41</v>
      </c>
      <c r="L1927" t="s">
        <v>101</v>
      </c>
      <c r="M1927" t="s">
        <v>73</v>
      </c>
      <c r="N1927" t="s">
        <v>43</v>
      </c>
      <c r="O1927" t="s">
        <v>253</v>
      </c>
      <c r="P1927">
        <v>282</v>
      </c>
      <c r="Q1927">
        <v>282</v>
      </c>
      <c r="R1927">
        <v>11</v>
      </c>
      <c r="S1927" t="s">
        <v>45</v>
      </c>
      <c r="T1927">
        <v>0.01</v>
      </c>
      <c r="U1927">
        <v>923</v>
      </c>
      <c r="V1927" t="s">
        <v>46</v>
      </c>
      <c r="W1927">
        <v>0.92200000000000004</v>
      </c>
      <c r="X1927">
        <v>22001</v>
      </c>
      <c r="Y1927" t="s">
        <v>47</v>
      </c>
      <c r="Z1927">
        <v>22</v>
      </c>
      <c r="AA1927">
        <v>506</v>
      </c>
      <c r="AB1927" t="s">
        <v>75</v>
      </c>
      <c r="AC1927">
        <v>0.505</v>
      </c>
      <c r="AD1927">
        <v>774</v>
      </c>
      <c r="AE1927" t="s">
        <v>48</v>
      </c>
      <c r="AF1927">
        <v>0.77300000000000002</v>
      </c>
      <c r="AG1927">
        <v>806</v>
      </c>
      <c r="AH1927" t="s">
        <v>49</v>
      </c>
      <c r="AI1927">
        <v>0.80500000000000005</v>
      </c>
      <c r="AJ1927" t="s">
        <v>1153</v>
      </c>
    </row>
    <row r="1928" spans="1:36" x14ac:dyDescent="0.25">
      <c r="A1928" t="s">
        <v>519</v>
      </c>
      <c r="B1928">
        <v>853369108</v>
      </c>
      <c r="C1928" t="s">
        <v>520</v>
      </c>
      <c r="D1928" t="s">
        <v>520</v>
      </c>
      <c r="E1928" t="s">
        <v>60</v>
      </c>
      <c r="F1928" t="s">
        <v>88</v>
      </c>
      <c r="I1928" t="s">
        <v>39</v>
      </c>
      <c r="J1928" t="s">
        <v>40</v>
      </c>
      <c r="K1928" t="s">
        <v>41</v>
      </c>
      <c r="L1928" t="s">
        <v>101</v>
      </c>
      <c r="M1928" t="s">
        <v>73</v>
      </c>
      <c r="N1928" t="s">
        <v>43</v>
      </c>
      <c r="O1928" t="s">
        <v>253</v>
      </c>
      <c r="P1928">
        <v>282</v>
      </c>
      <c r="Q1928">
        <v>282</v>
      </c>
      <c r="R1928">
        <v>11</v>
      </c>
      <c r="S1928" t="s">
        <v>45</v>
      </c>
      <c r="T1928">
        <v>0.01</v>
      </c>
      <c r="U1928">
        <v>923</v>
      </c>
      <c r="V1928" t="s">
        <v>46</v>
      </c>
      <c r="W1928">
        <v>0.92200000000000004</v>
      </c>
      <c r="X1928">
        <v>22001</v>
      </c>
      <c r="Y1928" t="s">
        <v>47</v>
      </c>
      <c r="Z1928">
        <v>22</v>
      </c>
      <c r="AA1928">
        <v>506</v>
      </c>
      <c r="AB1928" t="s">
        <v>75</v>
      </c>
      <c r="AC1928">
        <v>0.505</v>
      </c>
      <c r="AD1928">
        <v>774</v>
      </c>
      <c r="AE1928" t="s">
        <v>48</v>
      </c>
      <c r="AF1928">
        <v>0.77300000000000002</v>
      </c>
      <c r="AG1928">
        <v>806</v>
      </c>
      <c r="AH1928" t="s">
        <v>49</v>
      </c>
      <c r="AI1928">
        <v>0.80500000000000005</v>
      </c>
      <c r="AJ1928" t="s">
        <v>1154</v>
      </c>
    </row>
    <row r="1929" spans="1:36" x14ac:dyDescent="0.25">
      <c r="A1929" t="s">
        <v>519</v>
      </c>
      <c r="B1929">
        <v>853369108</v>
      </c>
      <c r="C1929" t="s">
        <v>520</v>
      </c>
      <c r="D1929" t="s">
        <v>520</v>
      </c>
      <c r="E1929" t="s">
        <v>60</v>
      </c>
      <c r="F1929" t="s">
        <v>88</v>
      </c>
      <c r="I1929" t="s">
        <v>39</v>
      </c>
      <c r="J1929" t="s">
        <v>40</v>
      </c>
      <c r="K1929" t="s">
        <v>41</v>
      </c>
      <c r="L1929" t="s">
        <v>101</v>
      </c>
      <c r="M1929" t="s">
        <v>73</v>
      </c>
      <c r="N1929" t="s">
        <v>43</v>
      </c>
      <c r="O1929" t="s">
        <v>253</v>
      </c>
      <c r="P1929">
        <v>282</v>
      </c>
      <c r="Q1929">
        <v>282</v>
      </c>
      <c r="S1929" t="s">
        <v>39</v>
      </c>
      <c r="V1929" t="s">
        <v>39</v>
      </c>
      <c r="X1929">
        <v>22001</v>
      </c>
      <c r="Y1929" t="s">
        <v>47</v>
      </c>
      <c r="Z1929">
        <v>22</v>
      </c>
      <c r="AA1929">
        <v>506</v>
      </c>
      <c r="AB1929" t="s">
        <v>75</v>
      </c>
      <c r="AC1929">
        <v>0.505</v>
      </c>
      <c r="AD1929">
        <v>774</v>
      </c>
      <c r="AE1929" t="s">
        <v>48</v>
      </c>
      <c r="AF1929">
        <v>0.77300000000000002</v>
      </c>
      <c r="AG1929">
        <v>806</v>
      </c>
      <c r="AH1929" t="s">
        <v>49</v>
      </c>
      <c r="AI1929">
        <v>0.80500000000000005</v>
      </c>
      <c r="AJ1929" t="s">
        <v>1155</v>
      </c>
    </row>
    <row r="1930" spans="1:36" x14ac:dyDescent="0.25">
      <c r="A1930" t="s">
        <v>517</v>
      </c>
      <c r="B1930">
        <v>856508541</v>
      </c>
      <c r="C1930" t="s">
        <v>518</v>
      </c>
      <c r="D1930" t="s">
        <v>518</v>
      </c>
      <c r="E1930" t="s">
        <v>37</v>
      </c>
      <c r="F1930" t="s">
        <v>38</v>
      </c>
      <c r="I1930" t="s">
        <v>39</v>
      </c>
      <c r="J1930" t="s">
        <v>40</v>
      </c>
      <c r="K1930" t="s">
        <v>41</v>
      </c>
      <c r="L1930" t="s">
        <v>197</v>
      </c>
      <c r="M1930" t="s">
        <v>73</v>
      </c>
      <c r="N1930" t="s">
        <v>43</v>
      </c>
      <c r="O1930" t="s">
        <v>44</v>
      </c>
      <c r="P1930">
        <v>283</v>
      </c>
      <c r="Q1930">
        <v>283</v>
      </c>
      <c r="R1930">
        <v>1</v>
      </c>
      <c r="S1930" t="s">
        <v>45</v>
      </c>
      <c r="T1930">
        <v>0</v>
      </c>
      <c r="U1930">
        <v>999</v>
      </c>
      <c r="V1930" t="s">
        <v>46</v>
      </c>
      <c r="W1930">
        <v>0.998</v>
      </c>
      <c r="X1930">
        <v>22001</v>
      </c>
      <c r="Y1930" t="s">
        <v>47</v>
      </c>
      <c r="Z1930">
        <v>22</v>
      </c>
      <c r="AA1930">
        <v>628</v>
      </c>
      <c r="AB1930" t="s">
        <v>75</v>
      </c>
      <c r="AC1930">
        <v>0.627</v>
      </c>
      <c r="AD1930">
        <v>807</v>
      </c>
      <c r="AE1930" t="s">
        <v>48</v>
      </c>
      <c r="AF1930">
        <v>0.80600000000000005</v>
      </c>
      <c r="AG1930">
        <v>829</v>
      </c>
      <c r="AH1930" t="s">
        <v>49</v>
      </c>
      <c r="AI1930">
        <v>0.82799999999999996</v>
      </c>
      <c r="AJ1930" t="s">
        <v>50</v>
      </c>
    </row>
    <row r="1931" spans="1:36" x14ac:dyDescent="0.25">
      <c r="A1931" t="s">
        <v>517</v>
      </c>
      <c r="B1931">
        <v>856508541</v>
      </c>
      <c r="C1931" t="s">
        <v>518</v>
      </c>
      <c r="D1931" t="s">
        <v>518</v>
      </c>
      <c r="E1931" t="s">
        <v>37</v>
      </c>
      <c r="F1931" t="s">
        <v>38</v>
      </c>
      <c r="I1931" t="s">
        <v>39</v>
      </c>
      <c r="J1931" t="s">
        <v>40</v>
      </c>
      <c r="K1931" t="s">
        <v>41</v>
      </c>
      <c r="L1931" t="s">
        <v>197</v>
      </c>
      <c r="M1931" t="s">
        <v>73</v>
      </c>
      <c r="N1931" t="s">
        <v>43</v>
      </c>
      <c r="O1931" t="s">
        <v>44</v>
      </c>
      <c r="P1931">
        <v>283</v>
      </c>
      <c r="Q1931">
        <v>283</v>
      </c>
      <c r="R1931">
        <v>1</v>
      </c>
      <c r="S1931" t="s">
        <v>45</v>
      </c>
      <c r="T1931">
        <v>0</v>
      </c>
      <c r="U1931">
        <v>991</v>
      </c>
      <c r="V1931" t="s">
        <v>46</v>
      </c>
      <c r="W1931">
        <v>0.99</v>
      </c>
      <c r="X1931">
        <v>22001</v>
      </c>
      <c r="Y1931" t="s">
        <v>47</v>
      </c>
      <c r="Z1931">
        <v>22</v>
      </c>
      <c r="AA1931">
        <v>628</v>
      </c>
      <c r="AB1931" t="s">
        <v>75</v>
      </c>
      <c r="AC1931">
        <v>0.627</v>
      </c>
      <c r="AD1931">
        <v>807</v>
      </c>
      <c r="AE1931" t="s">
        <v>48</v>
      </c>
      <c r="AF1931">
        <v>0.80600000000000005</v>
      </c>
      <c r="AG1931">
        <v>829</v>
      </c>
      <c r="AH1931" t="s">
        <v>49</v>
      </c>
      <c r="AI1931">
        <v>0.82799999999999996</v>
      </c>
      <c r="AJ1931" t="s">
        <v>1141</v>
      </c>
    </row>
    <row r="1932" spans="1:36" x14ac:dyDescent="0.25">
      <c r="A1932" t="s">
        <v>517</v>
      </c>
      <c r="B1932">
        <v>856508541</v>
      </c>
      <c r="C1932" t="s">
        <v>518</v>
      </c>
      <c r="D1932" t="s">
        <v>518</v>
      </c>
      <c r="E1932" t="s">
        <v>37</v>
      </c>
      <c r="F1932" t="s">
        <v>38</v>
      </c>
      <c r="I1932" t="s">
        <v>39</v>
      </c>
      <c r="J1932" t="s">
        <v>40</v>
      </c>
      <c r="K1932" t="s">
        <v>41</v>
      </c>
      <c r="L1932" t="s">
        <v>197</v>
      </c>
      <c r="M1932" t="s">
        <v>73</v>
      </c>
      <c r="N1932" t="s">
        <v>43</v>
      </c>
      <c r="O1932" t="s">
        <v>44</v>
      </c>
      <c r="P1932">
        <v>283</v>
      </c>
      <c r="Q1932">
        <v>283</v>
      </c>
      <c r="R1932">
        <v>1</v>
      </c>
      <c r="S1932" t="s">
        <v>45</v>
      </c>
      <c r="T1932">
        <v>0</v>
      </c>
      <c r="U1932">
        <v>999</v>
      </c>
      <c r="V1932" t="s">
        <v>46</v>
      </c>
      <c r="W1932">
        <v>0.998</v>
      </c>
      <c r="X1932">
        <v>22001</v>
      </c>
      <c r="Y1932" t="s">
        <v>47</v>
      </c>
      <c r="Z1932">
        <v>22</v>
      </c>
      <c r="AA1932">
        <v>628</v>
      </c>
      <c r="AB1932" t="s">
        <v>75</v>
      </c>
      <c r="AC1932">
        <v>0.627</v>
      </c>
      <c r="AD1932">
        <v>807</v>
      </c>
      <c r="AE1932" t="s">
        <v>48</v>
      </c>
      <c r="AF1932">
        <v>0.80600000000000005</v>
      </c>
      <c r="AG1932">
        <v>829</v>
      </c>
      <c r="AH1932" t="s">
        <v>49</v>
      </c>
      <c r="AI1932">
        <v>0.82799999999999996</v>
      </c>
      <c r="AJ1932" t="s">
        <v>1153</v>
      </c>
    </row>
    <row r="1933" spans="1:36" x14ac:dyDescent="0.25">
      <c r="A1933" t="s">
        <v>517</v>
      </c>
      <c r="B1933">
        <v>856508541</v>
      </c>
      <c r="C1933" t="s">
        <v>518</v>
      </c>
      <c r="D1933" t="s">
        <v>518</v>
      </c>
      <c r="E1933" t="s">
        <v>37</v>
      </c>
      <c r="F1933" t="s">
        <v>38</v>
      </c>
      <c r="I1933" t="s">
        <v>39</v>
      </c>
      <c r="J1933" t="s">
        <v>40</v>
      </c>
      <c r="K1933" t="s">
        <v>41</v>
      </c>
      <c r="L1933" t="s">
        <v>197</v>
      </c>
      <c r="M1933" t="s">
        <v>73</v>
      </c>
      <c r="N1933" t="s">
        <v>43</v>
      </c>
      <c r="O1933" t="s">
        <v>44</v>
      </c>
      <c r="P1933">
        <v>283</v>
      </c>
      <c r="Q1933">
        <v>283</v>
      </c>
      <c r="R1933">
        <v>1</v>
      </c>
      <c r="S1933" t="s">
        <v>45</v>
      </c>
      <c r="T1933">
        <v>0</v>
      </c>
      <c r="U1933">
        <v>999</v>
      </c>
      <c r="V1933" t="s">
        <v>46</v>
      </c>
      <c r="W1933">
        <v>0.998</v>
      </c>
      <c r="X1933">
        <v>22001</v>
      </c>
      <c r="Y1933" t="s">
        <v>47</v>
      </c>
      <c r="Z1933">
        <v>22</v>
      </c>
      <c r="AA1933">
        <v>628</v>
      </c>
      <c r="AB1933" t="s">
        <v>75</v>
      </c>
      <c r="AC1933">
        <v>0.627</v>
      </c>
      <c r="AD1933">
        <v>807</v>
      </c>
      <c r="AE1933" t="s">
        <v>48</v>
      </c>
      <c r="AF1933">
        <v>0.80600000000000005</v>
      </c>
      <c r="AG1933">
        <v>829</v>
      </c>
      <c r="AH1933" t="s">
        <v>49</v>
      </c>
      <c r="AI1933">
        <v>0.82799999999999996</v>
      </c>
      <c r="AJ1933" t="s">
        <v>1154</v>
      </c>
    </row>
    <row r="1934" spans="1:36" x14ac:dyDescent="0.25">
      <c r="A1934" t="s">
        <v>517</v>
      </c>
      <c r="B1934">
        <v>856508541</v>
      </c>
      <c r="C1934" t="s">
        <v>518</v>
      </c>
      <c r="D1934" t="s">
        <v>518</v>
      </c>
      <c r="E1934" t="s">
        <v>37</v>
      </c>
      <c r="F1934" t="s">
        <v>38</v>
      </c>
      <c r="I1934" t="s">
        <v>39</v>
      </c>
      <c r="J1934" t="s">
        <v>40</v>
      </c>
      <c r="K1934" t="s">
        <v>41</v>
      </c>
      <c r="L1934" t="s">
        <v>197</v>
      </c>
      <c r="M1934" t="s">
        <v>73</v>
      </c>
      <c r="N1934" t="s">
        <v>43</v>
      </c>
      <c r="O1934" t="s">
        <v>44</v>
      </c>
      <c r="P1934">
        <v>283</v>
      </c>
      <c r="Q1934">
        <v>283</v>
      </c>
      <c r="S1934" t="s">
        <v>39</v>
      </c>
      <c r="V1934" t="s">
        <v>39</v>
      </c>
      <c r="X1934">
        <v>22001</v>
      </c>
      <c r="Y1934" t="s">
        <v>47</v>
      </c>
      <c r="Z1934">
        <v>22</v>
      </c>
      <c r="AA1934">
        <v>628</v>
      </c>
      <c r="AB1934" t="s">
        <v>75</v>
      </c>
      <c r="AC1934">
        <v>0.627</v>
      </c>
      <c r="AD1934">
        <v>807</v>
      </c>
      <c r="AE1934" t="s">
        <v>48</v>
      </c>
      <c r="AF1934">
        <v>0.80600000000000005</v>
      </c>
      <c r="AG1934">
        <v>829</v>
      </c>
      <c r="AH1934" t="s">
        <v>49</v>
      </c>
      <c r="AI1934">
        <v>0.82799999999999996</v>
      </c>
      <c r="AJ1934" t="s">
        <v>1155</v>
      </c>
    </row>
    <row r="1935" spans="1:36" x14ac:dyDescent="0.25">
      <c r="A1935" t="s">
        <v>515</v>
      </c>
      <c r="B1935">
        <v>886383441</v>
      </c>
      <c r="C1935" t="s">
        <v>516</v>
      </c>
      <c r="D1935" t="s">
        <v>516</v>
      </c>
      <c r="E1935" t="s">
        <v>65</v>
      </c>
      <c r="F1935" t="s">
        <v>93</v>
      </c>
      <c r="I1935" t="s">
        <v>39</v>
      </c>
      <c r="J1935" t="s">
        <v>40</v>
      </c>
      <c r="K1935" t="s">
        <v>41</v>
      </c>
      <c r="N1935" t="s">
        <v>43</v>
      </c>
      <c r="O1935" t="s">
        <v>307</v>
      </c>
      <c r="P1935">
        <v>284</v>
      </c>
      <c r="Q1935">
        <v>284</v>
      </c>
      <c r="R1935">
        <v>1</v>
      </c>
      <c r="S1935" t="s">
        <v>45</v>
      </c>
      <c r="T1935">
        <v>0</v>
      </c>
      <c r="U1935">
        <v>1000</v>
      </c>
      <c r="V1935" t="s">
        <v>46</v>
      </c>
      <c r="W1935">
        <v>0.999</v>
      </c>
      <c r="X1935">
        <v>23001</v>
      </c>
      <c r="Y1935" t="s">
        <v>47</v>
      </c>
      <c r="Z1935">
        <v>23</v>
      </c>
      <c r="AA1935">
        <v>567</v>
      </c>
      <c r="AB1935" t="s">
        <v>75</v>
      </c>
      <c r="AC1935">
        <v>0.56599999999999995</v>
      </c>
      <c r="AD1935">
        <v>823</v>
      </c>
      <c r="AE1935" t="s">
        <v>48</v>
      </c>
      <c r="AF1935">
        <v>0.82199999999999995</v>
      </c>
      <c r="AG1935">
        <v>961</v>
      </c>
      <c r="AH1935" t="s">
        <v>80</v>
      </c>
      <c r="AI1935">
        <v>0.96</v>
      </c>
      <c r="AJ1935" t="s">
        <v>50</v>
      </c>
    </row>
    <row r="1936" spans="1:36" x14ac:dyDescent="0.25">
      <c r="A1936" t="s">
        <v>515</v>
      </c>
      <c r="B1936">
        <v>886383441</v>
      </c>
      <c r="C1936" t="s">
        <v>516</v>
      </c>
      <c r="D1936" t="s">
        <v>516</v>
      </c>
      <c r="E1936" t="s">
        <v>65</v>
      </c>
      <c r="F1936" t="s">
        <v>93</v>
      </c>
      <c r="I1936" t="s">
        <v>39</v>
      </c>
      <c r="J1936" t="s">
        <v>40</v>
      </c>
      <c r="K1936" t="s">
        <v>41</v>
      </c>
      <c r="N1936" t="s">
        <v>43</v>
      </c>
      <c r="O1936" t="s">
        <v>307</v>
      </c>
      <c r="P1936">
        <v>284</v>
      </c>
      <c r="Q1936">
        <v>284</v>
      </c>
      <c r="R1936">
        <v>1</v>
      </c>
      <c r="S1936" t="s">
        <v>45</v>
      </c>
      <c r="T1936">
        <v>0</v>
      </c>
      <c r="U1936">
        <v>961</v>
      </c>
      <c r="V1936" t="s">
        <v>46</v>
      </c>
      <c r="W1936">
        <v>0.96</v>
      </c>
      <c r="X1936">
        <v>23001</v>
      </c>
      <c r="Y1936" t="s">
        <v>47</v>
      </c>
      <c r="Z1936">
        <v>23</v>
      </c>
      <c r="AA1936">
        <v>567</v>
      </c>
      <c r="AB1936" t="s">
        <v>75</v>
      </c>
      <c r="AC1936">
        <v>0.56599999999999995</v>
      </c>
      <c r="AD1936">
        <v>823</v>
      </c>
      <c r="AE1936" t="s">
        <v>48</v>
      </c>
      <c r="AF1936">
        <v>0.82199999999999995</v>
      </c>
      <c r="AG1936">
        <v>961</v>
      </c>
      <c r="AH1936" t="s">
        <v>80</v>
      </c>
      <c r="AI1936">
        <v>0.96</v>
      </c>
      <c r="AJ1936" t="s">
        <v>1141</v>
      </c>
    </row>
    <row r="1937" spans="1:36" x14ac:dyDescent="0.25">
      <c r="A1937" t="s">
        <v>515</v>
      </c>
      <c r="B1937">
        <v>886383441</v>
      </c>
      <c r="C1937" t="s">
        <v>516</v>
      </c>
      <c r="D1937" t="s">
        <v>516</v>
      </c>
      <c r="E1937" t="s">
        <v>65</v>
      </c>
      <c r="F1937" t="s">
        <v>93</v>
      </c>
      <c r="I1937" t="s">
        <v>39</v>
      </c>
      <c r="J1937" t="s">
        <v>40</v>
      </c>
      <c r="K1937" t="s">
        <v>41</v>
      </c>
      <c r="N1937" t="s">
        <v>43</v>
      </c>
      <c r="O1937" t="s">
        <v>307</v>
      </c>
      <c r="P1937">
        <v>284</v>
      </c>
      <c r="Q1937">
        <v>284</v>
      </c>
      <c r="R1937">
        <v>1</v>
      </c>
      <c r="S1937" t="s">
        <v>45</v>
      </c>
      <c r="T1937">
        <v>0</v>
      </c>
      <c r="U1937">
        <v>1000</v>
      </c>
      <c r="V1937" t="s">
        <v>46</v>
      </c>
      <c r="W1937">
        <v>0.999</v>
      </c>
      <c r="X1937">
        <v>23001</v>
      </c>
      <c r="Y1937" t="s">
        <v>47</v>
      </c>
      <c r="Z1937">
        <v>23</v>
      </c>
      <c r="AA1937">
        <v>567</v>
      </c>
      <c r="AB1937" t="s">
        <v>75</v>
      </c>
      <c r="AC1937">
        <v>0.56599999999999995</v>
      </c>
      <c r="AD1937">
        <v>823</v>
      </c>
      <c r="AE1937" t="s">
        <v>48</v>
      </c>
      <c r="AF1937">
        <v>0.82199999999999995</v>
      </c>
      <c r="AG1937">
        <v>961</v>
      </c>
      <c r="AH1937" t="s">
        <v>80</v>
      </c>
      <c r="AI1937">
        <v>0.96</v>
      </c>
      <c r="AJ1937" t="s">
        <v>1153</v>
      </c>
    </row>
    <row r="1938" spans="1:36" x14ac:dyDescent="0.25">
      <c r="A1938" t="s">
        <v>515</v>
      </c>
      <c r="B1938">
        <v>886383441</v>
      </c>
      <c r="C1938" t="s">
        <v>516</v>
      </c>
      <c r="D1938" t="s">
        <v>516</v>
      </c>
      <c r="E1938" t="s">
        <v>65</v>
      </c>
      <c r="F1938" t="s">
        <v>93</v>
      </c>
      <c r="I1938" t="s">
        <v>39</v>
      </c>
      <c r="J1938" t="s">
        <v>40</v>
      </c>
      <c r="K1938" t="s">
        <v>41</v>
      </c>
      <c r="N1938" t="s">
        <v>43</v>
      </c>
      <c r="O1938" t="s">
        <v>307</v>
      </c>
      <c r="P1938">
        <v>284</v>
      </c>
      <c r="Q1938">
        <v>284</v>
      </c>
      <c r="R1938">
        <v>1</v>
      </c>
      <c r="S1938" t="s">
        <v>45</v>
      </c>
      <c r="T1938">
        <v>0</v>
      </c>
      <c r="U1938">
        <v>1000</v>
      </c>
      <c r="V1938" t="s">
        <v>46</v>
      </c>
      <c r="W1938">
        <v>0.999</v>
      </c>
      <c r="X1938">
        <v>23001</v>
      </c>
      <c r="Y1938" t="s">
        <v>47</v>
      </c>
      <c r="Z1938">
        <v>23</v>
      </c>
      <c r="AA1938">
        <v>567</v>
      </c>
      <c r="AB1938" t="s">
        <v>75</v>
      </c>
      <c r="AC1938">
        <v>0.56599999999999995</v>
      </c>
      <c r="AD1938">
        <v>823</v>
      </c>
      <c r="AE1938" t="s">
        <v>48</v>
      </c>
      <c r="AF1938">
        <v>0.82199999999999995</v>
      </c>
      <c r="AG1938">
        <v>961</v>
      </c>
      <c r="AH1938" t="s">
        <v>80</v>
      </c>
      <c r="AI1938">
        <v>0.96</v>
      </c>
      <c r="AJ1938" t="s">
        <v>1154</v>
      </c>
    </row>
    <row r="1939" spans="1:36" x14ac:dyDescent="0.25">
      <c r="A1939" t="s">
        <v>515</v>
      </c>
      <c r="B1939">
        <v>886383441</v>
      </c>
      <c r="C1939" t="s">
        <v>516</v>
      </c>
      <c r="D1939" t="s">
        <v>516</v>
      </c>
      <c r="E1939" t="s">
        <v>65</v>
      </c>
      <c r="F1939" t="s">
        <v>93</v>
      </c>
      <c r="I1939" t="s">
        <v>39</v>
      </c>
      <c r="J1939" t="s">
        <v>40</v>
      </c>
      <c r="K1939" t="s">
        <v>41</v>
      </c>
      <c r="N1939" t="s">
        <v>43</v>
      </c>
      <c r="O1939" t="s">
        <v>307</v>
      </c>
      <c r="P1939">
        <v>284</v>
      </c>
      <c r="Q1939">
        <v>284</v>
      </c>
      <c r="S1939" t="s">
        <v>39</v>
      </c>
      <c r="V1939" t="s">
        <v>39</v>
      </c>
      <c r="X1939">
        <v>23001</v>
      </c>
      <c r="Y1939" t="s">
        <v>47</v>
      </c>
      <c r="Z1939">
        <v>23</v>
      </c>
      <c r="AA1939">
        <v>567</v>
      </c>
      <c r="AB1939" t="s">
        <v>75</v>
      </c>
      <c r="AC1939">
        <v>0.56599999999999995</v>
      </c>
      <c r="AD1939">
        <v>823</v>
      </c>
      <c r="AE1939" t="s">
        <v>48</v>
      </c>
      <c r="AF1939">
        <v>0.82199999999999995</v>
      </c>
      <c r="AG1939">
        <v>961</v>
      </c>
      <c r="AH1939" t="s">
        <v>80</v>
      </c>
      <c r="AI1939">
        <v>0.96</v>
      </c>
      <c r="AJ1939" t="s">
        <v>1155</v>
      </c>
    </row>
    <row r="1940" spans="1:36" x14ac:dyDescent="0.25">
      <c r="A1940" t="s">
        <v>513</v>
      </c>
      <c r="B1940">
        <v>852748948</v>
      </c>
      <c r="C1940" t="s">
        <v>514</v>
      </c>
      <c r="D1940" t="s">
        <v>514</v>
      </c>
      <c r="E1940" t="s">
        <v>37</v>
      </c>
      <c r="F1940" t="s">
        <v>71</v>
      </c>
      <c r="G1940" t="s">
        <v>37</v>
      </c>
      <c r="H1940">
        <v>1.9623199999999999E-4</v>
      </c>
      <c r="I1940" t="s">
        <v>268</v>
      </c>
      <c r="J1940" t="s">
        <v>40</v>
      </c>
      <c r="K1940" t="s">
        <v>41</v>
      </c>
      <c r="L1940" t="s">
        <v>151</v>
      </c>
      <c r="M1940" t="s">
        <v>47</v>
      </c>
      <c r="N1940" t="s">
        <v>43</v>
      </c>
      <c r="O1940" t="s">
        <v>459</v>
      </c>
      <c r="P1940">
        <v>286</v>
      </c>
      <c r="Q1940">
        <v>286</v>
      </c>
      <c r="R1940">
        <v>51</v>
      </c>
      <c r="S1940" t="s">
        <v>45</v>
      </c>
      <c r="T1940">
        <v>0.05</v>
      </c>
      <c r="U1940">
        <v>42</v>
      </c>
      <c r="V1940" t="s">
        <v>55</v>
      </c>
      <c r="W1940">
        <v>4.1000000000000002E-2</v>
      </c>
      <c r="X1940">
        <v>20001</v>
      </c>
      <c r="Y1940" t="s">
        <v>47</v>
      </c>
      <c r="Z1940">
        <v>20</v>
      </c>
      <c r="AA1940">
        <v>87</v>
      </c>
      <c r="AB1940" t="s">
        <v>47</v>
      </c>
      <c r="AC1940">
        <v>8.5999999999999993E-2</v>
      </c>
      <c r="AD1940">
        <v>445</v>
      </c>
      <c r="AE1940" t="s">
        <v>56</v>
      </c>
      <c r="AF1940">
        <v>0.44400000000000001</v>
      </c>
      <c r="AG1940">
        <v>388</v>
      </c>
      <c r="AH1940" t="s">
        <v>57</v>
      </c>
      <c r="AI1940">
        <v>0.38700000000000001</v>
      </c>
      <c r="AJ1940" t="s">
        <v>50</v>
      </c>
    </row>
    <row r="1941" spans="1:36" x14ac:dyDescent="0.25">
      <c r="A1941" t="s">
        <v>513</v>
      </c>
      <c r="B1941">
        <v>852748948</v>
      </c>
      <c r="C1941" t="s">
        <v>514</v>
      </c>
      <c r="D1941" t="s">
        <v>514</v>
      </c>
      <c r="E1941" t="s">
        <v>37</v>
      </c>
      <c r="F1941" t="s">
        <v>71</v>
      </c>
      <c r="G1941" t="s">
        <v>37</v>
      </c>
      <c r="H1941">
        <v>1.9623199999999999E-4</v>
      </c>
      <c r="I1941" t="s">
        <v>268</v>
      </c>
      <c r="J1941" t="s">
        <v>40</v>
      </c>
      <c r="K1941" t="s">
        <v>41</v>
      </c>
      <c r="L1941" t="s">
        <v>151</v>
      </c>
      <c r="M1941" t="s">
        <v>47</v>
      </c>
      <c r="N1941" t="s">
        <v>43</v>
      </c>
      <c r="O1941" t="s">
        <v>459</v>
      </c>
      <c r="P1941">
        <v>286</v>
      </c>
      <c r="Q1941">
        <v>286</v>
      </c>
      <c r="R1941">
        <v>61</v>
      </c>
      <c r="S1941" t="s">
        <v>56</v>
      </c>
      <c r="T1941">
        <v>0.06</v>
      </c>
      <c r="U1941">
        <v>6</v>
      </c>
      <c r="V1941" t="s">
        <v>55</v>
      </c>
      <c r="W1941">
        <v>5.0000000000000001E-3</v>
      </c>
      <c r="X1941">
        <v>20001</v>
      </c>
      <c r="Y1941" t="s">
        <v>47</v>
      </c>
      <c r="Z1941">
        <v>20</v>
      </c>
      <c r="AA1941">
        <v>87</v>
      </c>
      <c r="AB1941" t="s">
        <v>47</v>
      </c>
      <c r="AC1941">
        <v>8.5999999999999993E-2</v>
      </c>
      <c r="AD1941">
        <v>445</v>
      </c>
      <c r="AE1941" t="s">
        <v>56</v>
      </c>
      <c r="AF1941">
        <v>0.44400000000000001</v>
      </c>
      <c r="AG1941">
        <v>388</v>
      </c>
      <c r="AH1941" t="s">
        <v>57</v>
      </c>
      <c r="AI1941">
        <v>0.38700000000000001</v>
      </c>
      <c r="AJ1941" t="s">
        <v>1141</v>
      </c>
    </row>
    <row r="1942" spans="1:36" x14ac:dyDescent="0.25">
      <c r="A1942" t="s">
        <v>513</v>
      </c>
      <c r="B1942">
        <v>852748948</v>
      </c>
      <c r="C1942" t="s">
        <v>514</v>
      </c>
      <c r="D1942" t="s">
        <v>514</v>
      </c>
      <c r="E1942" t="s">
        <v>37</v>
      </c>
      <c r="F1942" t="s">
        <v>71</v>
      </c>
      <c r="G1942" t="s">
        <v>37</v>
      </c>
      <c r="H1942">
        <v>1.9623199999999999E-4</v>
      </c>
      <c r="I1942" t="s">
        <v>268</v>
      </c>
      <c r="J1942" t="s">
        <v>40</v>
      </c>
      <c r="K1942" t="s">
        <v>41</v>
      </c>
      <c r="L1942" t="s">
        <v>151</v>
      </c>
      <c r="M1942" t="s">
        <v>47</v>
      </c>
      <c r="N1942" t="s">
        <v>43</v>
      </c>
      <c r="O1942" t="s">
        <v>459</v>
      </c>
      <c r="P1942">
        <v>286</v>
      </c>
      <c r="Q1942">
        <v>286</v>
      </c>
      <c r="R1942">
        <v>51</v>
      </c>
      <c r="S1942" t="s">
        <v>45</v>
      </c>
      <c r="T1942">
        <v>0.05</v>
      </c>
      <c r="U1942">
        <v>42</v>
      </c>
      <c r="V1942" t="s">
        <v>55</v>
      </c>
      <c r="W1942">
        <v>4.1000000000000002E-2</v>
      </c>
      <c r="X1942">
        <v>20001</v>
      </c>
      <c r="Y1942" t="s">
        <v>47</v>
      </c>
      <c r="Z1942">
        <v>20</v>
      </c>
      <c r="AA1942">
        <v>87</v>
      </c>
      <c r="AB1942" t="s">
        <v>47</v>
      </c>
      <c r="AC1942">
        <v>8.5999999999999993E-2</v>
      </c>
      <c r="AD1942">
        <v>445</v>
      </c>
      <c r="AE1942" t="s">
        <v>56</v>
      </c>
      <c r="AF1942">
        <v>0.44400000000000001</v>
      </c>
      <c r="AG1942">
        <v>388</v>
      </c>
      <c r="AH1942" t="s">
        <v>57</v>
      </c>
      <c r="AI1942">
        <v>0.38700000000000001</v>
      </c>
      <c r="AJ1942" t="s">
        <v>1153</v>
      </c>
    </row>
    <row r="1943" spans="1:36" x14ac:dyDescent="0.25">
      <c r="A1943" t="s">
        <v>513</v>
      </c>
      <c r="B1943">
        <v>852748948</v>
      </c>
      <c r="C1943" t="s">
        <v>514</v>
      </c>
      <c r="D1943" t="s">
        <v>514</v>
      </c>
      <c r="E1943" t="s">
        <v>37</v>
      </c>
      <c r="F1943" t="s">
        <v>71</v>
      </c>
      <c r="G1943" t="s">
        <v>37</v>
      </c>
      <c r="H1943">
        <v>1.9623199999999999E-4</v>
      </c>
      <c r="I1943" t="s">
        <v>268</v>
      </c>
      <c r="J1943" t="s">
        <v>40</v>
      </c>
      <c r="K1943" t="s">
        <v>41</v>
      </c>
      <c r="L1943" t="s">
        <v>151</v>
      </c>
      <c r="M1943" t="s">
        <v>47</v>
      </c>
      <c r="N1943" t="s">
        <v>43</v>
      </c>
      <c r="O1943" t="s">
        <v>459</v>
      </c>
      <c r="P1943">
        <v>286</v>
      </c>
      <c r="Q1943">
        <v>286</v>
      </c>
      <c r="R1943">
        <v>51</v>
      </c>
      <c r="S1943" t="s">
        <v>45</v>
      </c>
      <c r="T1943">
        <v>0.05</v>
      </c>
      <c r="U1943">
        <v>42</v>
      </c>
      <c r="V1943" t="s">
        <v>55</v>
      </c>
      <c r="W1943">
        <v>4.1000000000000002E-2</v>
      </c>
      <c r="X1943">
        <v>20001</v>
      </c>
      <c r="Y1943" t="s">
        <v>47</v>
      </c>
      <c r="Z1943">
        <v>20</v>
      </c>
      <c r="AA1943">
        <v>87</v>
      </c>
      <c r="AB1943" t="s">
        <v>47</v>
      </c>
      <c r="AC1943">
        <v>8.5999999999999993E-2</v>
      </c>
      <c r="AD1943">
        <v>445</v>
      </c>
      <c r="AE1943" t="s">
        <v>56</v>
      </c>
      <c r="AF1943">
        <v>0.44400000000000001</v>
      </c>
      <c r="AG1943">
        <v>388</v>
      </c>
      <c r="AH1943" t="s">
        <v>57</v>
      </c>
      <c r="AI1943">
        <v>0.38700000000000001</v>
      </c>
      <c r="AJ1943" t="s">
        <v>1154</v>
      </c>
    </row>
    <row r="1944" spans="1:36" x14ac:dyDescent="0.25">
      <c r="A1944" t="s">
        <v>513</v>
      </c>
      <c r="B1944">
        <v>852748948</v>
      </c>
      <c r="C1944" t="s">
        <v>514</v>
      </c>
      <c r="D1944" t="s">
        <v>514</v>
      </c>
      <c r="E1944" t="s">
        <v>37</v>
      </c>
      <c r="F1944" t="s">
        <v>71</v>
      </c>
      <c r="G1944" t="s">
        <v>37</v>
      </c>
      <c r="H1944">
        <v>1.9623199999999999E-4</v>
      </c>
      <c r="I1944" t="s">
        <v>268</v>
      </c>
      <c r="J1944" t="s">
        <v>40</v>
      </c>
      <c r="K1944" t="s">
        <v>41</v>
      </c>
      <c r="L1944" t="s">
        <v>151</v>
      </c>
      <c r="M1944" t="s">
        <v>47</v>
      </c>
      <c r="N1944" t="s">
        <v>43</v>
      </c>
      <c r="O1944" t="s">
        <v>459</v>
      </c>
      <c r="P1944">
        <v>286</v>
      </c>
      <c r="Q1944">
        <v>286</v>
      </c>
      <c r="S1944" t="s">
        <v>39</v>
      </c>
      <c r="V1944" t="s">
        <v>39</v>
      </c>
      <c r="X1944">
        <v>20001</v>
      </c>
      <c r="Y1944" t="s">
        <v>47</v>
      </c>
      <c r="Z1944">
        <v>20</v>
      </c>
      <c r="AA1944">
        <v>87</v>
      </c>
      <c r="AB1944" t="s">
        <v>47</v>
      </c>
      <c r="AC1944">
        <v>8.5999999999999993E-2</v>
      </c>
      <c r="AD1944">
        <v>445</v>
      </c>
      <c r="AE1944" t="s">
        <v>56</v>
      </c>
      <c r="AF1944">
        <v>0.44400000000000001</v>
      </c>
      <c r="AG1944">
        <v>388</v>
      </c>
      <c r="AH1944" t="s">
        <v>57</v>
      </c>
      <c r="AI1944">
        <v>0.38700000000000001</v>
      </c>
      <c r="AJ1944" t="s">
        <v>1155</v>
      </c>
    </row>
    <row r="1945" spans="1:36" x14ac:dyDescent="0.25">
      <c r="A1945" t="s">
        <v>511</v>
      </c>
      <c r="B1945">
        <v>871390181</v>
      </c>
      <c r="C1945" t="s">
        <v>512</v>
      </c>
      <c r="D1945" t="s">
        <v>512</v>
      </c>
      <c r="E1945" t="s">
        <v>65</v>
      </c>
      <c r="F1945" t="s">
        <v>93</v>
      </c>
      <c r="I1945" t="s">
        <v>39</v>
      </c>
      <c r="J1945" t="s">
        <v>40</v>
      </c>
      <c r="K1945" t="s">
        <v>41</v>
      </c>
      <c r="L1945" t="s">
        <v>94</v>
      </c>
      <c r="M1945" t="s">
        <v>73</v>
      </c>
      <c r="N1945" t="s">
        <v>43</v>
      </c>
      <c r="O1945" t="s">
        <v>307</v>
      </c>
      <c r="P1945">
        <v>287</v>
      </c>
      <c r="Q1945">
        <v>287</v>
      </c>
      <c r="R1945">
        <v>1</v>
      </c>
      <c r="S1945" t="s">
        <v>45</v>
      </c>
      <c r="T1945">
        <v>0</v>
      </c>
      <c r="U1945">
        <v>1001</v>
      </c>
      <c r="V1945" t="s">
        <v>46</v>
      </c>
      <c r="W1945">
        <v>1</v>
      </c>
      <c r="X1945">
        <v>24001</v>
      </c>
      <c r="Y1945" t="s">
        <v>47</v>
      </c>
      <c r="Z1945">
        <v>24</v>
      </c>
      <c r="AA1945">
        <v>638</v>
      </c>
      <c r="AB1945" t="s">
        <v>75</v>
      </c>
      <c r="AC1945">
        <v>0.63700000000000001</v>
      </c>
      <c r="AD1945">
        <v>865</v>
      </c>
      <c r="AE1945" t="s">
        <v>48</v>
      </c>
      <c r="AF1945">
        <v>0.86399999999999999</v>
      </c>
      <c r="AG1945">
        <v>963</v>
      </c>
      <c r="AH1945" t="s">
        <v>80</v>
      </c>
      <c r="AI1945">
        <v>0.96199999999999997</v>
      </c>
      <c r="AJ1945" t="s">
        <v>50</v>
      </c>
    </row>
    <row r="1946" spans="1:36" x14ac:dyDescent="0.25">
      <c r="A1946" t="s">
        <v>511</v>
      </c>
      <c r="B1946">
        <v>871390181</v>
      </c>
      <c r="C1946" t="s">
        <v>512</v>
      </c>
      <c r="D1946" t="s">
        <v>512</v>
      </c>
      <c r="E1946" t="s">
        <v>65</v>
      </c>
      <c r="F1946" t="s">
        <v>93</v>
      </c>
      <c r="I1946" t="s">
        <v>39</v>
      </c>
      <c r="J1946" t="s">
        <v>40</v>
      </c>
      <c r="K1946" t="s">
        <v>41</v>
      </c>
      <c r="L1946" t="s">
        <v>94</v>
      </c>
      <c r="M1946" t="s">
        <v>73</v>
      </c>
      <c r="N1946" t="s">
        <v>43</v>
      </c>
      <c r="O1946" t="s">
        <v>307</v>
      </c>
      <c r="P1946">
        <v>287</v>
      </c>
      <c r="Q1946">
        <v>287</v>
      </c>
      <c r="R1946">
        <v>1</v>
      </c>
      <c r="S1946" t="s">
        <v>45</v>
      </c>
      <c r="T1946">
        <v>0</v>
      </c>
      <c r="U1946">
        <v>1000</v>
      </c>
      <c r="V1946" t="s">
        <v>46</v>
      </c>
      <c r="W1946">
        <v>0.999</v>
      </c>
      <c r="X1946">
        <v>24001</v>
      </c>
      <c r="Y1946" t="s">
        <v>47</v>
      </c>
      <c r="Z1946">
        <v>24</v>
      </c>
      <c r="AA1946">
        <v>638</v>
      </c>
      <c r="AB1946" t="s">
        <v>75</v>
      </c>
      <c r="AC1946">
        <v>0.63700000000000001</v>
      </c>
      <c r="AD1946">
        <v>865</v>
      </c>
      <c r="AE1946" t="s">
        <v>48</v>
      </c>
      <c r="AF1946">
        <v>0.86399999999999999</v>
      </c>
      <c r="AG1946">
        <v>963</v>
      </c>
      <c r="AH1946" t="s">
        <v>80</v>
      </c>
      <c r="AI1946">
        <v>0.96199999999999997</v>
      </c>
      <c r="AJ1946" t="s">
        <v>1141</v>
      </c>
    </row>
    <row r="1947" spans="1:36" x14ac:dyDescent="0.25">
      <c r="A1947" t="s">
        <v>511</v>
      </c>
      <c r="B1947">
        <v>871390181</v>
      </c>
      <c r="C1947" t="s">
        <v>512</v>
      </c>
      <c r="D1947" t="s">
        <v>512</v>
      </c>
      <c r="E1947" t="s">
        <v>65</v>
      </c>
      <c r="F1947" t="s">
        <v>93</v>
      </c>
      <c r="I1947" t="s">
        <v>39</v>
      </c>
      <c r="J1947" t="s">
        <v>40</v>
      </c>
      <c r="K1947" t="s">
        <v>41</v>
      </c>
      <c r="L1947" t="s">
        <v>94</v>
      </c>
      <c r="M1947" t="s">
        <v>73</v>
      </c>
      <c r="N1947" t="s">
        <v>43</v>
      </c>
      <c r="O1947" t="s">
        <v>307</v>
      </c>
      <c r="P1947">
        <v>287</v>
      </c>
      <c r="Q1947">
        <v>287</v>
      </c>
      <c r="R1947">
        <v>1</v>
      </c>
      <c r="S1947" t="s">
        <v>45</v>
      </c>
      <c r="T1947">
        <v>0</v>
      </c>
      <c r="U1947">
        <v>1001</v>
      </c>
      <c r="V1947" t="s">
        <v>46</v>
      </c>
      <c r="W1947">
        <v>1</v>
      </c>
      <c r="X1947">
        <v>24001</v>
      </c>
      <c r="Y1947" t="s">
        <v>47</v>
      </c>
      <c r="Z1947">
        <v>24</v>
      </c>
      <c r="AA1947">
        <v>638</v>
      </c>
      <c r="AB1947" t="s">
        <v>75</v>
      </c>
      <c r="AC1947">
        <v>0.63700000000000001</v>
      </c>
      <c r="AD1947">
        <v>865</v>
      </c>
      <c r="AE1947" t="s">
        <v>48</v>
      </c>
      <c r="AF1947">
        <v>0.86399999999999999</v>
      </c>
      <c r="AG1947">
        <v>963</v>
      </c>
      <c r="AH1947" t="s">
        <v>80</v>
      </c>
      <c r="AI1947">
        <v>0.96199999999999997</v>
      </c>
      <c r="AJ1947" t="s">
        <v>1153</v>
      </c>
    </row>
    <row r="1948" spans="1:36" x14ac:dyDescent="0.25">
      <c r="A1948" t="s">
        <v>511</v>
      </c>
      <c r="B1948">
        <v>871390181</v>
      </c>
      <c r="C1948" t="s">
        <v>512</v>
      </c>
      <c r="D1948" t="s">
        <v>512</v>
      </c>
      <c r="E1948" t="s">
        <v>65</v>
      </c>
      <c r="F1948" t="s">
        <v>93</v>
      </c>
      <c r="I1948" t="s">
        <v>39</v>
      </c>
      <c r="J1948" t="s">
        <v>40</v>
      </c>
      <c r="K1948" t="s">
        <v>41</v>
      </c>
      <c r="L1948" t="s">
        <v>94</v>
      </c>
      <c r="M1948" t="s">
        <v>73</v>
      </c>
      <c r="N1948" t="s">
        <v>43</v>
      </c>
      <c r="O1948" t="s">
        <v>307</v>
      </c>
      <c r="P1948">
        <v>287</v>
      </c>
      <c r="Q1948">
        <v>287</v>
      </c>
      <c r="R1948">
        <v>1</v>
      </c>
      <c r="S1948" t="s">
        <v>45</v>
      </c>
      <c r="T1948">
        <v>0</v>
      </c>
      <c r="U1948">
        <v>1001</v>
      </c>
      <c r="V1948" t="s">
        <v>46</v>
      </c>
      <c r="W1948">
        <v>1</v>
      </c>
      <c r="X1948">
        <v>24001</v>
      </c>
      <c r="Y1948" t="s">
        <v>47</v>
      </c>
      <c r="Z1948">
        <v>24</v>
      </c>
      <c r="AA1948">
        <v>638</v>
      </c>
      <c r="AB1948" t="s">
        <v>75</v>
      </c>
      <c r="AC1948">
        <v>0.63700000000000001</v>
      </c>
      <c r="AD1948">
        <v>865</v>
      </c>
      <c r="AE1948" t="s">
        <v>48</v>
      </c>
      <c r="AF1948">
        <v>0.86399999999999999</v>
      </c>
      <c r="AG1948">
        <v>963</v>
      </c>
      <c r="AH1948" t="s">
        <v>80</v>
      </c>
      <c r="AI1948">
        <v>0.96199999999999997</v>
      </c>
      <c r="AJ1948" t="s">
        <v>1154</v>
      </c>
    </row>
    <row r="1949" spans="1:36" x14ac:dyDescent="0.25">
      <c r="A1949" t="s">
        <v>511</v>
      </c>
      <c r="B1949">
        <v>871390181</v>
      </c>
      <c r="C1949" t="s">
        <v>512</v>
      </c>
      <c r="D1949" t="s">
        <v>512</v>
      </c>
      <c r="E1949" t="s">
        <v>65</v>
      </c>
      <c r="F1949" t="s">
        <v>93</v>
      </c>
      <c r="I1949" t="s">
        <v>39</v>
      </c>
      <c r="J1949" t="s">
        <v>40</v>
      </c>
      <c r="K1949" t="s">
        <v>41</v>
      </c>
      <c r="L1949" t="s">
        <v>94</v>
      </c>
      <c r="M1949" t="s">
        <v>73</v>
      </c>
      <c r="N1949" t="s">
        <v>43</v>
      </c>
      <c r="O1949" t="s">
        <v>307</v>
      </c>
      <c r="P1949">
        <v>287</v>
      </c>
      <c r="Q1949">
        <v>287</v>
      </c>
      <c r="S1949" t="s">
        <v>39</v>
      </c>
      <c r="V1949" t="s">
        <v>39</v>
      </c>
      <c r="X1949">
        <v>24001</v>
      </c>
      <c r="Y1949" t="s">
        <v>47</v>
      </c>
      <c r="Z1949">
        <v>24</v>
      </c>
      <c r="AA1949">
        <v>638</v>
      </c>
      <c r="AB1949" t="s">
        <v>75</v>
      </c>
      <c r="AC1949">
        <v>0.63700000000000001</v>
      </c>
      <c r="AD1949">
        <v>865</v>
      </c>
      <c r="AE1949" t="s">
        <v>48</v>
      </c>
      <c r="AF1949">
        <v>0.86399999999999999</v>
      </c>
      <c r="AG1949">
        <v>963</v>
      </c>
      <c r="AH1949" t="s">
        <v>80</v>
      </c>
      <c r="AI1949">
        <v>0.96199999999999997</v>
      </c>
      <c r="AJ1949" t="s">
        <v>1155</v>
      </c>
    </row>
    <row r="1950" spans="1:36" x14ac:dyDescent="0.25">
      <c r="A1950" t="s">
        <v>507</v>
      </c>
      <c r="B1950">
        <v>851632635</v>
      </c>
      <c r="C1950" t="s">
        <v>508</v>
      </c>
      <c r="D1950" t="s">
        <v>508</v>
      </c>
      <c r="E1950" t="s">
        <v>37</v>
      </c>
      <c r="F1950" t="s">
        <v>38</v>
      </c>
      <c r="I1950" t="s">
        <v>39</v>
      </c>
      <c r="J1950" t="s">
        <v>40</v>
      </c>
      <c r="K1950" t="s">
        <v>41</v>
      </c>
      <c r="L1950" t="s">
        <v>151</v>
      </c>
      <c r="M1950" t="s">
        <v>509</v>
      </c>
      <c r="N1950" t="s">
        <v>43</v>
      </c>
      <c r="O1950" t="s">
        <v>510</v>
      </c>
      <c r="P1950">
        <v>288</v>
      </c>
      <c r="Q1950">
        <v>288</v>
      </c>
      <c r="R1950">
        <v>1</v>
      </c>
      <c r="S1950" t="s">
        <v>45</v>
      </c>
      <c r="T1950">
        <v>0</v>
      </c>
      <c r="U1950">
        <v>991</v>
      </c>
      <c r="V1950" t="s">
        <v>46</v>
      </c>
      <c r="W1950">
        <v>0.99</v>
      </c>
      <c r="X1950">
        <v>33001</v>
      </c>
      <c r="Y1950" t="s">
        <v>345</v>
      </c>
      <c r="Z1950">
        <v>33</v>
      </c>
      <c r="AA1950">
        <v>693</v>
      </c>
      <c r="AB1950" t="s">
        <v>75</v>
      </c>
      <c r="AC1950">
        <v>0.69199999999999995</v>
      </c>
      <c r="AD1950">
        <v>285</v>
      </c>
      <c r="AE1950" t="s">
        <v>56</v>
      </c>
      <c r="AF1950">
        <v>0.28399999999999997</v>
      </c>
      <c r="AG1950">
        <v>938</v>
      </c>
      <c r="AH1950" t="s">
        <v>80</v>
      </c>
      <c r="AI1950">
        <v>0.93700000000000006</v>
      </c>
      <c r="AJ1950" t="s">
        <v>50</v>
      </c>
    </row>
    <row r="1951" spans="1:36" x14ac:dyDescent="0.25">
      <c r="A1951" t="s">
        <v>507</v>
      </c>
      <c r="B1951">
        <v>851632635</v>
      </c>
      <c r="C1951" t="s">
        <v>508</v>
      </c>
      <c r="D1951" t="s">
        <v>508</v>
      </c>
      <c r="E1951" t="s">
        <v>37</v>
      </c>
      <c r="F1951" t="s">
        <v>38</v>
      </c>
      <c r="I1951" t="s">
        <v>39</v>
      </c>
      <c r="J1951" t="s">
        <v>40</v>
      </c>
      <c r="K1951" t="s">
        <v>41</v>
      </c>
      <c r="L1951" t="s">
        <v>151</v>
      </c>
      <c r="M1951" t="s">
        <v>509</v>
      </c>
      <c r="N1951" t="s">
        <v>43</v>
      </c>
      <c r="O1951" t="s">
        <v>510</v>
      </c>
      <c r="P1951">
        <v>288</v>
      </c>
      <c r="Q1951">
        <v>288</v>
      </c>
      <c r="R1951">
        <v>1</v>
      </c>
      <c r="S1951" t="s">
        <v>45</v>
      </c>
      <c r="T1951">
        <v>0</v>
      </c>
      <c r="U1951">
        <v>906</v>
      </c>
      <c r="V1951" t="s">
        <v>113</v>
      </c>
      <c r="W1951">
        <v>0.90500000000000003</v>
      </c>
      <c r="X1951">
        <v>33001</v>
      </c>
      <c r="Y1951" t="s">
        <v>345</v>
      </c>
      <c r="Z1951">
        <v>33</v>
      </c>
      <c r="AA1951">
        <v>693</v>
      </c>
      <c r="AB1951" t="s">
        <v>75</v>
      </c>
      <c r="AC1951">
        <v>0.69199999999999995</v>
      </c>
      <c r="AD1951">
        <v>285</v>
      </c>
      <c r="AE1951" t="s">
        <v>56</v>
      </c>
      <c r="AF1951">
        <v>0.28399999999999997</v>
      </c>
      <c r="AG1951">
        <v>938</v>
      </c>
      <c r="AH1951" t="s">
        <v>80</v>
      </c>
      <c r="AI1951">
        <v>0.93700000000000006</v>
      </c>
      <c r="AJ1951" t="s">
        <v>1141</v>
      </c>
    </row>
    <row r="1952" spans="1:36" x14ac:dyDescent="0.25">
      <c r="A1952" t="s">
        <v>507</v>
      </c>
      <c r="B1952">
        <v>851632635</v>
      </c>
      <c r="C1952" t="s">
        <v>508</v>
      </c>
      <c r="D1952" t="s">
        <v>508</v>
      </c>
      <c r="E1952" t="s">
        <v>37</v>
      </c>
      <c r="F1952" t="s">
        <v>38</v>
      </c>
      <c r="I1952" t="s">
        <v>39</v>
      </c>
      <c r="J1952" t="s">
        <v>40</v>
      </c>
      <c r="K1952" t="s">
        <v>41</v>
      </c>
      <c r="L1952" t="s">
        <v>151</v>
      </c>
      <c r="M1952" t="s">
        <v>509</v>
      </c>
      <c r="N1952" t="s">
        <v>43</v>
      </c>
      <c r="O1952" t="s">
        <v>510</v>
      </c>
      <c r="P1952">
        <v>288</v>
      </c>
      <c r="Q1952">
        <v>288</v>
      </c>
      <c r="R1952">
        <v>1</v>
      </c>
      <c r="S1952" t="s">
        <v>45</v>
      </c>
      <c r="T1952">
        <v>0</v>
      </c>
      <c r="U1952">
        <v>991</v>
      </c>
      <c r="V1952" t="s">
        <v>46</v>
      </c>
      <c r="W1952">
        <v>0.99</v>
      </c>
      <c r="X1952">
        <v>33001</v>
      </c>
      <c r="Y1952" t="s">
        <v>345</v>
      </c>
      <c r="Z1952">
        <v>33</v>
      </c>
      <c r="AA1952">
        <v>693</v>
      </c>
      <c r="AB1952" t="s">
        <v>75</v>
      </c>
      <c r="AC1952">
        <v>0.69199999999999995</v>
      </c>
      <c r="AD1952">
        <v>285</v>
      </c>
      <c r="AE1952" t="s">
        <v>56</v>
      </c>
      <c r="AF1952">
        <v>0.28399999999999997</v>
      </c>
      <c r="AG1952">
        <v>938</v>
      </c>
      <c r="AH1952" t="s">
        <v>80</v>
      </c>
      <c r="AI1952">
        <v>0.93700000000000006</v>
      </c>
      <c r="AJ1952" t="s">
        <v>1153</v>
      </c>
    </row>
    <row r="1953" spans="1:36" x14ac:dyDescent="0.25">
      <c r="A1953" t="s">
        <v>507</v>
      </c>
      <c r="B1953">
        <v>851632635</v>
      </c>
      <c r="C1953" t="s">
        <v>508</v>
      </c>
      <c r="D1953" t="s">
        <v>508</v>
      </c>
      <c r="E1953" t="s">
        <v>37</v>
      </c>
      <c r="F1953" t="s">
        <v>38</v>
      </c>
      <c r="I1953" t="s">
        <v>39</v>
      </c>
      <c r="J1953" t="s">
        <v>40</v>
      </c>
      <c r="K1953" t="s">
        <v>41</v>
      </c>
      <c r="L1953" t="s">
        <v>151</v>
      </c>
      <c r="M1953" t="s">
        <v>509</v>
      </c>
      <c r="N1953" t="s">
        <v>43</v>
      </c>
      <c r="O1953" t="s">
        <v>510</v>
      </c>
      <c r="P1953">
        <v>288</v>
      </c>
      <c r="Q1953">
        <v>288</v>
      </c>
      <c r="R1953">
        <v>1</v>
      </c>
      <c r="S1953" t="s">
        <v>45</v>
      </c>
      <c r="T1953">
        <v>0</v>
      </c>
      <c r="U1953">
        <v>991</v>
      </c>
      <c r="V1953" t="s">
        <v>46</v>
      </c>
      <c r="W1953">
        <v>0.99</v>
      </c>
      <c r="X1953">
        <v>33001</v>
      </c>
      <c r="Y1953" t="s">
        <v>345</v>
      </c>
      <c r="Z1953">
        <v>33</v>
      </c>
      <c r="AA1953">
        <v>693</v>
      </c>
      <c r="AB1953" t="s">
        <v>75</v>
      </c>
      <c r="AC1953">
        <v>0.69199999999999995</v>
      </c>
      <c r="AD1953">
        <v>285</v>
      </c>
      <c r="AE1953" t="s">
        <v>56</v>
      </c>
      <c r="AF1953">
        <v>0.28399999999999997</v>
      </c>
      <c r="AG1953">
        <v>938</v>
      </c>
      <c r="AH1953" t="s">
        <v>80</v>
      </c>
      <c r="AI1953">
        <v>0.93700000000000006</v>
      </c>
      <c r="AJ1953" t="s">
        <v>1154</v>
      </c>
    </row>
    <row r="1954" spans="1:36" x14ac:dyDescent="0.25">
      <c r="A1954" t="s">
        <v>507</v>
      </c>
      <c r="B1954">
        <v>851632635</v>
      </c>
      <c r="C1954" t="s">
        <v>508</v>
      </c>
      <c r="D1954" t="s">
        <v>508</v>
      </c>
      <c r="E1954" t="s">
        <v>37</v>
      </c>
      <c r="F1954" t="s">
        <v>38</v>
      </c>
      <c r="I1954" t="s">
        <v>39</v>
      </c>
      <c r="J1954" t="s">
        <v>40</v>
      </c>
      <c r="K1954" t="s">
        <v>41</v>
      </c>
      <c r="L1954" t="s">
        <v>151</v>
      </c>
      <c r="M1954" t="s">
        <v>509</v>
      </c>
      <c r="N1954" t="s">
        <v>43</v>
      </c>
      <c r="O1954" t="s">
        <v>510</v>
      </c>
      <c r="P1954">
        <v>288</v>
      </c>
      <c r="Q1954">
        <v>288</v>
      </c>
      <c r="S1954" t="s">
        <v>39</v>
      </c>
      <c r="V1954" t="s">
        <v>39</v>
      </c>
      <c r="X1954">
        <v>33001</v>
      </c>
      <c r="Y1954" t="s">
        <v>345</v>
      </c>
      <c r="Z1954">
        <v>33</v>
      </c>
      <c r="AA1954">
        <v>693</v>
      </c>
      <c r="AB1954" t="s">
        <v>75</v>
      </c>
      <c r="AC1954">
        <v>0.69199999999999995</v>
      </c>
      <c r="AD1954">
        <v>285</v>
      </c>
      <c r="AE1954" t="s">
        <v>56</v>
      </c>
      <c r="AF1954">
        <v>0.28399999999999997</v>
      </c>
      <c r="AG1954">
        <v>938</v>
      </c>
      <c r="AH1954" t="s">
        <v>80</v>
      </c>
      <c r="AI1954">
        <v>0.93700000000000006</v>
      </c>
      <c r="AJ1954" t="s">
        <v>1155</v>
      </c>
    </row>
    <row r="1955" spans="1:36" x14ac:dyDescent="0.25">
      <c r="A1955" t="s">
        <v>504</v>
      </c>
      <c r="B1955">
        <v>855419138</v>
      </c>
      <c r="C1955" t="s">
        <v>505</v>
      </c>
      <c r="D1955" t="s">
        <v>505</v>
      </c>
      <c r="E1955" t="s">
        <v>65</v>
      </c>
      <c r="F1955" t="s">
        <v>66</v>
      </c>
      <c r="I1955" t="s">
        <v>39</v>
      </c>
      <c r="J1955" t="s">
        <v>40</v>
      </c>
      <c r="K1955" t="s">
        <v>41</v>
      </c>
      <c r="L1955" t="s">
        <v>118</v>
      </c>
      <c r="N1955" t="s">
        <v>43</v>
      </c>
      <c r="O1955" t="s">
        <v>506</v>
      </c>
      <c r="P1955">
        <v>289</v>
      </c>
      <c r="Q1955">
        <v>289</v>
      </c>
      <c r="R1955">
        <v>1</v>
      </c>
      <c r="S1955" t="s">
        <v>45</v>
      </c>
      <c r="T1955">
        <v>0</v>
      </c>
      <c r="U1955">
        <v>27</v>
      </c>
      <c r="V1955" t="s">
        <v>55</v>
      </c>
      <c r="W1955">
        <v>2.5999999999999999E-2</v>
      </c>
      <c r="X1955">
        <v>3001</v>
      </c>
      <c r="Y1955" t="s">
        <v>47</v>
      </c>
      <c r="Z1955">
        <v>3</v>
      </c>
      <c r="AA1955">
        <v>179</v>
      </c>
      <c r="AB1955" t="s">
        <v>47</v>
      </c>
      <c r="AC1955">
        <v>0.17799999999999999</v>
      </c>
      <c r="AD1955">
        <v>570</v>
      </c>
      <c r="AE1955" t="s">
        <v>48</v>
      </c>
      <c r="AF1955">
        <v>0.56899999999999995</v>
      </c>
      <c r="AG1955">
        <v>341</v>
      </c>
      <c r="AH1955" t="s">
        <v>57</v>
      </c>
      <c r="AI1955">
        <v>0.34</v>
      </c>
      <c r="AJ1955" t="s">
        <v>50</v>
      </c>
    </row>
    <row r="1956" spans="1:36" x14ac:dyDescent="0.25">
      <c r="A1956" t="s">
        <v>504</v>
      </c>
      <c r="B1956">
        <v>855419138</v>
      </c>
      <c r="C1956" t="s">
        <v>505</v>
      </c>
      <c r="D1956" t="s">
        <v>505</v>
      </c>
      <c r="E1956" t="s">
        <v>65</v>
      </c>
      <c r="F1956" t="s">
        <v>66</v>
      </c>
      <c r="I1956" t="s">
        <v>39</v>
      </c>
      <c r="J1956" t="s">
        <v>40</v>
      </c>
      <c r="K1956" t="s">
        <v>41</v>
      </c>
      <c r="L1956" t="s">
        <v>118</v>
      </c>
      <c r="N1956" t="s">
        <v>43</v>
      </c>
      <c r="O1956" t="s">
        <v>506</v>
      </c>
      <c r="P1956">
        <v>289</v>
      </c>
      <c r="Q1956">
        <v>289</v>
      </c>
      <c r="R1956">
        <v>11</v>
      </c>
      <c r="S1956" t="s">
        <v>45</v>
      </c>
      <c r="T1956">
        <v>0.01</v>
      </c>
      <c r="U1956">
        <v>6</v>
      </c>
      <c r="V1956" t="s">
        <v>55</v>
      </c>
      <c r="W1956">
        <v>5.0000000000000001E-3</v>
      </c>
      <c r="X1956">
        <v>3001</v>
      </c>
      <c r="Y1956" t="s">
        <v>47</v>
      </c>
      <c r="Z1956">
        <v>3</v>
      </c>
      <c r="AA1956">
        <v>179</v>
      </c>
      <c r="AB1956" t="s">
        <v>47</v>
      </c>
      <c r="AC1956">
        <v>0.17799999999999999</v>
      </c>
      <c r="AD1956">
        <v>570</v>
      </c>
      <c r="AE1956" t="s">
        <v>48</v>
      </c>
      <c r="AF1956">
        <v>0.56899999999999995</v>
      </c>
      <c r="AG1956">
        <v>341</v>
      </c>
      <c r="AH1956" t="s">
        <v>57</v>
      </c>
      <c r="AI1956">
        <v>0.34</v>
      </c>
      <c r="AJ1956" t="s">
        <v>1141</v>
      </c>
    </row>
    <row r="1957" spans="1:36" x14ac:dyDescent="0.25">
      <c r="A1957" t="s">
        <v>504</v>
      </c>
      <c r="B1957">
        <v>855419138</v>
      </c>
      <c r="C1957" t="s">
        <v>505</v>
      </c>
      <c r="D1957" t="s">
        <v>505</v>
      </c>
      <c r="E1957" t="s">
        <v>65</v>
      </c>
      <c r="F1957" t="s">
        <v>66</v>
      </c>
      <c r="I1957" t="s">
        <v>39</v>
      </c>
      <c r="J1957" t="s">
        <v>40</v>
      </c>
      <c r="K1957" t="s">
        <v>41</v>
      </c>
      <c r="L1957" t="s">
        <v>118</v>
      </c>
      <c r="N1957" t="s">
        <v>43</v>
      </c>
      <c r="O1957" t="s">
        <v>506</v>
      </c>
      <c r="P1957">
        <v>289</v>
      </c>
      <c r="Q1957">
        <v>289</v>
      </c>
      <c r="R1957">
        <v>1</v>
      </c>
      <c r="S1957" t="s">
        <v>45</v>
      </c>
      <c r="T1957">
        <v>0</v>
      </c>
      <c r="U1957">
        <v>27</v>
      </c>
      <c r="V1957" t="s">
        <v>55</v>
      </c>
      <c r="W1957">
        <v>2.5999999999999999E-2</v>
      </c>
      <c r="X1957">
        <v>3001</v>
      </c>
      <c r="Y1957" t="s">
        <v>47</v>
      </c>
      <c r="Z1957">
        <v>3</v>
      </c>
      <c r="AA1957">
        <v>179</v>
      </c>
      <c r="AB1957" t="s">
        <v>47</v>
      </c>
      <c r="AC1957">
        <v>0.17799999999999999</v>
      </c>
      <c r="AD1957">
        <v>570</v>
      </c>
      <c r="AE1957" t="s">
        <v>48</v>
      </c>
      <c r="AF1957">
        <v>0.56899999999999995</v>
      </c>
      <c r="AG1957">
        <v>341</v>
      </c>
      <c r="AH1957" t="s">
        <v>57</v>
      </c>
      <c r="AI1957">
        <v>0.34</v>
      </c>
      <c r="AJ1957" t="s">
        <v>1153</v>
      </c>
    </row>
    <row r="1958" spans="1:36" x14ac:dyDescent="0.25">
      <c r="A1958" t="s">
        <v>504</v>
      </c>
      <c r="B1958">
        <v>855419138</v>
      </c>
      <c r="C1958" t="s">
        <v>505</v>
      </c>
      <c r="D1958" t="s">
        <v>505</v>
      </c>
      <c r="E1958" t="s">
        <v>65</v>
      </c>
      <c r="F1958" t="s">
        <v>66</v>
      </c>
      <c r="I1958" t="s">
        <v>39</v>
      </c>
      <c r="J1958" t="s">
        <v>40</v>
      </c>
      <c r="K1958" t="s">
        <v>41</v>
      </c>
      <c r="L1958" t="s">
        <v>118</v>
      </c>
      <c r="N1958" t="s">
        <v>43</v>
      </c>
      <c r="O1958" t="s">
        <v>506</v>
      </c>
      <c r="P1958">
        <v>289</v>
      </c>
      <c r="Q1958">
        <v>289</v>
      </c>
      <c r="R1958">
        <v>1</v>
      </c>
      <c r="S1958" t="s">
        <v>45</v>
      </c>
      <c r="T1958">
        <v>0</v>
      </c>
      <c r="U1958">
        <v>27</v>
      </c>
      <c r="V1958" t="s">
        <v>55</v>
      </c>
      <c r="W1958">
        <v>2.5999999999999999E-2</v>
      </c>
      <c r="X1958">
        <v>3001</v>
      </c>
      <c r="Y1958" t="s">
        <v>47</v>
      </c>
      <c r="Z1958">
        <v>3</v>
      </c>
      <c r="AA1958">
        <v>179</v>
      </c>
      <c r="AB1958" t="s">
        <v>47</v>
      </c>
      <c r="AC1958">
        <v>0.17799999999999999</v>
      </c>
      <c r="AD1958">
        <v>570</v>
      </c>
      <c r="AE1958" t="s">
        <v>48</v>
      </c>
      <c r="AF1958">
        <v>0.56899999999999995</v>
      </c>
      <c r="AG1958">
        <v>341</v>
      </c>
      <c r="AH1958" t="s">
        <v>57</v>
      </c>
      <c r="AI1958">
        <v>0.34</v>
      </c>
      <c r="AJ1958" t="s">
        <v>1154</v>
      </c>
    </row>
    <row r="1959" spans="1:36" x14ac:dyDescent="0.25">
      <c r="A1959" t="s">
        <v>504</v>
      </c>
      <c r="B1959">
        <v>855419138</v>
      </c>
      <c r="C1959" t="s">
        <v>505</v>
      </c>
      <c r="D1959" t="s">
        <v>505</v>
      </c>
      <c r="E1959" t="s">
        <v>65</v>
      </c>
      <c r="F1959" t="s">
        <v>66</v>
      </c>
      <c r="I1959" t="s">
        <v>39</v>
      </c>
      <c r="J1959" t="s">
        <v>40</v>
      </c>
      <c r="K1959" t="s">
        <v>41</v>
      </c>
      <c r="L1959" t="s">
        <v>118</v>
      </c>
      <c r="N1959" t="s">
        <v>43</v>
      </c>
      <c r="O1959" t="s">
        <v>506</v>
      </c>
      <c r="P1959">
        <v>289</v>
      </c>
      <c r="Q1959">
        <v>289</v>
      </c>
      <c r="S1959" t="s">
        <v>39</v>
      </c>
      <c r="V1959" t="s">
        <v>39</v>
      </c>
      <c r="X1959">
        <v>3001</v>
      </c>
      <c r="Y1959" t="s">
        <v>47</v>
      </c>
      <c r="Z1959">
        <v>3</v>
      </c>
      <c r="AA1959">
        <v>179</v>
      </c>
      <c r="AB1959" t="s">
        <v>47</v>
      </c>
      <c r="AC1959">
        <v>0.17799999999999999</v>
      </c>
      <c r="AD1959">
        <v>570</v>
      </c>
      <c r="AE1959" t="s">
        <v>48</v>
      </c>
      <c r="AF1959">
        <v>0.56899999999999995</v>
      </c>
      <c r="AG1959">
        <v>341</v>
      </c>
      <c r="AH1959" t="s">
        <v>57</v>
      </c>
      <c r="AI1959">
        <v>0.34</v>
      </c>
      <c r="AJ1959" t="s">
        <v>1155</v>
      </c>
    </row>
    <row r="1960" spans="1:36" x14ac:dyDescent="0.25">
      <c r="A1960" t="s">
        <v>502</v>
      </c>
      <c r="B1960">
        <v>871157270</v>
      </c>
      <c r="C1960" t="s">
        <v>503</v>
      </c>
      <c r="D1960" t="s">
        <v>503</v>
      </c>
      <c r="E1960" t="s">
        <v>37</v>
      </c>
      <c r="F1960" t="s">
        <v>71</v>
      </c>
      <c r="I1960" t="s">
        <v>39</v>
      </c>
      <c r="J1960" t="s">
        <v>40</v>
      </c>
      <c r="K1960" t="s">
        <v>41</v>
      </c>
      <c r="L1960" t="s">
        <v>89</v>
      </c>
      <c r="N1960" t="s">
        <v>43</v>
      </c>
      <c r="O1960" t="s">
        <v>236</v>
      </c>
      <c r="P1960">
        <v>291</v>
      </c>
      <c r="Q1960">
        <v>291</v>
      </c>
      <c r="R1960">
        <v>11</v>
      </c>
      <c r="S1960" t="s">
        <v>45</v>
      </c>
      <c r="T1960">
        <v>0.01</v>
      </c>
      <c r="U1960">
        <v>994</v>
      </c>
      <c r="V1960" t="s">
        <v>46</v>
      </c>
      <c r="W1960">
        <v>0.99299999999999999</v>
      </c>
      <c r="X1960">
        <v>20001</v>
      </c>
      <c r="Y1960" t="s">
        <v>47</v>
      </c>
      <c r="Z1960">
        <v>20</v>
      </c>
      <c r="AA1960">
        <v>377</v>
      </c>
      <c r="AB1960" t="s">
        <v>47</v>
      </c>
      <c r="AC1960">
        <v>0.376</v>
      </c>
      <c r="AD1960">
        <v>923</v>
      </c>
      <c r="AE1960" t="s">
        <v>48</v>
      </c>
      <c r="AF1960">
        <v>0.92200000000000004</v>
      </c>
      <c r="AG1960">
        <v>916</v>
      </c>
      <c r="AH1960" t="s">
        <v>49</v>
      </c>
      <c r="AI1960">
        <v>0.91500000000000004</v>
      </c>
      <c r="AJ1960" t="s">
        <v>50</v>
      </c>
    </row>
    <row r="1961" spans="1:36" x14ac:dyDescent="0.25">
      <c r="A1961" t="s">
        <v>502</v>
      </c>
      <c r="B1961">
        <v>871157270</v>
      </c>
      <c r="C1961" t="s">
        <v>503</v>
      </c>
      <c r="D1961" t="s">
        <v>503</v>
      </c>
      <c r="E1961" t="s">
        <v>37</v>
      </c>
      <c r="F1961" t="s">
        <v>71</v>
      </c>
      <c r="I1961" t="s">
        <v>39</v>
      </c>
      <c r="J1961" t="s">
        <v>40</v>
      </c>
      <c r="K1961" t="s">
        <v>41</v>
      </c>
      <c r="L1961" t="s">
        <v>89</v>
      </c>
      <c r="N1961" t="s">
        <v>43</v>
      </c>
      <c r="O1961" t="s">
        <v>236</v>
      </c>
      <c r="P1961">
        <v>291</v>
      </c>
      <c r="Q1961">
        <v>291</v>
      </c>
      <c r="R1961">
        <v>21</v>
      </c>
      <c r="S1961" t="s">
        <v>45</v>
      </c>
      <c r="T1961">
        <v>0.02</v>
      </c>
      <c r="U1961">
        <v>971</v>
      </c>
      <c r="V1961" t="s">
        <v>46</v>
      </c>
      <c r="W1961">
        <v>0.97</v>
      </c>
      <c r="X1961">
        <v>20001</v>
      </c>
      <c r="Y1961" t="s">
        <v>47</v>
      </c>
      <c r="Z1961">
        <v>20</v>
      </c>
      <c r="AA1961">
        <v>377</v>
      </c>
      <c r="AB1961" t="s">
        <v>47</v>
      </c>
      <c r="AC1961">
        <v>0.376</v>
      </c>
      <c r="AD1961">
        <v>923</v>
      </c>
      <c r="AE1961" t="s">
        <v>48</v>
      </c>
      <c r="AF1961">
        <v>0.92200000000000004</v>
      </c>
      <c r="AG1961">
        <v>916</v>
      </c>
      <c r="AH1961" t="s">
        <v>49</v>
      </c>
      <c r="AI1961">
        <v>0.91500000000000004</v>
      </c>
      <c r="AJ1961" t="s">
        <v>1141</v>
      </c>
    </row>
    <row r="1962" spans="1:36" x14ac:dyDescent="0.25">
      <c r="A1962" t="s">
        <v>502</v>
      </c>
      <c r="B1962">
        <v>871157270</v>
      </c>
      <c r="C1962" t="s">
        <v>503</v>
      </c>
      <c r="D1962" t="s">
        <v>503</v>
      </c>
      <c r="E1962" t="s">
        <v>37</v>
      </c>
      <c r="F1962" t="s">
        <v>71</v>
      </c>
      <c r="I1962" t="s">
        <v>39</v>
      </c>
      <c r="J1962" t="s">
        <v>40</v>
      </c>
      <c r="K1962" t="s">
        <v>41</v>
      </c>
      <c r="L1962" t="s">
        <v>89</v>
      </c>
      <c r="N1962" t="s">
        <v>43</v>
      </c>
      <c r="O1962" t="s">
        <v>236</v>
      </c>
      <c r="P1962">
        <v>291</v>
      </c>
      <c r="Q1962">
        <v>291</v>
      </c>
      <c r="R1962">
        <v>11</v>
      </c>
      <c r="S1962" t="s">
        <v>45</v>
      </c>
      <c r="T1962">
        <v>0.01</v>
      </c>
      <c r="U1962">
        <v>994</v>
      </c>
      <c r="V1962" t="s">
        <v>46</v>
      </c>
      <c r="W1962">
        <v>0.99299999999999999</v>
      </c>
      <c r="X1962">
        <v>20001</v>
      </c>
      <c r="Y1962" t="s">
        <v>47</v>
      </c>
      <c r="Z1962">
        <v>20</v>
      </c>
      <c r="AA1962">
        <v>377</v>
      </c>
      <c r="AB1962" t="s">
        <v>47</v>
      </c>
      <c r="AC1962">
        <v>0.376</v>
      </c>
      <c r="AD1962">
        <v>923</v>
      </c>
      <c r="AE1962" t="s">
        <v>48</v>
      </c>
      <c r="AF1962">
        <v>0.92200000000000004</v>
      </c>
      <c r="AG1962">
        <v>916</v>
      </c>
      <c r="AH1962" t="s">
        <v>49</v>
      </c>
      <c r="AI1962">
        <v>0.91500000000000004</v>
      </c>
      <c r="AJ1962" t="s">
        <v>1153</v>
      </c>
    </row>
    <row r="1963" spans="1:36" x14ac:dyDescent="0.25">
      <c r="A1963" t="s">
        <v>502</v>
      </c>
      <c r="B1963">
        <v>871157270</v>
      </c>
      <c r="C1963" t="s">
        <v>503</v>
      </c>
      <c r="D1963" t="s">
        <v>503</v>
      </c>
      <c r="E1963" t="s">
        <v>37</v>
      </c>
      <c r="F1963" t="s">
        <v>71</v>
      </c>
      <c r="I1963" t="s">
        <v>39</v>
      </c>
      <c r="J1963" t="s">
        <v>40</v>
      </c>
      <c r="K1963" t="s">
        <v>41</v>
      </c>
      <c r="L1963" t="s">
        <v>89</v>
      </c>
      <c r="N1963" t="s">
        <v>43</v>
      </c>
      <c r="O1963" t="s">
        <v>236</v>
      </c>
      <c r="P1963">
        <v>291</v>
      </c>
      <c r="Q1963">
        <v>291</v>
      </c>
      <c r="R1963">
        <v>11</v>
      </c>
      <c r="S1963" t="s">
        <v>45</v>
      </c>
      <c r="T1963">
        <v>0.01</v>
      </c>
      <c r="U1963">
        <v>994</v>
      </c>
      <c r="V1963" t="s">
        <v>46</v>
      </c>
      <c r="W1963">
        <v>0.99299999999999999</v>
      </c>
      <c r="X1963">
        <v>20001</v>
      </c>
      <c r="Y1963" t="s">
        <v>47</v>
      </c>
      <c r="Z1963">
        <v>20</v>
      </c>
      <c r="AA1963">
        <v>377</v>
      </c>
      <c r="AB1963" t="s">
        <v>47</v>
      </c>
      <c r="AC1963">
        <v>0.376</v>
      </c>
      <c r="AD1963">
        <v>923</v>
      </c>
      <c r="AE1963" t="s">
        <v>48</v>
      </c>
      <c r="AF1963">
        <v>0.92200000000000004</v>
      </c>
      <c r="AG1963">
        <v>916</v>
      </c>
      <c r="AH1963" t="s">
        <v>49</v>
      </c>
      <c r="AI1963">
        <v>0.91500000000000004</v>
      </c>
      <c r="AJ1963" t="s">
        <v>1154</v>
      </c>
    </row>
    <row r="1964" spans="1:36" x14ac:dyDescent="0.25">
      <c r="A1964" t="s">
        <v>502</v>
      </c>
      <c r="B1964">
        <v>871157270</v>
      </c>
      <c r="C1964" t="s">
        <v>503</v>
      </c>
      <c r="D1964" t="s">
        <v>503</v>
      </c>
      <c r="E1964" t="s">
        <v>37</v>
      </c>
      <c r="F1964" t="s">
        <v>71</v>
      </c>
      <c r="I1964" t="s">
        <v>39</v>
      </c>
      <c r="J1964" t="s">
        <v>40</v>
      </c>
      <c r="K1964" t="s">
        <v>41</v>
      </c>
      <c r="L1964" t="s">
        <v>89</v>
      </c>
      <c r="N1964" t="s">
        <v>43</v>
      </c>
      <c r="O1964" t="s">
        <v>236</v>
      </c>
      <c r="P1964">
        <v>291</v>
      </c>
      <c r="Q1964">
        <v>291</v>
      </c>
      <c r="S1964" t="s">
        <v>39</v>
      </c>
      <c r="V1964" t="s">
        <v>39</v>
      </c>
      <c r="X1964">
        <v>20001</v>
      </c>
      <c r="Y1964" t="s">
        <v>47</v>
      </c>
      <c r="Z1964">
        <v>20</v>
      </c>
      <c r="AA1964">
        <v>377</v>
      </c>
      <c r="AB1964" t="s">
        <v>47</v>
      </c>
      <c r="AC1964">
        <v>0.376</v>
      </c>
      <c r="AD1964">
        <v>923</v>
      </c>
      <c r="AE1964" t="s">
        <v>48</v>
      </c>
      <c r="AF1964">
        <v>0.92200000000000004</v>
      </c>
      <c r="AG1964">
        <v>916</v>
      </c>
      <c r="AH1964" t="s">
        <v>49</v>
      </c>
      <c r="AI1964">
        <v>0.91500000000000004</v>
      </c>
      <c r="AJ1964" t="s">
        <v>1155</v>
      </c>
    </row>
    <row r="1965" spans="1:36" x14ac:dyDescent="0.25">
      <c r="A1965" t="s">
        <v>498</v>
      </c>
      <c r="B1965">
        <v>855311258</v>
      </c>
      <c r="C1965" t="s">
        <v>499</v>
      </c>
      <c r="D1965" t="s">
        <v>499</v>
      </c>
      <c r="E1965" t="s">
        <v>37</v>
      </c>
      <c r="F1965" t="s">
        <v>71</v>
      </c>
      <c r="I1965" t="s">
        <v>39</v>
      </c>
      <c r="J1965" t="s">
        <v>40</v>
      </c>
      <c r="K1965" t="s">
        <v>41</v>
      </c>
      <c r="L1965" t="s">
        <v>248</v>
      </c>
      <c r="M1965" t="s">
        <v>73</v>
      </c>
      <c r="N1965" t="s">
        <v>43</v>
      </c>
      <c r="O1965" t="s">
        <v>138</v>
      </c>
      <c r="P1965">
        <v>292</v>
      </c>
      <c r="Q1965">
        <v>292</v>
      </c>
      <c r="R1965">
        <v>151</v>
      </c>
      <c r="S1965" t="s">
        <v>56</v>
      </c>
      <c r="T1965">
        <v>0.15</v>
      </c>
      <c r="U1965">
        <v>183</v>
      </c>
      <c r="V1965" t="s">
        <v>55</v>
      </c>
      <c r="W1965">
        <v>0.182</v>
      </c>
      <c r="X1965">
        <v>4001</v>
      </c>
      <c r="Y1965" t="s">
        <v>47</v>
      </c>
      <c r="Z1965">
        <v>4</v>
      </c>
      <c r="AA1965">
        <v>591</v>
      </c>
      <c r="AB1965" t="s">
        <v>75</v>
      </c>
      <c r="AC1965">
        <v>0.59</v>
      </c>
      <c r="AD1965">
        <v>715</v>
      </c>
      <c r="AE1965" t="s">
        <v>48</v>
      </c>
      <c r="AF1965">
        <v>0.71399999999999997</v>
      </c>
      <c r="AG1965">
        <v>932</v>
      </c>
      <c r="AH1965" t="s">
        <v>80</v>
      </c>
      <c r="AI1965">
        <v>0.93100000000000005</v>
      </c>
      <c r="AJ1965" t="s">
        <v>50</v>
      </c>
    </row>
    <row r="1966" spans="1:36" x14ac:dyDescent="0.25">
      <c r="A1966" t="s">
        <v>498</v>
      </c>
      <c r="B1966">
        <v>855311258</v>
      </c>
      <c r="C1966" t="s">
        <v>499</v>
      </c>
      <c r="D1966" t="s">
        <v>499</v>
      </c>
      <c r="E1966" t="s">
        <v>37</v>
      </c>
      <c r="F1966" t="s">
        <v>71</v>
      </c>
      <c r="I1966" t="s">
        <v>39</v>
      </c>
      <c r="J1966" t="s">
        <v>40</v>
      </c>
      <c r="K1966" t="s">
        <v>41</v>
      </c>
      <c r="L1966" t="s">
        <v>248</v>
      </c>
      <c r="M1966" t="s">
        <v>73</v>
      </c>
      <c r="N1966" t="s">
        <v>43</v>
      </c>
      <c r="O1966" t="s">
        <v>138</v>
      </c>
      <c r="P1966">
        <v>292</v>
      </c>
      <c r="Q1966">
        <v>292</v>
      </c>
      <c r="R1966">
        <v>61</v>
      </c>
      <c r="S1966" t="s">
        <v>56</v>
      </c>
      <c r="T1966">
        <v>0.06</v>
      </c>
      <c r="U1966">
        <v>293</v>
      </c>
      <c r="V1966" t="s">
        <v>55</v>
      </c>
      <c r="W1966">
        <v>0.29199999999999998</v>
      </c>
      <c r="X1966">
        <v>4001</v>
      </c>
      <c r="Y1966" t="s">
        <v>47</v>
      </c>
      <c r="Z1966">
        <v>4</v>
      </c>
      <c r="AA1966">
        <v>591</v>
      </c>
      <c r="AB1966" t="s">
        <v>75</v>
      </c>
      <c r="AC1966">
        <v>0.59</v>
      </c>
      <c r="AD1966">
        <v>715</v>
      </c>
      <c r="AE1966" t="s">
        <v>48</v>
      </c>
      <c r="AF1966">
        <v>0.71399999999999997</v>
      </c>
      <c r="AG1966">
        <v>932</v>
      </c>
      <c r="AH1966" t="s">
        <v>80</v>
      </c>
      <c r="AI1966">
        <v>0.93100000000000005</v>
      </c>
      <c r="AJ1966" t="s">
        <v>1141</v>
      </c>
    </row>
    <row r="1967" spans="1:36" x14ac:dyDescent="0.25">
      <c r="A1967" t="s">
        <v>498</v>
      </c>
      <c r="B1967">
        <v>855311258</v>
      </c>
      <c r="C1967" t="s">
        <v>499</v>
      </c>
      <c r="D1967" t="s">
        <v>499</v>
      </c>
      <c r="E1967" t="s">
        <v>37</v>
      </c>
      <c r="F1967" t="s">
        <v>71</v>
      </c>
      <c r="I1967" t="s">
        <v>39</v>
      </c>
      <c r="J1967" t="s">
        <v>40</v>
      </c>
      <c r="K1967" t="s">
        <v>41</v>
      </c>
      <c r="L1967" t="s">
        <v>248</v>
      </c>
      <c r="M1967" t="s">
        <v>73</v>
      </c>
      <c r="N1967" t="s">
        <v>43</v>
      </c>
      <c r="O1967" t="s">
        <v>138</v>
      </c>
      <c r="P1967">
        <v>292</v>
      </c>
      <c r="Q1967">
        <v>292</v>
      </c>
      <c r="R1967">
        <v>151</v>
      </c>
      <c r="S1967" t="s">
        <v>56</v>
      </c>
      <c r="T1967">
        <v>0.15</v>
      </c>
      <c r="U1967">
        <v>183</v>
      </c>
      <c r="V1967" t="s">
        <v>55</v>
      </c>
      <c r="W1967">
        <v>0.182</v>
      </c>
      <c r="X1967">
        <v>4001</v>
      </c>
      <c r="Y1967" t="s">
        <v>47</v>
      </c>
      <c r="Z1967">
        <v>4</v>
      </c>
      <c r="AA1967">
        <v>591</v>
      </c>
      <c r="AB1967" t="s">
        <v>75</v>
      </c>
      <c r="AC1967">
        <v>0.59</v>
      </c>
      <c r="AD1967">
        <v>715</v>
      </c>
      <c r="AE1967" t="s">
        <v>48</v>
      </c>
      <c r="AF1967">
        <v>0.71399999999999997</v>
      </c>
      <c r="AG1967">
        <v>932</v>
      </c>
      <c r="AH1967" t="s">
        <v>80</v>
      </c>
      <c r="AI1967">
        <v>0.93100000000000005</v>
      </c>
      <c r="AJ1967" t="s">
        <v>1153</v>
      </c>
    </row>
    <row r="1968" spans="1:36" x14ac:dyDescent="0.25">
      <c r="A1968" t="s">
        <v>498</v>
      </c>
      <c r="B1968">
        <v>855311258</v>
      </c>
      <c r="C1968" t="s">
        <v>499</v>
      </c>
      <c r="D1968" t="s">
        <v>499</v>
      </c>
      <c r="E1968" t="s">
        <v>37</v>
      </c>
      <c r="F1968" t="s">
        <v>71</v>
      </c>
      <c r="I1968" t="s">
        <v>39</v>
      </c>
      <c r="J1968" t="s">
        <v>40</v>
      </c>
      <c r="K1968" t="s">
        <v>41</v>
      </c>
      <c r="L1968" t="s">
        <v>248</v>
      </c>
      <c r="M1968" t="s">
        <v>73</v>
      </c>
      <c r="N1968" t="s">
        <v>43</v>
      </c>
      <c r="O1968" t="s">
        <v>138</v>
      </c>
      <c r="P1968">
        <v>292</v>
      </c>
      <c r="Q1968">
        <v>292</v>
      </c>
      <c r="R1968">
        <v>151</v>
      </c>
      <c r="S1968" t="s">
        <v>56</v>
      </c>
      <c r="T1968">
        <v>0.15</v>
      </c>
      <c r="U1968">
        <v>183</v>
      </c>
      <c r="V1968" t="s">
        <v>55</v>
      </c>
      <c r="W1968">
        <v>0.182</v>
      </c>
      <c r="X1968">
        <v>4001</v>
      </c>
      <c r="Y1968" t="s">
        <v>47</v>
      </c>
      <c r="Z1968">
        <v>4</v>
      </c>
      <c r="AA1968">
        <v>591</v>
      </c>
      <c r="AB1968" t="s">
        <v>75</v>
      </c>
      <c r="AC1968">
        <v>0.59</v>
      </c>
      <c r="AD1968">
        <v>715</v>
      </c>
      <c r="AE1968" t="s">
        <v>48</v>
      </c>
      <c r="AF1968">
        <v>0.71399999999999997</v>
      </c>
      <c r="AG1968">
        <v>932</v>
      </c>
      <c r="AH1968" t="s">
        <v>80</v>
      </c>
      <c r="AI1968">
        <v>0.93100000000000005</v>
      </c>
      <c r="AJ1968" t="s">
        <v>1154</v>
      </c>
    </row>
    <row r="1969" spans="1:36" x14ac:dyDescent="0.25">
      <c r="A1969" t="s">
        <v>498</v>
      </c>
      <c r="B1969">
        <v>855311258</v>
      </c>
      <c r="C1969" t="s">
        <v>499</v>
      </c>
      <c r="D1969" t="s">
        <v>499</v>
      </c>
      <c r="E1969" t="s">
        <v>37</v>
      </c>
      <c r="F1969" t="s">
        <v>71</v>
      </c>
      <c r="I1969" t="s">
        <v>39</v>
      </c>
      <c r="J1969" t="s">
        <v>40</v>
      </c>
      <c r="K1969" t="s">
        <v>41</v>
      </c>
      <c r="L1969" t="s">
        <v>248</v>
      </c>
      <c r="M1969" t="s">
        <v>73</v>
      </c>
      <c r="N1969" t="s">
        <v>43</v>
      </c>
      <c r="O1969" t="s">
        <v>138</v>
      </c>
      <c r="P1969">
        <v>292</v>
      </c>
      <c r="Q1969">
        <v>292</v>
      </c>
      <c r="S1969" t="s">
        <v>39</v>
      </c>
      <c r="V1969" t="s">
        <v>39</v>
      </c>
      <c r="X1969">
        <v>4001</v>
      </c>
      <c r="Y1969" t="s">
        <v>47</v>
      </c>
      <c r="Z1969">
        <v>4</v>
      </c>
      <c r="AA1969">
        <v>591</v>
      </c>
      <c r="AB1969" t="s">
        <v>75</v>
      </c>
      <c r="AC1969">
        <v>0.59</v>
      </c>
      <c r="AD1969">
        <v>715</v>
      </c>
      <c r="AE1969" t="s">
        <v>48</v>
      </c>
      <c r="AF1969">
        <v>0.71399999999999997</v>
      </c>
      <c r="AG1969">
        <v>932</v>
      </c>
      <c r="AH1969" t="s">
        <v>80</v>
      </c>
      <c r="AI1969">
        <v>0.93100000000000005</v>
      </c>
      <c r="AJ1969" t="s">
        <v>1155</v>
      </c>
    </row>
    <row r="1970" spans="1:36" x14ac:dyDescent="0.25">
      <c r="A1970" t="s">
        <v>500</v>
      </c>
      <c r="B1970">
        <v>856071958</v>
      </c>
      <c r="C1970" t="s">
        <v>501</v>
      </c>
      <c r="D1970" t="s">
        <v>501</v>
      </c>
      <c r="E1970" t="s">
        <v>99</v>
      </c>
      <c r="F1970" t="s">
        <v>143</v>
      </c>
      <c r="I1970" t="s">
        <v>39</v>
      </c>
      <c r="J1970" t="s">
        <v>40</v>
      </c>
      <c r="K1970" t="s">
        <v>41</v>
      </c>
      <c r="L1970" t="s">
        <v>118</v>
      </c>
      <c r="N1970" t="s">
        <v>43</v>
      </c>
      <c r="O1970" t="s">
        <v>38</v>
      </c>
      <c r="P1970">
        <v>292</v>
      </c>
      <c r="Q1970">
        <v>292</v>
      </c>
      <c r="R1970">
        <v>231</v>
      </c>
      <c r="S1970" t="s">
        <v>56</v>
      </c>
      <c r="T1970">
        <v>0.23</v>
      </c>
      <c r="U1970">
        <v>44</v>
      </c>
      <c r="V1970" t="s">
        <v>55</v>
      </c>
      <c r="W1970">
        <v>4.2999999999999997E-2</v>
      </c>
      <c r="X1970">
        <v>11001</v>
      </c>
      <c r="Y1970" t="s">
        <v>47</v>
      </c>
      <c r="Z1970">
        <v>11</v>
      </c>
      <c r="AA1970">
        <v>331</v>
      </c>
      <c r="AB1970" t="s">
        <v>47</v>
      </c>
      <c r="AC1970">
        <v>0.33</v>
      </c>
      <c r="AD1970">
        <v>668</v>
      </c>
      <c r="AE1970" t="s">
        <v>48</v>
      </c>
      <c r="AF1970">
        <v>0.66700000000000004</v>
      </c>
      <c r="AG1970">
        <v>874</v>
      </c>
      <c r="AH1970" t="s">
        <v>49</v>
      </c>
      <c r="AI1970">
        <v>0.873</v>
      </c>
      <c r="AJ1970" t="s">
        <v>50</v>
      </c>
    </row>
    <row r="1971" spans="1:36" x14ac:dyDescent="0.25">
      <c r="A1971" t="s">
        <v>500</v>
      </c>
      <c r="B1971">
        <v>856071958</v>
      </c>
      <c r="C1971" t="s">
        <v>501</v>
      </c>
      <c r="D1971" t="s">
        <v>501</v>
      </c>
      <c r="E1971" t="s">
        <v>99</v>
      </c>
      <c r="F1971" t="s">
        <v>143</v>
      </c>
      <c r="I1971" t="s">
        <v>39</v>
      </c>
      <c r="J1971" t="s">
        <v>40</v>
      </c>
      <c r="K1971" t="s">
        <v>41</v>
      </c>
      <c r="L1971" t="s">
        <v>118</v>
      </c>
      <c r="N1971" t="s">
        <v>43</v>
      </c>
      <c r="O1971" t="s">
        <v>38</v>
      </c>
      <c r="P1971">
        <v>292</v>
      </c>
      <c r="Q1971">
        <v>292</v>
      </c>
      <c r="R1971">
        <v>81</v>
      </c>
      <c r="S1971" t="s">
        <v>56</v>
      </c>
      <c r="T1971">
        <v>0.08</v>
      </c>
      <c r="U1971">
        <v>78</v>
      </c>
      <c r="V1971" t="s">
        <v>55</v>
      </c>
      <c r="W1971">
        <v>7.6999999999999999E-2</v>
      </c>
      <c r="X1971">
        <v>11001</v>
      </c>
      <c r="Y1971" t="s">
        <v>47</v>
      </c>
      <c r="Z1971">
        <v>11</v>
      </c>
      <c r="AA1971">
        <v>331</v>
      </c>
      <c r="AB1971" t="s">
        <v>47</v>
      </c>
      <c r="AC1971">
        <v>0.33</v>
      </c>
      <c r="AD1971">
        <v>668</v>
      </c>
      <c r="AE1971" t="s">
        <v>48</v>
      </c>
      <c r="AF1971">
        <v>0.66700000000000004</v>
      </c>
      <c r="AG1971">
        <v>874</v>
      </c>
      <c r="AH1971" t="s">
        <v>49</v>
      </c>
      <c r="AI1971">
        <v>0.873</v>
      </c>
      <c r="AJ1971" t="s">
        <v>1141</v>
      </c>
    </row>
    <row r="1972" spans="1:36" x14ac:dyDescent="0.25">
      <c r="A1972" t="s">
        <v>500</v>
      </c>
      <c r="B1972">
        <v>856071958</v>
      </c>
      <c r="C1972" t="s">
        <v>501</v>
      </c>
      <c r="D1972" t="s">
        <v>501</v>
      </c>
      <c r="E1972" t="s">
        <v>99</v>
      </c>
      <c r="F1972" t="s">
        <v>143</v>
      </c>
      <c r="I1972" t="s">
        <v>39</v>
      </c>
      <c r="J1972" t="s">
        <v>40</v>
      </c>
      <c r="K1972" t="s">
        <v>41</v>
      </c>
      <c r="L1972" t="s">
        <v>118</v>
      </c>
      <c r="N1972" t="s">
        <v>43</v>
      </c>
      <c r="O1972" t="s">
        <v>38</v>
      </c>
      <c r="P1972">
        <v>292</v>
      </c>
      <c r="Q1972">
        <v>292</v>
      </c>
      <c r="R1972">
        <v>231</v>
      </c>
      <c r="S1972" t="s">
        <v>56</v>
      </c>
      <c r="T1972">
        <v>0.23</v>
      </c>
      <c r="U1972">
        <v>44</v>
      </c>
      <c r="V1972" t="s">
        <v>55</v>
      </c>
      <c r="W1972">
        <v>4.2999999999999997E-2</v>
      </c>
      <c r="X1972">
        <v>11001</v>
      </c>
      <c r="Y1972" t="s">
        <v>47</v>
      </c>
      <c r="Z1972">
        <v>11</v>
      </c>
      <c r="AA1972">
        <v>331</v>
      </c>
      <c r="AB1972" t="s">
        <v>47</v>
      </c>
      <c r="AC1972">
        <v>0.33</v>
      </c>
      <c r="AD1972">
        <v>668</v>
      </c>
      <c r="AE1972" t="s">
        <v>48</v>
      </c>
      <c r="AF1972">
        <v>0.66700000000000004</v>
      </c>
      <c r="AG1972">
        <v>874</v>
      </c>
      <c r="AH1972" t="s">
        <v>49</v>
      </c>
      <c r="AI1972">
        <v>0.873</v>
      </c>
      <c r="AJ1972" t="s">
        <v>1153</v>
      </c>
    </row>
    <row r="1973" spans="1:36" x14ac:dyDescent="0.25">
      <c r="A1973" t="s">
        <v>500</v>
      </c>
      <c r="B1973">
        <v>856071958</v>
      </c>
      <c r="C1973" t="s">
        <v>501</v>
      </c>
      <c r="D1973" t="s">
        <v>501</v>
      </c>
      <c r="E1973" t="s">
        <v>99</v>
      </c>
      <c r="F1973" t="s">
        <v>143</v>
      </c>
      <c r="I1973" t="s">
        <v>39</v>
      </c>
      <c r="J1973" t="s">
        <v>40</v>
      </c>
      <c r="K1973" t="s">
        <v>41</v>
      </c>
      <c r="L1973" t="s">
        <v>118</v>
      </c>
      <c r="N1973" t="s">
        <v>43</v>
      </c>
      <c r="O1973" t="s">
        <v>38</v>
      </c>
      <c r="P1973">
        <v>292</v>
      </c>
      <c r="Q1973">
        <v>292</v>
      </c>
      <c r="R1973">
        <v>231</v>
      </c>
      <c r="S1973" t="s">
        <v>56</v>
      </c>
      <c r="T1973">
        <v>0.23</v>
      </c>
      <c r="U1973">
        <v>44</v>
      </c>
      <c r="V1973" t="s">
        <v>55</v>
      </c>
      <c r="W1973">
        <v>4.2999999999999997E-2</v>
      </c>
      <c r="X1973">
        <v>11001</v>
      </c>
      <c r="Y1973" t="s">
        <v>47</v>
      </c>
      <c r="Z1973">
        <v>11</v>
      </c>
      <c r="AA1973">
        <v>331</v>
      </c>
      <c r="AB1973" t="s">
        <v>47</v>
      </c>
      <c r="AC1973">
        <v>0.33</v>
      </c>
      <c r="AD1973">
        <v>668</v>
      </c>
      <c r="AE1973" t="s">
        <v>48</v>
      </c>
      <c r="AF1973">
        <v>0.66700000000000004</v>
      </c>
      <c r="AG1973">
        <v>874</v>
      </c>
      <c r="AH1973" t="s">
        <v>49</v>
      </c>
      <c r="AI1973">
        <v>0.873</v>
      </c>
      <c r="AJ1973" t="s">
        <v>1154</v>
      </c>
    </row>
    <row r="1974" spans="1:36" x14ac:dyDescent="0.25">
      <c r="A1974" t="s">
        <v>500</v>
      </c>
      <c r="B1974">
        <v>856071958</v>
      </c>
      <c r="C1974" t="s">
        <v>501</v>
      </c>
      <c r="D1974" t="s">
        <v>501</v>
      </c>
      <c r="E1974" t="s">
        <v>99</v>
      </c>
      <c r="F1974" t="s">
        <v>143</v>
      </c>
      <c r="I1974" t="s">
        <v>39</v>
      </c>
      <c r="J1974" t="s">
        <v>40</v>
      </c>
      <c r="K1974" t="s">
        <v>41</v>
      </c>
      <c r="L1974" t="s">
        <v>118</v>
      </c>
      <c r="N1974" t="s">
        <v>43</v>
      </c>
      <c r="O1974" t="s">
        <v>38</v>
      </c>
      <c r="P1974">
        <v>292</v>
      </c>
      <c r="Q1974">
        <v>292</v>
      </c>
      <c r="S1974" t="s">
        <v>39</v>
      </c>
      <c r="V1974" t="s">
        <v>39</v>
      </c>
      <c r="X1974">
        <v>11001</v>
      </c>
      <c r="Y1974" t="s">
        <v>47</v>
      </c>
      <c r="Z1974">
        <v>11</v>
      </c>
      <c r="AA1974">
        <v>331</v>
      </c>
      <c r="AB1974" t="s">
        <v>47</v>
      </c>
      <c r="AC1974">
        <v>0.33</v>
      </c>
      <c r="AD1974">
        <v>668</v>
      </c>
      <c r="AE1974" t="s">
        <v>48</v>
      </c>
      <c r="AF1974">
        <v>0.66700000000000004</v>
      </c>
      <c r="AG1974">
        <v>874</v>
      </c>
      <c r="AH1974" t="s">
        <v>49</v>
      </c>
      <c r="AI1974">
        <v>0.873</v>
      </c>
      <c r="AJ1974" t="s">
        <v>1155</v>
      </c>
    </row>
    <row r="1975" spans="1:36" x14ac:dyDescent="0.25">
      <c r="A1975" t="s">
        <v>496</v>
      </c>
      <c r="B1975">
        <v>866143812</v>
      </c>
      <c r="C1975" t="s">
        <v>497</v>
      </c>
      <c r="D1975" t="s">
        <v>497</v>
      </c>
      <c r="E1975" t="s">
        <v>99</v>
      </c>
      <c r="F1975" t="s">
        <v>143</v>
      </c>
      <c r="I1975" t="s">
        <v>39</v>
      </c>
      <c r="J1975" t="s">
        <v>40</v>
      </c>
      <c r="K1975" t="s">
        <v>41</v>
      </c>
      <c r="L1975" t="s">
        <v>197</v>
      </c>
      <c r="M1975" t="s">
        <v>47</v>
      </c>
      <c r="N1975" t="s">
        <v>43</v>
      </c>
      <c r="O1975" t="s">
        <v>336</v>
      </c>
      <c r="P1975">
        <v>293</v>
      </c>
      <c r="Q1975">
        <v>293</v>
      </c>
      <c r="R1975">
        <v>71</v>
      </c>
      <c r="S1975" t="s">
        <v>56</v>
      </c>
      <c r="T1975">
        <v>7.0000000000000007E-2</v>
      </c>
      <c r="U1975">
        <v>1</v>
      </c>
      <c r="V1975" t="s">
        <v>55</v>
      </c>
      <c r="W1975">
        <v>0</v>
      </c>
      <c r="X1975">
        <v>2001</v>
      </c>
      <c r="Y1975" t="s">
        <v>47</v>
      </c>
      <c r="Z1975">
        <v>2</v>
      </c>
      <c r="AA1975">
        <v>182</v>
      </c>
      <c r="AB1975" t="s">
        <v>47</v>
      </c>
      <c r="AC1975">
        <v>0.18099999999999999</v>
      </c>
      <c r="AD1975">
        <v>203</v>
      </c>
      <c r="AE1975" t="s">
        <v>56</v>
      </c>
      <c r="AF1975">
        <v>0.20200000000000001</v>
      </c>
      <c r="AG1975">
        <v>16</v>
      </c>
      <c r="AH1975" t="s">
        <v>103</v>
      </c>
      <c r="AI1975">
        <v>1.4999999999999999E-2</v>
      </c>
      <c r="AJ1975" t="s">
        <v>50</v>
      </c>
    </row>
    <row r="1976" spans="1:36" x14ac:dyDescent="0.25">
      <c r="A1976" t="s">
        <v>496</v>
      </c>
      <c r="B1976">
        <v>866143812</v>
      </c>
      <c r="C1976" t="s">
        <v>497</v>
      </c>
      <c r="D1976" t="s">
        <v>497</v>
      </c>
      <c r="E1976" t="s">
        <v>99</v>
      </c>
      <c r="F1976" t="s">
        <v>143</v>
      </c>
      <c r="I1976" t="s">
        <v>39</v>
      </c>
      <c r="J1976" t="s">
        <v>40</v>
      </c>
      <c r="K1976" t="s">
        <v>41</v>
      </c>
      <c r="L1976" t="s">
        <v>197</v>
      </c>
      <c r="M1976" t="s">
        <v>47</v>
      </c>
      <c r="N1976" t="s">
        <v>43</v>
      </c>
      <c r="O1976" t="s">
        <v>336</v>
      </c>
      <c r="P1976">
        <v>293</v>
      </c>
      <c r="Q1976">
        <v>293</v>
      </c>
      <c r="R1976">
        <v>61</v>
      </c>
      <c r="S1976" t="s">
        <v>56</v>
      </c>
      <c r="T1976">
        <v>0.06</v>
      </c>
      <c r="U1976">
        <v>1</v>
      </c>
      <c r="V1976" t="s">
        <v>55</v>
      </c>
      <c r="W1976">
        <v>0</v>
      </c>
      <c r="X1976">
        <v>2001</v>
      </c>
      <c r="Y1976" t="s">
        <v>47</v>
      </c>
      <c r="Z1976">
        <v>2</v>
      </c>
      <c r="AA1976">
        <v>182</v>
      </c>
      <c r="AB1976" t="s">
        <v>47</v>
      </c>
      <c r="AC1976">
        <v>0.18099999999999999</v>
      </c>
      <c r="AD1976">
        <v>203</v>
      </c>
      <c r="AE1976" t="s">
        <v>56</v>
      </c>
      <c r="AF1976">
        <v>0.20200000000000001</v>
      </c>
      <c r="AG1976">
        <v>16</v>
      </c>
      <c r="AH1976" t="s">
        <v>103</v>
      </c>
      <c r="AI1976">
        <v>1.4999999999999999E-2</v>
      </c>
      <c r="AJ1976" t="s">
        <v>1141</v>
      </c>
    </row>
    <row r="1977" spans="1:36" x14ac:dyDescent="0.25">
      <c r="A1977" t="s">
        <v>496</v>
      </c>
      <c r="B1977">
        <v>866143812</v>
      </c>
      <c r="C1977" t="s">
        <v>497</v>
      </c>
      <c r="D1977" t="s">
        <v>497</v>
      </c>
      <c r="E1977" t="s">
        <v>99</v>
      </c>
      <c r="F1977" t="s">
        <v>143</v>
      </c>
      <c r="I1977" t="s">
        <v>39</v>
      </c>
      <c r="J1977" t="s">
        <v>40</v>
      </c>
      <c r="K1977" t="s">
        <v>41</v>
      </c>
      <c r="L1977" t="s">
        <v>197</v>
      </c>
      <c r="M1977" t="s">
        <v>47</v>
      </c>
      <c r="N1977" t="s">
        <v>43</v>
      </c>
      <c r="O1977" t="s">
        <v>336</v>
      </c>
      <c r="P1977">
        <v>293</v>
      </c>
      <c r="Q1977">
        <v>293</v>
      </c>
      <c r="R1977">
        <v>71</v>
      </c>
      <c r="S1977" t="s">
        <v>56</v>
      </c>
      <c r="T1977">
        <v>7.0000000000000007E-2</v>
      </c>
      <c r="U1977">
        <v>1</v>
      </c>
      <c r="V1977" t="s">
        <v>55</v>
      </c>
      <c r="W1977">
        <v>0</v>
      </c>
      <c r="X1977">
        <v>2001</v>
      </c>
      <c r="Y1977" t="s">
        <v>47</v>
      </c>
      <c r="Z1977">
        <v>2</v>
      </c>
      <c r="AA1977">
        <v>182</v>
      </c>
      <c r="AB1977" t="s">
        <v>47</v>
      </c>
      <c r="AC1977">
        <v>0.18099999999999999</v>
      </c>
      <c r="AD1977">
        <v>203</v>
      </c>
      <c r="AE1977" t="s">
        <v>56</v>
      </c>
      <c r="AF1977">
        <v>0.20200000000000001</v>
      </c>
      <c r="AG1977">
        <v>16</v>
      </c>
      <c r="AH1977" t="s">
        <v>103</v>
      </c>
      <c r="AI1977">
        <v>1.4999999999999999E-2</v>
      </c>
      <c r="AJ1977" t="s">
        <v>1153</v>
      </c>
    </row>
    <row r="1978" spans="1:36" x14ac:dyDescent="0.25">
      <c r="A1978" t="s">
        <v>496</v>
      </c>
      <c r="B1978">
        <v>866143812</v>
      </c>
      <c r="C1978" t="s">
        <v>497</v>
      </c>
      <c r="D1978" t="s">
        <v>497</v>
      </c>
      <c r="E1978" t="s">
        <v>99</v>
      </c>
      <c r="F1978" t="s">
        <v>143</v>
      </c>
      <c r="I1978" t="s">
        <v>39</v>
      </c>
      <c r="J1978" t="s">
        <v>40</v>
      </c>
      <c r="K1978" t="s">
        <v>41</v>
      </c>
      <c r="L1978" t="s">
        <v>197</v>
      </c>
      <c r="M1978" t="s">
        <v>47</v>
      </c>
      <c r="N1978" t="s">
        <v>43</v>
      </c>
      <c r="O1978" t="s">
        <v>336</v>
      </c>
      <c r="P1978">
        <v>293</v>
      </c>
      <c r="Q1978">
        <v>293</v>
      </c>
      <c r="R1978">
        <v>71</v>
      </c>
      <c r="S1978" t="s">
        <v>56</v>
      </c>
      <c r="T1978">
        <v>7.0000000000000007E-2</v>
      </c>
      <c r="U1978">
        <v>1</v>
      </c>
      <c r="V1978" t="s">
        <v>55</v>
      </c>
      <c r="W1978">
        <v>0</v>
      </c>
      <c r="X1978">
        <v>2001</v>
      </c>
      <c r="Y1978" t="s">
        <v>47</v>
      </c>
      <c r="Z1978">
        <v>2</v>
      </c>
      <c r="AA1978">
        <v>182</v>
      </c>
      <c r="AB1978" t="s">
        <v>47</v>
      </c>
      <c r="AC1978">
        <v>0.18099999999999999</v>
      </c>
      <c r="AD1978">
        <v>203</v>
      </c>
      <c r="AE1978" t="s">
        <v>56</v>
      </c>
      <c r="AF1978">
        <v>0.20200000000000001</v>
      </c>
      <c r="AG1978">
        <v>16</v>
      </c>
      <c r="AH1978" t="s">
        <v>103</v>
      </c>
      <c r="AI1978">
        <v>1.4999999999999999E-2</v>
      </c>
      <c r="AJ1978" t="s">
        <v>1154</v>
      </c>
    </row>
    <row r="1979" spans="1:36" x14ac:dyDescent="0.25">
      <c r="A1979" t="s">
        <v>496</v>
      </c>
      <c r="B1979">
        <v>866143812</v>
      </c>
      <c r="C1979" t="s">
        <v>497</v>
      </c>
      <c r="D1979" t="s">
        <v>497</v>
      </c>
      <c r="E1979" t="s">
        <v>99</v>
      </c>
      <c r="F1979" t="s">
        <v>143</v>
      </c>
      <c r="I1979" t="s">
        <v>39</v>
      </c>
      <c r="J1979" t="s">
        <v>40</v>
      </c>
      <c r="K1979" t="s">
        <v>41</v>
      </c>
      <c r="L1979" t="s">
        <v>197</v>
      </c>
      <c r="M1979" t="s">
        <v>47</v>
      </c>
      <c r="N1979" t="s">
        <v>43</v>
      </c>
      <c r="O1979" t="s">
        <v>336</v>
      </c>
      <c r="P1979">
        <v>293</v>
      </c>
      <c r="Q1979">
        <v>293</v>
      </c>
      <c r="S1979" t="s">
        <v>39</v>
      </c>
      <c r="V1979" t="s">
        <v>39</v>
      </c>
      <c r="X1979">
        <v>2001</v>
      </c>
      <c r="Y1979" t="s">
        <v>47</v>
      </c>
      <c r="Z1979">
        <v>2</v>
      </c>
      <c r="AA1979">
        <v>182</v>
      </c>
      <c r="AB1979" t="s">
        <v>47</v>
      </c>
      <c r="AC1979">
        <v>0.18099999999999999</v>
      </c>
      <c r="AD1979">
        <v>203</v>
      </c>
      <c r="AE1979" t="s">
        <v>56</v>
      </c>
      <c r="AF1979">
        <v>0.20200000000000001</v>
      </c>
      <c r="AG1979">
        <v>16</v>
      </c>
      <c r="AH1979" t="s">
        <v>103</v>
      </c>
      <c r="AI1979">
        <v>1.4999999999999999E-2</v>
      </c>
      <c r="AJ1979" t="s">
        <v>1155</v>
      </c>
    </row>
    <row r="1980" spans="1:36" x14ac:dyDescent="0.25">
      <c r="A1980" t="s">
        <v>493</v>
      </c>
      <c r="B1980">
        <v>852507967</v>
      </c>
      <c r="C1980" t="s">
        <v>494</v>
      </c>
      <c r="D1980" t="s">
        <v>494</v>
      </c>
      <c r="E1980" t="s">
        <v>99</v>
      </c>
      <c r="F1980" t="s">
        <v>136</v>
      </c>
      <c r="I1980" t="s">
        <v>39</v>
      </c>
      <c r="J1980" t="s">
        <v>40</v>
      </c>
      <c r="K1980" t="s">
        <v>41</v>
      </c>
      <c r="L1980" t="s">
        <v>151</v>
      </c>
      <c r="M1980" t="s">
        <v>282</v>
      </c>
      <c r="N1980" t="s">
        <v>43</v>
      </c>
      <c r="O1980" t="s">
        <v>495</v>
      </c>
      <c r="P1980">
        <v>293</v>
      </c>
      <c r="Q1980">
        <v>293</v>
      </c>
      <c r="R1980">
        <v>111</v>
      </c>
      <c r="S1980" t="s">
        <v>56</v>
      </c>
      <c r="T1980">
        <v>0.11</v>
      </c>
      <c r="U1980">
        <v>1</v>
      </c>
      <c r="V1980" t="s">
        <v>55</v>
      </c>
      <c r="W1980">
        <v>0</v>
      </c>
      <c r="X1980">
        <v>1001</v>
      </c>
      <c r="Y1980" t="s">
        <v>47</v>
      </c>
      <c r="Z1980">
        <v>1</v>
      </c>
      <c r="AA1980">
        <v>161</v>
      </c>
      <c r="AB1980" t="s">
        <v>47</v>
      </c>
      <c r="AC1980">
        <v>0.16</v>
      </c>
      <c r="AD1980">
        <v>203</v>
      </c>
      <c r="AE1980" t="s">
        <v>56</v>
      </c>
      <c r="AF1980">
        <v>0.20200000000000001</v>
      </c>
      <c r="AG1980">
        <v>23</v>
      </c>
      <c r="AH1980" t="s">
        <v>103</v>
      </c>
      <c r="AI1980">
        <v>2.1999999999999999E-2</v>
      </c>
      <c r="AJ1980" t="s">
        <v>50</v>
      </c>
    </row>
    <row r="1981" spans="1:36" x14ac:dyDescent="0.25">
      <c r="A1981" t="s">
        <v>493</v>
      </c>
      <c r="B1981">
        <v>852507967</v>
      </c>
      <c r="C1981" t="s">
        <v>494</v>
      </c>
      <c r="D1981" t="s">
        <v>494</v>
      </c>
      <c r="E1981" t="s">
        <v>60</v>
      </c>
      <c r="F1981" t="s">
        <v>136</v>
      </c>
      <c r="I1981" t="s">
        <v>39</v>
      </c>
      <c r="J1981" t="s">
        <v>40</v>
      </c>
      <c r="K1981" t="s">
        <v>41</v>
      </c>
      <c r="L1981" t="s">
        <v>151</v>
      </c>
      <c r="M1981" t="s">
        <v>282</v>
      </c>
      <c r="N1981" t="s">
        <v>43</v>
      </c>
      <c r="O1981" t="s">
        <v>495</v>
      </c>
      <c r="P1981">
        <v>293</v>
      </c>
      <c r="Q1981">
        <v>293</v>
      </c>
      <c r="R1981">
        <v>111</v>
      </c>
      <c r="S1981" t="s">
        <v>56</v>
      </c>
      <c r="T1981">
        <v>0.11</v>
      </c>
      <c r="U1981">
        <v>1</v>
      </c>
      <c r="V1981" t="s">
        <v>55</v>
      </c>
      <c r="W1981">
        <v>0</v>
      </c>
      <c r="X1981">
        <v>1001</v>
      </c>
      <c r="Y1981" t="s">
        <v>47</v>
      </c>
      <c r="Z1981">
        <v>1</v>
      </c>
      <c r="AA1981">
        <v>161</v>
      </c>
      <c r="AB1981" t="s">
        <v>47</v>
      </c>
      <c r="AC1981">
        <v>0.16</v>
      </c>
      <c r="AD1981">
        <v>203</v>
      </c>
      <c r="AE1981" t="s">
        <v>56</v>
      </c>
      <c r="AF1981">
        <v>0.20200000000000001</v>
      </c>
      <c r="AG1981">
        <v>23</v>
      </c>
      <c r="AH1981" t="s">
        <v>103</v>
      </c>
      <c r="AI1981">
        <v>2.1999999999999999E-2</v>
      </c>
      <c r="AJ1981" t="s">
        <v>50</v>
      </c>
    </row>
    <row r="1982" spans="1:36" x14ac:dyDescent="0.25">
      <c r="A1982" t="s">
        <v>493</v>
      </c>
      <c r="B1982">
        <v>852507967</v>
      </c>
      <c r="C1982" t="s">
        <v>494</v>
      </c>
      <c r="D1982" t="s">
        <v>494</v>
      </c>
      <c r="E1982" t="s">
        <v>99</v>
      </c>
      <c r="F1982" t="s">
        <v>136</v>
      </c>
      <c r="I1982" t="s">
        <v>39</v>
      </c>
      <c r="J1982" t="s">
        <v>40</v>
      </c>
      <c r="K1982" t="s">
        <v>41</v>
      </c>
      <c r="L1982" t="s">
        <v>151</v>
      </c>
      <c r="M1982" t="s">
        <v>282</v>
      </c>
      <c r="N1982" t="s">
        <v>43</v>
      </c>
      <c r="O1982" t="s">
        <v>495</v>
      </c>
      <c r="P1982">
        <v>293</v>
      </c>
      <c r="Q1982">
        <v>293</v>
      </c>
      <c r="R1982">
        <v>271</v>
      </c>
      <c r="S1982" t="s">
        <v>56</v>
      </c>
      <c r="T1982">
        <v>0.27</v>
      </c>
      <c r="U1982">
        <v>1</v>
      </c>
      <c r="V1982" t="s">
        <v>55</v>
      </c>
      <c r="W1982">
        <v>0</v>
      </c>
      <c r="X1982">
        <v>1001</v>
      </c>
      <c r="Y1982" t="s">
        <v>47</v>
      </c>
      <c r="Z1982">
        <v>1</v>
      </c>
      <c r="AA1982">
        <v>161</v>
      </c>
      <c r="AB1982" t="s">
        <v>47</v>
      </c>
      <c r="AC1982">
        <v>0.16</v>
      </c>
      <c r="AD1982">
        <v>203</v>
      </c>
      <c r="AE1982" t="s">
        <v>56</v>
      </c>
      <c r="AF1982">
        <v>0.20200000000000001</v>
      </c>
      <c r="AG1982">
        <v>23</v>
      </c>
      <c r="AH1982" t="s">
        <v>103</v>
      </c>
      <c r="AI1982">
        <v>2.1999999999999999E-2</v>
      </c>
      <c r="AJ1982" t="s">
        <v>1141</v>
      </c>
    </row>
    <row r="1983" spans="1:36" x14ac:dyDescent="0.25">
      <c r="A1983" t="s">
        <v>493</v>
      </c>
      <c r="B1983">
        <v>852507967</v>
      </c>
      <c r="C1983" t="s">
        <v>494</v>
      </c>
      <c r="D1983" t="s">
        <v>494</v>
      </c>
      <c r="E1983" t="s">
        <v>60</v>
      </c>
      <c r="F1983" t="s">
        <v>136</v>
      </c>
      <c r="I1983" t="s">
        <v>39</v>
      </c>
      <c r="J1983" t="s">
        <v>40</v>
      </c>
      <c r="K1983" t="s">
        <v>41</v>
      </c>
      <c r="L1983" t="s">
        <v>151</v>
      </c>
      <c r="M1983" t="s">
        <v>282</v>
      </c>
      <c r="N1983" t="s">
        <v>43</v>
      </c>
      <c r="O1983" t="s">
        <v>495</v>
      </c>
      <c r="P1983">
        <v>293</v>
      </c>
      <c r="Q1983">
        <v>293</v>
      </c>
      <c r="R1983">
        <v>271</v>
      </c>
      <c r="S1983" t="s">
        <v>56</v>
      </c>
      <c r="T1983">
        <v>0.27</v>
      </c>
      <c r="U1983">
        <v>1</v>
      </c>
      <c r="V1983" t="s">
        <v>55</v>
      </c>
      <c r="W1983">
        <v>0</v>
      </c>
      <c r="X1983">
        <v>1001</v>
      </c>
      <c r="Y1983" t="s">
        <v>47</v>
      </c>
      <c r="Z1983">
        <v>1</v>
      </c>
      <c r="AA1983">
        <v>161</v>
      </c>
      <c r="AB1983" t="s">
        <v>47</v>
      </c>
      <c r="AC1983">
        <v>0.16</v>
      </c>
      <c r="AD1983">
        <v>203</v>
      </c>
      <c r="AE1983" t="s">
        <v>56</v>
      </c>
      <c r="AF1983">
        <v>0.20200000000000001</v>
      </c>
      <c r="AG1983">
        <v>23</v>
      </c>
      <c r="AH1983" t="s">
        <v>103</v>
      </c>
      <c r="AI1983">
        <v>2.1999999999999999E-2</v>
      </c>
      <c r="AJ1983" t="s">
        <v>1141</v>
      </c>
    </row>
    <row r="1984" spans="1:36" x14ac:dyDescent="0.25">
      <c r="A1984" t="s">
        <v>493</v>
      </c>
      <c r="B1984">
        <v>852507967</v>
      </c>
      <c r="C1984" t="s">
        <v>494</v>
      </c>
      <c r="D1984" t="s">
        <v>494</v>
      </c>
      <c r="E1984" t="s">
        <v>99</v>
      </c>
      <c r="F1984" t="s">
        <v>136</v>
      </c>
      <c r="I1984" t="s">
        <v>39</v>
      </c>
      <c r="J1984" t="s">
        <v>40</v>
      </c>
      <c r="K1984" t="s">
        <v>41</v>
      </c>
      <c r="L1984" t="s">
        <v>151</v>
      </c>
      <c r="M1984" t="s">
        <v>282</v>
      </c>
      <c r="N1984" t="s">
        <v>43</v>
      </c>
      <c r="O1984" t="s">
        <v>495</v>
      </c>
      <c r="P1984">
        <v>293</v>
      </c>
      <c r="Q1984">
        <v>293</v>
      </c>
      <c r="R1984">
        <v>111</v>
      </c>
      <c r="S1984" t="s">
        <v>56</v>
      </c>
      <c r="T1984">
        <v>0.11</v>
      </c>
      <c r="U1984">
        <v>1</v>
      </c>
      <c r="V1984" t="s">
        <v>55</v>
      </c>
      <c r="W1984">
        <v>0</v>
      </c>
      <c r="X1984">
        <v>1001</v>
      </c>
      <c r="Y1984" t="s">
        <v>47</v>
      </c>
      <c r="Z1984">
        <v>1</v>
      </c>
      <c r="AA1984">
        <v>161</v>
      </c>
      <c r="AB1984" t="s">
        <v>47</v>
      </c>
      <c r="AC1984">
        <v>0.16</v>
      </c>
      <c r="AD1984">
        <v>203</v>
      </c>
      <c r="AE1984" t="s">
        <v>56</v>
      </c>
      <c r="AF1984">
        <v>0.20200000000000001</v>
      </c>
      <c r="AG1984">
        <v>23</v>
      </c>
      <c r="AH1984" t="s">
        <v>103</v>
      </c>
      <c r="AI1984">
        <v>2.1999999999999999E-2</v>
      </c>
      <c r="AJ1984" t="s">
        <v>1153</v>
      </c>
    </row>
    <row r="1985" spans="1:36" x14ac:dyDescent="0.25">
      <c r="A1985" t="s">
        <v>493</v>
      </c>
      <c r="B1985">
        <v>852507967</v>
      </c>
      <c r="C1985" t="s">
        <v>494</v>
      </c>
      <c r="D1985" t="s">
        <v>494</v>
      </c>
      <c r="E1985" t="s">
        <v>60</v>
      </c>
      <c r="F1985" t="s">
        <v>136</v>
      </c>
      <c r="I1985" t="s">
        <v>39</v>
      </c>
      <c r="J1985" t="s">
        <v>40</v>
      </c>
      <c r="K1985" t="s">
        <v>41</v>
      </c>
      <c r="L1985" t="s">
        <v>151</v>
      </c>
      <c r="M1985" t="s">
        <v>282</v>
      </c>
      <c r="N1985" t="s">
        <v>43</v>
      </c>
      <c r="O1985" t="s">
        <v>495</v>
      </c>
      <c r="P1985">
        <v>293</v>
      </c>
      <c r="Q1985">
        <v>293</v>
      </c>
      <c r="R1985">
        <v>111</v>
      </c>
      <c r="S1985" t="s">
        <v>56</v>
      </c>
      <c r="T1985">
        <v>0.11</v>
      </c>
      <c r="U1985">
        <v>1</v>
      </c>
      <c r="V1985" t="s">
        <v>55</v>
      </c>
      <c r="W1985">
        <v>0</v>
      </c>
      <c r="X1985">
        <v>1001</v>
      </c>
      <c r="Y1985" t="s">
        <v>47</v>
      </c>
      <c r="Z1985">
        <v>1</v>
      </c>
      <c r="AA1985">
        <v>161</v>
      </c>
      <c r="AB1985" t="s">
        <v>47</v>
      </c>
      <c r="AC1985">
        <v>0.16</v>
      </c>
      <c r="AD1985">
        <v>203</v>
      </c>
      <c r="AE1985" t="s">
        <v>56</v>
      </c>
      <c r="AF1985">
        <v>0.20200000000000001</v>
      </c>
      <c r="AG1985">
        <v>23</v>
      </c>
      <c r="AH1985" t="s">
        <v>103</v>
      </c>
      <c r="AI1985">
        <v>2.1999999999999999E-2</v>
      </c>
      <c r="AJ1985" t="s">
        <v>1153</v>
      </c>
    </row>
    <row r="1986" spans="1:36" x14ac:dyDescent="0.25">
      <c r="A1986" t="s">
        <v>493</v>
      </c>
      <c r="B1986">
        <v>852507967</v>
      </c>
      <c r="C1986" t="s">
        <v>494</v>
      </c>
      <c r="D1986" t="s">
        <v>494</v>
      </c>
      <c r="E1986" t="s">
        <v>99</v>
      </c>
      <c r="F1986" t="s">
        <v>136</v>
      </c>
      <c r="I1986" t="s">
        <v>39</v>
      </c>
      <c r="J1986" t="s">
        <v>40</v>
      </c>
      <c r="K1986" t="s">
        <v>41</v>
      </c>
      <c r="L1986" t="s">
        <v>151</v>
      </c>
      <c r="M1986" t="s">
        <v>282</v>
      </c>
      <c r="N1986" t="s">
        <v>43</v>
      </c>
      <c r="O1986" t="s">
        <v>495</v>
      </c>
      <c r="P1986">
        <v>293</v>
      </c>
      <c r="Q1986">
        <v>293</v>
      </c>
      <c r="R1986">
        <v>111</v>
      </c>
      <c r="S1986" t="s">
        <v>56</v>
      </c>
      <c r="T1986">
        <v>0.11</v>
      </c>
      <c r="U1986">
        <v>1</v>
      </c>
      <c r="V1986" t="s">
        <v>55</v>
      </c>
      <c r="W1986">
        <v>0</v>
      </c>
      <c r="X1986">
        <v>1001</v>
      </c>
      <c r="Y1986" t="s">
        <v>47</v>
      </c>
      <c r="Z1986">
        <v>1</v>
      </c>
      <c r="AA1986">
        <v>161</v>
      </c>
      <c r="AB1986" t="s">
        <v>47</v>
      </c>
      <c r="AC1986">
        <v>0.16</v>
      </c>
      <c r="AD1986">
        <v>203</v>
      </c>
      <c r="AE1986" t="s">
        <v>56</v>
      </c>
      <c r="AF1986">
        <v>0.20200000000000001</v>
      </c>
      <c r="AG1986">
        <v>23</v>
      </c>
      <c r="AH1986" t="s">
        <v>103</v>
      </c>
      <c r="AI1986">
        <v>2.1999999999999999E-2</v>
      </c>
      <c r="AJ1986" t="s">
        <v>1154</v>
      </c>
    </row>
    <row r="1987" spans="1:36" x14ac:dyDescent="0.25">
      <c r="A1987" t="s">
        <v>493</v>
      </c>
      <c r="B1987">
        <v>852507967</v>
      </c>
      <c r="C1987" t="s">
        <v>494</v>
      </c>
      <c r="D1987" t="s">
        <v>494</v>
      </c>
      <c r="E1987" t="s">
        <v>60</v>
      </c>
      <c r="F1987" t="s">
        <v>136</v>
      </c>
      <c r="I1987" t="s">
        <v>39</v>
      </c>
      <c r="J1987" t="s">
        <v>40</v>
      </c>
      <c r="K1987" t="s">
        <v>41</v>
      </c>
      <c r="L1987" t="s">
        <v>151</v>
      </c>
      <c r="M1987" t="s">
        <v>282</v>
      </c>
      <c r="N1987" t="s">
        <v>43</v>
      </c>
      <c r="O1987" t="s">
        <v>495</v>
      </c>
      <c r="P1987">
        <v>293</v>
      </c>
      <c r="Q1987">
        <v>293</v>
      </c>
      <c r="R1987">
        <v>111</v>
      </c>
      <c r="S1987" t="s">
        <v>56</v>
      </c>
      <c r="T1987">
        <v>0.11</v>
      </c>
      <c r="U1987">
        <v>1</v>
      </c>
      <c r="V1987" t="s">
        <v>55</v>
      </c>
      <c r="W1987">
        <v>0</v>
      </c>
      <c r="X1987">
        <v>1001</v>
      </c>
      <c r="Y1987" t="s">
        <v>47</v>
      </c>
      <c r="Z1987">
        <v>1</v>
      </c>
      <c r="AA1987">
        <v>161</v>
      </c>
      <c r="AB1987" t="s">
        <v>47</v>
      </c>
      <c r="AC1987">
        <v>0.16</v>
      </c>
      <c r="AD1987">
        <v>203</v>
      </c>
      <c r="AE1987" t="s">
        <v>56</v>
      </c>
      <c r="AF1987">
        <v>0.20200000000000001</v>
      </c>
      <c r="AG1987">
        <v>23</v>
      </c>
      <c r="AH1987" t="s">
        <v>103</v>
      </c>
      <c r="AI1987">
        <v>2.1999999999999999E-2</v>
      </c>
      <c r="AJ1987" t="s">
        <v>1154</v>
      </c>
    </row>
    <row r="1988" spans="1:36" x14ac:dyDescent="0.25">
      <c r="A1988" t="s">
        <v>493</v>
      </c>
      <c r="B1988">
        <v>852507967</v>
      </c>
      <c r="C1988" t="s">
        <v>494</v>
      </c>
      <c r="D1988" t="s">
        <v>494</v>
      </c>
      <c r="E1988" t="s">
        <v>99</v>
      </c>
      <c r="F1988" t="s">
        <v>136</v>
      </c>
      <c r="I1988" t="s">
        <v>39</v>
      </c>
      <c r="J1988" t="s">
        <v>40</v>
      </c>
      <c r="K1988" t="s">
        <v>41</v>
      </c>
      <c r="L1988" t="s">
        <v>151</v>
      </c>
      <c r="M1988" t="s">
        <v>282</v>
      </c>
      <c r="N1988" t="s">
        <v>43</v>
      </c>
      <c r="O1988" t="s">
        <v>495</v>
      </c>
      <c r="P1988">
        <v>293</v>
      </c>
      <c r="Q1988">
        <v>293</v>
      </c>
      <c r="S1988" t="s">
        <v>39</v>
      </c>
      <c r="V1988" t="s">
        <v>39</v>
      </c>
      <c r="X1988">
        <v>1001</v>
      </c>
      <c r="Y1988" t="s">
        <v>47</v>
      </c>
      <c r="Z1988">
        <v>1</v>
      </c>
      <c r="AA1988">
        <v>161</v>
      </c>
      <c r="AB1988" t="s">
        <v>47</v>
      </c>
      <c r="AC1988">
        <v>0.16</v>
      </c>
      <c r="AD1988">
        <v>203</v>
      </c>
      <c r="AE1988" t="s">
        <v>56</v>
      </c>
      <c r="AF1988">
        <v>0.20200000000000001</v>
      </c>
      <c r="AG1988">
        <v>23</v>
      </c>
      <c r="AH1988" t="s">
        <v>103</v>
      </c>
      <c r="AI1988">
        <v>2.1999999999999999E-2</v>
      </c>
      <c r="AJ1988" t="s">
        <v>1155</v>
      </c>
    </row>
    <row r="1989" spans="1:36" x14ac:dyDescent="0.25">
      <c r="A1989" t="s">
        <v>493</v>
      </c>
      <c r="B1989">
        <v>852507967</v>
      </c>
      <c r="C1989" t="s">
        <v>494</v>
      </c>
      <c r="D1989" t="s">
        <v>494</v>
      </c>
      <c r="E1989" t="s">
        <v>60</v>
      </c>
      <c r="F1989" t="s">
        <v>136</v>
      </c>
      <c r="I1989" t="s">
        <v>39</v>
      </c>
      <c r="J1989" t="s">
        <v>40</v>
      </c>
      <c r="K1989" t="s">
        <v>41</v>
      </c>
      <c r="L1989" t="s">
        <v>151</v>
      </c>
      <c r="M1989" t="s">
        <v>282</v>
      </c>
      <c r="N1989" t="s">
        <v>43</v>
      </c>
      <c r="O1989" t="s">
        <v>495</v>
      </c>
      <c r="P1989">
        <v>293</v>
      </c>
      <c r="Q1989">
        <v>293</v>
      </c>
      <c r="S1989" t="s">
        <v>39</v>
      </c>
      <c r="V1989" t="s">
        <v>39</v>
      </c>
      <c r="X1989">
        <v>1001</v>
      </c>
      <c r="Y1989" t="s">
        <v>47</v>
      </c>
      <c r="Z1989">
        <v>1</v>
      </c>
      <c r="AA1989">
        <v>161</v>
      </c>
      <c r="AB1989" t="s">
        <v>47</v>
      </c>
      <c r="AC1989">
        <v>0.16</v>
      </c>
      <c r="AD1989">
        <v>203</v>
      </c>
      <c r="AE1989" t="s">
        <v>56</v>
      </c>
      <c r="AF1989">
        <v>0.20200000000000001</v>
      </c>
      <c r="AG1989">
        <v>23</v>
      </c>
      <c r="AH1989" t="s">
        <v>103</v>
      </c>
      <c r="AI1989">
        <v>2.1999999999999999E-2</v>
      </c>
      <c r="AJ1989" t="s">
        <v>1155</v>
      </c>
    </row>
    <row r="1990" spans="1:36" x14ac:dyDescent="0.25">
      <c r="A1990" t="s">
        <v>491</v>
      </c>
      <c r="B1990">
        <v>856159316</v>
      </c>
      <c r="C1990" t="s">
        <v>492</v>
      </c>
      <c r="D1990" t="s">
        <v>492</v>
      </c>
      <c r="E1990" t="s">
        <v>60</v>
      </c>
      <c r="F1990" t="s">
        <v>88</v>
      </c>
      <c r="I1990" t="s">
        <v>39</v>
      </c>
      <c r="J1990" t="s">
        <v>40</v>
      </c>
      <c r="K1990" t="s">
        <v>41</v>
      </c>
      <c r="L1990" t="s">
        <v>131</v>
      </c>
      <c r="M1990" t="s">
        <v>73</v>
      </c>
      <c r="N1990" t="s">
        <v>43</v>
      </c>
      <c r="O1990" t="s">
        <v>295</v>
      </c>
      <c r="P1990">
        <v>294</v>
      </c>
      <c r="Q1990">
        <v>294</v>
      </c>
      <c r="R1990">
        <v>21</v>
      </c>
      <c r="S1990" t="s">
        <v>45</v>
      </c>
      <c r="T1990">
        <v>0.02</v>
      </c>
      <c r="U1990">
        <v>42</v>
      </c>
      <c r="V1990" t="s">
        <v>55</v>
      </c>
      <c r="W1990">
        <v>4.1000000000000002E-2</v>
      </c>
      <c r="X1990">
        <v>14001</v>
      </c>
      <c r="Y1990" t="s">
        <v>47</v>
      </c>
      <c r="Z1990">
        <v>14</v>
      </c>
      <c r="AA1990">
        <v>168</v>
      </c>
      <c r="AB1990" t="s">
        <v>47</v>
      </c>
      <c r="AC1990">
        <v>0.16700000000000001</v>
      </c>
      <c r="AD1990">
        <v>483</v>
      </c>
      <c r="AE1990" t="s">
        <v>56</v>
      </c>
      <c r="AF1990">
        <v>0.48199999999999998</v>
      </c>
      <c r="AG1990">
        <v>546</v>
      </c>
      <c r="AH1990" t="s">
        <v>49</v>
      </c>
      <c r="AI1990">
        <v>0.54500000000000004</v>
      </c>
      <c r="AJ1990" t="s">
        <v>50</v>
      </c>
    </row>
    <row r="1991" spans="1:36" x14ac:dyDescent="0.25">
      <c r="A1991" t="s">
        <v>491</v>
      </c>
      <c r="B1991">
        <v>856159316</v>
      </c>
      <c r="C1991" t="s">
        <v>492</v>
      </c>
      <c r="D1991" t="s">
        <v>492</v>
      </c>
      <c r="E1991" t="s">
        <v>60</v>
      </c>
      <c r="F1991" t="s">
        <v>88</v>
      </c>
      <c r="I1991" t="s">
        <v>39</v>
      </c>
      <c r="J1991" t="s">
        <v>40</v>
      </c>
      <c r="K1991" t="s">
        <v>41</v>
      </c>
      <c r="L1991" t="s">
        <v>131</v>
      </c>
      <c r="M1991" t="s">
        <v>73</v>
      </c>
      <c r="N1991" t="s">
        <v>43</v>
      </c>
      <c r="O1991" t="s">
        <v>295</v>
      </c>
      <c r="P1991">
        <v>294</v>
      </c>
      <c r="Q1991">
        <v>294</v>
      </c>
      <c r="R1991">
        <v>31</v>
      </c>
      <c r="S1991" t="s">
        <v>45</v>
      </c>
      <c r="T1991">
        <v>0.03</v>
      </c>
      <c r="U1991">
        <v>7</v>
      </c>
      <c r="V1991" t="s">
        <v>55</v>
      </c>
      <c r="W1991">
        <v>6.0000000000000001E-3</v>
      </c>
      <c r="X1991">
        <v>14001</v>
      </c>
      <c r="Y1991" t="s">
        <v>47</v>
      </c>
      <c r="Z1991">
        <v>14</v>
      </c>
      <c r="AA1991">
        <v>168</v>
      </c>
      <c r="AB1991" t="s">
        <v>47</v>
      </c>
      <c r="AC1991">
        <v>0.16700000000000001</v>
      </c>
      <c r="AD1991">
        <v>483</v>
      </c>
      <c r="AE1991" t="s">
        <v>56</v>
      </c>
      <c r="AF1991">
        <v>0.48199999999999998</v>
      </c>
      <c r="AG1991">
        <v>546</v>
      </c>
      <c r="AH1991" t="s">
        <v>49</v>
      </c>
      <c r="AI1991">
        <v>0.54500000000000004</v>
      </c>
      <c r="AJ1991" t="s">
        <v>1141</v>
      </c>
    </row>
    <row r="1992" spans="1:36" x14ac:dyDescent="0.25">
      <c r="A1992" t="s">
        <v>491</v>
      </c>
      <c r="B1992">
        <v>856159316</v>
      </c>
      <c r="C1992" t="s">
        <v>492</v>
      </c>
      <c r="D1992" t="s">
        <v>492</v>
      </c>
      <c r="E1992" t="s">
        <v>60</v>
      </c>
      <c r="F1992" t="s">
        <v>88</v>
      </c>
      <c r="I1992" t="s">
        <v>39</v>
      </c>
      <c r="J1992" t="s">
        <v>40</v>
      </c>
      <c r="K1992" t="s">
        <v>41</v>
      </c>
      <c r="L1992" t="s">
        <v>131</v>
      </c>
      <c r="M1992" t="s">
        <v>73</v>
      </c>
      <c r="N1992" t="s">
        <v>43</v>
      </c>
      <c r="O1992" t="s">
        <v>295</v>
      </c>
      <c r="P1992">
        <v>294</v>
      </c>
      <c r="Q1992">
        <v>294</v>
      </c>
      <c r="R1992">
        <v>21</v>
      </c>
      <c r="S1992" t="s">
        <v>45</v>
      </c>
      <c r="T1992">
        <v>0.02</v>
      </c>
      <c r="U1992">
        <v>42</v>
      </c>
      <c r="V1992" t="s">
        <v>55</v>
      </c>
      <c r="W1992">
        <v>4.1000000000000002E-2</v>
      </c>
      <c r="X1992">
        <v>14001</v>
      </c>
      <c r="Y1992" t="s">
        <v>47</v>
      </c>
      <c r="Z1992">
        <v>14</v>
      </c>
      <c r="AA1992">
        <v>168</v>
      </c>
      <c r="AB1992" t="s">
        <v>47</v>
      </c>
      <c r="AC1992">
        <v>0.16700000000000001</v>
      </c>
      <c r="AD1992">
        <v>483</v>
      </c>
      <c r="AE1992" t="s">
        <v>56</v>
      </c>
      <c r="AF1992">
        <v>0.48199999999999998</v>
      </c>
      <c r="AG1992">
        <v>546</v>
      </c>
      <c r="AH1992" t="s">
        <v>49</v>
      </c>
      <c r="AI1992">
        <v>0.54500000000000004</v>
      </c>
      <c r="AJ1992" t="s">
        <v>1153</v>
      </c>
    </row>
    <row r="1993" spans="1:36" x14ac:dyDescent="0.25">
      <c r="A1993" t="s">
        <v>491</v>
      </c>
      <c r="B1993">
        <v>856159316</v>
      </c>
      <c r="C1993" t="s">
        <v>492</v>
      </c>
      <c r="D1993" t="s">
        <v>492</v>
      </c>
      <c r="E1993" t="s">
        <v>60</v>
      </c>
      <c r="F1993" t="s">
        <v>88</v>
      </c>
      <c r="I1993" t="s">
        <v>39</v>
      </c>
      <c r="J1993" t="s">
        <v>40</v>
      </c>
      <c r="K1993" t="s">
        <v>41</v>
      </c>
      <c r="L1993" t="s">
        <v>131</v>
      </c>
      <c r="M1993" t="s">
        <v>73</v>
      </c>
      <c r="N1993" t="s">
        <v>43</v>
      </c>
      <c r="O1993" t="s">
        <v>295</v>
      </c>
      <c r="P1993">
        <v>294</v>
      </c>
      <c r="Q1993">
        <v>294</v>
      </c>
      <c r="R1993">
        <v>21</v>
      </c>
      <c r="S1993" t="s">
        <v>45</v>
      </c>
      <c r="T1993">
        <v>0.02</v>
      </c>
      <c r="U1993">
        <v>42</v>
      </c>
      <c r="V1993" t="s">
        <v>55</v>
      </c>
      <c r="W1993">
        <v>4.1000000000000002E-2</v>
      </c>
      <c r="X1993">
        <v>14001</v>
      </c>
      <c r="Y1993" t="s">
        <v>47</v>
      </c>
      <c r="Z1993">
        <v>14</v>
      </c>
      <c r="AA1993">
        <v>168</v>
      </c>
      <c r="AB1993" t="s">
        <v>47</v>
      </c>
      <c r="AC1993">
        <v>0.16700000000000001</v>
      </c>
      <c r="AD1993">
        <v>483</v>
      </c>
      <c r="AE1993" t="s">
        <v>56</v>
      </c>
      <c r="AF1993">
        <v>0.48199999999999998</v>
      </c>
      <c r="AG1993">
        <v>546</v>
      </c>
      <c r="AH1993" t="s">
        <v>49</v>
      </c>
      <c r="AI1993">
        <v>0.54500000000000004</v>
      </c>
      <c r="AJ1993" t="s">
        <v>1154</v>
      </c>
    </row>
    <row r="1994" spans="1:36" x14ac:dyDescent="0.25">
      <c r="A1994" t="s">
        <v>491</v>
      </c>
      <c r="B1994">
        <v>856159316</v>
      </c>
      <c r="C1994" t="s">
        <v>492</v>
      </c>
      <c r="D1994" t="s">
        <v>492</v>
      </c>
      <c r="E1994" t="s">
        <v>60</v>
      </c>
      <c r="F1994" t="s">
        <v>88</v>
      </c>
      <c r="I1994" t="s">
        <v>39</v>
      </c>
      <c r="J1994" t="s">
        <v>40</v>
      </c>
      <c r="K1994" t="s">
        <v>41</v>
      </c>
      <c r="L1994" t="s">
        <v>131</v>
      </c>
      <c r="M1994" t="s">
        <v>73</v>
      </c>
      <c r="N1994" t="s">
        <v>43</v>
      </c>
      <c r="O1994" t="s">
        <v>295</v>
      </c>
      <c r="P1994">
        <v>294</v>
      </c>
      <c r="Q1994">
        <v>294</v>
      </c>
      <c r="S1994" t="s">
        <v>39</v>
      </c>
      <c r="V1994" t="s">
        <v>39</v>
      </c>
      <c r="X1994">
        <v>14001</v>
      </c>
      <c r="Y1994" t="s">
        <v>47</v>
      </c>
      <c r="Z1994">
        <v>14</v>
      </c>
      <c r="AA1994">
        <v>168</v>
      </c>
      <c r="AB1994" t="s">
        <v>47</v>
      </c>
      <c r="AC1994">
        <v>0.16700000000000001</v>
      </c>
      <c r="AD1994">
        <v>483</v>
      </c>
      <c r="AE1994" t="s">
        <v>56</v>
      </c>
      <c r="AF1994">
        <v>0.48199999999999998</v>
      </c>
      <c r="AG1994">
        <v>546</v>
      </c>
      <c r="AH1994" t="s">
        <v>49</v>
      </c>
      <c r="AI1994">
        <v>0.54500000000000004</v>
      </c>
      <c r="AJ1994" t="s">
        <v>1155</v>
      </c>
    </row>
    <row r="1995" spans="1:36" x14ac:dyDescent="0.25">
      <c r="A1995" t="s">
        <v>488</v>
      </c>
      <c r="B1995">
        <v>871351447</v>
      </c>
      <c r="C1995" t="s">
        <v>489</v>
      </c>
      <c r="D1995" t="s">
        <v>489</v>
      </c>
      <c r="E1995" t="s">
        <v>99</v>
      </c>
      <c r="F1995" t="s">
        <v>107</v>
      </c>
      <c r="I1995" t="s">
        <v>39</v>
      </c>
      <c r="J1995" t="s">
        <v>40</v>
      </c>
      <c r="K1995" t="s">
        <v>41</v>
      </c>
      <c r="L1995" t="s">
        <v>78</v>
      </c>
      <c r="N1995" t="s">
        <v>43</v>
      </c>
      <c r="O1995" t="s">
        <v>490</v>
      </c>
      <c r="P1995">
        <v>295</v>
      </c>
      <c r="Q1995">
        <v>295</v>
      </c>
      <c r="R1995">
        <v>421</v>
      </c>
      <c r="S1995" t="s">
        <v>56</v>
      </c>
      <c r="T1995">
        <v>0.42</v>
      </c>
      <c r="U1995">
        <v>422</v>
      </c>
      <c r="V1995" t="s">
        <v>55</v>
      </c>
      <c r="W1995">
        <v>0.42099999999999999</v>
      </c>
      <c r="X1995">
        <v>1</v>
      </c>
      <c r="Y1995" t="s">
        <v>47</v>
      </c>
      <c r="Z1995">
        <v>0</v>
      </c>
      <c r="AA1995">
        <v>227</v>
      </c>
      <c r="AB1995" t="s">
        <v>47</v>
      </c>
      <c r="AC1995">
        <v>0.22600000000000001</v>
      </c>
      <c r="AD1995">
        <v>313</v>
      </c>
      <c r="AE1995" t="s">
        <v>56</v>
      </c>
      <c r="AF1995">
        <v>0.312</v>
      </c>
      <c r="AG1995">
        <v>329</v>
      </c>
      <c r="AH1995" t="s">
        <v>57</v>
      </c>
      <c r="AI1995">
        <v>0.32800000000000001</v>
      </c>
      <c r="AJ1995" t="s">
        <v>50</v>
      </c>
    </row>
    <row r="1996" spans="1:36" x14ac:dyDescent="0.25">
      <c r="A1996" t="s">
        <v>488</v>
      </c>
      <c r="B1996">
        <v>871351447</v>
      </c>
      <c r="C1996" t="s">
        <v>489</v>
      </c>
      <c r="D1996" t="s">
        <v>489</v>
      </c>
      <c r="E1996" t="s">
        <v>99</v>
      </c>
      <c r="F1996" t="s">
        <v>107</v>
      </c>
      <c r="I1996" t="s">
        <v>39</v>
      </c>
      <c r="J1996" t="s">
        <v>40</v>
      </c>
      <c r="K1996" t="s">
        <v>41</v>
      </c>
      <c r="L1996" t="s">
        <v>78</v>
      </c>
      <c r="N1996" t="s">
        <v>43</v>
      </c>
      <c r="O1996" t="s">
        <v>490</v>
      </c>
      <c r="P1996">
        <v>295</v>
      </c>
      <c r="Q1996">
        <v>295</v>
      </c>
      <c r="R1996">
        <v>421</v>
      </c>
      <c r="S1996" t="s">
        <v>56</v>
      </c>
      <c r="T1996">
        <v>0.42</v>
      </c>
      <c r="U1996">
        <v>340</v>
      </c>
      <c r="V1996" t="s">
        <v>55</v>
      </c>
      <c r="W1996">
        <v>0.33900000000000002</v>
      </c>
      <c r="X1996">
        <v>1</v>
      </c>
      <c r="Y1996" t="s">
        <v>47</v>
      </c>
      <c r="Z1996">
        <v>0</v>
      </c>
      <c r="AA1996">
        <v>227</v>
      </c>
      <c r="AB1996" t="s">
        <v>47</v>
      </c>
      <c r="AC1996">
        <v>0.22600000000000001</v>
      </c>
      <c r="AD1996">
        <v>313</v>
      </c>
      <c r="AE1996" t="s">
        <v>56</v>
      </c>
      <c r="AF1996">
        <v>0.312</v>
      </c>
      <c r="AG1996">
        <v>329</v>
      </c>
      <c r="AH1996" t="s">
        <v>57</v>
      </c>
      <c r="AI1996">
        <v>0.32800000000000001</v>
      </c>
      <c r="AJ1996" t="s">
        <v>1141</v>
      </c>
    </row>
    <row r="1997" spans="1:36" x14ac:dyDescent="0.25">
      <c r="A1997" t="s">
        <v>488</v>
      </c>
      <c r="B1997">
        <v>871351447</v>
      </c>
      <c r="C1997" t="s">
        <v>489</v>
      </c>
      <c r="D1997" t="s">
        <v>489</v>
      </c>
      <c r="E1997" t="s">
        <v>99</v>
      </c>
      <c r="F1997" t="s">
        <v>107</v>
      </c>
      <c r="I1997" t="s">
        <v>39</v>
      </c>
      <c r="J1997" t="s">
        <v>40</v>
      </c>
      <c r="K1997" t="s">
        <v>41</v>
      </c>
      <c r="L1997" t="s">
        <v>78</v>
      </c>
      <c r="N1997" t="s">
        <v>43</v>
      </c>
      <c r="O1997" t="s">
        <v>490</v>
      </c>
      <c r="P1997">
        <v>295</v>
      </c>
      <c r="Q1997">
        <v>295</v>
      </c>
      <c r="R1997">
        <v>421</v>
      </c>
      <c r="S1997" t="s">
        <v>56</v>
      </c>
      <c r="T1997">
        <v>0.42</v>
      </c>
      <c r="U1997">
        <v>422</v>
      </c>
      <c r="V1997" t="s">
        <v>55</v>
      </c>
      <c r="W1997">
        <v>0.42099999999999999</v>
      </c>
      <c r="X1997">
        <v>1</v>
      </c>
      <c r="Y1997" t="s">
        <v>47</v>
      </c>
      <c r="Z1997">
        <v>0</v>
      </c>
      <c r="AA1997">
        <v>227</v>
      </c>
      <c r="AB1997" t="s">
        <v>47</v>
      </c>
      <c r="AC1997">
        <v>0.22600000000000001</v>
      </c>
      <c r="AD1997">
        <v>313</v>
      </c>
      <c r="AE1997" t="s">
        <v>56</v>
      </c>
      <c r="AF1997">
        <v>0.312</v>
      </c>
      <c r="AG1997">
        <v>329</v>
      </c>
      <c r="AH1997" t="s">
        <v>57</v>
      </c>
      <c r="AI1997">
        <v>0.32800000000000001</v>
      </c>
      <c r="AJ1997" t="s">
        <v>1153</v>
      </c>
    </row>
    <row r="1998" spans="1:36" x14ac:dyDescent="0.25">
      <c r="A1998" t="s">
        <v>488</v>
      </c>
      <c r="B1998">
        <v>871351447</v>
      </c>
      <c r="C1998" t="s">
        <v>489</v>
      </c>
      <c r="D1998" t="s">
        <v>489</v>
      </c>
      <c r="E1998" t="s">
        <v>99</v>
      </c>
      <c r="F1998" t="s">
        <v>107</v>
      </c>
      <c r="I1998" t="s">
        <v>39</v>
      </c>
      <c r="J1998" t="s">
        <v>40</v>
      </c>
      <c r="K1998" t="s">
        <v>41</v>
      </c>
      <c r="L1998" t="s">
        <v>78</v>
      </c>
      <c r="N1998" t="s">
        <v>43</v>
      </c>
      <c r="O1998" t="s">
        <v>490</v>
      </c>
      <c r="P1998">
        <v>295</v>
      </c>
      <c r="Q1998">
        <v>295</v>
      </c>
      <c r="R1998">
        <v>421</v>
      </c>
      <c r="S1998" t="s">
        <v>56</v>
      </c>
      <c r="T1998">
        <v>0.42</v>
      </c>
      <c r="U1998">
        <v>422</v>
      </c>
      <c r="V1998" t="s">
        <v>55</v>
      </c>
      <c r="W1998">
        <v>0.42099999999999999</v>
      </c>
      <c r="X1998">
        <v>1</v>
      </c>
      <c r="Y1998" t="s">
        <v>47</v>
      </c>
      <c r="Z1998">
        <v>0</v>
      </c>
      <c r="AA1998">
        <v>227</v>
      </c>
      <c r="AB1998" t="s">
        <v>47</v>
      </c>
      <c r="AC1998">
        <v>0.22600000000000001</v>
      </c>
      <c r="AD1998">
        <v>313</v>
      </c>
      <c r="AE1998" t="s">
        <v>56</v>
      </c>
      <c r="AF1998">
        <v>0.312</v>
      </c>
      <c r="AG1998">
        <v>329</v>
      </c>
      <c r="AH1998" t="s">
        <v>57</v>
      </c>
      <c r="AI1998">
        <v>0.32800000000000001</v>
      </c>
      <c r="AJ1998" t="s">
        <v>1154</v>
      </c>
    </row>
    <row r="1999" spans="1:36" x14ac:dyDescent="0.25">
      <c r="A1999" t="s">
        <v>488</v>
      </c>
      <c r="B1999">
        <v>871351447</v>
      </c>
      <c r="C1999" t="s">
        <v>489</v>
      </c>
      <c r="D1999" t="s">
        <v>489</v>
      </c>
      <c r="E1999" t="s">
        <v>99</v>
      </c>
      <c r="F1999" t="s">
        <v>107</v>
      </c>
      <c r="I1999" t="s">
        <v>39</v>
      </c>
      <c r="J1999" t="s">
        <v>40</v>
      </c>
      <c r="K1999" t="s">
        <v>41</v>
      </c>
      <c r="L1999" t="s">
        <v>78</v>
      </c>
      <c r="N1999" t="s">
        <v>43</v>
      </c>
      <c r="O1999" t="s">
        <v>490</v>
      </c>
      <c r="P1999">
        <v>295</v>
      </c>
      <c r="Q1999">
        <v>295</v>
      </c>
      <c r="S1999" t="s">
        <v>39</v>
      </c>
      <c r="V1999" t="s">
        <v>39</v>
      </c>
      <c r="X1999">
        <v>1</v>
      </c>
      <c r="Y1999" t="s">
        <v>47</v>
      </c>
      <c r="Z1999">
        <v>0</v>
      </c>
      <c r="AA1999">
        <v>227</v>
      </c>
      <c r="AB1999" t="s">
        <v>47</v>
      </c>
      <c r="AC1999">
        <v>0.22600000000000001</v>
      </c>
      <c r="AD1999">
        <v>313</v>
      </c>
      <c r="AE1999" t="s">
        <v>56</v>
      </c>
      <c r="AF1999">
        <v>0.312</v>
      </c>
      <c r="AG1999">
        <v>329</v>
      </c>
      <c r="AH1999" t="s">
        <v>57</v>
      </c>
      <c r="AI1999">
        <v>0.32800000000000001</v>
      </c>
      <c r="AJ1999" t="s">
        <v>1155</v>
      </c>
    </row>
    <row r="2000" spans="1:36" x14ac:dyDescent="0.25">
      <c r="A2000" t="s">
        <v>486</v>
      </c>
      <c r="B2000">
        <v>855537901</v>
      </c>
      <c r="C2000" t="s">
        <v>487</v>
      </c>
      <c r="D2000" t="s">
        <v>487</v>
      </c>
      <c r="E2000" t="s">
        <v>37</v>
      </c>
      <c r="F2000" t="s">
        <v>122</v>
      </c>
      <c r="I2000" t="s">
        <v>39</v>
      </c>
      <c r="J2000" t="s">
        <v>40</v>
      </c>
      <c r="K2000" t="s">
        <v>41</v>
      </c>
      <c r="L2000" t="s">
        <v>248</v>
      </c>
      <c r="M2000" t="s">
        <v>73</v>
      </c>
      <c r="N2000" t="s">
        <v>43</v>
      </c>
      <c r="O2000" t="s">
        <v>138</v>
      </c>
      <c r="P2000">
        <v>297</v>
      </c>
      <c r="Q2000">
        <v>297</v>
      </c>
      <c r="R2000">
        <v>21</v>
      </c>
      <c r="S2000" t="s">
        <v>45</v>
      </c>
      <c r="T2000">
        <v>0.02</v>
      </c>
      <c r="U2000">
        <v>8</v>
      </c>
      <c r="V2000" t="s">
        <v>55</v>
      </c>
      <c r="W2000">
        <v>7.0000000000000001E-3</v>
      </c>
      <c r="X2000">
        <v>1001</v>
      </c>
      <c r="Y2000" t="s">
        <v>47</v>
      </c>
      <c r="Z2000">
        <v>1</v>
      </c>
      <c r="AA2000">
        <v>171</v>
      </c>
      <c r="AB2000" t="s">
        <v>47</v>
      </c>
      <c r="AC2000">
        <v>0.17</v>
      </c>
      <c r="AD2000">
        <v>326</v>
      </c>
      <c r="AE2000" t="s">
        <v>56</v>
      </c>
      <c r="AF2000">
        <v>0.32500000000000001</v>
      </c>
      <c r="AG2000">
        <v>202</v>
      </c>
      <c r="AH2000" t="s">
        <v>57</v>
      </c>
      <c r="AI2000">
        <v>0.20100000000000001</v>
      </c>
      <c r="AJ2000" t="s">
        <v>50</v>
      </c>
    </row>
    <row r="2001" spans="1:36" x14ac:dyDescent="0.25">
      <c r="A2001" t="s">
        <v>486</v>
      </c>
      <c r="B2001">
        <v>855537901</v>
      </c>
      <c r="C2001" t="s">
        <v>487</v>
      </c>
      <c r="D2001" t="s">
        <v>487</v>
      </c>
      <c r="E2001" t="s">
        <v>60</v>
      </c>
      <c r="F2001" t="s">
        <v>122</v>
      </c>
      <c r="I2001" t="s">
        <v>39</v>
      </c>
      <c r="J2001" t="s">
        <v>40</v>
      </c>
      <c r="K2001" t="s">
        <v>41</v>
      </c>
      <c r="L2001" t="s">
        <v>248</v>
      </c>
      <c r="M2001" t="s">
        <v>73</v>
      </c>
      <c r="N2001" t="s">
        <v>43</v>
      </c>
      <c r="O2001" t="s">
        <v>140</v>
      </c>
      <c r="P2001">
        <v>297</v>
      </c>
      <c r="Q2001">
        <v>297</v>
      </c>
      <c r="R2001">
        <v>81</v>
      </c>
      <c r="S2001" t="s">
        <v>56</v>
      </c>
      <c r="T2001">
        <v>0.08</v>
      </c>
      <c r="U2001">
        <v>59</v>
      </c>
      <c r="V2001" t="s">
        <v>55</v>
      </c>
      <c r="W2001">
        <v>5.8000000000000003E-2</v>
      </c>
      <c r="X2001">
        <v>1</v>
      </c>
      <c r="Y2001" t="s">
        <v>47</v>
      </c>
      <c r="Z2001">
        <v>0</v>
      </c>
      <c r="AA2001">
        <v>86</v>
      </c>
      <c r="AB2001" t="s">
        <v>47</v>
      </c>
      <c r="AC2001">
        <v>8.5000000000000006E-2</v>
      </c>
      <c r="AD2001">
        <v>267</v>
      </c>
      <c r="AE2001" t="s">
        <v>56</v>
      </c>
      <c r="AF2001">
        <v>0.26600000000000001</v>
      </c>
      <c r="AG2001">
        <v>189</v>
      </c>
      <c r="AH2001" t="s">
        <v>103</v>
      </c>
      <c r="AI2001">
        <v>0.188</v>
      </c>
      <c r="AJ2001" t="s">
        <v>50</v>
      </c>
    </row>
    <row r="2002" spans="1:36" x14ac:dyDescent="0.25">
      <c r="A2002" t="s">
        <v>486</v>
      </c>
      <c r="B2002">
        <v>855537901</v>
      </c>
      <c r="C2002" t="s">
        <v>487</v>
      </c>
      <c r="D2002" t="s">
        <v>487</v>
      </c>
      <c r="E2002" t="s">
        <v>37</v>
      </c>
      <c r="F2002" t="s">
        <v>122</v>
      </c>
      <c r="I2002" t="s">
        <v>39</v>
      </c>
      <c r="J2002" t="s">
        <v>40</v>
      </c>
      <c r="K2002" t="s">
        <v>41</v>
      </c>
      <c r="L2002" t="s">
        <v>248</v>
      </c>
      <c r="M2002" t="s">
        <v>73</v>
      </c>
      <c r="N2002" t="s">
        <v>43</v>
      </c>
      <c r="O2002" t="s">
        <v>138</v>
      </c>
      <c r="P2002">
        <v>297</v>
      </c>
      <c r="Q2002">
        <v>297</v>
      </c>
      <c r="R2002">
        <v>91</v>
      </c>
      <c r="S2002" t="s">
        <v>56</v>
      </c>
      <c r="T2002">
        <v>0.09</v>
      </c>
      <c r="U2002">
        <v>14</v>
      </c>
      <c r="V2002" t="s">
        <v>55</v>
      </c>
      <c r="W2002">
        <v>1.2999999999999999E-2</v>
      </c>
      <c r="X2002">
        <v>1001</v>
      </c>
      <c r="Y2002" t="s">
        <v>47</v>
      </c>
      <c r="Z2002">
        <v>1</v>
      </c>
      <c r="AA2002">
        <v>171</v>
      </c>
      <c r="AB2002" t="s">
        <v>47</v>
      </c>
      <c r="AC2002">
        <v>0.17</v>
      </c>
      <c r="AD2002">
        <v>326</v>
      </c>
      <c r="AE2002" t="s">
        <v>56</v>
      </c>
      <c r="AF2002">
        <v>0.32500000000000001</v>
      </c>
      <c r="AG2002">
        <v>202</v>
      </c>
      <c r="AH2002" t="s">
        <v>57</v>
      </c>
      <c r="AI2002">
        <v>0.20100000000000001</v>
      </c>
      <c r="AJ2002" t="s">
        <v>1141</v>
      </c>
    </row>
    <row r="2003" spans="1:36" x14ac:dyDescent="0.25">
      <c r="A2003" t="s">
        <v>486</v>
      </c>
      <c r="B2003">
        <v>855537901</v>
      </c>
      <c r="C2003" t="s">
        <v>487</v>
      </c>
      <c r="D2003" t="s">
        <v>487</v>
      </c>
      <c r="E2003" t="s">
        <v>60</v>
      </c>
      <c r="F2003" t="s">
        <v>122</v>
      </c>
      <c r="I2003" t="s">
        <v>39</v>
      </c>
      <c r="J2003" t="s">
        <v>40</v>
      </c>
      <c r="K2003" t="s">
        <v>41</v>
      </c>
      <c r="L2003" t="s">
        <v>248</v>
      </c>
      <c r="M2003" t="s">
        <v>73</v>
      </c>
      <c r="N2003" t="s">
        <v>43</v>
      </c>
      <c r="O2003" t="s">
        <v>140</v>
      </c>
      <c r="P2003">
        <v>297</v>
      </c>
      <c r="Q2003">
        <v>297</v>
      </c>
      <c r="R2003">
        <v>241</v>
      </c>
      <c r="S2003" t="s">
        <v>56</v>
      </c>
      <c r="T2003">
        <v>0.24</v>
      </c>
      <c r="U2003">
        <v>32</v>
      </c>
      <c r="V2003" t="s">
        <v>55</v>
      </c>
      <c r="W2003">
        <v>3.1E-2</v>
      </c>
      <c r="X2003">
        <v>1</v>
      </c>
      <c r="Y2003" t="s">
        <v>47</v>
      </c>
      <c r="Z2003">
        <v>0</v>
      </c>
      <c r="AA2003">
        <v>86</v>
      </c>
      <c r="AB2003" t="s">
        <v>47</v>
      </c>
      <c r="AC2003">
        <v>8.5000000000000006E-2</v>
      </c>
      <c r="AD2003">
        <v>267</v>
      </c>
      <c r="AE2003" t="s">
        <v>56</v>
      </c>
      <c r="AF2003">
        <v>0.26600000000000001</v>
      </c>
      <c r="AG2003">
        <v>189</v>
      </c>
      <c r="AH2003" t="s">
        <v>103</v>
      </c>
      <c r="AI2003">
        <v>0.188</v>
      </c>
      <c r="AJ2003" t="s">
        <v>1141</v>
      </c>
    </row>
    <row r="2004" spans="1:36" x14ac:dyDescent="0.25">
      <c r="A2004" t="s">
        <v>486</v>
      </c>
      <c r="B2004">
        <v>855537901</v>
      </c>
      <c r="C2004" t="s">
        <v>487</v>
      </c>
      <c r="D2004" t="s">
        <v>487</v>
      </c>
      <c r="E2004" t="s">
        <v>37</v>
      </c>
      <c r="F2004" t="s">
        <v>122</v>
      </c>
      <c r="I2004" t="s">
        <v>39</v>
      </c>
      <c r="J2004" t="s">
        <v>40</v>
      </c>
      <c r="K2004" t="s">
        <v>41</v>
      </c>
      <c r="L2004" t="s">
        <v>248</v>
      </c>
      <c r="M2004" t="s">
        <v>73</v>
      </c>
      <c r="N2004" t="s">
        <v>43</v>
      </c>
      <c r="O2004" t="s">
        <v>138</v>
      </c>
      <c r="P2004">
        <v>297</v>
      </c>
      <c r="Q2004">
        <v>297</v>
      </c>
      <c r="R2004">
        <v>21</v>
      </c>
      <c r="S2004" t="s">
        <v>45</v>
      </c>
      <c r="T2004">
        <v>0.02</v>
      </c>
      <c r="U2004">
        <v>8</v>
      </c>
      <c r="V2004" t="s">
        <v>55</v>
      </c>
      <c r="W2004">
        <v>7.0000000000000001E-3</v>
      </c>
      <c r="X2004">
        <v>1001</v>
      </c>
      <c r="Y2004" t="s">
        <v>47</v>
      </c>
      <c r="Z2004">
        <v>1</v>
      </c>
      <c r="AA2004">
        <v>171</v>
      </c>
      <c r="AB2004" t="s">
        <v>47</v>
      </c>
      <c r="AC2004">
        <v>0.17</v>
      </c>
      <c r="AD2004">
        <v>326</v>
      </c>
      <c r="AE2004" t="s">
        <v>56</v>
      </c>
      <c r="AF2004">
        <v>0.32500000000000001</v>
      </c>
      <c r="AG2004">
        <v>202</v>
      </c>
      <c r="AH2004" t="s">
        <v>57</v>
      </c>
      <c r="AI2004">
        <v>0.20100000000000001</v>
      </c>
      <c r="AJ2004" t="s">
        <v>1153</v>
      </c>
    </row>
    <row r="2005" spans="1:36" x14ac:dyDescent="0.25">
      <c r="A2005" t="s">
        <v>486</v>
      </c>
      <c r="B2005">
        <v>855537901</v>
      </c>
      <c r="C2005" t="s">
        <v>487</v>
      </c>
      <c r="D2005" t="s">
        <v>487</v>
      </c>
      <c r="E2005" t="s">
        <v>60</v>
      </c>
      <c r="F2005" t="s">
        <v>122</v>
      </c>
      <c r="I2005" t="s">
        <v>39</v>
      </c>
      <c r="J2005" t="s">
        <v>40</v>
      </c>
      <c r="K2005" t="s">
        <v>41</v>
      </c>
      <c r="L2005" t="s">
        <v>248</v>
      </c>
      <c r="M2005" t="s">
        <v>73</v>
      </c>
      <c r="N2005" t="s">
        <v>43</v>
      </c>
      <c r="O2005" t="s">
        <v>140</v>
      </c>
      <c r="P2005">
        <v>297</v>
      </c>
      <c r="Q2005">
        <v>297</v>
      </c>
      <c r="R2005">
        <v>81</v>
      </c>
      <c r="S2005" t="s">
        <v>56</v>
      </c>
      <c r="T2005">
        <v>0.08</v>
      </c>
      <c r="U2005">
        <v>59</v>
      </c>
      <c r="V2005" t="s">
        <v>55</v>
      </c>
      <c r="W2005">
        <v>5.8000000000000003E-2</v>
      </c>
      <c r="X2005">
        <v>1</v>
      </c>
      <c r="Y2005" t="s">
        <v>47</v>
      </c>
      <c r="Z2005">
        <v>0</v>
      </c>
      <c r="AA2005">
        <v>86</v>
      </c>
      <c r="AB2005" t="s">
        <v>47</v>
      </c>
      <c r="AC2005">
        <v>8.5000000000000006E-2</v>
      </c>
      <c r="AD2005">
        <v>267</v>
      </c>
      <c r="AE2005" t="s">
        <v>56</v>
      </c>
      <c r="AF2005">
        <v>0.26600000000000001</v>
      </c>
      <c r="AG2005">
        <v>189</v>
      </c>
      <c r="AH2005" t="s">
        <v>103</v>
      </c>
      <c r="AI2005">
        <v>0.188</v>
      </c>
      <c r="AJ2005" t="s">
        <v>1153</v>
      </c>
    </row>
    <row r="2006" spans="1:36" x14ac:dyDescent="0.25">
      <c r="A2006" t="s">
        <v>486</v>
      </c>
      <c r="B2006">
        <v>855537901</v>
      </c>
      <c r="C2006" t="s">
        <v>487</v>
      </c>
      <c r="D2006" t="s">
        <v>487</v>
      </c>
      <c r="E2006" t="s">
        <v>37</v>
      </c>
      <c r="F2006" t="s">
        <v>122</v>
      </c>
      <c r="I2006" t="s">
        <v>39</v>
      </c>
      <c r="J2006" t="s">
        <v>40</v>
      </c>
      <c r="K2006" t="s">
        <v>41</v>
      </c>
      <c r="L2006" t="s">
        <v>248</v>
      </c>
      <c r="M2006" t="s">
        <v>73</v>
      </c>
      <c r="N2006" t="s">
        <v>43</v>
      </c>
      <c r="O2006" t="s">
        <v>138</v>
      </c>
      <c r="P2006">
        <v>297</v>
      </c>
      <c r="Q2006">
        <v>297</v>
      </c>
      <c r="R2006">
        <v>21</v>
      </c>
      <c r="S2006" t="s">
        <v>45</v>
      </c>
      <c r="T2006">
        <v>0.02</v>
      </c>
      <c r="U2006">
        <v>8</v>
      </c>
      <c r="V2006" t="s">
        <v>55</v>
      </c>
      <c r="W2006">
        <v>7.0000000000000001E-3</v>
      </c>
      <c r="X2006">
        <v>1001</v>
      </c>
      <c r="Y2006" t="s">
        <v>47</v>
      </c>
      <c r="Z2006">
        <v>1</v>
      </c>
      <c r="AA2006">
        <v>171</v>
      </c>
      <c r="AB2006" t="s">
        <v>47</v>
      </c>
      <c r="AC2006">
        <v>0.17</v>
      </c>
      <c r="AD2006">
        <v>326</v>
      </c>
      <c r="AE2006" t="s">
        <v>56</v>
      </c>
      <c r="AF2006">
        <v>0.32500000000000001</v>
      </c>
      <c r="AG2006">
        <v>202</v>
      </c>
      <c r="AH2006" t="s">
        <v>57</v>
      </c>
      <c r="AI2006">
        <v>0.20100000000000001</v>
      </c>
      <c r="AJ2006" t="s">
        <v>1154</v>
      </c>
    </row>
    <row r="2007" spans="1:36" x14ac:dyDescent="0.25">
      <c r="A2007" t="s">
        <v>486</v>
      </c>
      <c r="B2007">
        <v>855537901</v>
      </c>
      <c r="C2007" t="s">
        <v>487</v>
      </c>
      <c r="D2007" t="s">
        <v>487</v>
      </c>
      <c r="E2007" t="s">
        <v>60</v>
      </c>
      <c r="F2007" t="s">
        <v>122</v>
      </c>
      <c r="I2007" t="s">
        <v>39</v>
      </c>
      <c r="J2007" t="s">
        <v>40</v>
      </c>
      <c r="K2007" t="s">
        <v>41</v>
      </c>
      <c r="L2007" t="s">
        <v>248</v>
      </c>
      <c r="M2007" t="s">
        <v>73</v>
      </c>
      <c r="N2007" t="s">
        <v>43</v>
      </c>
      <c r="O2007" t="s">
        <v>140</v>
      </c>
      <c r="P2007">
        <v>297</v>
      </c>
      <c r="Q2007">
        <v>297</v>
      </c>
      <c r="R2007">
        <v>81</v>
      </c>
      <c r="S2007" t="s">
        <v>56</v>
      </c>
      <c r="T2007">
        <v>0.08</v>
      </c>
      <c r="U2007">
        <v>59</v>
      </c>
      <c r="V2007" t="s">
        <v>55</v>
      </c>
      <c r="W2007">
        <v>5.8000000000000003E-2</v>
      </c>
      <c r="X2007">
        <v>1</v>
      </c>
      <c r="Y2007" t="s">
        <v>47</v>
      </c>
      <c r="Z2007">
        <v>0</v>
      </c>
      <c r="AA2007">
        <v>86</v>
      </c>
      <c r="AB2007" t="s">
        <v>47</v>
      </c>
      <c r="AC2007">
        <v>8.5000000000000006E-2</v>
      </c>
      <c r="AD2007">
        <v>267</v>
      </c>
      <c r="AE2007" t="s">
        <v>56</v>
      </c>
      <c r="AF2007">
        <v>0.26600000000000001</v>
      </c>
      <c r="AG2007">
        <v>189</v>
      </c>
      <c r="AH2007" t="s">
        <v>103</v>
      </c>
      <c r="AI2007">
        <v>0.188</v>
      </c>
      <c r="AJ2007" t="s">
        <v>1154</v>
      </c>
    </row>
    <row r="2008" spans="1:36" x14ac:dyDescent="0.25">
      <c r="A2008" t="s">
        <v>486</v>
      </c>
      <c r="B2008">
        <v>855537901</v>
      </c>
      <c r="C2008" t="s">
        <v>487</v>
      </c>
      <c r="D2008" t="s">
        <v>487</v>
      </c>
      <c r="E2008" t="s">
        <v>37</v>
      </c>
      <c r="F2008" t="s">
        <v>122</v>
      </c>
      <c r="I2008" t="s">
        <v>39</v>
      </c>
      <c r="J2008" t="s">
        <v>40</v>
      </c>
      <c r="K2008" t="s">
        <v>41</v>
      </c>
      <c r="L2008" t="s">
        <v>248</v>
      </c>
      <c r="M2008" t="s">
        <v>73</v>
      </c>
      <c r="N2008" t="s">
        <v>43</v>
      </c>
      <c r="O2008" t="s">
        <v>138</v>
      </c>
      <c r="P2008">
        <v>297</v>
      </c>
      <c r="Q2008">
        <v>297</v>
      </c>
      <c r="S2008" t="s">
        <v>39</v>
      </c>
      <c r="V2008" t="s">
        <v>39</v>
      </c>
      <c r="X2008">
        <v>1001</v>
      </c>
      <c r="Y2008" t="s">
        <v>47</v>
      </c>
      <c r="Z2008">
        <v>1</v>
      </c>
      <c r="AA2008">
        <v>171</v>
      </c>
      <c r="AB2008" t="s">
        <v>47</v>
      </c>
      <c r="AC2008">
        <v>0.17</v>
      </c>
      <c r="AD2008">
        <v>326</v>
      </c>
      <c r="AE2008" t="s">
        <v>56</v>
      </c>
      <c r="AF2008">
        <v>0.32500000000000001</v>
      </c>
      <c r="AG2008">
        <v>202</v>
      </c>
      <c r="AH2008" t="s">
        <v>57</v>
      </c>
      <c r="AI2008">
        <v>0.20100000000000001</v>
      </c>
      <c r="AJ2008" t="s">
        <v>1155</v>
      </c>
    </row>
    <row r="2009" spans="1:36" x14ac:dyDescent="0.25">
      <c r="A2009" t="s">
        <v>486</v>
      </c>
      <c r="B2009">
        <v>855537901</v>
      </c>
      <c r="C2009" t="s">
        <v>487</v>
      </c>
      <c r="D2009" t="s">
        <v>487</v>
      </c>
      <c r="E2009" t="s">
        <v>60</v>
      </c>
      <c r="F2009" t="s">
        <v>122</v>
      </c>
      <c r="I2009" t="s">
        <v>39</v>
      </c>
      <c r="J2009" t="s">
        <v>40</v>
      </c>
      <c r="K2009" t="s">
        <v>41</v>
      </c>
      <c r="L2009" t="s">
        <v>248</v>
      </c>
      <c r="M2009" t="s">
        <v>73</v>
      </c>
      <c r="N2009" t="s">
        <v>43</v>
      </c>
      <c r="O2009" t="s">
        <v>140</v>
      </c>
      <c r="P2009">
        <v>297</v>
      </c>
      <c r="Q2009">
        <v>297</v>
      </c>
      <c r="S2009" t="s">
        <v>39</v>
      </c>
      <c r="V2009" t="s">
        <v>39</v>
      </c>
      <c r="X2009">
        <v>1</v>
      </c>
      <c r="Y2009" t="s">
        <v>47</v>
      </c>
      <c r="Z2009">
        <v>0</v>
      </c>
      <c r="AA2009">
        <v>86</v>
      </c>
      <c r="AB2009" t="s">
        <v>47</v>
      </c>
      <c r="AC2009">
        <v>8.5000000000000006E-2</v>
      </c>
      <c r="AD2009">
        <v>267</v>
      </c>
      <c r="AE2009" t="s">
        <v>56</v>
      </c>
      <c r="AF2009">
        <v>0.26600000000000001</v>
      </c>
      <c r="AG2009">
        <v>189</v>
      </c>
      <c r="AH2009" t="s">
        <v>103</v>
      </c>
      <c r="AI2009">
        <v>0.188</v>
      </c>
      <c r="AJ2009" t="s">
        <v>1155</v>
      </c>
    </row>
    <row r="2010" spans="1:36" x14ac:dyDescent="0.25">
      <c r="A2010" t="s">
        <v>484</v>
      </c>
      <c r="B2010">
        <v>858975053</v>
      </c>
      <c r="C2010" t="s">
        <v>485</v>
      </c>
      <c r="D2010" t="s">
        <v>485</v>
      </c>
      <c r="E2010" t="s">
        <v>37</v>
      </c>
      <c r="F2010" t="s">
        <v>127</v>
      </c>
      <c r="I2010" t="s">
        <v>39</v>
      </c>
      <c r="J2010" t="s">
        <v>40</v>
      </c>
      <c r="K2010" t="s">
        <v>41</v>
      </c>
      <c r="L2010" t="s">
        <v>197</v>
      </c>
      <c r="M2010" t="s">
        <v>47</v>
      </c>
      <c r="N2010" t="s">
        <v>43</v>
      </c>
      <c r="O2010" t="s">
        <v>128</v>
      </c>
      <c r="P2010">
        <v>298</v>
      </c>
      <c r="Q2010">
        <v>298</v>
      </c>
      <c r="R2010">
        <v>421</v>
      </c>
      <c r="S2010" t="s">
        <v>56</v>
      </c>
      <c r="T2010">
        <v>0.42</v>
      </c>
      <c r="U2010">
        <v>110</v>
      </c>
      <c r="V2010" t="s">
        <v>55</v>
      </c>
      <c r="W2010">
        <v>0.109</v>
      </c>
      <c r="X2010">
        <v>1001</v>
      </c>
      <c r="Y2010" t="s">
        <v>47</v>
      </c>
      <c r="Z2010">
        <v>1</v>
      </c>
      <c r="AA2010">
        <v>124</v>
      </c>
      <c r="AB2010" t="s">
        <v>47</v>
      </c>
      <c r="AC2010">
        <v>0.123</v>
      </c>
      <c r="AD2010">
        <v>431</v>
      </c>
      <c r="AE2010" t="s">
        <v>56</v>
      </c>
      <c r="AF2010">
        <v>0.43</v>
      </c>
      <c r="AG2010">
        <v>682</v>
      </c>
      <c r="AH2010" t="s">
        <v>49</v>
      </c>
      <c r="AI2010">
        <v>0.68100000000000005</v>
      </c>
      <c r="AJ2010" t="s">
        <v>50</v>
      </c>
    </row>
    <row r="2011" spans="1:36" x14ac:dyDescent="0.25">
      <c r="A2011" t="s">
        <v>484</v>
      </c>
      <c r="B2011">
        <v>858975053</v>
      </c>
      <c r="C2011" t="s">
        <v>485</v>
      </c>
      <c r="D2011" t="s">
        <v>485</v>
      </c>
      <c r="E2011" t="s">
        <v>37</v>
      </c>
      <c r="F2011" t="s">
        <v>127</v>
      </c>
      <c r="I2011" t="s">
        <v>39</v>
      </c>
      <c r="J2011" t="s">
        <v>40</v>
      </c>
      <c r="K2011" t="s">
        <v>41</v>
      </c>
      <c r="L2011" t="s">
        <v>197</v>
      </c>
      <c r="M2011" t="s">
        <v>47</v>
      </c>
      <c r="N2011" t="s">
        <v>43</v>
      </c>
      <c r="O2011" t="s">
        <v>128</v>
      </c>
      <c r="P2011">
        <v>298</v>
      </c>
      <c r="Q2011">
        <v>298</v>
      </c>
      <c r="R2011">
        <v>201</v>
      </c>
      <c r="S2011" t="s">
        <v>56</v>
      </c>
      <c r="T2011">
        <v>0.2</v>
      </c>
      <c r="U2011">
        <v>107</v>
      </c>
      <c r="V2011" t="s">
        <v>55</v>
      </c>
      <c r="W2011">
        <v>0.106</v>
      </c>
      <c r="X2011">
        <v>1001</v>
      </c>
      <c r="Y2011" t="s">
        <v>47</v>
      </c>
      <c r="Z2011">
        <v>1</v>
      </c>
      <c r="AA2011">
        <v>124</v>
      </c>
      <c r="AB2011" t="s">
        <v>47</v>
      </c>
      <c r="AC2011">
        <v>0.123</v>
      </c>
      <c r="AD2011">
        <v>431</v>
      </c>
      <c r="AE2011" t="s">
        <v>56</v>
      </c>
      <c r="AF2011">
        <v>0.43</v>
      </c>
      <c r="AG2011">
        <v>682</v>
      </c>
      <c r="AH2011" t="s">
        <v>49</v>
      </c>
      <c r="AI2011">
        <v>0.68100000000000005</v>
      </c>
      <c r="AJ2011" t="s">
        <v>1141</v>
      </c>
    </row>
    <row r="2012" spans="1:36" x14ac:dyDescent="0.25">
      <c r="A2012" t="s">
        <v>484</v>
      </c>
      <c r="B2012">
        <v>858975053</v>
      </c>
      <c r="C2012" t="s">
        <v>485</v>
      </c>
      <c r="D2012" t="s">
        <v>485</v>
      </c>
      <c r="E2012" t="s">
        <v>37</v>
      </c>
      <c r="F2012" t="s">
        <v>127</v>
      </c>
      <c r="I2012" t="s">
        <v>39</v>
      </c>
      <c r="J2012" t="s">
        <v>40</v>
      </c>
      <c r="K2012" t="s">
        <v>41</v>
      </c>
      <c r="L2012" t="s">
        <v>197</v>
      </c>
      <c r="M2012" t="s">
        <v>47</v>
      </c>
      <c r="N2012" t="s">
        <v>43</v>
      </c>
      <c r="O2012" t="s">
        <v>128</v>
      </c>
      <c r="P2012">
        <v>298</v>
      </c>
      <c r="Q2012">
        <v>298</v>
      </c>
      <c r="R2012">
        <v>421</v>
      </c>
      <c r="S2012" t="s">
        <v>56</v>
      </c>
      <c r="T2012">
        <v>0.42</v>
      </c>
      <c r="U2012">
        <v>110</v>
      </c>
      <c r="V2012" t="s">
        <v>55</v>
      </c>
      <c r="W2012">
        <v>0.109</v>
      </c>
      <c r="X2012">
        <v>1001</v>
      </c>
      <c r="Y2012" t="s">
        <v>47</v>
      </c>
      <c r="Z2012">
        <v>1</v>
      </c>
      <c r="AA2012">
        <v>124</v>
      </c>
      <c r="AB2012" t="s">
        <v>47</v>
      </c>
      <c r="AC2012">
        <v>0.123</v>
      </c>
      <c r="AD2012">
        <v>431</v>
      </c>
      <c r="AE2012" t="s">
        <v>56</v>
      </c>
      <c r="AF2012">
        <v>0.43</v>
      </c>
      <c r="AG2012">
        <v>682</v>
      </c>
      <c r="AH2012" t="s">
        <v>49</v>
      </c>
      <c r="AI2012">
        <v>0.68100000000000005</v>
      </c>
      <c r="AJ2012" t="s">
        <v>1153</v>
      </c>
    </row>
    <row r="2013" spans="1:36" x14ac:dyDescent="0.25">
      <c r="A2013" t="s">
        <v>484</v>
      </c>
      <c r="B2013">
        <v>858975053</v>
      </c>
      <c r="C2013" t="s">
        <v>485</v>
      </c>
      <c r="D2013" t="s">
        <v>485</v>
      </c>
      <c r="E2013" t="s">
        <v>37</v>
      </c>
      <c r="F2013" t="s">
        <v>127</v>
      </c>
      <c r="I2013" t="s">
        <v>39</v>
      </c>
      <c r="J2013" t="s">
        <v>40</v>
      </c>
      <c r="K2013" t="s">
        <v>41</v>
      </c>
      <c r="L2013" t="s">
        <v>197</v>
      </c>
      <c r="M2013" t="s">
        <v>47</v>
      </c>
      <c r="N2013" t="s">
        <v>43</v>
      </c>
      <c r="O2013" t="s">
        <v>128</v>
      </c>
      <c r="P2013">
        <v>298</v>
      </c>
      <c r="Q2013">
        <v>298</v>
      </c>
      <c r="R2013">
        <v>421</v>
      </c>
      <c r="S2013" t="s">
        <v>56</v>
      </c>
      <c r="T2013">
        <v>0.42</v>
      </c>
      <c r="U2013">
        <v>110</v>
      </c>
      <c r="V2013" t="s">
        <v>55</v>
      </c>
      <c r="W2013">
        <v>0.109</v>
      </c>
      <c r="X2013">
        <v>1001</v>
      </c>
      <c r="Y2013" t="s">
        <v>47</v>
      </c>
      <c r="Z2013">
        <v>1</v>
      </c>
      <c r="AA2013">
        <v>124</v>
      </c>
      <c r="AB2013" t="s">
        <v>47</v>
      </c>
      <c r="AC2013">
        <v>0.123</v>
      </c>
      <c r="AD2013">
        <v>431</v>
      </c>
      <c r="AE2013" t="s">
        <v>56</v>
      </c>
      <c r="AF2013">
        <v>0.43</v>
      </c>
      <c r="AG2013">
        <v>682</v>
      </c>
      <c r="AH2013" t="s">
        <v>49</v>
      </c>
      <c r="AI2013">
        <v>0.68100000000000005</v>
      </c>
      <c r="AJ2013" t="s">
        <v>1154</v>
      </c>
    </row>
    <row r="2014" spans="1:36" x14ac:dyDescent="0.25">
      <c r="A2014" t="s">
        <v>484</v>
      </c>
      <c r="B2014">
        <v>858975053</v>
      </c>
      <c r="C2014" t="s">
        <v>485</v>
      </c>
      <c r="D2014" t="s">
        <v>485</v>
      </c>
      <c r="E2014" t="s">
        <v>37</v>
      </c>
      <c r="F2014" t="s">
        <v>127</v>
      </c>
      <c r="I2014" t="s">
        <v>39</v>
      </c>
      <c r="J2014" t="s">
        <v>40</v>
      </c>
      <c r="K2014" t="s">
        <v>41</v>
      </c>
      <c r="L2014" t="s">
        <v>197</v>
      </c>
      <c r="M2014" t="s">
        <v>47</v>
      </c>
      <c r="N2014" t="s">
        <v>43</v>
      </c>
      <c r="O2014" t="s">
        <v>128</v>
      </c>
      <c r="P2014">
        <v>298</v>
      </c>
      <c r="Q2014">
        <v>298</v>
      </c>
      <c r="S2014" t="s">
        <v>39</v>
      </c>
      <c r="V2014" t="s">
        <v>39</v>
      </c>
      <c r="X2014">
        <v>1001</v>
      </c>
      <c r="Y2014" t="s">
        <v>47</v>
      </c>
      <c r="Z2014">
        <v>1</v>
      </c>
      <c r="AA2014">
        <v>124</v>
      </c>
      <c r="AB2014" t="s">
        <v>47</v>
      </c>
      <c r="AC2014">
        <v>0.123</v>
      </c>
      <c r="AD2014">
        <v>431</v>
      </c>
      <c r="AE2014" t="s">
        <v>56</v>
      </c>
      <c r="AF2014">
        <v>0.43</v>
      </c>
      <c r="AG2014">
        <v>682</v>
      </c>
      <c r="AH2014" t="s">
        <v>49</v>
      </c>
      <c r="AI2014">
        <v>0.68100000000000005</v>
      </c>
      <c r="AJ2014" t="s">
        <v>1155</v>
      </c>
    </row>
    <row r="2015" spans="1:36" x14ac:dyDescent="0.25">
      <c r="A2015" t="s">
        <v>481</v>
      </c>
      <c r="B2015">
        <v>856362811</v>
      </c>
      <c r="C2015" t="s">
        <v>482</v>
      </c>
      <c r="D2015" t="s">
        <v>482</v>
      </c>
      <c r="E2015" t="s">
        <v>65</v>
      </c>
      <c r="F2015" t="s">
        <v>93</v>
      </c>
      <c r="I2015" t="s">
        <v>39</v>
      </c>
      <c r="J2015" t="s">
        <v>40</v>
      </c>
      <c r="K2015" t="s">
        <v>41</v>
      </c>
      <c r="L2015" t="s">
        <v>118</v>
      </c>
      <c r="N2015" t="s">
        <v>43</v>
      </c>
      <c r="O2015" t="s">
        <v>483</v>
      </c>
      <c r="P2015">
        <v>299</v>
      </c>
      <c r="Q2015">
        <v>299</v>
      </c>
      <c r="R2015">
        <v>81</v>
      </c>
      <c r="S2015" t="s">
        <v>56</v>
      </c>
      <c r="T2015">
        <v>0.08</v>
      </c>
      <c r="U2015">
        <v>2</v>
      </c>
      <c r="V2015" t="s">
        <v>55</v>
      </c>
      <c r="W2015">
        <v>1E-3</v>
      </c>
      <c r="X2015">
        <v>2001</v>
      </c>
      <c r="Y2015" t="s">
        <v>47</v>
      </c>
      <c r="Z2015">
        <v>2</v>
      </c>
      <c r="AA2015">
        <v>125</v>
      </c>
      <c r="AB2015" t="s">
        <v>47</v>
      </c>
      <c r="AC2015">
        <v>0.124</v>
      </c>
      <c r="AD2015">
        <v>243</v>
      </c>
      <c r="AE2015" t="s">
        <v>56</v>
      </c>
      <c r="AF2015">
        <v>0.24199999999999999</v>
      </c>
      <c r="AG2015">
        <v>84</v>
      </c>
      <c r="AH2015" t="s">
        <v>103</v>
      </c>
      <c r="AI2015">
        <v>8.3000000000000004E-2</v>
      </c>
      <c r="AJ2015" t="s">
        <v>50</v>
      </c>
    </row>
    <row r="2016" spans="1:36" x14ac:dyDescent="0.25">
      <c r="A2016" t="s">
        <v>481</v>
      </c>
      <c r="B2016">
        <v>856362811</v>
      </c>
      <c r="C2016" t="s">
        <v>482</v>
      </c>
      <c r="D2016" t="s">
        <v>482</v>
      </c>
      <c r="E2016" t="s">
        <v>65</v>
      </c>
      <c r="F2016" t="s">
        <v>93</v>
      </c>
      <c r="I2016" t="s">
        <v>39</v>
      </c>
      <c r="J2016" t="s">
        <v>40</v>
      </c>
      <c r="K2016" t="s">
        <v>41</v>
      </c>
      <c r="L2016" t="s">
        <v>118</v>
      </c>
      <c r="N2016" t="s">
        <v>43</v>
      </c>
      <c r="O2016" t="s">
        <v>483</v>
      </c>
      <c r="P2016">
        <v>299</v>
      </c>
      <c r="Q2016">
        <v>299</v>
      </c>
      <c r="R2016">
        <v>131</v>
      </c>
      <c r="S2016" t="s">
        <v>56</v>
      </c>
      <c r="T2016">
        <v>0.13</v>
      </c>
      <c r="U2016">
        <v>1</v>
      </c>
      <c r="V2016" t="s">
        <v>55</v>
      </c>
      <c r="W2016">
        <v>0</v>
      </c>
      <c r="X2016">
        <v>2001</v>
      </c>
      <c r="Y2016" t="s">
        <v>47</v>
      </c>
      <c r="Z2016">
        <v>2</v>
      </c>
      <c r="AA2016">
        <v>125</v>
      </c>
      <c r="AB2016" t="s">
        <v>47</v>
      </c>
      <c r="AC2016">
        <v>0.124</v>
      </c>
      <c r="AD2016">
        <v>243</v>
      </c>
      <c r="AE2016" t="s">
        <v>56</v>
      </c>
      <c r="AF2016">
        <v>0.24199999999999999</v>
      </c>
      <c r="AG2016">
        <v>84</v>
      </c>
      <c r="AH2016" t="s">
        <v>103</v>
      </c>
      <c r="AI2016">
        <v>8.3000000000000004E-2</v>
      </c>
      <c r="AJ2016" t="s">
        <v>1141</v>
      </c>
    </row>
    <row r="2017" spans="1:36" x14ac:dyDescent="0.25">
      <c r="A2017" t="s">
        <v>481</v>
      </c>
      <c r="B2017">
        <v>856362811</v>
      </c>
      <c r="C2017" t="s">
        <v>482</v>
      </c>
      <c r="D2017" t="s">
        <v>482</v>
      </c>
      <c r="E2017" t="s">
        <v>65</v>
      </c>
      <c r="F2017" t="s">
        <v>93</v>
      </c>
      <c r="I2017" t="s">
        <v>39</v>
      </c>
      <c r="J2017" t="s">
        <v>40</v>
      </c>
      <c r="K2017" t="s">
        <v>41</v>
      </c>
      <c r="L2017" t="s">
        <v>118</v>
      </c>
      <c r="N2017" t="s">
        <v>43</v>
      </c>
      <c r="O2017" t="s">
        <v>483</v>
      </c>
      <c r="P2017">
        <v>299</v>
      </c>
      <c r="Q2017">
        <v>299</v>
      </c>
      <c r="R2017">
        <v>81</v>
      </c>
      <c r="S2017" t="s">
        <v>56</v>
      </c>
      <c r="T2017">
        <v>0.08</v>
      </c>
      <c r="U2017">
        <v>2</v>
      </c>
      <c r="V2017" t="s">
        <v>55</v>
      </c>
      <c r="W2017">
        <v>1E-3</v>
      </c>
      <c r="X2017">
        <v>2001</v>
      </c>
      <c r="Y2017" t="s">
        <v>47</v>
      </c>
      <c r="Z2017">
        <v>2</v>
      </c>
      <c r="AA2017">
        <v>125</v>
      </c>
      <c r="AB2017" t="s">
        <v>47</v>
      </c>
      <c r="AC2017">
        <v>0.124</v>
      </c>
      <c r="AD2017">
        <v>243</v>
      </c>
      <c r="AE2017" t="s">
        <v>56</v>
      </c>
      <c r="AF2017">
        <v>0.24199999999999999</v>
      </c>
      <c r="AG2017">
        <v>84</v>
      </c>
      <c r="AH2017" t="s">
        <v>103</v>
      </c>
      <c r="AI2017">
        <v>8.3000000000000004E-2</v>
      </c>
      <c r="AJ2017" t="s">
        <v>1153</v>
      </c>
    </row>
    <row r="2018" spans="1:36" x14ac:dyDescent="0.25">
      <c r="A2018" t="s">
        <v>481</v>
      </c>
      <c r="B2018">
        <v>856362811</v>
      </c>
      <c r="C2018" t="s">
        <v>482</v>
      </c>
      <c r="D2018" t="s">
        <v>482</v>
      </c>
      <c r="E2018" t="s">
        <v>65</v>
      </c>
      <c r="F2018" t="s">
        <v>93</v>
      </c>
      <c r="I2018" t="s">
        <v>39</v>
      </c>
      <c r="J2018" t="s">
        <v>40</v>
      </c>
      <c r="K2018" t="s">
        <v>41</v>
      </c>
      <c r="L2018" t="s">
        <v>118</v>
      </c>
      <c r="N2018" t="s">
        <v>43</v>
      </c>
      <c r="O2018" t="s">
        <v>483</v>
      </c>
      <c r="P2018">
        <v>299</v>
      </c>
      <c r="Q2018">
        <v>299</v>
      </c>
      <c r="R2018">
        <v>81</v>
      </c>
      <c r="S2018" t="s">
        <v>56</v>
      </c>
      <c r="T2018">
        <v>0.08</v>
      </c>
      <c r="U2018">
        <v>2</v>
      </c>
      <c r="V2018" t="s">
        <v>55</v>
      </c>
      <c r="W2018">
        <v>1E-3</v>
      </c>
      <c r="X2018">
        <v>2001</v>
      </c>
      <c r="Y2018" t="s">
        <v>47</v>
      </c>
      <c r="Z2018">
        <v>2</v>
      </c>
      <c r="AA2018">
        <v>125</v>
      </c>
      <c r="AB2018" t="s">
        <v>47</v>
      </c>
      <c r="AC2018">
        <v>0.124</v>
      </c>
      <c r="AD2018">
        <v>243</v>
      </c>
      <c r="AE2018" t="s">
        <v>56</v>
      </c>
      <c r="AF2018">
        <v>0.24199999999999999</v>
      </c>
      <c r="AG2018">
        <v>84</v>
      </c>
      <c r="AH2018" t="s">
        <v>103</v>
      </c>
      <c r="AI2018">
        <v>8.3000000000000004E-2</v>
      </c>
      <c r="AJ2018" t="s">
        <v>1154</v>
      </c>
    </row>
    <row r="2019" spans="1:36" x14ac:dyDescent="0.25">
      <c r="A2019" t="s">
        <v>481</v>
      </c>
      <c r="B2019">
        <v>856362811</v>
      </c>
      <c r="C2019" t="s">
        <v>482</v>
      </c>
      <c r="D2019" t="s">
        <v>482</v>
      </c>
      <c r="E2019" t="s">
        <v>65</v>
      </c>
      <c r="F2019" t="s">
        <v>93</v>
      </c>
      <c r="I2019" t="s">
        <v>39</v>
      </c>
      <c r="J2019" t="s">
        <v>40</v>
      </c>
      <c r="K2019" t="s">
        <v>41</v>
      </c>
      <c r="L2019" t="s">
        <v>118</v>
      </c>
      <c r="N2019" t="s">
        <v>43</v>
      </c>
      <c r="O2019" t="s">
        <v>483</v>
      </c>
      <c r="P2019">
        <v>299</v>
      </c>
      <c r="Q2019">
        <v>299</v>
      </c>
      <c r="S2019" t="s">
        <v>39</v>
      </c>
      <c r="V2019" t="s">
        <v>39</v>
      </c>
      <c r="X2019">
        <v>2001</v>
      </c>
      <c r="Y2019" t="s">
        <v>47</v>
      </c>
      <c r="Z2019">
        <v>2</v>
      </c>
      <c r="AA2019">
        <v>125</v>
      </c>
      <c r="AB2019" t="s">
        <v>47</v>
      </c>
      <c r="AC2019">
        <v>0.124</v>
      </c>
      <c r="AD2019">
        <v>243</v>
      </c>
      <c r="AE2019" t="s">
        <v>56</v>
      </c>
      <c r="AF2019">
        <v>0.24199999999999999</v>
      </c>
      <c r="AG2019">
        <v>84</v>
      </c>
      <c r="AH2019" t="s">
        <v>103</v>
      </c>
      <c r="AI2019">
        <v>8.3000000000000004E-2</v>
      </c>
      <c r="AJ2019" t="s">
        <v>1155</v>
      </c>
    </row>
    <row r="2020" spans="1:36" x14ac:dyDescent="0.25">
      <c r="A2020" t="s">
        <v>479</v>
      </c>
      <c r="B2020">
        <v>854354656</v>
      </c>
      <c r="C2020" t="s">
        <v>480</v>
      </c>
      <c r="D2020" t="s">
        <v>480</v>
      </c>
      <c r="E2020" t="s">
        <v>99</v>
      </c>
      <c r="F2020" t="s">
        <v>214</v>
      </c>
      <c r="G2020" t="s">
        <v>99</v>
      </c>
      <c r="H2020">
        <v>1.9623199999999999E-4</v>
      </c>
      <c r="I2020" t="s">
        <v>268</v>
      </c>
      <c r="J2020" t="s">
        <v>40</v>
      </c>
      <c r="K2020" t="s">
        <v>41</v>
      </c>
      <c r="L2020" t="s">
        <v>281</v>
      </c>
      <c r="M2020" t="s">
        <v>282</v>
      </c>
      <c r="N2020" t="s">
        <v>43</v>
      </c>
      <c r="O2020" t="s">
        <v>108</v>
      </c>
      <c r="P2020">
        <v>300</v>
      </c>
      <c r="Q2020">
        <v>300</v>
      </c>
      <c r="R2020">
        <v>81</v>
      </c>
      <c r="S2020" t="s">
        <v>56</v>
      </c>
      <c r="T2020">
        <v>0.08</v>
      </c>
      <c r="U2020">
        <v>24</v>
      </c>
      <c r="V2020" t="s">
        <v>55</v>
      </c>
      <c r="W2020">
        <v>2.3E-2</v>
      </c>
      <c r="X2020">
        <v>14001</v>
      </c>
      <c r="Y2020" t="s">
        <v>47</v>
      </c>
      <c r="Z2020">
        <v>14</v>
      </c>
      <c r="AA2020">
        <v>505</v>
      </c>
      <c r="AB2020" t="s">
        <v>75</v>
      </c>
      <c r="AC2020">
        <v>0.504</v>
      </c>
      <c r="AD2020">
        <v>440</v>
      </c>
      <c r="AE2020" t="s">
        <v>56</v>
      </c>
      <c r="AF2020">
        <v>0.439</v>
      </c>
      <c r="AG2020">
        <v>367</v>
      </c>
      <c r="AH2020" t="s">
        <v>57</v>
      </c>
      <c r="AI2020">
        <v>0.36599999999999999</v>
      </c>
      <c r="AJ2020" t="s">
        <v>50</v>
      </c>
    </row>
    <row r="2021" spans="1:36" x14ac:dyDescent="0.25">
      <c r="A2021" t="s">
        <v>479</v>
      </c>
      <c r="B2021">
        <v>854354656</v>
      </c>
      <c r="C2021" t="s">
        <v>480</v>
      </c>
      <c r="D2021" t="s">
        <v>480</v>
      </c>
      <c r="E2021" t="s">
        <v>65</v>
      </c>
      <c r="F2021" t="s">
        <v>214</v>
      </c>
      <c r="G2021" t="s">
        <v>99</v>
      </c>
      <c r="H2021">
        <v>1.9623199999999999E-4</v>
      </c>
      <c r="I2021" t="s">
        <v>268</v>
      </c>
      <c r="J2021" t="s">
        <v>40</v>
      </c>
      <c r="K2021" t="s">
        <v>41</v>
      </c>
      <c r="L2021" t="s">
        <v>281</v>
      </c>
      <c r="M2021" t="s">
        <v>282</v>
      </c>
      <c r="N2021" t="s">
        <v>43</v>
      </c>
      <c r="O2021" t="s">
        <v>307</v>
      </c>
      <c r="P2021">
        <v>300</v>
      </c>
      <c r="Q2021">
        <v>300</v>
      </c>
      <c r="R2021">
        <v>61</v>
      </c>
      <c r="S2021" t="s">
        <v>56</v>
      </c>
      <c r="T2021">
        <v>0.06</v>
      </c>
      <c r="U2021">
        <v>994</v>
      </c>
      <c r="V2021" t="s">
        <v>46</v>
      </c>
      <c r="W2021">
        <v>0.99299999999999999</v>
      </c>
      <c r="X2021">
        <v>19001</v>
      </c>
      <c r="Y2021" t="s">
        <v>47</v>
      </c>
      <c r="Z2021">
        <v>19</v>
      </c>
      <c r="AA2021">
        <v>562</v>
      </c>
      <c r="AB2021" t="s">
        <v>75</v>
      </c>
      <c r="AC2021">
        <v>0.56100000000000005</v>
      </c>
      <c r="AD2021">
        <v>686</v>
      </c>
      <c r="AE2021" t="s">
        <v>48</v>
      </c>
      <c r="AF2021">
        <v>0.68500000000000005</v>
      </c>
      <c r="AG2021">
        <v>833</v>
      </c>
      <c r="AH2021" t="s">
        <v>49</v>
      </c>
      <c r="AI2021">
        <v>0.83199999999999996</v>
      </c>
      <c r="AJ2021" t="s">
        <v>50</v>
      </c>
    </row>
    <row r="2022" spans="1:36" x14ac:dyDescent="0.25">
      <c r="A2022" t="s">
        <v>479</v>
      </c>
      <c r="B2022">
        <v>854354656</v>
      </c>
      <c r="C2022" t="s">
        <v>480</v>
      </c>
      <c r="D2022" t="s">
        <v>480</v>
      </c>
      <c r="E2022" t="s">
        <v>99</v>
      </c>
      <c r="F2022" t="s">
        <v>214</v>
      </c>
      <c r="G2022" t="s">
        <v>99</v>
      </c>
      <c r="H2022">
        <v>1.9623199999999999E-4</v>
      </c>
      <c r="I2022" t="s">
        <v>268</v>
      </c>
      <c r="J2022" t="s">
        <v>40</v>
      </c>
      <c r="K2022" t="s">
        <v>41</v>
      </c>
      <c r="L2022" t="s">
        <v>281</v>
      </c>
      <c r="M2022" t="s">
        <v>282</v>
      </c>
      <c r="N2022" t="s">
        <v>43</v>
      </c>
      <c r="O2022" t="s">
        <v>108</v>
      </c>
      <c r="P2022">
        <v>300</v>
      </c>
      <c r="Q2022">
        <v>300</v>
      </c>
      <c r="R2022">
        <v>11</v>
      </c>
      <c r="S2022" t="s">
        <v>45</v>
      </c>
      <c r="T2022">
        <v>0.01</v>
      </c>
      <c r="U2022">
        <v>87</v>
      </c>
      <c r="V2022" t="s">
        <v>55</v>
      </c>
      <c r="W2022">
        <v>8.5999999999999993E-2</v>
      </c>
      <c r="X2022">
        <v>14001</v>
      </c>
      <c r="Y2022" t="s">
        <v>47</v>
      </c>
      <c r="Z2022">
        <v>14</v>
      </c>
      <c r="AA2022">
        <v>505</v>
      </c>
      <c r="AB2022" t="s">
        <v>75</v>
      </c>
      <c r="AC2022">
        <v>0.504</v>
      </c>
      <c r="AD2022">
        <v>440</v>
      </c>
      <c r="AE2022" t="s">
        <v>56</v>
      </c>
      <c r="AF2022">
        <v>0.439</v>
      </c>
      <c r="AG2022">
        <v>367</v>
      </c>
      <c r="AH2022" t="s">
        <v>57</v>
      </c>
      <c r="AI2022">
        <v>0.36599999999999999</v>
      </c>
      <c r="AJ2022" t="s">
        <v>1141</v>
      </c>
    </row>
    <row r="2023" spans="1:36" x14ac:dyDescent="0.25">
      <c r="A2023" t="s">
        <v>479</v>
      </c>
      <c r="B2023">
        <v>854354656</v>
      </c>
      <c r="C2023" t="s">
        <v>480</v>
      </c>
      <c r="D2023" t="s">
        <v>480</v>
      </c>
      <c r="E2023" t="s">
        <v>65</v>
      </c>
      <c r="F2023" t="s">
        <v>214</v>
      </c>
      <c r="G2023" t="s">
        <v>99</v>
      </c>
      <c r="H2023">
        <v>1.9623199999999999E-4</v>
      </c>
      <c r="I2023" t="s">
        <v>268</v>
      </c>
      <c r="J2023" t="s">
        <v>40</v>
      </c>
      <c r="K2023" t="s">
        <v>41</v>
      </c>
      <c r="L2023" t="s">
        <v>281</v>
      </c>
      <c r="M2023" t="s">
        <v>282</v>
      </c>
      <c r="N2023" t="s">
        <v>43</v>
      </c>
      <c r="O2023" t="s">
        <v>307</v>
      </c>
      <c r="P2023">
        <v>300</v>
      </c>
      <c r="Q2023">
        <v>300</v>
      </c>
      <c r="R2023">
        <v>21</v>
      </c>
      <c r="S2023" t="s">
        <v>45</v>
      </c>
      <c r="T2023">
        <v>0.02</v>
      </c>
      <c r="U2023">
        <v>993</v>
      </c>
      <c r="V2023" t="s">
        <v>46</v>
      </c>
      <c r="W2023">
        <v>0.99199999999999999</v>
      </c>
      <c r="X2023">
        <v>19001</v>
      </c>
      <c r="Y2023" t="s">
        <v>47</v>
      </c>
      <c r="Z2023">
        <v>19</v>
      </c>
      <c r="AA2023">
        <v>562</v>
      </c>
      <c r="AB2023" t="s">
        <v>75</v>
      </c>
      <c r="AC2023">
        <v>0.56100000000000005</v>
      </c>
      <c r="AD2023">
        <v>686</v>
      </c>
      <c r="AE2023" t="s">
        <v>48</v>
      </c>
      <c r="AF2023">
        <v>0.68500000000000005</v>
      </c>
      <c r="AG2023">
        <v>833</v>
      </c>
      <c r="AH2023" t="s">
        <v>49</v>
      </c>
      <c r="AI2023">
        <v>0.83199999999999996</v>
      </c>
      <c r="AJ2023" t="s">
        <v>1141</v>
      </c>
    </row>
    <row r="2024" spans="1:36" x14ac:dyDescent="0.25">
      <c r="A2024" t="s">
        <v>479</v>
      </c>
      <c r="B2024">
        <v>854354656</v>
      </c>
      <c r="C2024" t="s">
        <v>480</v>
      </c>
      <c r="D2024" t="s">
        <v>480</v>
      </c>
      <c r="E2024" t="s">
        <v>99</v>
      </c>
      <c r="F2024" t="s">
        <v>214</v>
      </c>
      <c r="G2024" t="s">
        <v>99</v>
      </c>
      <c r="H2024">
        <v>1.9623199999999999E-4</v>
      </c>
      <c r="I2024" t="s">
        <v>268</v>
      </c>
      <c r="J2024" t="s">
        <v>40</v>
      </c>
      <c r="K2024" t="s">
        <v>41</v>
      </c>
      <c r="L2024" t="s">
        <v>281</v>
      </c>
      <c r="M2024" t="s">
        <v>282</v>
      </c>
      <c r="N2024" t="s">
        <v>43</v>
      </c>
      <c r="O2024" t="s">
        <v>108</v>
      </c>
      <c r="P2024">
        <v>300</v>
      </c>
      <c r="Q2024">
        <v>300</v>
      </c>
      <c r="R2024">
        <v>81</v>
      </c>
      <c r="S2024" t="s">
        <v>56</v>
      </c>
      <c r="T2024">
        <v>0.08</v>
      </c>
      <c r="U2024">
        <v>24</v>
      </c>
      <c r="V2024" t="s">
        <v>55</v>
      </c>
      <c r="W2024">
        <v>2.3E-2</v>
      </c>
      <c r="X2024">
        <v>14001</v>
      </c>
      <c r="Y2024" t="s">
        <v>47</v>
      </c>
      <c r="Z2024">
        <v>14</v>
      </c>
      <c r="AA2024">
        <v>505</v>
      </c>
      <c r="AB2024" t="s">
        <v>75</v>
      </c>
      <c r="AC2024">
        <v>0.504</v>
      </c>
      <c r="AD2024">
        <v>440</v>
      </c>
      <c r="AE2024" t="s">
        <v>56</v>
      </c>
      <c r="AF2024">
        <v>0.439</v>
      </c>
      <c r="AG2024">
        <v>367</v>
      </c>
      <c r="AH2024" t="s">
        <v>57</v>
      </c>
      <c r="AI2024">
        <v>0.36599999999999999</v>
      </c>
      <c r="AJ2024" t="s">
        <v>1153</v>
      </c>
    </row>
    <row r="2025" spans="1:36" x14ac:dyDescent="0.25">
      <c r="A2025" t="s">
        <v>479</v>
      </c>
      <c r="B2025">
        <v>854354656</v>
      </c>
      <c r="C2025" t="s">
        <v>480</v>
      </c>
      <c r="D2025" t="s">
        <v>480</v>
      </c>
      <c r="E2025" t="s">
        <v>65</v>
      </c>
      <c r="F2025" t="s">
        <v>214</v>
      </c>
      <c r="G2025" t="s">
        <v>99</v>
      </c>
      <c r="H2025">
        <v>1.9623199999999999E-4</v>
      </c>
      <c r="I2025" t="s">
        <v>268</v>
      </c>
      <c r="J2025" t="s">
        <v>40</v>
      </c>
      <c r="K2025" t="s">
        <v>41</v>
      </c>
      <c r="L2025" t="s">
        <v>281</v>
      </c>
      <c r="M2025" t="s">
        <v>282</v>
      </c>
      <c r="N2025" t="s">
        <v>43</v>
      </c>
      <c r="O2025" t="s">
        <v>307</v>
      </c>
      <c r="P2025">
        <v>300</v>
      </c>
      <c r="Q2025">
        <v>300</v>
      </c>
      <c r="R2025">
        <v>61</v>
      </c>
      <c r="S2025" t="s">
        <v>56</v>
      </c>
      <c r="T2025">
        <v>0.06</v>
      </c>
      <c r="U2025">
        <v>994</v>
      </c>
      <c r="V2025" t="s">
        <v>46</v>
      </c>
      <c r="W2025">
        <v>0.99299999999999999</v>
      </c>
      <c r="X2025">
        <v>19001</v>
      </c>
      <c r="Y2025" t="s">
        <v>47</v>
      </c>
      <c r="Z2025">
        <v>19</v>
      </c>
      <c r="AA2025">
        <v>562</v>
      </c>
      <c r="AB2025" t="s">
        <v>75</v>
      </c>
      <c r="AC2025">
        <v>0.56100000000000005</v>
      </c>
      <c r="AD2025">
        <v>686</v>
      </c>
      <c r="AE2025" t="s">
        <v>48</v>
      </c>
      <c r="AF2025">
        <v>0.68500000000000005</v>
      </c>
      <c r="AG2025">
        <v>833</v>
      </c>
      <c r="AH2025" t="s">
        <v>49</v>
      </c>
      <c r="AI2025">
        <v>0.83199999999999996</v>
      </c>
      <c r="AJ2025" t="s">
        <v>1153</v>
      </c>
    </row>
    <row r="2026" spans="1:36" x14ac:dyDescent="0.25">
      <c r="A2026" t="s">
        <v>479</v>
      </c>
      <c r="B2026">
        <v>854354656</v>
      </c>
      <c r="C2026" t="s">
        <v>480</v>
      </c>
      <c r="D2026" t="s">
        <v>480</v>
      </c>
      <c r="E2026" t="s">
        <v>99</v>
      </c>
      <c r="F2026" t="s">
        <v>214</v>
      </c>
      <c r="G2026" t="s">
        <v>99</v>
      </c>
      <c r="H2026">
        <v>1.9623199999999999E-4</v>
      </c>
      <c r="I2026" t="s">
        <v>268</v>
      </c>
      <c r="J2026" t="s">
        <v>40</v>
      </c>
      <c r="K2026" t="s">
        <v>41</v>
      </c>
      <c r="L2026" t="s">
        <v>281</v>
      </c>
      <c r="M2026" t="s">
        <v>282</v>
      </c>
      <c r="N2026" t="s">
        <v>43</v>
      </c>
      <c r="O2026" t="s">
        <v>108</v>
      </c>
      <c r="P2026">
        <v>300</v>
      </c>
      <c r="Q2026">
        <v>300</v>
      </c>
      <c r="R2026">
        <v>81</v>
      </c>
      <c r="S2026" t="s">
        <v>56</v>
      </c>
      <c r="T2026">
        <v>0.08</v>
      </c>
      <c r="U2026">
        <v>24</v>
      </c>
      <c r="V2026" t="s">
        <v>55</v>
      </c>
      <c r="W2026">
        <v>2.3E-2</v>
      </c>
      <c r="X2026">
        <v>14001</v>
      </c>
      <c r="Y2026" t="s">
        <v>47</v>
      </c>
      <c r="Z2026">
        <v>14</v>
      </c>
      <c r="AA2026">
        <v>505</v>
      </c>
      <c r="AB2026" t="s">
        <v>75</v>
      </c>
      <c r="AC2026">
        <v>0.504</v>
      </c>
      <c r="AD2026">
        <v>440</v>
      </c>
      <c r="AE2026" t="s">
        <v>56</v>
      </c>
      <c r="AF2026">
        <v>0.439</v>
      </c>
      <c r="AG2026">
        <v>367</v>
      </c>
      <c r="AH2026" t="s">
        <v>57</v>
      </c>
      <c r="AI2026">
        <v>0.36599999999999999</v>
      </c>
      <c r="AJ2026" t="s">
        <v>1154</v>
      </c>
    </row>
    <row r="2027" spans="1:36" x14ac:dyDescent="0.25">
      <c r="A2027" t="s">
        <v>479</v>
      </c>
      <c r="B2027">
        <v>854354656</v>
      </c>
      <c r="C2027" t="s">
        <v>480</v>
      </c>
      <c r="D2027" t="s">
        <v>480</v>
      </c>
      <c r="E2027" t="s">
        <v>65</v>
      </c>
      <c r="F2027" t="s">
        <v>214</v>
      </c>
      <c r="G2027" t="s">
        <v>99</v>
      </c>
      <c r="H2027">
        <v>1.9623199999999999E-4</v>
      </c>
      <c r="I2027" t="s">
        <v>268</v>
      </c>
      <c r="J2027" t="s">
        <v>40</v>
      </c>
      <c r="K2027" t="s">
        <v>41</v>
      </c>
      <c r="L2027" t="s">
        <v>281</v>
      </c>
      <c r="M2027" t="s">
        <v>282</v>
      </c>
      <c r="N2027" t="s">
        <v>43</v>
      </c>
      <c r="O2027" t="s">
        <v>307</v>
      </c>
      <c r="P2027">
        <v>300</v>
      </c>
      <c r="Q2027">
        <v>300</v>
      </c>
      <c r="R2027">
        <v>61</v>
      </c>
      <c r="S2027" t="s">
        <v>56</v>
      </c>
      <c r="T2027">
        <v>0.06</v>
      </c>
      <c r="U2027">
        <v>994</v>
      </c>
      <c r="V2027" t="s">
        <v>46</v>
      </c>
      <c r="W2027">
        <v>0.99299999999999999</v>
      </c>
      <c r="X2027">
        <v>19001</v>
      </c>
      <c r="Y2027" t="s">
        <v>47</v>
      </c>
      <c r="Z2027">
        <v>19</v>
      </c>
      <c r="AA2027">
        <v>562</v>
      </c>
      <c r="AB2027" t="s">
        <v>75</v>
      </c>
      <c r="AC2027">
        <v>0.56100000000000005</v>
      </c>
      <c r="AD2027">
        <v>686</v>
      </c>
      <c r="AE2027" t="s">
        <v>48</v>
      </c>
      <c r="AF2027">
        <v>0.68500000000000005</v>
      </c>
      <c r="AG2027">
        <v>833</v>
      </c>
      <c r="AH2027" t="s">
        <v>49</v>
      </c>
      <c r="AI2027">
        <v>0.83199999999999996</v>
      </c>
      <c r="AJ2027" t="s">
        <v>1154</v>
      </c>
    </row>
    <row r="2028" spans="1:36" x14ac:dyDescent="0.25">
      <c r="A2028" t="s">
        <v>479</v>
      </c>
      <c r="B2028">
        <v>854354656</v>
      </c>
      <c r="C2028" t="s">
        <v>480</v>
      </c>
      <c r="D2028" t="s">
        <v>480</v>
      </c>
      <c r="E2028" t="s">
        <v>99</v>
      </c>
      <c r="F2028" t="s">
        <v>214</v>
      </c>
      <c r="G2028" t="s">
        <v>99</v>
      </c>
      <c r="H2028">
        <v>1.9623199999999999E-4</v>
      </c>
      <c r="I2028" t="s">
        <v>268</v>
      </c>
      <c r="J2028" t="s">
        <v>40</v>
      </c>
      <c r="K2028" t="s">
        <v>41</v>
      </c>
      <c r="L2028" t="s">
        <v>281</v>
      </c>
      <c r="M2028" t="s">
        <v>282</v>
      </c>
      <c r="N2028" t="s">
        <v>43</v>
      </c>
      <c r="O2028" t="s">
        <v>108</v>
      </c>
      <c r="P2028">
        <v>300</v>
      </c>
      <c r="Q2028">
        <v>300</v>
      </c>
      <c r="S2028" t="s">
        <v>39</v>
      </c>
      <c r="V2028" t="s">
        <v>39</v>
      </c>
      <c r="X2028">
        <v>14001</v>
      </c>
      <c r="Y2028" t="s">
        <v>47</v>
      </c>
      <c r="Z2028">
        <v>14</v>
      </c>
      <c r="AA2028">
        <v>505</v>
      </c>
      <c r="AB2028" t="s">
        <v>75</v>
      </c>
      <c r="AC2028">
        <v>0.504</v>
      </c>
      <c r="AD2028">
        <v>440</v>
      </c>
      <c r="AE2028" t="s">
        <v>56</v>
      </c>
      <c r="AF2028">
        <v>0.439</v>
      </c>
      <c r="AG2028">
        <v>367</v>
      </c>
      <c r="AH2028" t="s">
        <v>57</v>
      </c>
      <c r="AI2028">
        <v>0.36599999999999999</v>
      </c>
      <c r="AJ2028" t="s">
        <v>1155</v>
      </c>
    </row>
    <row r="2029" spans="1:36" x14ac:dyDescent="0.25">
      <c r="A2029" t="s">
        <v>479</v>
      </c>
      <c r="B2029">
        <v>854354656</v>
      </c>
      <c r="C2029" t="s">
        <v>480</v>
      </c>
      <c r="D2029" t="s">
        <v>480</v>
      </c>
      <c r="E2029" t="s">
        <v>65</v>
      </c>
      <c r="F2029" t="s">
        <v>214</v>
      </c>
      <c r="G2029" t="s">
        <v>99</v>
      </c>
      <c r="H2029">
        <v>1.9623199999999999E-4</v>
      </c>
      <c r="I2029" t="s">
        <v>268</v>
      </c>
      <c r="J2029" t="s">
        <v>40</v>
      </c>
      <c r="K2029" t="s">
        <v>41</v>
      </c>
      <c r="L2029" t="s">
        <v>281</v>
      </c>
      <c r="M2029" t="s">
        <v>282</v>
      </c>
      <c r="N2029" t="s">
        <v>43</v>
      </c>
      <c r="O2029" t="s">
        <v>307</v>
      </c>
      <c r="P2029">
        <v>300</v>
      </c>
      <c r="Q2029">
        <v>300</v>
      </c>
      <c r="S2029" t="s">
        <v>39</v>
      </c>
      <c r="V2029" t="s">
        <v>39</v>
      </c>
      <c r="X2029">
        <v>19001</v>
      </c>
      <c r="Y2029" t="s">
        <v>47</v>
      </c>
      <c r="Z2029">
        <v>19</v>
      </c>
      <c r="AA2029">
        <v>562</v>
      </c>
      <c r="AB2029" t="s">
        <v>75</v>
      </c>
      <c r="AC2029">
        <v>0.56100000000000005</v>
      </c>
      <c r="AD2029">
        <v>686</v>
      </c>
      <c r="AE2029" t="s">
        <v>48</v>
      </c>
      <c r="AF2029">
        <v>0.68500000000000005</v>
      </c>
      <c r="AG2029">
        <v>833</v>
      </c>
      <c r="AH2029" t="s">
        <v>49</v>
      </c>
      <c r="AI2029">
        <v>0.83199999999999996</v>
      </c>
      <c r="AJ2029" t="s">
        <v>1155</v>
      </c>
    </row>
    <row r="2030" spans="1:36" x14ac:dyDescent="0.25">
      <c r="A2030" t="s">
        <v>477</v>
      </c>
      <c r="B2030">
        <v>853562082</v>
      </c>
      <c r="C2030" t="s">
        <v>478</v>
      </c>
      <c r="D2030" t="s">
        <v>478</v>
      </c>
      <c r="E2030" t="s">
        <v>37</v>
      </c>
      <c r="F2030" t="s">
        <v>38</v>
      </c>
      <c r="I2030" t="s">
        <v>39</v>
      </c>
      <c r="J2030" t="s">
        <v>40</v>
      </c>
      <c r="K2030" t="s">
        <v>41</v>
      </c>
      <c r="L2030" t="s">
        <v>211</v>
      </c>
      <c r="N2030" t="s">
        <v>43</v>
      </c>
      <c r="O2030" t="s">
        <v>79</v>
      </c>
      <c r="P2030">
        <v>302</v>
      </c>
      <c r="Q2030">
        <v>302</v>
      </c>
      <c r="R2030">
        <v>41</v>
      </c>
      <c r="S2030" t="s">
        <v>45</v>
      </c>
      <c r="T2030">
        <v>0.04</v>
      </c>
      <c r="U2030">
        <v>7</v>
      </c>
      <c r="V2030" t="s">
        <v>55</v>
      </c>
      <c r="W2030">
        <v>6.0000000000000001E-3</v>
      </c>
      <c r="X2030">
        <v>9001</v>
      </c>
      <c r="Y2030" t="s">
        <v>47</v>
      </c>
      <c r="Z2030">
        <v>9</v>
      </c>
      <c r="AA2030">
        <v>167</v>
      </c>
      <c r="AB2030" t="s">
        <v>47</v>
      </c>
      <c r="AC2030">
        <v>0.16600000000000001</v>
      </c>
      <c r="AD2030">
        <v>462</v>
      </c>
      <c r="AE2030" t="s">
        <v>56</v>
      </c>
      <c r="AF2030">
        <v>0.46100000000000002</v>
      </c>
      <c r="AG2030">
        <v>554</v>
      </c>
      <c r="AH2030" t="s">
        <v>49</v>
      </c>
      <c r="AI2030">
        <v>0.55300000000000005</v>
      </c>
      <c r="AJ2030" t="s">
        <v>50</v>
      </c>
    </row>
    <row r="2031" spans="1:36" x14ac:dyDescent="0.25">
      <c r="A2031" t="s">
        <v>477</v>
      </c>
      <c r="B2031">
        <v>853562082</v>
      </c>
      <c r="C2031" t="s">
        <v>478</v>
      </c>
      <c r="D2031" t="s">
        <v>478</v>
      </c>
      <c r="E2031" t="s">
        <v>37</v>
      </c>
      <c r="F2031" t="s">
        <v>38</v>
      </c>
      <c r="I2031" t="s">
        <v>39</v>
      </c>
      <c r="J2031" t="s">
        <v>40</v>
      </c>
      <c r="K2031" t="s">
        <v>41</v>
      </c>
      <c r="L2031" t="s">
        <v>211</v>
      </c>
      <c r="N2031" t="s">
        <v>43</v>
      </c>
      <c r="O2031" t="s">
        <v>79</v>
      </c>
      <c r="P2031">
        <v>302</v>
      </c>
      <c r="Q2031">
        <v>302</v>
      </c>
      <c r="R2031">
        <v>71</v>
      </c>
      <c r="S2031" t="s">
        <v>56</v>
      </c>
      <c r="T2031">
        <v>7.0000000000000007E-2</v>
      </c>
      <c r="U2031">
        <v>87</v>
      </c>
      <c r="V2031" t="s">
        <v>55</v>
      </c>
      <c r="W2031">
        <v>8.5999999999999993E-2</v>
      </c>
      <c r="X2031">
        <v>9001</v>
      </c>
      <c r="Y2031" t="s">
        <v>47</v>
      </c>
      <c r="Z2031">
        <v>9</v>
      </c>
      <c r="AA2031">
        <v>167</v>
      </c>
      <c r="AB2031" t="s">
        <v>47</v>
      </c>
      <c r="AC2031">
        <v>0.16600000000000001</v>
      </c>
      <c r="AD2031">
        <v>462</v>
      </c>
      <c r="AE2031" t="s">
        <v>56</v>
      </c>
      <c r="AF2031">
        <v>0.46100000000000002</v>
      </c>
      <c r="AG2031">
        <v>554</v>
      </c>
      <c r="AH2031" t="s">
        <v>49</v>
      </c>
      <c r="AI2031">
        <v>0.55300000000000005</v>
      </c>
      <c r="AJ2031" t="s">
        <v>1141</v>
      </c>
    </row>
    <row r="2032" spans="1:36" x14ac:dyDescent="0.25">
      <c r="A2032" t="s">
        <v>477</v>
      </c>
      <c r="B2032">
        <v>853562082</v>
      </c>
      <c r="C2032" t="s">
        <v>478</v>
      </c>
      <c r="D2032" t="s">
        <v>478</v>
      </c>
      <c r="E2032" t="s">
        <v>37</v>
      </c>
      <c r="F2032" t="s">
        <v>38</v>
      </c>
      <c r="I2032" t="s">
        <v>39</v>
      </c>
      <c r="J2032" t="s">
        <v>40</v>
      </c>
      <c r="K2032" t="s">
        <v>41</v>
      </c>
      <c r="L2032" t="s">
        <v>211</v>
      </c>
      <c r="N2032" t="s">
        <v>43</v>
      </c>
      <c r="O2032" t="s">
        <v>79</v>
      </c>
      <c r="P2032">
        <v>302</v>
      </c>
      <c r="Q2032">
        <v>302</v>
      </c>
      <c r="R2032">
        <v>41</v>
      </c>
      <c r="S2032" t="s">
        <v>45</v>
      </c>
      <c r="T2032">
        <v>0.04</v>
      </c>
      <c r="U2032">
        <v>7</v>
      </c>
      <c r="V2032" t="s">
        <v>55</v>
      </c>
      <c r="W2032">
        <v>6.0000000000000001E-3</v>
      </c>
      <c r="X2032">
        <v>9001</v>
      </c>
      <c r="Y2032" t="s">
        <v>47</v>
      </c>
      <c r="Z2032">
        <v>9</v>
      </c>
      <c r="AA2032">
        <v>167</v>
      </c>
      <c r="AB2032" t="s">
        <v>47</v>
      </c>
      <c r="AC2032">
        <v>0.16600000000000001</v>
      </c>
      <c r="AD2032">
        <v>462</v>
      </c>
      <c r="AE2032" t="s">
        <v>56</v>
      </c>
      <c r="AF2032">
        <v>0.46100000000000002</v>
      </c>
      <c r="AG2032">
        <v>554</v>
      </c>
      <c r="AH2032" t="s">
        <v>49</v>
      </c>
      <c r="AI2032">
        <v>0.55300000000000005</v>
      </c>
      <c r="AJ2032" t="s">
        <v>1153</v>
      </c>
    </row>
    <row r="2033" spans="1:36" x14ac:dyDescent="0.25">
      <c r="A2033" t="s">
        <v>477</v>
      </c>
      <c r="B2033">
        <v>853562082</v>
      </c>
      <c r="C2033" t="s">
        <v>478</v>
      </c>
      <c r="D2033" t="s">
        <v>478</v>
      </c>
      <c r="E2033" t="s">
        <v>37</v>
      </c>
      <c r="F2033" t="s">
        <v>38</v>
      </c>
      <c r="I2033" t="s">
        <v>39</v>
      </c>
      <c r="J2033" t="s">
        <v>40</v>
      </c>
      <c r="K2033" t="s">
        <v>41</v>
      </c>
      <c r="L2033" t="s">
        <v>211</v>
      </c>
      <c r="N2033" t="s">
        <v>43</v>
      </c>
      <c r="O2033" t="s">
        <v>79</v>
      </c>
      <c r="P2033">
        <v>302</v>
      </c>
      <c r="Q2033">
        <v>302</v>
      </c>
      <c r="R2033">
        <v>41</v>
      </c>
      <c r="S2033" t="s">
        <v>45</v>
      </c>
      <c r="T2033">
        <v>0.04</v>
      </c>
      <c r="U2033">
        <v>7</v>
      </c>
      <c r="V2033" t="s">
        <v>55</v>
      </c>
      <c r="W2033">
        <v>6.0000000000000001E-3</v>
      </c>
      <c r="X2033">
        <v>9001</v>
      </c>
      <c r="Y2033" t="s">
        <v>47</v>
      </c>
      <c r="Z2033">
        <v>9</v>
      </c>
      <c r="AA2033">
        <v>167</v>
      </c>
      <c r="AB2033" t="s">
        <v>47</v>
      </c>
      <c r="AC2033">
        <v>0.16600000000000001</v>
      </c>
      <c r="AD2033">
        <v>462</v>
      </c>
      <c r="AE2033" t="s">
        <v>56</v>
      </c>
      <c r="AF2033">
        <v>0.46100000000000002</v>
      </c>
      <c r="AG2033">
        <v>554</v>
      </c>
      <c r="AH2033" t="s">
        <v>49</v>
      </c>
      <c r="AI2033">
        <v>0.55300000000000005</v>
      </c>
      <c r="AJ2033" t="s">
        <v>1154</v>
      </c>
    </row>
    <row r="2034" spans="1:36" x14ac:dyDescent="0.25">
      <c r="A2034" t="s">
        <v>477</v>
      </c>
      <c r="B2034">
        <v>853562082</v>
      </c>
      <c r="C2034" t="s">
        <v>478</v>
      </c>
      <c r="D2034" t="s">
        <v>478</v>
      </c>
      <c r="E2034" t="s">
        <v>37</v>
      </c>
      <c r="F2034" t="s">
        <v>38</v>
      </c>
      <c r="I2034" t="s">
        <v>39</v>
      </c>
      <c r="J2034" t="s">
        <v>40</v>
      </c>
      <c r="K2034" t="s">
        <v>41</v>
      </c>
      <c r="L2034" t="s">
        <v>211</v>
      </c>
      <c r="N2034" t="s">
        <v>43</v>
      </c>
      <c r="O2034" t="s">
        <v>79</v>
      </c>
      <c r="P2034">
        <v>302</v>
      </c>
      <c r="Q2034">
        <v>302</v>
      </c>
      <c r="S2034" t="s">
        <v>39</v>
      </c>
      <c r="V2034" t="s">
        <v>39</v>
      </c>
      <c r="X2034">
        <v>9001</v>
      </c>
      <c r="Y2034" t="s">
        <v>47</v>
      </c>
      <c r="Z2034">
        <v>9</v>
      </c>
      <c r="AA2034">
        <v>167</v>
      </c>
      <c r="AB2034" t="s">
        <v>47</v>
      </c>
      <c r="AC2034">
        <v>0.16600000000000001</v>
      </c>
      <c r="AD2034">
        <v>462</v>
      </c>
      <c r="AE2034" t="s">
        <v>56</v>
      </c>
      <c r="AF2034">
        <v>0.46100000000000002</v>
      </c>
      <c r="AG2034">
        <v>554</v>
      </c>
      <c r="AH2034" t="s">
        <v>49</v>
      </c>
      <c r="AI2034">
        <v>0.55300000000000005</v>
      </c>
      <c r="AJ2034" t="s">
        <v>1155</v>
      </c>
    </row>
    <row r="2035" spans="1:36" x14ac:dyDescent="0.25">
      <c r="A2035" t="s">
        <v>473</v>
      </c>
      <c r="B2035">
        <v>873004346</v>
      </c>
      <c r="C2035" t="s">
        <v>474</v>
      </c>
      <c r="D2035" t="s">
        <v>474</v>
      </c>
      <c r="E2035" t="s">
        <v>99</v>
      </c>
      <c r="F2035" t="s">
        <v>143</v>
      </c>
      <c r="I2035" t="s">
        <v>39</v>
      </c>
      <c r="J2035" t="s">
        <v>40</v>
      </c>
      <c r="K2035" t="s">
        <v>41</v>
      </c>
      <c r="N2035" t="s">
        <v>43</v>
      </c>
      <c r="O2035" t="s">
        <v>156</v>
      </c>
      <c r="P2035">
        <v>303</v>
      </c>
      <c r="Q2035">
        <v>303</v>
      </c>
      <c r="R2035">
        <v>131</v>
      </c>
      <c r="S2035" t="s">
        <v>56</v>
      </c>
      <c r="T2035">
        <v>0.13</v>
      </c>
      <c r="U2035">
        <v>15</v>
      </c>
      <c r="V2035" t="s">
        <v>55</v>
      </c>
      <c r="W2035">
        <v>1.4E-2</v>
      </c>
      <c r="X2035">
        <v>2001</v>
      </c>
      <c r="Y2035" t="s">
        <v>47</v>
      </c>
      <c r="Z2035">
        <v>2</v>
      </c>
      <c r="AA2035">
        <v>159</v>
      </c>
      <c r="AB2035" t="s">
        <v>47</v>
      </c>
      <c r="AC2035">
        <v>0.158</v>
      </c>
      <c r="AD2035">
        <v>364</v>
      </c>
      <c r="AE2035" t="s">
        <v>56</v>
      </c>
      <c r="AF2035">
        <v>0.36299999999999999</v>
      </c>
      <c r="AG2035">
        <v>85</v>
      </c>
      <c r="AH2035" t="s">
        <v>103</v>
      </c>
      <c r="AI2035">
        <v>8.4000000000000005E-2</v>
      </c>
      <c r="AJ2035" t="s">
        <v>50</v>
      </c>
    </row>
    <row r="2036" spans="1:36" x14ac:dyDescent="0.25">
      <c r="A2036" t="s">
        <v>473</v>
      </c>
      <c r="B2036">
        <v>873004346</v>
      </c>
      <c r="C2036" t="s">
        <v>474</v>
      </c>
      <c r="D2036" t="s">
        <v>474</v>
      </c>
      <c r="E2036" t="s">
        <v>99</v>
      </c>
      <c r="F2036" t="s">
        <v>143</v>
      </c>
      <c r="I2036" t="s">
        <v>39</v>
      </c>
      <c r="J2036" t="s">
        <v>40</v>
      </c>
      <c r="K2036" t="s">
        <v>41</v>
      </c>
      <c r="N2036" t="s">
        <v>43</v>
      </c>
      <c r="O2036" t="s">
        <v>156</v>
      </c>
      <c r="P2036">
        <v>303</v>
      </c>
      <c r="Q2036">
        <v>303</v>
      </c>
      <c r="R2036">
        <v>401</v>
      </c>
      <c r="S2036" t="s">
        <v>56</v>
      </c>
      <c r="T2036">
        <v>0.4</v>
      </c>
      <c r="U2036">
        <v>2</v>
      </c>
      <c r="V2036" t="s">
        <v>55</v>
      </c>
      <c r="W2036">
        <v>1E-3</v>
      </c>
      <c r="X2036">
        <v>2001</v>
      </c>
      <c r="Y2036" t="s">
        <v>47</v>
      </c>
      <c r="Z2036">
        <v>2</v>
      </c>
      <c r="AA2036">
        <v>159</v>
      </c>
      <c r="AB2036" t="s">
        <v>47</v>
      </c>
      <c r="AC2036">
        <v>0.158</v>
      </c>
      <c r="AD2036">
        <v>364</v>
      </c>
      <c r="AE2036" t="s">
        <v>56</v>
      </c>
      <c r="AF2036">
        <v>0.36299999999999999</v>
      </c>
      <c r="AG2036">
        <v>85</v>
      </c>
      <c r="AH2036" t="s">
        <v>103</v>
      </c>
      <c r="AI2036">
        <v>8.4000000000000005E-2</v>
      </c>
      <c r="AJ2036" t="s">
        <v>1141</v>
      </c>
    </row>
    <row r="2037" spans="1:36" x14ac:dyDescent="0.25">
      <c r="A2037" t="s">
        <v>473</v>
      </c>
      <c r="B2037">
        <v>873004346</v>
      </c>
      <c r="C2037" t="s">
        <v>474</v>
      </c>
      <c r="D2037" t="s">
        <v>474</v>
      </c>
      <c r="E2037" t="s">
        <v>99</v>
      </c>
      <c r="F2037" t="s">
        <v>143</v>
      </c>
      <c r="I2037" t="s">
        <v>39</v>
      </c>
      <c r="J2037" t="s">
        <v>40</v>
      </c>
      <c r="K2037" t="s">
        <v>41</v>
      </c>
      <c r="N2037" t="s">
        <v>43</v>
      </c>
      <c r="O2037" t="s">
        <v>156</v>
      </c>
      <c r="P2037">
        <v>303</v>
      </c>
      <c r="Q2037">
        <v>303</v>
      </c>
      <c r="R2037">
        <v>131</v>
      </c>
      <c r="S2037" t="s">
        <v>56</v>
      </c>
      <c r="T2037">
        <v>0.13</v>
      </c>
      <c r="U2037">
        <v>15</v>
      </c>
      <c r="V2037" t="s">
        <v>55</v>
      </c>
      <c r="W2037">
        <v>1.4E-2</v>
      </c>
      <c r="X2037">
        <v>2001</v>
      </c>
      <c r="Y2037" t="s">
        <v>47</v>
      </c>
      <c r="Z2037">
        <v>2</v>
      </c>
      <c r="AA2037">
        <v>159</v>
      </c>
      <c r="AB2037" t="s">
        <v>47</v>
      </c>
      <c r="AC2037">
        <v>0.158</v>
      </c>
      <c r="AD2037">
        <v>364</v>
      </c>
      <c r="AE2037" t="s">
        <v>56</v>
      </c>
      <c r="AF2037">
        <v>0.36299999999999999</v>
      </c>
      <c r="AG2037">
        <v>85</v>
      </c>
      <c r="AH2037" t="s">
        <v>103</v>
      </c>
      <c r="AI2037">
        <v>8.4000000000000005E-2</v>
      </c>
      <c r="AJ2037" t="s">
        <v>1153</v>
      </c>
    </row>
    <row r="2038" spans="1:36" x14ac:dyDescent="0.25">
      <c r="A2038" t="s">
        <v>473</v>
      </c>
      <c r="B2038">
        <v>873004346</v>
      </c>
      <c r="C2038" t="s">
        <v>474</v>
      </c>
      <c r="D2038" t="s">
        <v>474</v>
      </c>
      <c r="E2038" t="s">
        <v>99</v>
      </c>
      <c r="F2038" t="s">
        <v>143</v>
      </c>
      <c r="I2038" t="s">
        <v>39</v>
      </c>
      <c r="J2038" t="s">
        <v>40</v>
      </c>
      <c r="K2038" t="s">
        <v>41</v>
      </c>
      <c r="N2038" t="s">
        <v>43</v>
      </c>
      <c r="O2038" t="s">
        <v>156</v>
      </c>
      <c r="P2038">
        <v>303</v>
      </c>
      <c r="Q2038">
        <v>303</v>
      </c>
      <c r="R2038">
        <v>131</v>
      </c>
      <c r="S2038" t="s">
        <v>56</v>
      </c>
      <c r="T2038">
        <v>0.13</v>
      </c>
      <c r="U2038">
        <v>15</v>
      </c>
      <c r="V2038" t="s">
        <v>55</v>
      </c>
      <c r="W2038">
        <v>1.4E-2</v>
      </c>
      <c r="X2038">
        <v>2001</v>
      </c>
      <c r="Y2038" t="s">
        <v>47</v>
      </c>
      <c r="Z2038">
        <v>2</v>
      </c>
      <c r="AA2038">
        <v>159</v>
      </c>
      <c r="AB2038" t="s">
        <v>47</v>
      </c>
      <c r="AC2038">
        <v>0.158</v>
      </c>
      <c r="AD2038">
        <v>364</v>
      </c>
      <c r="AE2038" t="s">
        <v>56</v>
      </c>
      <c r="AF2038">
        <v>0.36299999999999999</v>
      </c>
      <c r="AG2038">
        <v>85</v>
      </c>
      <c r="AH2038" t="s">
        <v>103</v>
      </c>
      <c r="AI2038">
        <v>8.4000000000000005E-2</v>
      </c>
      <c r="AJ2038" t="s">
        <v>1154</v>
      </c>
    </row>
    <row r="2039" spans="1:36" x14ac:dyDescent="0.25">
      <c r="A2039" t="s">
        <v>473</v>
      </c>
      <c r="B2039">
        <v>873004346</v>
      </c>
      <c r="C2039" t="s">
        <v>474</v>
      </c>
      <c r="D2039" t="s">
        <v>474</v>
      </c>
      <c r="E2039" t="s">
        <v>99</v>
      </c>
      <c r="F2039" t="s">
        <v>143</v>
      </c>
      <c r="I2039" t="s">
        <v>39</v>
      </c>
      <c r="J2039" t="s">
        <v>40</v>
      </c>
      <c r="K2039" t="s">
        <v>41</v>
      </c>
      <c r="N2039" t="s">
        <v>43</v>
      </c>
      <c r="O2039" t="s">
        <v>156</v>
      </c>
      <c r="P2039">
        <v>303</v>
      </c>
      <c r="Q2039">
        <v>303</v>
      </c>
      <c r="S2039" t="s">
        <v>39</v>
      </c>
      <c r="V2039" t="s">
        <v>39</v>
      </c>
      <c r="X2039">
        <v>2001</v>
      </c>
      <c r="Y2039" t="s">
        <v>47</v>
      </c>
      <c r="Z2039">
        <v>2</v>
      </c>
      <c r="AA2039">
        <v>159</v>
      </c>
      <c r="AB2039" t="s">
        <v>47</v>
      </c>
      <c r="AC2039">
        <v>0.158</v>
      </c>
      <c r="AD2039">
        <v>364</v>
      </c>
      <c r="AE2039" t="s">
        <v>56</v>
      </c>
      <c r="AF2039">
        <v>0.36299999999999999</v>
      </c>
      <c r="AG2039">
        <v>85</v>
      </c>
      <c r="AH2039" t="s">
        <v>103</v>
      </c>
      <c r="AI2039">
        <v>8.4000000000000005E-2</v>
      </c>
      <c r="AJ2039" t="s">
        <v>1155</v>
      </c>
    </row>
    <row r="2040" spans="1:36" x14ac:dyDescent="0.25">
      <c r="A2040" t="s">
        <v>475</v>
      </c>
      <c r="B2040">
        <v>851668057</v>
      </c>
      <c r="C2040" t="s">
        <v>476</v>
      </c>
      <c r="D2040" t="s">
        <v>476</v>
      </c>
      <c r="E2040" t="s">
        <v>65</v>
      </c>
      <c r="F2040" t="s">
        <v>166</v>
      </c>
      <c r="I2040" t="s">
        <v>39</v>
      </c>
      <c r="J2040" t="s">
        <v>40</v>
      </c>
      <c r="K2040" t="s">
        <v>41</v>
      </c>
      <c r="L2040" t="s">
        <v>234</v>
      </c>
      <c r="M2040" t="s">
        <v>47</v>
      </c>
      <c r="N2040" t="s">
        <v>43</v>
      </c>
      <c r="O2040" t="s">
        <v>277</v>
      </c>
      <c r="P2040">
        <v>303</v>
      </c>
      <c r="Q2040">
        <v>303</v>
      </c>
      <c r="R2040">
        <v>191</v>
      </c>
      <c r="S2040" t="s">
        <v>56</v>
      </c>
      <c r="T2040">
        <v>0.19</v>
      </c>
      <c r="U2040">
        <v>7</v>
      </c>
      <c r="V2040" t="s">
        <v>55</v>
      </c>
      <c r="W2040">
        <v>6.0000000000000001E-3</v>
      </c>
      <c r="X2040">
        <v>2001</v>
      </c>
      <c r="Y2040" t="s">
        <v>47</v>
      </c>
      <c r="Z2040">
        <v>2</v>
      </c>
      <c r="AA2040">
        <v>166</v>
      </c>
      <c r="AB2040" t="s">
        <v>47</v>
      </c>
      <c r="AC2040">
        <v>0.16500000000000001</v>
      </c>
      <c r="AD2040">
        <v>372</v>
      </c>
      <c r="AE2040" t="s">
        <v>56</v>
      </c>
      <c r="AF2040">
        <v>0.371</v>
      </c>
      <c r="AG2040">
        <v>48</v>
      </c>
      <c r="AH2040" t="s">
        <v>103</v>
      </c>
      <c r="AI2040">
        <v>4.7E-2</v>
      </c>
      <c r="AJ2040" t="s">
        <v>50</v>
      </c>
    </row>
    <row r="2041" spans="1:36" x14ac:dyDescent="0.25">
      <c r="A2041" t="s">
        <v>475</v>
      </c>
      <c r="B2041">
        <v>851668057</v>
      </c>
      <c r="C2041" t="s">
        <v>476</v>
      </c>
      <c r="D2041" t="s">
        <v>476</v>
      </c>
      <c r="E2041" t="s">
        <v>65</v>
      </c>
      <c r="F2041" t="s">
        <v>166</v>
      </c>
      <c r="I2041" t="s">
        <v>39</v>
      </c>
      <c r="J2041" t="s">
        <v>40</v>
      </c>
      <c r="K2041" t="s">
        <v>41</v>
      </c>
      <c r="L2041" t="s">
        <v>234</v>
      </c>
      <c r="M2041" t="s">
        <v>47</v>
      </c>
      <c r="N2041" t="s">
        <v>43</v>
      </c>
      <c r="O2041" t="s">
        <v>277</v>
      </c>
      <c r="P2041">
        <v>303</v>
      </c>
      <c r="Q2041">
        <v>303</v>
      </c>
      <c r="R2041">
        <v>591</v>
      </c>
      <c r="S2041" t="s">
        <v>56</v>
      </c>
      <c r="T2041">
        <v>0.59</v>
      </c>
      <c r="U2041">
        <v>7</v>
      </c>
      <c r="V2041" t="s">
        <v>55</v>
      </c>
      <c r="W2041">
        <v>6.0000000000000001E-3</v>
      </c>
      <c r="X2041">
        <v>2001</v>
      </c>
      <c r="Y2041" t="s">
        <v>47</v>
      </c>
      <c r="Z2041">
        <v>2</v>
      </c>
      <c r="AA2041">
        <v>166</v>
      </c>
      <c r="AB2041" t="s">
        <v>47</v>
      </c>
      <c r="AC2041">
        <v>0.16500000000000001</v>
      </c>
      <c r="AD2041">
        <v>372</v>
      </c>
      <c r="AE2041" t="s">
        <v>56</v>
      </c>
      <c r="AF2041">
        <v>0.371</v>
      </c>
      <c r="AG2041">
        <v>48</v>
      </c>
      <c r="AH2041" t="s">
        <v>103</v>
      </c>
      <c r="AI2041">
        <v>4.7E-2</v>
      </c>
      <c r="AJ2041" t="s">
        <v>1141</v>
      </c>
    </row>
    <row r="2042" spans="1:36" x14ac:dyDescent="0.25">
      <c r="A2042" t="s">
        <v>475</v>
      </c>
      <c r="B2042">
        <v>851668057</v>
      </c>
      <c r="C2042" t="s">
        <v>476</v>
      </c>
      <c r="D2042" t="s">
        <v>476</v>
      </c>
      <c r="E2042" t="s">
        <v>65</v>
      </c>
      <c r="F2042" t="s">
        <v>166</v>
      </c>
      <c r="I2042" t="s">
        <v>39</v>
      </c>
      <c r="J2042" t="s">
        <v>40</v>
      </c>
      <c r="K2042" t="s">
        <v>41</v>
      </c>
      <c r="L2042" t="s">
        <v>234</v>
      </c>
      <c r="M2042" t="s">
        <v>47</v>
      </c>
      <c r="N2042" t="s">
        <v>43</v>
      </c>
      <c r="O2042" t="s">
        <v>277</v>
      </c>
      <c r="P2042">
        <v>303</v>
      </c>
      <c r="Q2042">
        <v>303</v>
      </c>
      <c r="R2042">
        <v>191</v>
      </c>
      <c r="S2042" t="s">
        <v>56</v>
      </c>
      <c r="T2042">
        <v>0.19</v>
      </c>
      <c r="U2042">
        <v>7</v>
      </c>
      <c r="V2042" t="s">
        <v>55</v>
      </c>
      <c r="W2042">
        <v>6.0000000000000001E-3</v>
      </c>
      <c r="X2042">
        <v>2001</v>
      </c>
      <c r="Y2042" t="s">
        <v>47</v>
      </c>
      <c r="Z2042">
        <v>2</v>
      </c>
      <c r="AA2042">
        <v>166</v>
      </c>
      <c r="AB2042" t="s">
        <v>47</v>
      </c>
      <c r="AC2042">
        <v>0.16500000000000001</v>
      </c>
      <c r="AD2042">
        <v>372</v>
      </c>
      <c r="AE2042" t="s">
        <v>56</v>
      </c>
      <c r="AF2042">
        <v>0.371</v>
      </c>
      <c r="AG2042">
        <v>48</v>
      </c>
      <c r="AH2042" t="s">
        <v>103</v>
      </c>
      <c r="AI2042">
        <v>4.7E-2</v>
      </c>
      <c r="AJ2042" t="s">
        <v>1153</v>
      </c>
    </row>
    <row r="2043" spans="1:36" x14ac:dyDescent="0.25">
      <c r="A2043" t="s">
        <v>475</v>
      </c>
      <c r="B2043">
        <v>851668057</v>
      </c>
      <c r="C2043" t="s">
        <v>476</v>
      </c>
      <c r="D2043" t="s">
        <v>476</v>
      </c>
      <c r="E2043" t="s">
        <v>65</v>
      </c>
      <c r="F2043" t="s">
        <v>166</v>
      </c>
      <c r="I2043" t="s">
        <v>39</v>
      </c>
      <c r="J2043" t="s">
        <v>40</v>
      </c>
      <c r="K2043" t="s">
        <v>41</v>
      </c>
      <c r="L2043" t="s">
        <v>234</v>
      </c>
      <c r="M2043" t="s">
        <v>47</v>
      </c>
      <c r="N2043" t="s">
        <v>43</v>
      </c>
      <c r="O2043" t="s">
        <v>277</v>
      </c>
      <c r="P2043">
        <v>303</v>
      </c>
      <c r="Q2043">
        <v>303</v>
      </c>
      <c r="R2043">
        <v>191</v>
      </c>
      <c r="S2043" t="s">
        <v>56</v>
      </c>
      <c r="T2043">
        <v>0.19</v>
      </c>
      <c r="U2043">
        <v>7</v>
      </c>
      <c r="V2043" t="s">
        <v>55</v>
      </c>
      <c r="W2043">
        <v>6.0000000000000001E-3</v>
      </c>
      <c r="X2043">
        <v>2001</v>
      </c>
      <c r="Y2043" t="s">
        <v>47</v>
      </c>
      <c r="Z2043">
        <v>2</v>
      </c>
      <c r="AA2043">
        <v>166</v>
      </c>
      <c r="AB2043" t="s">
        <v>47</v>
      </c>
      <c r="AC2043">
        <v>0.16500000000000001</v>
      </c>
      <c r="AD2043">
        <v>372</v>
      </c>
      <c r="AE2043" t="s">
        <v>56</v>
      </c>
      <c r="AF2043">
        <v>0.371</v>
      </c>
      <c r="AG2043">
        <v>48</v>
      </c>
      <c r="AH2043" t="s">
        <v>103</v>
      </c>
      <c r="AI2043">
        <v>4.7E-2</v>
      </c>
      <c r="AJ2043" t="s">
        <v>1154</v>
      </c>
    </row>
    <row r="2044" spans="1:36" x14ac:dyDescent="0.25">
      <c r="A2044" t="s">
        <v>475</v>
      </c>
      <c r="B2044">
        <v>851668057</v>
      </c>
      <c r="C2044" t="s">
        <v>476</v>
      </c>
      <c r="D2044" t="s">
        <v>476</v>
      </c>
      <c r="E2044" t="s">
        <v>65</v>
      </c>
      <c r="F2044" t="s">
        <v>166</v>
      </c>
      <c r="I2044" t="s">
        <v>39</v>
      </c>
      <c r="J2044" t="s">
        <v>40</v>
      </c>
      <c r="K2044" t="s">
        <v>41</v>
      </c>
      <c r="L2044" t="s">
        <v>234</v>
      </c>
      <c r="M2044" t="s">
        <v>47</v>
      </c>
      <c r="N2044" t="s">
        <v>43</v>
      </c>
      <c r="O2044" t="s">
        <v>277</v>
      </c>
      <c r="P2044">
        <v>303</v>
      </c>
      <c r="Q2044">
        <v>303</v>
      </c>
      <c r="S2044" t="s">
        <v>39</v>
      </c>
      <c r="V2044" t="s">
        <v>39</v>
      </c>
      <c r="X2044">
        <v>2001</v>
      </c>
      <c r="Y2044" t="s">
        <v>47</v>
      </c>
      <c r="Z2044">
        <v>2</v>
      </c>
      <c r="AA2044">
        <v>166</v>
      </c>
      <c r="AB2044" t="s">
        <v>47</v>
      </c>
      <c r="AC2044">
        <v>0.16500000000000001</v>
      </c>
      <c r="AD2044">
        <v>372</v>
      </c>
      <c r="AE2044" t="s">
        <v>56</v>
      </c>
      <c r="AF2044">
        <v>0.371</v>
      </c>
      <c r="AG2044">
        <v>48</v>
      </c>
      <c r="AH2044" t="s">
        <v>103</v>
      </c>
      <c r="AI2044">
        <v>4.7E-2</v>
      </c>
      <c r="AJ2044" t="s">
        <v>1155</v>
      </c>
    </row>
    <row r="2045" spans="1:36" x14ac:dyDescent="0.25">
      <c r="A2045" t="s">
        <v>471</v>
      </c>
      <c r="B2045">
        <v>855418830</v>
      </c>
      <c r="C2045" t="s">
        <v>472</v>
      </c>
      <c r="D2045" t="s">
        <v>472</v>
      </c>
      <c r="E2045" t="s">
        <v>60</v>
      </c>
      <c r="F2045" t="s">
        <v>88</v>
      </c>
      <c r="I2045" t="s">
        <v>39</v>
      </c>
      <c r="J2045" t="s">
        <v>40</v>
      </c>
      <c r="K2045" t="s">
        <v>41</v>
      </c>
      <c r="L2045" t="s">
        <v>173</v>
      </c>
      <c r="N2045" t="s">
        <v>43</v>
      </c>
      <c r="O2045" t="s">
        <v>295</v>
      </c>
      <c r="P2045">
        <v>304</v>
      </c>
      <c r="Q2045">
        <v>304</v>
      </c>
      <c r="R2045">
        <v>291</v>
      </c>
      <c r="S2045" t="s">
        <v>56</v>
      </c>
      <c r="T2045">
        <v>0.28999999999999998</v>
      </c>
      <c r="U2045">
        <v>1</v>
      </c>
      <c r="V2045" t="s">
        <v>55</v>
      </c>
      <c r="W2045">
        <v>0</v>
      </c>
      <c r="X2045">
        <v>1</v>
      </c>
      <c r="Y2045" t="s">
        <v>47</v>
      </c>
      <c r="Z2045">
        <v>0</v>
      </c>
      <c r="AA2045">
        <v>208</v>
      </c>
      <c r="AB2045" t="s">
        <v>47</v>
      </c>
      <c r="AC2045">
        <v>0.20699999999999999</v>
      </c>
      <c r="AD2045">
        <v>268</v>
      </c>
      <c r="AE2045" t="s">
        <v>56</v>
      </c>
      <c r="AF2045">
        <v>0.26700000000000002</v>
      </c>
      <c r="AG2045">
        <v>96</v>
      </c>
      <c r="AH2045" t="s">
        <v>103</v>
      </c>
      <c r="AI2045">
        <v>9.5000000000000001E-2</v>
      </c>
      <c r="AJ2045" t="s">
        <v>50</v>
      </c>
    </row>
    <row r="2046" spans="1:36" x14ac:dyDescent="0.25">
      <c r="A2046" t="s">
        <v>471</v>
      </c>
      <c r="B2046">
        <v>855418830</v>
      </c>
      <c r="C2046" t="s">
        <v>472</v>
      </c>
      <c r="D2046" t="s">
        <v>472</v>
      </c>
      <c r="E2046" t="s">
        <v>60</v>
      </c>
      <c r="F2046" t="s">
        <v>88</v>
      </c>
      <c r="I2046" t="s">
        <v>39</v>
      </c>
      <c r="J2046" t="s">
        <v>40</v>
      </c>
      <c r="K2046" t="s">
        <v>41</v>
      </c>
      <c r="L2046" t="s">
        <v>173</v>
      </c>
      <c r="N2046" t="s">
        <v>43</v>
      </c>
      <c r="O2046" t="s">
        <v>295</v>
      </c>
      <c r="P2046">
        <v>304</v>
      </c>
      <c r="Q2046">
        <v>304</v>
      </c>
      <c r="R2046">
        <v>401</v>
      </c>
      <c r="S2046" t="s">
        <v>56</v>
      </c>
      <c r="T2046">
        <v>0.4</v>
      </c>
      <c r="U2046">
        <v>1</v>
      </c>
      <c r="V2046" t="s">
        <v>55</v>
      </c>
      <c r="W2046">
        <v>0</v>
      </c>
      <c r="X2046">
        <v>1</v>
      </c>
      <c r="Y2046" t="s">
        <v>47</v>
      </c>
      <c r="Z2046">
        <v>0</v>
      </c>
      <c r="AA2046">
        <v>208</v>
      </c>
      <c r="AB2046" t="s">
        <v>47</v>
      </c>
      <c r="AC2046">
        <v>0.20699999999999999</v>
      </c>
      <c r="AD2046">
        <v>268</v>
      </c>
      <c r="AE2046" t="s">
        <v>56</v>
      </c>
      <c r="AF2046">
        <v>0.26700000000000002</v>
      </c>
      <c r="AG2046">
        <v>96</v>
      </c>
      <c r="AH2046" t="s">
        <v>103</v>
      </c>
      <c r="AI2046">
        <v>9.5000000000000001E-2</v>
      </c>
      <c r="AJ2046" t="s">
        <v>1141</v>
      </c>
    </row>
    <row r="2047" spans="1:36" x14ac:dyDescent="0.25">
      <c r="A2047" t="s">
        <v>471</v>
      </c>
      <c r="B2047">
        <v>855418830</v>
      </c>
      <c r="C2047" t="s">
        <v>472</v>
      </c>
      <c r="D2047" t="s">
        <v>472</v>
      </c>
      <c r="E2047" t="s">
        <v>60</v>
      </c>
      <c r="F2047" t="s">
        <v>88</v>
      </c>
      <c r="I2047" t="s">
        <v>39</v>
      </c>
      <c r="J2047" t="s">
        <v>40</v>
      </c>
      <c r="K2047" t="s">
        <v>41</v>
      </c>
      <c r="L2047" t="s">
        <v>173</v>
      </c>
      <c r="N2047" t="s">
        <v>43</v>
      </c>
      <c r="O2047" t="s">
        <v>295</v>
      </c>
      <c r="P2047">
        <v>304</v>
      </c>
      <c r="Q2047">
        <v>304</v>
      </c>
      <c r="R2047">
        <v>291</v>
      </c>
      <c r="S2047" t="s">
        <v>56</v>
      </c>
      <c r="T2047">
        <v>0.28999999999999998</v>
      </c>
      <c r="U2047">
        <v>1</v>
      </c>
      <c r="V2047" t="s">
        <v>55</v>
      </c>
      <c r="W2047">
        <v>0</v>
      </c>
      <c r="X2047">
        <v>1</v>
      </c>
      <c r="Y2047" t="s">
        <v>47</v>
      </c>
      <c r="Z2047">
        <v>0</v>
      </c>
      <c r="AA2047">
        <v>208</v>
      </c>
      <c r="AB2047" t="s">
        <v>47</v>
      </c>
      <c r="AC2047">
        <v>0.20699999999999999</v>
      </c>
      <c r="AD2047">
        <v>268</v>
      </c>
      <c r="AE2047" t="s">
        <v>56</v>
      </c>
      <c r="AF2047">
        <v>0.26700000000000002</v>
      </c>
      <c r="AG2047">
        <v>96</v>
      </c>
      <c r="AH2047" t="s">
        <v>103</v>
      </c>
      <c r="AI2047">
        <v>9.5000000000000001E-2</v>
      </c>
      <c r="AJ2047" t="s">
        <v>1153</v>
      </c>
    </row>
    <row r="2048" spans="1:36" x14ac:dyDescent="0.25">
      <c r="A2048" t="s">
        <v>471</v>
      </c>
      <c r="B2048">
        <v>855418830</v>
      </c>
      <c r="C2048" t="s">
        <v>472</v>
      </c>
      <c r="D2048" t="s">
        <v>472</v>
      </c>
      <c r="E2048" t="s">
        <v>60</v>
      </c>
      <c r="F2048" t="s">
        <v>88</v>
      </c>
      <c r="I2048" t="s">
        <v>39</v>
      </c>
      <c r="J2048" t="s">
        <v>40</v>
      </c>
      <c r="K2048" t="s">
        <v>41</v>
      </c>
      <c r="L2048" t="s">
        <v>173</v>
      </c>
      <c r="N2048" t="s">
        <v>43</v>
      </c>
      <c r="O2048" t="s">
        <v>295</v>
      </c>
      <c r="P2048">
        <v>304</v>
      </c>
      <c r="Q2048">
        <v>304</v>
      </c>
      <c r="R2048">
        <v>291</v>
      </c>
      <c r="S2048" t="s">
        <v>56</v>
      </c>
      <c r="T2048">
        <v>0.28999999999999998</v>
      </c>
      <c r="U2048">
        <v>1</v>
      </c>
      <c r="V2048" t="s">
        <v>55</v>
      </c>
      <c r="W2048">
        <v>0</v>
      </c>
      <c r="X2048">
        <v>1</v>
      </c>
      <c r="Y2048" t="s">
        <v>47</v>
      </c>
      <c r="Z2048">
        <v>0</v>
      </c>
      <c r="AA2048">
        <v>208</v>
      </c>
      <c r="AB2048" t="s">
        <v>47</v>
      </c>
      <c r="AC2048">
        <v>0.20699999999999999</v>
      </c>
      <c r="AD2048">
        <v>268</v>
      </c>
      <c r="AE2048" t="s">
        <v>56</v>
      </c>
      <c r="AF2048">
        <v>0.26700000000000002</v>
      </c>
      <c r="AG2048">
        <v>96</v>
      </c>
      <c r="AH2048" t="s">
        <v>103</v>
      </c>
      <c r="AI2048">
        <v>9.5000000000000001E-2</v>
      </c>
      <c r="AJ2048" t="s">
        <v>1154</v>
      </c>
    </row>
    <row r="2049" spans="1:36" x14ac:dyDescent="0.25">
      <c r="A2049" t="s">
        <v>471</v>
      </c>
      <c r="B2049">
        <v>855418830</v>
      </c>
      <c r="C2049" t="s">
        <v>472</v>
      </c>
      <c r="D2049" t="s">
        <v>472</v>
      </c>
      <c r="E2049" t="s">
        <v>60</v>
      </c>
      <c r="F2049" t="s">
        <v>88</v>
      </c>
      <c r="I2049" t="s">
        <v>39</v>
      </c>
      <c r="J2049" t="s">
        <v>40</v>
      </c>
      <c r="K2049" t="s">
        <v>41</v>
      </c>
      <c r="L2049" t="s">
        <v>173</v>
      </c>
      <c r="N2049" t="s">
        <v>43</v>
      </c>
      <c r="O2049" t="s">
        <v>295</v>
      </c>
      <c r="P2049">
        <v>304</v>
      </c>
      <c r="Q2049">
        <v>304</v>
      </c>
      <c r="S2049" t="s">
        <v>39</v>
      </c>
      <c r="V2049" t="s">
        <v>39</v>
      </c>
      <c r="X2049">
        <v>1</v>
      </c>
      <c r="Y2049" t="s">
        <v>47</v>
      </c>
      <c r="Z2049">
        <v>0</v>
      </c>
      <c r="AA2049">
        <v>208</v>
      </c>
      <c r="AB2049" t="s">
        <v>47</v>
      </c>
      <c r="AC2049">
        <v>0.20699999999999999</v>
      </c>
      <c r="AD2049">
        <v>268</v>
      </c>
      <c r="AE2049" t="s">
        <v>56</v>
      </c>
      <c r="AF2049">
        <v>0.26700000000000002</v>
      </c>
      <c r="AG2049">
        <v>96</v>
      </c>
      <c r="AH2049" t="s">
        <v>103</v>
      </c>
      <c r="AI2049">
        <v>9.5000000000000001E-2</v>
      </c>
      <c r="AJ2049" t="s">
        <v>1155</v>
      </c>
    </row>
    <row r="2050" spans="1:36" x14ac:dyDescent="0.25">
      <c r="A2050" t="s">
        <v>468</v>
      </c>
      <c r="B2050">
        <v>855738876</v>
      </c>
      <c r="C2050" t="s">
        <v>469</v>
      </c>
      <c r="D2050" t="s">
        <v>469</v>
      </c>
      <c r="E2050" t="s">
        <v>37</v>
      </c>
      <c r="F2050" t="s">
        <v>191</v>
      </c>
      <c r="I2050" t="s">
        <v>39</v>
      </c>
      <c r="J2050" t="s">
        <v>40</v>
      </c>
      <c r="K2050" t="s">
        <v>41</v>
      </c>
      <c r="L2050" t="s">
        <v>248</v>
      </c>
      <c r="M2050" t="s">
        <v>47</v>
      </c>
      <c r="N2050" t="s">
        <v>344</v>
      </c>
      <c r="O2050" t="s">
        <v>470</v>
      </c>
      <c r="P2050">
        <v>306</v>
      </c>
      <c r="Q2050">
        <v>306</v>
      </c>
      <c r="R2050">
        <v>191</v>
      </c>
      <c r="S2050" t="s">
        <v>56</v>
      </c>
      <c r="T2050">
        <v>0.19</v>
      </c>
      <c r="U2050">
        <v>787</v>
      </c>
      <c r="V2050" t="s">
        <v>113</v>
      </c>
      <c r="W2050">
        <v>0.78600000000000003</v>
      </c>
      <c r="Y2050" t="s">
        <v>39</v>
      </c>
      <c r="AB2050" t="s">
        <v>39</v>
      </c>
      <c r="AE2050" t="s">
        <v>39</v>
      </c>
      <c r="AH2050" t="s">
        <v>39</v>
      </c>
      <c r="AJ2050" t="s">
        <v>50</v>
      </c>
    </row>
    <row r="2051" spans="1:36" x14ac:dyDescent="0.25">
      <c r="A2051" t="s">
        <v>468</v>
      </c>
      <c r="B2051">
        <v>855738876</v>
      </c>
      <c r="C2051" t="s">
        <v>469</v>
      </c>
      <c r="D2051" t="s">
        <v>469</v>
      </c>
      <c r="E2051" t="s">
        <v>37</v>
      </c>
      <c r="F2051" t="s">
        <v>191</v>
      </c>
      <c r="I2051" t="s">
        <v>39</v>
      </c>
      <c r="J2051" t="s">
        <v>40</v>
      </c>
      <c r="K2051" t="s">
        <v>41</v>
      </c>
      <c r="L2051" t="s">
        <v>248</v>
      </c>
      <c r="M2051" t="s">
        <v>47</v>
      </c>
      <c r="N2051" t="s">
        <v>344</v>
      </c>
      <c r="O2051" t="s">
        <v>470</v>
      </c>
      <c r="P2051">
        <v>306</v>
      </c>
      <c r="Q2051">
        <v>306</v>
      </c>
      <c r="R2051">
        <v>261</v>
      </c>
      <c r="S2051" t="s">
        <v>56</v>
      </c>
      <c r="T2051">
        <v>0.26</v>
      </c>
      <c r="U2051">
        <v>777</v>
      </c>
      <c r="V2051" t="s">
        <v>113</v>
      </c>
      <c r="W2051">
        <v>0.77600000000000002</v>
      </c>
      <c r="Y2051" t="s">
        <v>39</v>
      </c>
      <c r="AB2051" t="s">
        <v>39</v>
      </c>
      <c r="AE2051" t="s">
        <v>39</v>
      </c>
      <c r="AH2051" t="s">
        <v>39</v>
      </c>
      <c r="AJ2051" t="s">
        <v>1141</v>
      </c>
    </row>
    <row r="2052" spans="1:36" x14ac:dyDescent="0.25">
      <c r="A2052" t="s">
        <v>468</v>
      </c>
      <c r="B2052">
        <v>855738876</v>
      </c>
      <c r="C2052" t="s">
        <v>469</v>
      </c>
      <c r="D2052" t="s">
        <v>469</v>
      </c>
      <c r="E2052" t="s">
        <v>37</v>
      </c>
      <c r="F2052" t="s">
        <v>191</v>
      </c>
      <c r="I2052" t="s">
        <v>39</v>
      </c>
      <c r="J2052" t="s">
        <v>40</v>
      </c>
      <c r="K2052" t="s">
        <v>41</v>
      </c>
      <c r="L2052" t="s">
        <v>248</v>
      </c>
      <c r="M2052" t="s">
        <v>47</v>
      </c>
      <c r="N2052" t="s">
        <v>344</v>
      </c>
      <c r="O2052" t="s">
        <v>470</v>
      </c>
      <c r="P2052">
        <v>306</v>
      </c>
      <c r="Q2052">
        <v>306</v>
      </c>
      <c r="R2052">
        <v>191</v>
      </c>
      <c r="S2052" t="s">
        <v>56</v>
      </c>
      <c r="T2052">
        <v>0.19</v>
      </c>
      <c r="U2052">
        <v>787</v>
      </c>
      <c r="V2052" t="s">
        <v>113</v>
      </c>
      <c r="W2052">
        <v>0.78600000000000003</v>
      </c>
      <c r="Y2052" t="s">
        <v>39</v>
      </c>
      <c r="AB2052" t="s">
        <v>39</v>
      </c>
      <c r="AE2052" t="s">
        <v>39</v>
      </c>
      <c r="AH2052" t="s">
        <v>39</v>
      </c>
      <c r="AJ2052" t="s">
        <v>1153</v>
      </c>
    </row>
    <row r="2053" spans="1:36" x14ac:dyDescent="0.25">
      <c r="A2053" t="s">
        <v>468</v>
      </c>
      <c r="B2053">
        <v>855738876</v>
      </c>
      <c r="C2053" t="s">
        <v>469</v>
      </c>
      <c r="D2053" t="s">
        <v>469</v>
      </c>
      <c r="E2053" t="s">
        <v>37</v>
      </c>
      <c r="F2053" t="s">
        <v>191</v>
      </c>
      <c r="I2053" t="s">
        <v>39</v>
      </c>
      <c r="J2053" t="s">
        <v>40</v>
      </c>
      <c r="K2053" t="s">
        <v>41</v>
      </c>
      <c r="L2053" t="s">
        <v>248</v>
      </c>
      <c r="M2053" t="s">
        <v>47</v>
      </c>
      <c r="N2053" t="s">
        <v>344</v>
      </c>
      <c r="O2053" t="s">
        <v>470</v>
      </c>
      <c r="P2053">
        <v>306</v>
      </c>
      <c r="Q2053">
        <v>306</v>
      </c>
      <c r="R2053">
        <v>191</v>
      </c>
      <c r="S2053" t="s">
        <v>56</v>
      </c>
      <c r="T2053">
        <v>0.19</v>
      </c>
      <c r="U2053">
        <v>787</v>
      </c>
      <c r="V2053" t="s">
        <v>113</v>
      </c>
      <c r="W2053">
        <v>0.78600000000000003</v>
      </c>
      <c r="Y2053" t="s">
        <v>39</v>
      </c>
      <c r="AB2053" t="s">
        <v>39</v>
      </c>
      <c r="AE2053" t="s">
        <v>39</v>
      </c>
      <c r="AH2053" t="s">
        <v>39</v>
      </c>
      <c r="AJ2053" t="s">
        <v>1154</v>
      </c>
    </row>
    <row r="2054" spans="1:36" x14ac:dyDescent="0.25">
      <c r="A2054" t="s">
        <v>468</v>
      </c>
      <c r="B2054">
        <v>855738876</v>
      </c>
      <c r="C2054" t="s">
        <v>469</v>
      </c>
      <c r="D2054" t="s">
        <v>469</v>
      </c>
      <c r="E2054" t="s">
        <v>37</v>
      </c>
      <c r="F2054" t="s">
        <v>191</v>
      </c>
      <c r="I2054" t="s">
        <v>39</v>
      </c>
      <c r="J2054" t="s">
        <v>40</v>
      </c>
      <c r="K2054" t="s">
        <v>41</v>
      </c>
      <c r="L2054" t="s">
        <v>248</v>
      </c>
      <c r="M2054" t="s">
        <v>47</v>
      </c>
      <c r="N2054" t="s">
        <v>344</v>
      </c>
      <c r="O2054" t="s">
        <v>470</v>
      </c>
      <c r="P2054">
        <v>306</v>
      </c>
      <c r="Q2054">
        <v>306</v>
      </c>
      <c r="S2054" t="s">
        <v>39</v>
      </c>
      <c r="V2054" t="s">
        <v>39</v>
      </c>
      <c r="Y2054" t="s">
        <v>39</v>
      </c>
      <c r="AB2054" t="s">
        <v>39</v>
      </c>
      <c r="AE2054" t="s">
        <v>39</v>
      </c>
      <c r="AH2054" t="s">
        <v>39</v>
      </c>
      <c r="AJ2054" t="s">
        <v>1155</v>
      </c>
    </row>
    <row r="2055" spans="1:36" x14ac:dyDescent="0.25">
      <c r="A2055" t="s">
        <v>465</v>
      </c>
      <c r="B2055">
        <v>852523046</v>
      </c>
      <c r="C2055" t="s">
        <v>466</v>
      </c>
      <c r="D2055" t="s">
        <v>466</v>
      </c>
      <c r="E2055" t="s">
        <v>37</v>
      </c>
      <c r="F2055" t="s">
        <v>191</v>
      </c>
      <c r="G2055" t="s">
        <v>37</v>
      </c>
      <c r="H2055">
        <v>1.9623199999999999E-4</v>
      </c>
      <c r="I2055" t="s">
        <v>268</v>
      </c>
      <c r="J2055" t="s">
        <v>40</v>
      </c>
      <c r="K2055" t="s">
        <v>41</v>
      </c>
      <c r="L2055" t="s">
        <v>151</v>
      </c>
      <c r="M2055" t="s">
        <v>467</v>
      </c>
      <c r="N2055" t="s">
        <v>43</v>
      </c>
      <c r="O2055" t="s">
        <v>324</v>
      </c>
      <c r="P2055">
        <v>308</v>
      </c>
      <c r="Q2055">
        <v>308</v>
      </c>
      <c r="R2055">
        <v>31</v>
      </c>
      <c r="S2055" t="s">
        <v>45</v>
      </c>
      <c r="T2055">
        <v>0.03</v>
      </c>
      <c r="U2055">
        <v>53</v>
      </c>
      <c r="V2055" t="s">
        <v>55</v>
      </c>
      <c r="W2055">
        <v>5.1999999999999998E-2</v>
      </c>
      <c r="X2055">
        <v>16001</v>
      </c>
      <c r="Y2055" t="s">
        <v>47</v>
      </c>
      <c r="Z2055">
        <v>16</v>
      </c>
      <c r="AA2055">
        <v>272</v>
      </c>
      <c r="AB2055" t="s">
        <v>47</v>
      </c>
      <c r="AC2055">
        <v>0.27100000000000002</v>
      </c>
      <c r="AD2055">
        <v>586</v>
      </c>
      <c r="AE2055" t="s">
        <v>48</v>
      </c>
      <c r="AF2055">
        <v>0.58499999999999996</v>
      </c>
      <c r="AG2055">
        <v>728</v>
      </c>
      <c r="AH2055" t="s">
        <v>49</v>
      </c>
      <c r="AI2055">
        <v>0.72699999999999998</v>
      </c>
      <c r="AJ2055" t="s">
        <v>50</v>
      </c>
    </row>
    <row r="2056" spans="1:36" x14ac:dyDescent="0.25">
      <c r="A2056" t="s">
        <v>465</v>
      </c>
      <c r="B2056">
        <v>852523046</v>
      </c>
      <c r="C2056" t="s">
        <v>466</v>
      </c>
      <c r="D2056" t="s">
        <v>466</v>
      </c>
      <c r="E2056" t="s">
        <v>60</v>
      </c>
      <c r="F2056" t="s">
        <v>191</v>
      </c>
      <c r="G2056" t="s">
        <v>37</v>
      </c>
      <c r="H2056">
        <v>1.9623199999999999E-4</v>
      </c>
      <c r="I2056" t="s">
        <v>268</v>
      </c>
      <c r="J2056" t="s">
        <v>40</v>
      </c>
      <c r="K2056" t="s">
        <v>41</v>
      </c>
      <c r="L2056" t="s">
        <v>151</v>
      </c>
      <c r="M2056" t="s">
        <v>467</v>
      </c>
      <c r="N2056" t="s">
        <v>43</v>
      </c>
      <c r="O2056" t="s">
        <v>229</v>
      </c>
      <c r="P2056">
        <v>308</v>
      </c>
      <c r="Q2056">
        <v>308</v>
      </c>
      <c r="R2056">
        <v>91</v>
      </c>
      <c r="S2056" t="s">
        <v>56</v>
      </c>
      <c r="T2056">
        <v>0.09</v>
      </c>
      <c r="U2056">
        <v>63</v>
      </c>
      <c r="V2056" t="s">
        <v>55</v>
      </c>
      <c r="W2056">
        <v>6.2E-2</v>
      </c>
      <c r="X2056">
        <v>14001</v>
      </c>
      <c r="Y2056" t="s">
        <v>47</v>
      </c>
      <c r="Z2056">
        <v>14</v>
      </c>
      <c r="AA2056">
        <v>226</v>
      </c>
      <c r="AB2056" t="s">
        <v>47</v>
      </c>
      <c r="AC2056">
        <v>0.22500000000000001</v>
      </c>
      <c r="AD2056">
        <v>545</v>
      </c>
      <c r="AE2056" t="s">
        <v>48</v>
      </c>
      <c r="AF2056">
        <v>0.54400000000000004</v>
      </c>
      <c r="AG2056">
        <v>437</v>
      </c>
      <c r="AH2056" t="s">
        <v>57</v>
      </c>
      <c r="AI2056">
        <v>0.436</v>
      </c>
      <c r="AJ2056" t="s">
        <v>50</v>
      </c>
    </row>
    <row r="2057" spans="1:36" x14ac:dyDescent="0.25">
      <c r="A2057" t="s">
        <v>465</v>
      </c>
      <c r="B2057">
        <v>852523046</v>
      </c>
      <c r="C2057" t="s">
        <v>466</v>
      </c>
      <c r="D2057" t="s">
        <v>466</v>
      </c>
      <c r="E2057" t="s">
        <v>37</v>
      </c>
      <c r="F2057" t="s">
        <v>191</v>
      </c>
      <c r="G2057" t="s">
        <v>37</v>
      </c>
      <c r="H2057">
        <v>1.9623199999999999E-4</v>
      </c>
      <c r="I2057" t="s">
        <v>268</v>
      </c>
      <c r="J2057" t="s">
        <v>40</v>
      </c>
      <c r="K2057" t="s">
        <v>41</v>
      </c>
      <c r="L2057" t="s">
        <v>151</v>
      </c>
      <c r="M2057" t="s">
        <v>467</v>
      </c>
      <c r="N2057" t="s">
        <v>43</v>
      </c>
      <c r="O2057" t="s">
        <v>324</v>
      </c>
      <c r="P2057">
        <v>308</v>
      </c>
      <c r="Q2057">
        <v>308</v>
      </c>
      <c r="R2057">
        <v>11</v>
      </c>
      <c r="S2057" t="s">
        <v>45</v>
      </c>
      <c r="T2057">
        <v>0.01</v>
      </c>
      <c r="U2057">
        <v>12</v>
      </c>
      <c r="V2057" t="s">
        <v>55</v>
      </c>
      <c r="W2057">
        <v>1.0999999999999999E-2</v>
      </c>
      <c r="X2057">
        <v>16001</v>
      </c>
      <c r="Y2057" t="s">
        <v>47</v>
      </c>
      <c r="Z2057">
        <v>16</v>
      </c>
      <c r="AA2057">
        <v>272</v>
      </c>
      <c r="AB2057" t="s">
        <v>47</v>
      </c>
      <c r="AC2057">
        <v>0.27100000000000002</v>
      </c>
      <c r="AD2057">
        <v>586</v>
      </c>
      <c r="AE2057" t="s">
        <v>48</v>
      </c>
      <c r="AF2057">
        <v>0.58499999999999996</v>
      </c>
      <c r="AG2057">
        <v>728</v>
      </c>
      <c r="AH2057" t="s">
        <v>49</v>
      </c>
      <c r="AI2057">
        <v>0.72699999999999998</v>
      </c>
      <c r="AJ2057" t="s">
        <v>1141</v>
      </c>
    </row>
    <row r="2058" spans="1:36" x14ac:dyDescent="0.25">
      <c r="A2058" t="s">
        <v>465</v>
      </c>
      <c r="B2058">
        <v>852523046</v>
      </c>
      <c r="C2058" t="s">
        <v>466</v>
      </c>
      <c r="D2058" t="s">
        <v>466</v>
      </c>
      <c r="E2058" t="s">
        <v>60</v>
      </c>
      <c r="F2058" t="s">
        <v>191</v>
      </c>
      <c r="G2058" t="s">
        <v>37</v>
      </c>
      <c r="H2058">
        <v>1.9623199999999999E-4</v>
      </c>
      <c r="I2058" t="s">
        <v>268</v>
      </c>
      <c r="J2058" t="s">
        <v>40</v>
      </c>
      <c r="K2058" t="s">
        <v>41</v>
      </c>
      <c r="L2058" t="s">
        <v>151</v>
      </c>
      <c r="M2058" t="s">
        <v>467</v>
      </c>
      <c r="N2058" t="s">
        <v>43</v>
      </c>
      <c r="O2058" t="s">
        <v>229</v>
      </c>
      <c r="P2058">
        <v>308</v>
      </c>
      <c r="Q2058">
        <v>308</v>
      </c>
      <c r="R2058">
        <v>101</v>
      </c>
      <c r="S2058" t="s">
        <v>56</v>
      </c>
      <c r="T2058">
        <v>0.1</v>
      </c>
      <c r="U2058">
        <v>16</v>
      </c>
      <c r="V2058" t="s">
        <v>55</v>
      </c>
      <c r="W2058">
        <v>1.4999999999999999E-2</v>
      </c>
      <c r="X2058">
        <v>14001</v>
      </c>
      <c r="Y2058" t="s">
        <v>47</v>
      </c>
      <c r="Z2058">
        <v>14</v>
      </c>
      <c r="AA2058">
        <v>226</v>
      </c>
      <c r="AB2058" t="s">
        <v>47</v>
      </c>
      <c r="AC2058">
        <v>0.22500000000000001</v>
      </c>
      <c r="AD2058">
        <v>545</v>
      </c>
      <c r="AE2058" t="s">
        <v>48</v>
      </c>
      <c r="AF2058">
        <v>0.54400000000000004</v>
      </c>
      <c r="AG2058">
        <v>437</v>
      </c>
      <c r="AH2058" t="s">
        <v>57</v>
      </c>
      <c r="AI2058">
        <v>0.436</v>
      </c>
      <c r="AJ2058" t="s">
        <v>1141</v>
      </c>
    </row>
    <row r="2059" spans="1:36" x14ac:dyDescent="0.25">
      <c r="A2059" t="s">
        <v>465</v>
      </c>
      <c r="B2059">
        <v>852523046</v>
      </c>
      <c r="C2059" t="s">
        <v>466</v>
      </c>
      <c r="D2059" t="s">
        <v>466</v>
      </c>
      <c r="E2059" t="s">
        <v>37</v>
      </c>
      <c r="F2059" t="s">
        <v>191</v>
      </c>
      <c r="G2059" t="s">
        <v>37</v>
      </c>
      <c r="H2059">
        <v>1.9623199999999999E-4</v>
      </c>
      <c r="I2059" t="s">
        <v>268</v>
      </c>
      <c r="J2059" t="s">
        <v>40</v>
      </c>
      <c r="K2059" t="s">
        <v>41</v>
      </c>
      <c r="L2059" t="s">
        <v>151</v>
      </c>
      <c r="M2059" t="s">
        <v>467</v>
      </c>
      <c r="N2059" t="s">
        <v>43</v>
      </c>
      <c r="O2059" t="s">
        <v>324</v>
      </c>
      <c r="P2059">
        <v>308</v>
      </c>
      <c r="Q2059">
        <v>308</v>
      </c>
      <c r="R2059">
        <v>31</v>
      </c>
      <c r="S2059" t="s">
        <v>45</v>
      </c>
      <c r="T2059">
        <v>0.03</v>
      </c>
      <c r="U2059">
        <v>53</v>
      </c>
      <c r="V2059" t="s">
        <v>55</v>
      </c>
      <c r="W2059">
        <v>5.1999999999999998E-2</v>
      </c>
      <c r="X2059">
        <v>16001</v>
      </c>
      <c r="Y2059" t="s">
        <v>47</v>
      </c>
      <c r="Z2059">
        <v>16</v>
      </c>
      <c r="AA2059">
        <v>272</v>
      </c>
      <c r="AB2059" t="s">
        <v>47</v>
      </c>
      <c r="AC2059">
        <v>0.27100000000000002</v>
      </c>
      <c r="AD2059">
        <v>586</v>
      </c>
      <c r="AE2059" t="s">
        <v>48</v>
      </c>
      <c r="AF2059">
        <v>0.58499999999999996</v>
      </c>
      <c r="AG2059">
        <v>728</v>
      </c>
      <c r="AH2059" t="s">
        <v>49</v>
      </c>
      <c r="AI2059">
        <v>0.72699999999999998</v>
      </c>
      <c r="AJ2059" t="s">
        <v>1153</v>
      </c>
    </row>
    <row r="2060" spans="1:36" x14ac:dyDescent="0.25">
      <c r="A2060" t="s">
        <v>465</v>
      </c>
      <c r="B2060">
        <v>852523046</v>
      </c>
      <c r="C2060" t="s">
        <v>466</v>
      </c>
      <c r="D2060" t="s">
        <v>466</v>
      </c>
      <c r="E2060" t="s">
        <v>60</v>
      </c>
      <c r="F2060" t="s">
        <v>191</v>
      </c>
      <c r="G2060" t="s">
        <v>37</v>
      </c>
      <c r="H2060">
        <v>1.9623199999999999E-4</v>
      </c>
      <c r="I2060" t="s">
        <v>268</v>
      </c>
      <c r="J2060" t="s">
        <v>40</v>
      </c>
      <c r="K2060" t="s">
        <v>41</v>
      </c>
      <c r="L2060" t="s">
        <v>151</v>
      </c>
      <c r="M2060" t="s">
        <v>467</v>
      </c>
      <c r="N2060" t="s">
        <v>43</v>
      </c>
      <c r="O2060" t="s">
        <v>229</v>
      </c>
      <c r="P2060">
        <v>308</v>
      </c>
      <c r="Q2060">
        <v>308</v>
      </c>
      <c r="R2060">
        <v>91</v>
      </c>
      <c r="S2060" t="s">
        <v>56</v>
      </c>
      <c r="T2060">
        <v>0.09</v>
      </c>
      <c r="U2060">
        <v>63</v>
      </c>
      <c r="V2060" t="s">
        <v>55</v>
      </c>
      <c r="W2060">
        <v>6.2E-2</v>
      </c>
      <c r="X2060">
        <v>14001</v>
      </c>
      <c r="Y2060" t="s">
        <v>47</v>
      </c>
      <c r="Z2060">
        <v>14</v>
      </c>
      <c r="AA2060">
        <v>226</v>
      </c>
      <c r="AB2060" t="s">
        <v>47</v>
      </c>
      <c r="AC2060">
        <v>0.22500000000000001</v>
      </c>
      <c r="AD2060">
        <v>545</v>
      </c>
      <c r="AE2060" t="s">
        <v>48</v>
      </c>
      <c r="AF2060">
        <v>0.54400000000000004</v>
      </c>
      <c r="AG2060">
        <v>437</v>
      </c>
      <c r="AH2060" t="s">
        <v>57</v>
      </c>
      <c r="AI2060">
        <v>0.436</v>
      </c>
      <c r="AJ2060" t="s">
        <v>1153</v>
      </c>
    </row>
    <row r="2061" spans="1:36" x14ac:dyDescent="0.25">
      <c r="A2061" t="s">
        <v>465</v>
      </c>
      <c r="B2061">
        <v>852523046</v>
      </c>
      <c r="C2061" t="s">
        <v>466</v>
      </c>
      <c r="D2061" t="s">
        <v>466</v>
      </c>
      <c r="E2061" t="s">
        <v>37</v>
      </c>
      <c r="F2061" t="s">
        <v>191</v>
      </c>
      <c r="G2061" t="s">
        <v>37</v>
      </c>
      <c r="H2061">
        <v>1.9623199999999999E-4</v>
      </c>
      <c r="I2061" t="s">
        <v>268</v>
      </c>
      <c r="J2061" t="s">
        <v>40</v>
      </c>
      <c r="K2061" t="s">
        <v>41</v>
      </c>
      <c r="L2061" t="s">
        <v>151</v>
      </c>
      <c r="M2061" t="s">
        <v>467</v>
      </c>
      <c r="N2061" t="s">
        <v>43</v>
      </c>
      <c r="O2061" t="s">
        <v>324</v>
      </c>
      <c r="P2061">
        <v>308</v>
      </c>
      <c r="Q2061">
        <v>308</v>
      </c>
      <c r="R2061">
        <v>31</v>
      </c>
      <c r="S2061" t="s">
        <v>45</v>
      </c>
      <c r="T2061">
        <v>0.03</v>
      </c>
      <c r="U2061">
        <v>53</v>
      </c>
      <c r="V2061" t="s">
        <v>55</v>
      </c>
      <c r="W2061">
        <v>5.1999999999999998E-2</v>
      </c>
      <c r="X2061">
        <v>16001</v>
      </c>
      <c r="Y2061" t="s">
        <v>47</v>
      </c>
      <c r="Z2061">
        <v>16</v>
      </c>
      <c r="AA2061">
        <v>272</v>
      </c>
      <c r="AB2061" t="s">
        <v>47</v>
      </c>
      <c r="AC2061">
        <v>0.27100000000000002</v>
      </c>
      <c r="AD2061">
        <v>586</v>
      </c>
      <c r="AE2061" t="s">
        <v>48</v>
      </c>
      <c r="AF2061">
        <v>0.58499999999999996</v>
      </c>
      <c r="AG2061">
        <v>728</v>
      </c>
      <c r="AH2061" t="s">
        <v>49</v>
      </c>
      <c r="AI2061">
        <v>0.72699999999999998</v>
      </c>
      <c r="AJ2061" t="s">
        <v>1154</v>
      </c>
    </row>
    <row r="2062" spans="1:36" x14ac:dyDescent="0.25">
      <c r="A2062" t="s">
        <v>465</v>
      </c>
      <c r="B2062">
        <v>852523046</v>
      </c>
      <c r="C2062" t="s">
        <v>466</v>
      </c>
      <c r="D2062" t="s">
        <v>466</v>
      </c>
      <c r="E2062" t="s">
        <v>60</v>
      </c>
      <c r="F2062" t="s">
        <v>191</v>
      </c>
      <c r="G2062" t="s">
        <v>37</v>
      </c>
      <c r="H2062">
        <v>1.9623199999999999E-4</v>
      </c>
      <c r="I2062" t="s">
        <v>268</v>
      </c>
      <c r="J2062" t="s">
        <v>40</v>
      </c>
      <c r="K2062" t="s">
        <v>41</v>
      </c>
      <c r="L2062" t="s">
        <v>151</v>
      </c>
      <c r="M2062" t="s">
        <v>467</v>
      </c>
      <c r="N2062" t="s">
        <v>43</v>
      </c>
      <c r="O2062" t="s">
        <v>229</v>
      </c>
      <c r="P2062">
        <v>308</v>
      </c>
      <c r="Q2062">
        <v>308</v>
      </c>
      <c r="R2062">
        <v>91</v>
      </c>
      <c r="S2062" t="s">
        <v>56</v>
      </c>
      <c r="T2062">
        <v>0.09</v>
      </c>
      <c r="U2062">
        <v>63</v>
      </c>
      <c r="V2062" t="s">
        <v>55</v>
      </c>
      <c r="W2062">
        <v>6.2E-2</v>
      </c>
      <c r="X2062">
        <v>14001</v>
      </c>
      <c r="Y2062" t="s">
        <v>47</v>
      </c>
      <c r="Z2062">
        <v>14</v>
      </c>
      <c r="AA2062">
        <v>226</v>
      </c>
      <c r="AB2062" t="s">
        <v>47</v>
      </c>
      <c r="AC2062">
        <v>0.22500000000000001</v>
      </c>
      <c r="AD2062">
        <v>545</v>
      </c>
      <c r="AE2062" t="s">
        <v>48</v>
      </c>
      <c r="AF2062">
        <v>0.54400000000000004</v>
      </c>
      <c r="AG2062">
        <v>437</v>
      </c>
      <c r="AH2062" t="s">
        <v>57</v>
      </c>
      <c r="AI2062">
        <v>0.436</v>
      </c>
      <c r="AJ2062" t="s">
        <v>1154</v>
      </c>
    </row>
    <row r="2063" spans="1:36" x14ac:dyDescent="0.25">
      <c r="A2063" t="s">
        <v>465</v>
      </c>
      <c r="B2063">
        <v>852523046</v>
      </c>
      <c r="C2063" t="s">
        <v>466</v>
      </c>
      <c r="D2063" t="s">
        <v>466</v>
      </c>
      <c r="E2063" t="s">
        <v>37</v>
      </c>
      <c r="F2063" t="s">
        <v>191</v>
      </c>
      <c r="G2063" t="s">
        <v>37</v>
      </c>
      <c r="H2063">
        <v>1.9623199999999999E-4</v>
      </c>
      <c r="I2063" t="s">
        <v>268</v>
      </c>
      <c r="J2063" t="s">
        <v>40</v>
      </c>
      <c r="K2063" t="s">
        <v>41</v>
      </c>
      <c r="L2063" t="s">
        <v>151</v>
      </c>
      <c r="M2063" t="s">
        <v>467</v>
      </c>
      <c r="N2063" t="s">
        <v>43</v>
      </c>
      <c r="O2063" t="s">
        <v>324</v>
      </c>
      <c r="P2063">
        <v>308</v>
      </c>
      <c r="Q2063">
        <v>308</v>
      </c>
      <c r="S2063" t="s">
        <v>39</v>
      </c>
      <c r="V2063" t="s">
        <v>39</v>
      </c>
      <c r="X2063">
        <v>16001</v>
      </c>
      <c r="Y2063" t="s">
        <v>47</v>
      </c>
      <c r="Z2063">
        <v>16</v>
      </c>
      <c r="AA2063">
        <v>272</v>
      </c>
      <c r="AB2063" t="s">
        <v>47</v>
      </c>
      <c r="AC2063">
        <v>0.27100000000000002</v>
      </c>
      <c r="AD2063">
        <v>586</v>
      </c>
      <c r="AE2063" t="s">
        <v>48</v>
      </c>
      <c r="AF2063">
        <v>0.58499999999999996</v>
      </c>
      <c r="AG2063">
        <v>728</v>
      </c>
      <c r="AH2063" t="s">
        <v>49</v>
      </c>
      <c r="AI2063">
        <v>0.72699999999999998</v>
      </c>
      <c r="AJ2063" t="s">
        <v>1155</v>
      </c>
    </row>
    <row r="2064" spans="1:36" x14ac:dyDescent="0.25">
      <c r="A2064" t="s">
        <v>465</v>
      </c>
      <c r="B2064">
        <v>852523046</v>
      </c>
      <c r="C2064" t="s">
        <v>466</v>
      </c>
      <c r="D2064" t="s">
        <v>466</v>
      </c>
      <c r="E2064" t="s">
        <v>60</v>
      </c>
      <c r="F2064" t="s">
        <v>191</v>
      </c>
      <c r="G2064" t="s">
        <v>37</v>
      </c>
      <c r="H2064">
        <v>1.9623199999999999E-4</v>
      </c>
      <c r="I2064" t="s">
        <v>268</v>
      </c>
      <c r="J2064" t="s">
        <v>40</v>
      </c>
      <c r="K2064" t="s">
        <v>41</v>
      </c>
      <c r="L2064" t="s">
        <v>151</v>
      </c>
      <c r="M2064" t="s">
        <v>467</v>
      </c>
      <c r="N2064" t="s">
        <v>43</v>
      </c>
      <c r="O2064" t="s">
        <v>229</v>
      </c>
      <c r="P2064">
        <v>308</v>
      </c>
      <c r="Q2064">
        <v>308</v>
      </c>
      <c r="S2064" t="s">
        <v>39</v>
      </c>
      <c r="V2064" t="s">
        <v>39</v>
      </c>
      <c r="X2064">
        <v>14001</v>
      </c>
      <c r="Y2064" t="s">
        <v>47</v>
      </c>
      <c r="Z2064">
        <v>14</v>
      </c>
      <c r="AA2064">
        <v>226</v>
      </c>
      <c r="AB2064" t="s">
        <v>47</v>
      </c>
      <c r="AC2064">
        <v>0.22500000000000001</v>
      </c>
      <c r="AD2064">
        <v>545</v>
      </c>
      <c r="AE2064" t="s">
        <v>48</v>
      </c>
      <c r="AF2064">
        <v>0.54400000000000004</v>
      </c>
      <c r="AG2064">
        <v>437</v>
      </c>
      <c r="AH2064" t="s">
        <v>57</v>
      </c>
      <c r="AI2064">
        <v>0.436</v>
      </c>
      <c r="AJ2064" t="s">
        <v>1155</v>
      </c>
    </row>
    <row r="2065" spans="1:36" x14ac:dyDescent="0.25">
      <c r="A2065" t="s">
        <v>463</v>
      </c>
      <c r="B2065">
        <v>871063016</v>
      </c>
      <c r="C2065" t="s">
        <v>464</v>
      </c>
      <c r="D2065" t="s">
        <v>464</v>
      </c>
      <c r="E2065" t="s">
        <v>37</v>
      </c>
      <c r="F2065" t="s">
        <v>71</v>
      </c>
      <c r="I2065" t="s">
        <v>39</v>
      </c>
      <c r="J2065" t="s">
        <v>40</v>
      </c>
      <c r="K2065" t="s">
        <v>41</v>
      </c>
      <c r="L2065" t="s">
        <v>94</v>
      </c>
      <c r="M2065" t="s">
        <v>55</v>
      </c>
      <c r="N2065" t="s">
        <v>43</v>
      </c>
      <c r="O2065" t="s">
        <v>225</v>
      </c>
      <c r="P2065">
        <v>308</v>
      </c>
      <c r="Q2065">
        <v>308</v>
      </c>
      <c r="R2065">
        <v>391</v>
      </c>
      <c r="S2065" t="s">
        <v>56</v>
      </c>
      <c r="T2065">
        <v>0.39</v>
      </c>
      <c r="U2065">
        <v>2</v>
      </c>
      <c r="V2065" t="s">
        <v>55</v>
      </c>
      <c r="W2065">
        <v>1E-3</v>
      </c>
      <c r="X2065">
        <v>4001</v>
      </c>
      <c r="Y2065" t="s">
        <v>47</v>
      </c>
      <c r="Z2065">
        <v>4</v>
      </c>
      <c r="AA2065">
        <v>169</v>
      </c>
      <c r="AB2065" t="s">
        <v>47</v>
      </c>
      <c r="AC2065">
        <v>0.16800000000000001</v>
      </c>
      <c r="AD2065">
        <v>187</v>
      </c>
      <c r="AE2065" t="s">
        <v>56</v>
      </c>
      <c r="AF2065">
        <v>0.186</v>
      </c>
      <c r="AG2065">
        <v>12</v>
      </c>
      <c r="AH2065" t="s">
        <v>103</v>
      </c>
      <c r="AI2065">
        <v>1.0999999999999999E-2</v>
      </c>
      <c r="AJ2065" t="s">
        <v>50</v>
      </c>
    </row>
    <row r="2066" spans="1:36" x14ac:dyDescent="0.25">
      <c r="A2066" t="s">
        <v>463</v>
      </c>
      <c r="B2066">
        <v>871063016</v>
      </c>
      <c r="C2066" t="s">
        <v>464</v>
      </c>
      <c r="D2066" t="s">
        <v>464</v>
      </c>
      <c r="E2066" t="s">
        <v>37</v>
      </c>
      <c r="F2066" t="s">
        <v>71</v>
      </c>
      <c r="I2066" t="s">
        <v>39</v>
      </c>
      <c r="J2066" t="s">
        <v>40</v>
      </c>
      <c r="K2066" t="s">
        <v>41</v>
      </c>
      <c r="L2066" t="s">
        <v>94</v>
      </c>
      <c r="M2066" t="s">
        <v>55</v>
      </c>
      <c r="N2066" t="s">
        <v>43</v>
      </c>
      <c r="O2066" t="s">
        <v>225</v>
      </c>
      <c r="P2066">
        <v>308</v>
      </c>
      <c r="Q2066">
        <v>308</v>
      </c>
      <c r="R2066">
        <v>511</v>
      </c>
      <c r="S2066" t="s">
        <v>56</v>
      </c>
      <c r="T2066">
        <v>0.51</v>
      </c>
      <c r="U2066">
        <v>1</v>
      </c>
      <c r="V2066" t="s">
        <v>55</v>
      </c>
      <c r="W2066">
        <v>0</v>
      </c>
      <c r="X2066">
        <v>4001</v>
      </c>
      <c r="Y2066" t="s">
        <v>47</v>
      </c>
      <c r="Z2066">
        <v>4</v>
      </c>
      <c r="AA2066">
        <v>169</v>
      </c>
      <c r="AB2066" t="s">
        <v>47</v>
      </c>
      <c r="AC2066">
        <v>0.16800000000000001</v>
      </c>
      <c r="AD2066">
        <v>187</v>
      </c>
      <c r="AE2066" t="s">
        <v>56</v>
      </c>
      <c r="AF2066">
        <v>0.186</v>
      </c>
      <c r="AG2066">
        <v>12</v>
      </c>
      <c r="AH2066" t="s">
        <v>103</v>
      </c>
      <c r="AI2066">
        <v>1.0999999999999999E-2</v>
      </c>
      <c r="AJ2066" t="s">
        <v>1141</v>
      </c>
    </row>
    <row r="2067" spans="1:36" x14ac:dyDescent="0.25">
      <c r="A2067" t="s">
        <v>463</v>
      </c>
      <c r="B2067">
        <v>871063016</v>
      </c>
      <c r="C2067" t="s">
        <v>464</v>
      </c>
      <c r="D2067" t="s">
        <v>464</v>
      </c>
      <c r="E2067" t="s">
        <v>37</v>
      </c>
      <c r="F2067" t="s">
        <v>71</v>
      </c>
      <c r="I2067" t="s">
        <v>39</v>
      </c>
      <c r="J2067" t="s">
        <v>40</v>
      </c>
      <c r="K2067" t="s">
        <v>41</v>
      </c>
      <c r="L2067" t="s">
        <v>94</v>
      </c>
      <c r="M2067" t="s">
        <v>55</v>
      </c>
      <c r="N2067" t="s">
        <v>43</v>
      </c>
      <c r="O2067" t="s">
        <v>225</v>
      </c>
      <c r="P2067">
        <v>308</v>
      </c>
      <c r="Q2067">
        <v>308</v>
      </c>
      <c r="R2067">
        <v>391</v>
      </c>
      <c r="S2067" t="s">
        <v>56</v>
      </c>
      <c r="T2067">
        <v>0.39</v>
      </c>
      <c r="U2067">
        <v>2</v>
      </c>
      <c r="V2067" t="s">
        <v>55</v>
      </c>
      <c r="W2067">
        <v>1E-3</v>
      </c>
      <c r="X2067">
        <v>4001</v>
      </c>
      <c r="Y2067" t="s">
        <v>47</v>
      </c>
      <c r="Z2067">
        <v>4</v>
      </c>
      <c r="AA2067">
        <v>169</v>
      </c>
      <c r="AB2067" t="s">
        <v>47</v>
      </c>
      <c r="AC2067">
        <v>0.16800000000000001</v>
      </c>
      <c r="AD2067">
        <v>187</v>
      </c>
      <c r="AE2067" t="s">
        <v>56</v>
      </c>
      <c r="AF2067">
        <v>0.186</v>
      </c>
      <c r="AG2067">
        <v>12</v>
      </c>
      <c r="AH2067" t="s">
        <v>103</v>
      </c>
      <c r="AI2067">
        <v>1.0999999999999999E-2</v>
      </c>
      <c r="AJ2067" t="s">
        <v>1153</v>
      </c>
    </row>
    <row r="2068" spans="1:36" x14ac:dyDescent="0.25">
      <c r="A2068" t="s">
        <v>463</v>
      </c>
      <c r="B2068">
        <v>871063016</v>
      </c>
      <c r="C2068" t="s">
        <v>464</v>
      </c>
      <c r="D2068" t="s">
        <v>464</v>
      </c>
      <c r="E2068" t="s">
        <v>37</v>
      </c>
      <c r="F2068" t="s">
        <v>71</v>
      </c>
      <c r="I2068" t="s">
        <v>39</v>
      </c>
      <c r="J2068" t="s">
        <v>40</v>
      </c>
      <c r="K2068" t="s">
        <v>41</v>
      </c>
      <c r="L2068" t="s">
        <v>94</v>
      </c>
      <c r="M2068" t="s">
        <v>55</v>
      </c>
      <c r="N2068" t="s">
        <v>43</v>
      </c>
      <c r="O2068" t="s">
        <v>225</v>
      </c>
      <c r="P2068">
        <v>308</v>
      </c>
      <c r="Q2068">
        <v>308</v>
      </c>
      <c r="R2068">
        <v>391</v>
      </c>
      <c r="S2068" t="s">
        <v>56</v>
      </c>
      <c r="T2068">
        <v>0.39</v>
      </c>
      <c r="U2068">
        <v>2</v>
      </c>
      <c r="V2068" t="s">
        <v>55</v>
      </c>
      <c r="W2068">
        <v>1E-3</v>
      </c>
      <c r="X2068">
        <v>4001</v>
      </c>
      <c r="Y2068" t="s">
        <v>47</v>
      </c>
      <c r="Z2068">
        <v>4</v>
      </c>
      <c r="AA2068">
        <v>169</v>
      </c>
      <c r="AB2068" t="s">
        <v>47</v>
      </c>
      <c r="AC2068">
        <v>0.16800000000000001</v>
      </c>
      <c r="AD2068">
        <v>187</v>
      </c>
      <c r="AE2068" t="s">
        <v>56</v>
      </c>
      <c r="AF2068">
        <v>0.186</v>
      </c>
      <c r="AG2068">
        <v>12</v>
      </c>
      <c r="AH2068" t="s">
        <v>103</v>
      </c>
      <c r="AI2068">
        <v>1.0999999999999999E-2</v>
      </c>
      <c r="AJ2068" t="s">
        <v>1154</v>
      </c>
    </row>
    <row r="2069" spans="1:36" x14ac:dyDescent="0.25">
      <c r="A2069" t="s">
        <v>463</v>
      </c>
      <c r="B2069">
        <v>871063016</v>
      </c>
      <c r="C2069" t="s">
        <v>464</v>
      </c>
      <c r="D2069" t="s">
        <v>464</v>
      </c>
      <c r="E2069" t="s">
        <v>37</v>
      </c>
      <c r="F2069" t="s">
        <v>71</v>
      </c>
      <c r="I2069" t="s">
        <v>39</v>
      </c>
      <c r="J2069" t="s">
        <v>40</v>
      </c>
      <c r="K2069" t="s">
        <v>41</v>
      </c>
      <c r="L2069" t="s">
        <v>94</v>
      </c>
      <c r="M2069" t="s">
        <v>55</v>
      </c>
      <c r="N2069" t="s">
        <v>43</v>
      </c>
      <c r="O2069" t="s">
        <v>225</v>
      </c>
      <c r="P2069">
        <v>308</v>
      </c>
      <c r="Q2069">
        <v>308</v>
      </c>
      <c r="S2069" t="s">
        <v>39</v>
      </c>
      <c r="V2069" t="s">
        <v>39</v>
      </c>
      <c r="X2069">
        <v>4001</v>
      </c>
      <c r="Y2069" t="s">
        <v>47</v>
      </c>
      <c r="Z2069">
        <v>4</v>
      </c>
      <c r="AA2069">
        <v>169</v>
      </c>
      <c r="AB2069" t="s">
        <v>47</v>
      </c>
      <c r="AC2069">
        <v>0.16800000000000001</v>
      </c>
      <c r="AD2069">
        <v>187</v>
      </c>
      <c r="AE2069" t="s">
        <v>56</v>
      </c>
      <c r="AF2069">
        <v>0.186</v>
      </c>
      <c r="AG2069">
        <v>12</v>
      </c>
      <c r="AH2069" t="s">
        <v>103</v>
      </c>
      <c r="AI2069">
        <v>1.0999999999999999E-2</v>
      </c>
      <c r="AJ2069" t="s">
        <v>1155</v>
      </c>
    </row>
    <row r="2070" spans="1:36" x14ac:dyDescent="0.25">
      <c r="A2070" t="s">
        <v>460</v>
      </c>
      <c r="B2070">
        <v>856184094</v>
      </c>
      <c r="C2070" t="s">
        <v>461</v>
      </c>
      <c r="D2070" t="s">
        <v>461</v>
      </c>
      <c r="E2070" t="s">
        <v>60</v>
      </c>
      <c r="F2070" t="s">
        <v>88</v>
      </c>
      <c r="I2070" t="s">
        <v>39</v>
      </c>
      <c r="J2070" t="s">
        <v>40</v>
      </c>
      <c r="K2070" t="s">
        <v>41</v>
      </c>
      <c r="L2070" t="s">
        <v>131</v>
      </c>
      <c r="M2070" t="s">
        <v>282</v>
      </c>
      <c r="N2070" t="s">
        <v>43</v>
      </c>
      <c r="O2070" t="s">
        <v>462</v>
      </c>
      <c r="P2070">
        <v>309</v>
      </c>
      <c r="Q2070">
        <v>309</v>
      </c>
      <c r="R2070">
        <v>1001</v>
      </c>
      <c r="S2070" t="s">
        <v>56</v>
      </c>
      <c r="T2070">
        <v>1</v>
      </c>
      <c r="U2070">
        <v>1</v>
      </c>
      <c r="V2070" t="s">
        <v>55</v>
      </c>
      <c r="W2070">
        <v>0</v>
      </c>
      <c r="X2070">
        <v>1</v>
      </c>
      <c r="Y2070" t="s">
        <v>47</v>
      </c>
      <c r="Z2070">
        <v>0</v>
      </c>
      <c r="AA2070">
        <v>141</v>
      </c>
      <c r="AB2070" t="s">
        <v>47</v>
      </c>
      <c r="AC2070">
        <v>0.14000000000000001</v>
      </c>
      <c r="AD2070">
        <v>172</v>
      </c>
      <c r="AE2070" t="s">
        <v>56</v>
      </c>
      <c r="AF2070">
        <v>0.17100000000000001</v>
      </c>
      <c r="AG2070">
        <v>12</v>
      </c>
      <c r="AH2070" t="s">
        <v>103</v>
      </c>
      <c r="AI2070">
        <v>1.0999999999999999E-2</v>
      </c>
      <c r="AJ2070" t="s">
        <v>50</v>
      </c>
    </row>
    <row r="2071" spans="1:36" x14ac:dyDescent="0.25">
      <c r="A2071" t="s">
        <v>460</v>
      </c>
      <c r="B2071">
        <v>856184094</v>
      </c>
      <c r="C2071" t="s">
        <v>461</v>
      </c>
      <c r="D2071" t="s">
        <v>461</v>
      </c>
      <c r="E2071" t="s">
        <v>60</v>
      </c>
      <c r="F2071" t="s">
        <v>88</v>
      </c>
      <c r="I2071" t="s">
        <v>39</v>
      </c>
      <c r="J2071" t="s">
        <v>40</v>
      </c>
      <c r="K2071" t="s">
        <v>41</v>
      </c>
      <c r="L2071" t="s">
        <v>131</v>
      </c>
      <c r="M2071" t="s">
        <v>282</v>
      </c>
      <c r="N2071" t="s">
        <v>43</v>
      </c>
      <c r="O2071" t="s">
        <v>462</v>
      </c>
      <c r="P2071">
        <v>309</v>
      </c>
      <c r="Q2071">
        <v>309</v>
      </c>
      <c r="R2071">
        <v>1001</v>
      </c>
      <c r="S2071" t="s">
        <v>56</v>
      </c>
      <c r="T2071">
        <v>1</v>
      </c>
      <c r="U2071">
        <v>1</v>
      </c>
      <c r="V2071" t="s">
        <v>55</v>
      </c>
      <c r="W2071">
        <v>0</v>
      </c>
      <c r="X2071">
        <v>1</v>
      </c>
      <c r="Y2071" t="s">
        <v>47</v>
      </c>
      <c r="Z2071">
        <v>0</v>
      </c>
      <c r="AA2071">
        <v>141</v>
      </c>
      <c r="AB2071" t="s">
        <v>47</v>
      </c>
      <c r="AC2071">
        <v>0.14000000000000001</v>
      </c>
      <c r="AD2071">
        <v>172</v>
      </c>
      <c r="AE2071" t="s">
        <v>56</v>
      </c>
      <c r="AF2071">
        <v>0.17100000000000001</v>
      </c>
      <c r="AG2071">
        <v>12</v>
      </c>
      <c r="AH2071" t="s">
        <v>103</v>
      </c>
      <c r="AI2071">
        <v>1.0999999999999999E-2</v>
      </c>
      <c r="AJ2071" t="s">
        <v>1141</v>
      </c>
    </row>
    <row r="2072" spans="1:36" x14ac:dyDescent="0.25">
      <c r="A2072" t="s">
        <v>460</v>
      </c>
      <c r="B2072">
        <v>856184094</v>
      </c>
      <c r="C2072" t="s">
        <v>461</v>
      </c>
      <c r="D2072" t="s">
        <v>461</v>
      </c>
      <c r="E2072" t="s">
        <v>60</v>
      </c>
      <c r="F2072" t="s">
        <v>88</v>
      </c>
      <c r="I2072" t="s">
        <v>39</v>
      </c>
      <c r="J2072" t="s">
        <v>40</v>
      </c>
      <c r="K2072" t="s">
        <v>41</v>
      </c>
      <c r="L2072" t="s">
        <v>131</v>
      </c>
      <c r="M2072" t="s">
        <v>282</v>
      </c>
      <c r="N2072" t="s">
        <v>43</v>
      </c>
      <c r="O2072" t="s">
        <v>462</v>
      </c>
      <c r="P2072">
        <v>309</v>
      </c>
      <c r="Q2072">
        <v>309</v>
      </c>
      <c r="R2072">
        <v>1001</v>
      </c>
      <c r="S2072" t="s">
        <v>56</v>
      </c>
      <c r="T2072">
        <v>1</v>
      </c>
      <c r="U2072">
        <v>1</v>
      </c>
      <c r="V2072" t="s">
        <v>55</v>
      </c>
      <c r="W2072">
        <v>0</v>
      </c>
      <c r="X2072">
        <v>1</v>
      </c>
      <c r="Y2072" t="s">
        <v>47</v>
      </c>
      <c r="Z2072">
        <v>0</v>
      </c>
      <c r="AA2072">
        <v>141</v>
      </c>
      <c r="AB2072" t="s">
        <v>47</v>
      </c>
      <c r="AC2072">
        <v>0.14000000000000001</v>
      </c>
      <c r="AD2072">
        <v>172</v>
      </c>
      <c r="AE2072" t="s">
        <v>56</v>
      </c>
      <c r="AF2072">
        <v>0.17100000000000001</v>
      </c>
      <c r="AG2072">
        <v>12</v>
      </c>
      <c r="AH2072" t="s">
        <v>103</v>
      </c>
      <c r="AI2072">
        <v>1.0999999999999999E-2</v>
      </c>
      <c r="AJ2072" t="s">
        <v>1153</v>
      </c>
    </row>
    <row r="2073" spans="1:36" x14ac:dyDescent="0.25">
      <c r="A2073" t="s">
        <v>460</v>
      </c>
      <c r="B2073">
        <v>856184094</v>
      </c>
      <c r="C2073" t="s">
        <v>461</v>
      </c>
      <c r="D2073" t="s">
        <v>461</v>
      </c>
      <c r="E2073" t="s">
        <v>60</v>
      </c>
      <c r="F2073" t="s">
        <v>88</v>
      </c>
      <c r="I2073" t="s">
        <v>39</v>
      </c>
      <c r="J2073" t="s">
        <v>40</v>
      </c>
      <c r="K2073" t="s">
        <v>41</v>
      </c>
      <c r="L2073" t="s">
        <v>131</v>
      </c>
      <c r="M2073" t="s">
        <v>282</v>
      </c>
      <c r="N2073" t="s">
        <v>43</v>
      </c>
      <c r="O2073" t="s">
        <v>462</v>
      </c>
      <c r="P2073">
        <v>309</v>
      </c>
      <c r="Q2073">
        <v>309</v>
      </c>
      <c r="R2073">
        <v>1001</v>
      </c>
      <c r="S2073" t="s">
        <v>56</v>
      </c>
      <c r="T2073">
        <v>1</v>
      </c>
      <c r="U2073">
        <v>1</v>
      </c>
      <c r="V2073" t="s">
        <v>55</v>
      </c>
      <c r="W2073">
        <v>0</v>
      </c>
      <c r="X2073">
        <v>1</v>
      </c>
      <c r="Y2073" t="s">
        <v>47</v>
      </c>
      <c r="Z2073">
        <v>0</v>
      </c>
      <c r="AA2073">
        <v>141</v>
      </c>
      <c r="AB2073" t="s">
        <v>47</v>
      </c>
      <c r="AC2073">
        <v>0.14000000000000001</v>
      </c>
      <c r="AD2073">
        <v>172</v>
      </c>
      <c r="AE2073" t="s">
        <v>56</v>
      </c>
      <c r="AF2073">
        <v>0.17100000000000001</v>
      </c>
      <c r="AG2073">
        <v>12</v>
      </c>
      <c r="AH2073" t="s">
        <v>103</v>
      </c>
      <c r="AI2073">
        <v>1.0999999999999999E-2</v>
      </c>
      <c r="AJ2073" t="s">
        <v>1154</v>
      </c>
    </row>
    <row r="2074" spans="1:36" x14ac:dyDescent="0.25">
      <c r="A2074" t="s">
        <v>460</v>
      </c>
      <c r="B2074">
        <v>856184094</v>
      </c>
      <c r="C2074" t="s">
        <v>461</v>
      </c>
      <c r="D2074" t="s">
        <v>461</v>
      </c>
      <c r="E2074" t="s">
        <v>60</v>
      </c>
      <c r="F2074" t="s">
        <v>88</v>
      </c>
      <c r="I2074" t="s">
        <v>39</v>
      </c>
      <c r="J2074" t="s">
        <v>40</v>
      </c>
      <c r="K2074" t="s">
        <v>41</v>
      </c>
      <c r="L2074" t="s">
        <v>131</v>
      </c>
      <c r="M2074" t="s">
        <v>282</v>
      </c>
      <c r="N2074" t="s">
        <v>43</v>
      </c>
      <c r="O2074" t="s">
        <v>462</v>
      </c>
      <c r="P2074">
        <v>309</v>
      </c>
      <c r="Q2074">
        <v>309</v>
      </c>
      <c r="S2074" t="s">
        <v>39</v>
      </c>
      <c r="V2074" t="s">
        <v>39</v>
      </c>
      <c r="X2074">
        <v>1</v>
      </c>
      <c r="Y2074" t="s">
        <v>47</v>
      </c>
      <c r="Z2074">
        <v>0</v>
      </c>
      <c r="AA2074">
        <v>141</v>
      </c>
      <c r="AB2074" t="s">
        <v>47</v>
      </c>
      <c r="AC2074">
        <v>0.14000000000000001</v>
      </c>
      <c r="AD2074">
        <v>172</v>
      </c>
      <c r="AE2074" t="s">
        <v>56</v>
      </c>
      <c r="AF2074">
        <v>0.17100000000000001</v>
      </c>
      <c r="AG2074">
        <v>12</v>
      </c>
      <c r="AH2074" t="s">
        <v>103</v>
      </c>
      <c r="AI2074">
        <v>1.0999999999999999E-2</v>
      </c>
      <c r="AJ2074" t="s">
        <v>1155</v>
      </c>
    </row>
    <row r="2075" spans="1:36" x14ac:dyDescent="0.25">
      <c r="A2075" t="s">
        <v>456</v>
      </c>
      <c r="B2075">
        <v>856141303</v>
      </c>
      <c r="C2075" t="s">
        <v>457</v>
      </c>
      <c r="D2075" t="s">
        <v>457</v>
      </c>
      <c r="E2075" t="s">
        <v>37</v>
      </c>
      <c r="F2075" t="s">
        <v>71</v>
      </c>
      <c r="I2075" t="s">
        <v>39</v>
      </c>
      <c r="J2075" t="s">
        <v>40</v>
      </c>
      <c r="K2075" t="s">
        <v>41</v>
      </c>
      <c r="L2075" t="s">
        <v>458</v>
      </c>
      <c r="N2075" t="s">
        <v>43</v>
      </c>
      <c r="O2075" t="s">
        <v>459</v>
      </c>
      <c r="P2075">
        <v>311</v>
      </c>
      <c r="Q2075">
        <v>311</v>
      </c>
      <c r="R2075">
        <v>821</v>
      </c>
      <c r="S2075" t="s">
        <v>56</v>
      </c>
      <c r="T2075">
        <v>0.82</v>
      </c>
      <c r="U2075">
        <v>8</v>
      </c>
      <c r="V2075" t="s">
        <v>55</v>
      </c>
      <c r="W2075">
        <v>7.0000000000000001E-3</v>
      </c>
      <c r="X2075">
        <v>1</v>
      </c>
      <c r="Y2075" t="s">
        <v>47</v>
      </c>
      <c r="Z2075">
        <v>0</v>
      </c>
      <c r="AA2075">
        <v>219</v>
      </c>
      <c r="AB2075" t="s">
        <v>47</v>
      </c>
      <c r="AC2075">
        <v>0.218</v>
      </c>
      <c r="AD2075">
        <v>218</v>
      </c>
      <c r="AE2075" t="s">
        <v>56</v>
      </c>
      <c r="AF2075">
        <v>0.217</v>
      </c>
      <c r="AG2075">
        <v>30</v>
      </c>
      <c r="AH2075" t="s">
        <v>103</v>
      </c>
      <c r="AI2075">
        <v>2.9000000000000001E-2</v>
      </c>
      <c r="AJ2075" t="s">
        <v>50</v>
      </c>
    </row>
    <row r="2076" spans="1:36" x14ac:dyDescent="0.25">
      <c r="A2076" t="s">
        <v>456</v>
      </c>
      <c r="B2076">
        <v>856141303</v>
      </c>
      <c r="C2076" t="s">
        <v>457</v>
      </c>
      <c r="D2076" t="s">
        <v>457</v>
      </c>
      <c r="E2076" t="s">
        <v>37</v>
      </c>
      <c r="F2076" t="s">
        <v>71</v>
      </c>
      <c r="I2076" t="s">
        <v>39</v>
      </c>
      <c r="J2076" t="s">
        <v>40</v>
      </c>
      <c r="K2076" t="s">
        <v>41</v>
      </c>
      <c r="L2076" t="s">
        <v>458</v>
      </c>
      <c r="N2076" t="s">
        <v>43</v>
      </c>
      <c r="O2076" t="s">
        <v>459</v>
      </c>
      <c r="P2076">
        <v>311</v>
      </c>
      <c r="Q2076">
        <v>311</v>
      </c>
      <c r="R2076">
        <v>741</v>
      </c>
      <c r="S2076" t="s">
        <v>56</v>
      </c>
      <c r="T2076">
        <v>0.74</v>
      </c>
      <c r="U2076">
        <v>4</v>
      </c>
      <c r="V2076" t="s">
        <v>55</v>
      </c>
      <c r="W2076">
        <v>3.0000000000000001E-3</v>
      </c>
      <c r="X2076">
        <v>1</v>
      </c>
      <c r="Y2076" t="s">
        <v>47</v>
      </c>
      <c r="Z2076">
        <v>0</v>
      </c>
      <c r="AA2076">
        <v>219</v>
      </c>
      <c r="AB2076" t="s">
        <v>47</v>
      </c>
      <c r="AC2076">
        <v>0.218</v>
      </c>
      <c r="AD2076">
        <v>218</v>
      </c>
      <c r="AE2076" t="s">
        <v>56</v>
      </c>
      <c r="AF2076">
        <v>0.217</v>
      </c>
      <c r="AG2076">
        <v>30</v>
      </c>
      <c r="AH2076" t="s">
        <v>103</v>
      </c>
      <c r="AI2076">
        <v>2.9000000000000001E-2</v>
      </c>
      <c r="AJ2076" t="s">
        <v>1141</v>
      </c>
    </row>
    <row r="2077" spans="1:36" x14ac:dyDescent="0.25">
      <c r="A2077" t="s">
        <v>456</v>
      </c>
      <c r="B2077">
        <v>856141303</v>
      </c>
      <c r="C2077" t="s">
        <v>457</v>
      </c>
      <c r="D2077" t="s">
        <v>457</v>
      </c>
      <c r="E2077" t="s">
        <v>37</v>
      </c>
      <c r="F2077" t="s">
        <v>71</v>
      </c>
      <c r="I2077" t="s">
        <v>39</v>
      </c>
      <c r="J2077" t="s">
        <v>40</v>
      </c>
      <c r="K2077" t="s">
        <v>41</v>
      </c>
      <c r="L2077" t="s">
        <v>458</v>
      </c>
      <c r="N2077" t="s">
        <v>43</v>
      </c>
      <c r="O2077" t="s">
        <v>459</v>
      </c>
      <c r="P2077">
        <v>311</v>
      </c>
      <c r="Q2077">
        <v>311</v>
      </c>
      <c r="R2077">
        <v>821</v>
      </c>
      <c r="S2077" t="s">
        <v>56</v>
      </c>
      <c r="T2077">
        <v>0.82</v>
      </c>
      <c r="U2077">
        <v>8</v>
      </c>
      <c r="V2077" t="s">
        <v>55</v>
      </c>
      <c r="W2077">
        <v>7.0000000000000001E-3</v>
      </c>
      <c r="X2077">
        <v>1</v>
      </c>
      <c r="Y2077" t="s">
        <v>47</v>
      </c>
      <c r="Z2077">
        <v>0</v>
      </c>
      <c r="AA2077">
        <v>219</v>
      </c>
      <c r="AB2077" t="s">
        <v>47</v>
      </c>
      <c r="AC2077">
        <v>0.218</v>
      </c>
      <c r="AD2077">
        <v>218</v>
      </c>
      <c r="AE2077" t="s">
        <v>56</v>
      </c>
      <c r="AF2077">
        <v>0.217</v>
      </c>
      <c r="AG2077">
        <v>30</v>
      </c>
      <c r="AH2077" t="s">
        <v>103</v>
      </c>
      <c r="AI2077">
        <v>2.9000000000000001E-2</v>
      </c>
      <c r="AJ2077" t="s">
        <v>1153</v>
      </c>
    </row>
    <row r="2078" spans="1:36" x14ac:dyDescent="0.25">
      <c r="A2078" t="s">
        <v>456</v>
      </c>
      <c r="B2078">
        <v>856141303</v>
      </c>
      <c r="C2078" t="s">
        <v>457</v>
      </c>
      <c r="D2078" t="s">
        <v>457</v>
      </c>
      <c r="E2078" t="s">
        <v>37</v>
      </c>
      <c r="F2078" t="s">
        <v>71</v>
      </c>
      <c r="I2078" t="s">
        <v>39</v>
      </c>
      <c r="J2078" t="s">
        <v>40</v>
      </c>
      <c r="K2078" t="s">
        <v>41</v>
      </c>
      <c r="L2078" t="s">
        <v>458</v>
      </c>
      <c r="N2078" t="s">
        <v>43</v>
      </c>
      <c r="O2078" t="s">
        <v>459</v>
      </c>
      <c r="P2078">
        <v>311</v>
      </c>
      <c r="Q2078">
        <v>311</v>
      </c>
      <c r="R2078">
        <v>821</v>
      </c>
      <c r="S2078" t="s">
        <v>56</v>
      </c>
      <c r="T2078">
        <v>0.82</v>
      </c>
      <c r="U2078">
        <v>8</v>
      </c>
      <c r="V2078" t="s">
        <v>55</v>
      </c>
      <c r="W2078">
        <v>7.0000000000000001E-3</v>
      </c>
      <c r="X2078">
        <v>1</v>
      </c>
      <c r="Y2078" t="s">
        <v>47</v>
      </c>
      <c r="Z2078">
        <v>0</v>
      </c>
      <c r="AA2078">
        <v>219</v>
      </c>
      <c r="AB2078" t="s">
        <v>47</v>
      </c>
      <c r="AC2078">
        <v>0.218</v>
      </c>
      <c r="AD2078">
        <v>218</v>
      </c>
      <c r="AE2078" t="s">
        <v>56</v>
      </c>
      <c r="AF2078">
        <v>0.217</v>
      </c>
      <c r="AG2078">
        <v>30</v>
      </c>
      <c r="AH2078" t="s">
        <v>103</v>
      </c>
      <c r="AI2078">
        <v>2.9000000000000001E-2</v>
      </c>
      <c r="AJ2078" t="s">
        <v>1154</v>
      </c>
    </row>
    <row r="2079" spans="1:36" x14ac:dyDescent="0.25">
      <c r="A2079" t="s">
        <v>456</v>
      </c>
      <c r="B2079">
        <v>856141303</v>
      </c>
      <c r="C2079" t="s">
        <v>457</v>
      </c>
      <c r="D2079" t="s">
        <v>457</v>
      </c>
      <c r="E2079" t="s">
        <v>37</v>
      </c>
      <c r="F2079" t="s">
        <v>71</v>
      </c>
      <c r="I2079" t="s">
        <v>39</v>
      </c>
      <c r="J2079" t="s">
        <v>40</v>
      </c>
      <c r="K2079" t="s">
        <v>41</v>
      </c>
      <c r="L2079" t="s">
        <v>458</v>
      </c>
      <c r="N2079" t="s">
        <v>43</v>
      </c>
      <c r="O2079" t="s">
        <v>459</v>
      </c>
      <c r="P2079">
        <v>311</v>
      </c>
      <c r="Q2079">
        <v>311</v>
      </c>
      <c r="S2079" t="s">
        <v>39</v>
      </c>
      <c r="V2079" t="s">
        <v>39</v>
      </c>
      <c r="X2079">
        <v>1</v>
      </c>
      <c r="Y2079" t="s">
        <v>47</v>
      </c>
      <c r="Z2079">
        <v>0</v>
      </c>
      <c r="AA2079">
        <v>219</v>
      </c>
      <c r="AB2079" t="s">
        <v>47</v>
      </c>
      <c r="AC2079">
        <v>0.218</v>
      </c>
      <c r="AD2079">
        <v>218</v>
      </c>
      <c r="AE2079" t="s">
        <v>56</v>
      </c>
      <c r="AF2079">
        <v>0.217</v>
      </c>
      <c r="AG2079">
        <v>30</v>
      </c>
      <c r="AH2079" t="s">
        <v>103</v>
      </c>
      <c r="AI2079">
        <v>2.9000000000000001E-2</v>
      </c>
      <c r="AJ2079" t="s">
        <v>1155</v>
      </c>
    </row>
    <row r="2080" spans="1:36" x14ac:dyDescent="0.25">
      <c r="A2080" t="s">
        <v>454</v>
      </c>
      <c r="B2080">
        <v>855430552</v>
      </c>
      <c r="C2080" t="s">
        <v>455</v>
      </c>
      <c r="D2080" t="s">
        <v>455</v>
      </c>
      <c r="E2080" t="s">
        <v>37</v>
      </c>
      <c r="F2080" t="s">
        <v>38</v>
      </c>
      <c r="I2080" t="s">
        <v>39</v>
      </c>
      <c r="J2080" t="s">
        <v>40</v>
      </c>
      <c r="K2080" t="s">
        <v>41</v>
      </c>
      <c r="L2080" t="s">
        <v>118</v>
      </c>
      <c r="N2080" t="s">
        <v>43</v>
      </c>
      <c r="O2080" t="s">
        <v>236</v>
      </c>
      <c r="P2080">
        <v>312</v>
      </c>
      <c r="Q2080">
        <v>312</v>
      </c>
      <c r="R2080">
        <v>571</v>
      </c>
      <c r="S2080" t="s">
        <v>56</v>
      </c>
      <c r="T2080">
        <v>0.56999999999999995</v>
      </c>
      <c r="U2080">
        <v>35</v>
      </c>
      <c r="V2080" t="s">
        <v>55</v>
      </c>
      <c r="W2080">
        <v>3.4000000000000002E-2</v>
      </c>
      <c r="X2080">
        <v>1</v>
      </c>
      <c r="Y2080" t="s">
        <v>47</v>
      </c>
      <c r="Z2080">
        <v>0</v>
      </c>
      <c r="AA2080">
        <v>245</v>
      </c>
      <c r="AB2080" t="s">
        <v>47</v>
      </c>
      <c r="AC2080">
        <v>0.24399999999999999</v>
      </c>
      <c r="AD2080">
        <v>433</v>
      </c>
      <c r="AE2080" t="s">
        <v>56</v>
      </c>
      <c r="AF2080">
        <v>0.432</v>
      </c>
      <c r="AG2080">
        <v>154</v>
      </c>
      <c r="AH2080" t="s">
        <v>103</v>
      </c>
      <c r="AI2080">
        <v>0.153</v>
      </c>
      <c r="AJ2080" t="s">
        <v>50</v>
      </c>
    </row>
    <row r="2081" spans="1:36" x14ac:dyDescent="0.25">
      <c r="A2081" t="s">
        <v>454</v>
      </c>
      <c r="B2081">
        <v>855430552</v>
      </c>
      <c r="C2081" t="s">
        <v>455</v>
      </c>
      <c r="D2081" t="s">
        <v>455</v>
      </c>
      <c r="E2081" t="s">
        <v>37</v>
      </c>
      <c r="F2081" t="s">
        <v>38</v>
      </c>
      <c r="I2081" t="s">
        <v>39</v>
      </c>
      <c r="J2081" t="s">
        <v>40</v>
      </c>
      <c r="K2081" t="s">
        <v>41</v>
      </c>
      <c r="L2081" t="s">
        <v>118</v>
      </c>
      <c r="N2081" t="s">
        <v>43</v>
      </c>
      <c r="O2081" t="s">
        <v>236</v>
      </c>
      <c r="P2081">
        <v>312</v>
      </c>
      <c r="Q2081">
        <v>312</v>
      </c>
      <c r="R2081">
        <v>1001</v>
      </c>
      <c r="S2081" t="s">
        <v>56</v>
      </c>
      <c r="T2081">
        <v>1</v>
      </c>
      <c r="U2081">
        <v>26</v>
      </c>
      <c r="V2081" t="s">
        <v>55</v>
      </c>
      <c r="W2081">
        <v>2.5000000000000001E-2</v>
      </c>
      <c r="X2081">
        <v>1</v>
      </c>
      <c r="Y2081" t="s">
        <v>47</v>
      </c>
      <c r="Z2081">
        <v>0</v>
      </c>
      <c r="AA2081">
        <v>245</v>
      </c>
      <c r="AB2081" t="s">
        <v>47</v>
      </c>
      <c r="AC2081">
        <v>0.24399999999999999</v>
      </c>
      <c r="AD2081">
        <v>433</v>
      </c>
      <c r="AE2081" t="s">
        <v>56</v>
      </c>
      <c r="AF2081">
        <v>0.432</v>
      </c>
      <c r="AG2081">
        <v>154</v>
      </c>
      <c r="AH2081" t="s">
        <v>103</v>
      </c>
      <c r="AI2081">
        <v>0.153</v>
      </c>
      <c r="AJ2081" t="s">
        <v>1141</v>
      </c>
    </row>
    <row r="2082" spans="1:36" x14ac:dyDescent="0.25">
      <c r="A2082" t="s">
        <v>454</v>
      </c>
      <c r="B2082">
        <v>855430552</v>
      </c>
      <c r="C2082" t="s">
        <v>455</v>
      </c>
      <c r="D2082" t="s">
        <v>455</v>
      </c>
      <c r="E2082" t="s">
        <v>37</v>
      </c>
      <c r="F2082" t="s">
        <v>38</v>
      </c>
      <c r="I2082" t="s">
        <v>39</v>
      </c>
      <c r="J2082" t="s">
        <v>40</v>
      </c>
      <c r="K2082" t="s">
        <v>41</v>
      </c>
      <c r="L2082" t="s">
        <v>118</v>
      </c>
      <c r="N2082" t="s">
        <v>43</v>
      </c>
      <c r="O2082" t="s">
        <v>236</v>
      </c>
      <c r="P2082">
        <v>312</v>
      </c>
      <c r="Q2082">
        <v>312</v>
      </c>
      <c r="R2082">
        <v>571</v>
      </c>
      <c r="S2082" t="s">
        <v>56</v>
      </c>
      <c r="T2082">
        <v>0.56999999999999995</v>
      </c>
      <c r="U2082">
        <v>35</v>
      </c>
      <c r="V2082" t="s">
        <v>55</v>
      </c>
      <c r="W2082">
        <v>3.4000000000000002E-2</v>
      </c>
      <c r="X2082">
        <v>1</v>
      </c>
      <c r="Y2082" t="s">
        <v>47</v>
      </c>
      <c r="Z2082">
        <v>0</v>
      </c>
      <c r="AA2082">
        <v>245</v>
      </c>
      <c r="AB2082" t="s">
        <v>47</v>
      </c>
      <c r="AC2082">
        <v>0.24399999999999999</v>
      </c>
      <c r="AD2082">
        <v>433</v>
      </c>
      <c r="AE2082" t="s">
        <v>56</v>
      </c>
      <c r="AF2082">
        <v>0.432</v>
      </c>
      <c r="AG2082">
        <v>154</v>
      </c>
      <c r="AH2082" t="s">
        <v>103</v>
      </c>
      <c r="AI2082">
        <v>0.153</v>
      </c>
      <c r="AJ2082" t="s">
        <v>1153</v>
      </c>
    </row>
    <row r="2083" spans="1:36" x14ac:dyDescent="0.25">
      <c r="A2083" t="s">
        <v>454</v>
      </c>
      <c r="B2083">
        <v>855430552</v>
      </c>
      <c r="C2083" t="s">
        <v>455</v>
      </c>
      <c r="D2083" t="s">
        <v>455</v>
      </c>
      <c r="E2083" t="s">
        <v>37</v>
      </c>
      <c r="F2083" t="s">
        <v>38</v>
      </c>
      <c r="I2083" t="s">
        <v>39</v>
      </c>
      <c r="J2083" t="s">
        <v>40</v>
      </c>
      <c r="K2083" t="s">
        <v>41</v>
      </c>
      <c r="L2083" t="s">
        <v>118</v>
      </c>
      <c r="N2083" t="s">
        <v>43</v>
      </c>
      <c r="O2083" t="s">
        <v>236</v>
      </c>
      <c r="P2083">
        <v>312</v>
      </c>
      <c r="Q2083">
        <v>312</v>
      </c>
      <c r="R2083">
        <v>571</v>
      </c>
      <c r="S2083" t="s">
        <v>56</v>
      </c>
      <c r="T2083">
        <v>0.56999999999999995</v>
      </c>
      <c r="U2083">
        <v>35</v>
      </c>
      <c r="V2083" t="s">
        <v>55</v>
      </c>
      <c r="W2083">
        <v>3.4000000000000002E-2</v>
      </c>
      <c r="X2083">
        <v>1</v>
      </c>
      <c r="Y2083" t="s">
        <v>47</v>
      </c>
      <c r="Z2083">
        <v>0</v>
      </c>
      <c r="AA2083">
        <v>245</v>
      </c>
      <c r="AB2083" t="s">
        <v>47</v>
      </c>
      <c r="AC2083">
        <v>0.24399999999999999</v>
      </c>
      <c r="AD2083">
        <v>433</v>
      </c>
      <c r="AE2083" t="s">
        <v>56</v>
      </c>
      <c r="AF2083">
        <v>0.432</v>
      </c>
      <c r="AG2083">
        <v>154</v>
      </c>
      <c r="AH2083" t="s">
        <v>103</v>
      </c>
      <c r="AI2083">
        <v>0.153</v>
      </c>
      <c r="AJ2083" t="s">
        <v>1154</v>
      </c>
    </row>
    <row r="2084" spans="1:36" x14ac:dyDescent="0.25">
      <c r="A2084" t="s">
        <v>454</v>
      </c>
      <c r="B2084">
        <v>855430552</v>
      </c>
      <c r="C2084" t="s">
        <v>455</v>
      </c>
      <c r="D2084" t="s">
        <v>455</v>
      </c>
      <c r="E2084" t="s">
        <v>37</v>
      </c>
      <c r="F2084" t="s">
        <v>38</v>
      </c>
      <c r="I2084" t="s">
        <v>39</v>
      </c>
      <c r="J2084" t="s">
        <v>40</v>
      </c>
      <c r="K2084" t="s">
        <v>41</v>
      </c>
      <c r="L2084" t="s">
        <v>118</v>
      </c>
      <c r="N2084" t="s">
        <v>43</v>
      </c>
      <c r="O2084" t="s">
        <v>236</v>
      </c>
      <c r="P2084">
        <v>312</v>
      </c>
      <c r="Q2084">
        <v>312</v>
      </c>
      <c r="S2084" t="s">
        <v>39</v>
      </c>
      <c r="V2084" t="s">
        <v>39</v>
      </c>
      <c r="X2084">
        <v>1</v>
      </c>
      <c r="Y2084" t="s">
        <v>47</v>
      </c>
      <c r="Z2084">
        <v>0</v>
      </c>
      <c r="AA2084">
        <v>245</v>
      </c>
      <c r="AB2084" t="s">
        <v>47</v>
      </c>
      <c r="AC2084">
        <v>0.24399999999999999</v>
      </c>
      <c r="AD2084">
        <v>433</v>
      </c>
      <c r="AE2084" t="s">
        <v>56</v>
      </c>
      <c r="AF2084">
        <v>0.432</v>
      </c>
      <c r="AG2084">
        <v>154</v>
      </c>
      <c r="AH2084" t="s">
        <v>103</v>
      </c>
      <c r="AI2084">
        <v>0.153</v>
      </c>
      <c r="AJ2084" t="s">
        <v>1155</v>
      </c>
    </row>
    <row r="2085" spans="1:36" x14ac:dyDescent="0.25">
      <c r="A2085" t="s">
        <v>452</v>
      </c>
      <c r="B2085">
        <v>856395327</v>
      </c>
      <c r="C2085" t="s">
        <v>453</v>
      </c>
      <c r="D2085" t="s">
        <v>453</v>
      </c>
      <c r="E2085" t="s">
        <v>37</v>
      </c>
      <c r="F2085" t="s">
        <v>71</v>
      </c>
      <c r="I2085" t="s">
        <v>39</v>
      </c>
      <c r="J2085" t="s">
        <v>40</v>
      </c>
      <c r="K2085" t="s">
        <v>41</v>
      </c>
      <c r="L2085" t="s">
        <v>251</v>
      </c>
      <c r="N2085" t="s">
        <v>43</v>
      </c>
      <c r="O2085" t="s">
        <v>184</v>
      </c>
      <c r="P2085">
        <v>313</v>
      </c>
      <c r="Q2085">
        <v>313</v>
      </c>
      <c r="R2085">
        <v>1</v>
      </c>
      <c r="S2085" t="s">
        <v>45</v>
      </c>
      <c r="T2085">
        <v>0</v>
      </c>
      <c r="U2085">
        <v>1001</v>
      </c>
      <c r="V2085" t="s">
        <v>46</v>
      </c>
      <c r="W2085">
        <v>1</v>
      </c>
      <c r="X2085">
        <v>26001</v>
      </c>
      <c r="Y2085" t="s">
        <v>47</v>
      </c>
      <c r="Z2085">
        <v>26</v>
      </c>
      <c r="AA2085">
        <v>902</v>
      </c>
      <c r="AB2085" t="s">
        <v>75</v>
      </c>
      <c r="AC2085">
        <v>0.90100000000000002</v>
      </c>
      <c r="AD2085">
        <v>983</v>
      </c>
      <c r="AE2085" t="s">
        <v>48</v>
      </c>
      <c r="AF2085">
        <v>0.98199999999999998</v>
      </c>
      <c r="AG2085">
        <v>988</v>
      </c>
      <c r="AH2085" t="s">
        <v>80</v>
      </c>
      <c r="AI2085">
        <v>0.98699999999999999</v>
      </c>
      <c r="AJ2085" t="s">
        <v>50</v>
      </c>
    </row>
    <row r="2086" spans="1:36" x14ac:dyDescent="0.25">
      <c r="A2086" t="s">
        <v>452</v>
      </c>
      <c r="B2086">
        <v>856395327</v>
      </c>
      <c r="C2086" t="s">
        <v>453</v>
      </c>
      <c r="D2086" t="s">
        <v>453</v>
      </c>
      <c r="E2086" t="s">
        <v>37</v>
      </c>
      <c r="F2086" t="s">
        <v>71</v>
      </c>
      <c r="I2086" t="s">
        <v>39</v>
      </c>
      <c r="J2086" t="s">
        <v>40</v>
      </c>
      <c r="K2086" t="s">
        <v>41</v>
      </c>
      <c r="L2086" t="s">
        <v>251</v>
      </c>
      <c r="N2086" t="s">
        <v>43</v>
      </c>
      <c r="O2086" t="s">
        <v>184</v>
      </c>
      <c r="P2086">
        <v>313</v>
      </c>
      <c r="Q2086">
        <v>313</v>
      </c>
      <c r="R2086">
        <v>1</v>
      </c>
      <c r="S2086" t="s">
        <v>45</v>
      </c>
      <c r="T2086">
        <v>0</v>
      </c>
      <c r="U2086">
        <v>1000</v>
      </c>
      <c r="V2086" t="s">
        <v>46</v>
      </c>
      <c r="W2086">
        <v>0.999</v>
      </c>
      <c r="X2086">
        <v>26001</v>
      </c>
      <c r="Y2086" t="s">
        <v>47</v>
      </c>
      <c r="Z2086">
        <v>26</v>
      </c>
      <c r="AA2086">
        <v>902</v>
      </c>
      <c r="AB2086" t="s">
        <v>75</v>
      </c>
      <c r="AC2086">
        <v>0.90100000000000002</v>
      </c>
      <c r="AD2086">
        <v>983</v>
      </c>
      <c r="AE2086" t="s">
        <v>48</v>
      </c>
      <c r="AF2086">
        <v>0.98199999999999998</v>
      </c>
      <c r="AG2086">
        <v>988</v>
      </c>
      <c r="AH2086" t="s">
        <v>80</v>
      </c>
      <c r="AI2086">
        <v>0.98699999999999999</v>
      </c>
      <c r="AJ2086" t="s">
        <v>1141</v>
      </c>
    </row>
    <row r="2087" spans="1:36" x14ac:dyDescent="0.25">
      <c r="A2087" t="s">
        <v>452</v>
      </c>
      <c r="B2087">
        <v>856395327</v>
      </c>
      <c r="C2087" t="s">
        <v>453</v>
      </c>
      <c r="D2087" t="s">
        <v>453</v>
      </c>
      <c r="E2087" t="s">
        <v>37</v>
      </c>
      <c r="F2087" t="s">
        <v>71</v>
      </c>
      <c r="I2087" t="s">
        <v>39</v>
      </c>
      <c r="J2087" t="s">
        <v>40</v>
      </c>
      <c r="K2087" t="s">
        <v>41</v>
      </c>
      <c r="L2087" t="s">
        <v>251</v>
      </c>
      <c r="N2087" t="s">
        <v>43</v>
      </c>
      <c r="O2087" t="s">
        <v>184</v>
      </c>
      <c r="P2087">
        <v>313</v>
      </c>
      <c r="Q2087">
        <v>313</v>
      </c>
      <c r="R2087">
        <v>1</v>
      </c>
      <c r="S2087" t="s">
        <v>45</v>
      </c>
      <c r="T2087">
        <v>0</v>
      </c>
      <c r="U2087">
        <v>1001</v>
      </c>
      <c r="V2087" t="s">
        <v>46</v>
      </c>
      <c r="W2087">
        <v>1</v>
      </c>
      <c r="X2087">
        <v>26001</v>
      </c>
      <c r="Y2087" t="s">
        <v>47</v>
      </c>
      <c r="Z2087">
        <v>26</v>
      </c>
      <c r="AA2087">
        <v>902</v>
      </c>
      <c r="AB2087" t="s">
        <v>75</v>
      </c>
      <c r="AC2087">
        <v>0.90100000000000002</v>
      </c>
      <c r="AD2087">
        <v>983</v>
      </c>
      <c r="AE2087" t="s">
        <v>48</v>
      </c>
      <c r="AF2087">
        <v>0.98199999999999998</v>
      </c>
      <c r="AG2087">
        <v>988</v>
      </c>
      <c r="AH2087" t="s">
        <v>80</v>
      </c>
      <c r="AI2087">
        <v>0.98699999999999999</v>
      </c>
      <c r="AJ2087" t="s">
        <v>1153</v>
      </c>
    </row>
    <row r="2088" spans="1:36" x14ac:dyDescent="0.25">
      <c r="A2088" t="s">
        <v>452</v>
      </c>
      <c r="B2088">
        <v>856395327</v>
      </c>
      <c r="C2088" t="s">
        <v>453</v>
      </c>
      <c r="D2088" t="s">
        <v>453</v>
      </c>
      <c r="E2088" t="s">
        <v>37</v>
      </c>
      <c r="F2088" t="s">
        <v>71</v>
      </c>
      <c r="I2088" t="s">
        <v>39</v>
      </c>
      <c r="J2088" t="s">
        <v>40</v>
      </c>
      <c r="K2088" t="s">
        <v>41</v>
      </c>
      <c r="L2088" t="s">
        <v>251</v>
      </c>
      <c r="N2088" t="s">
        <v>43</v>
      </c>
      <c r="O2088" t="s">
        <v>184</v>
      </c>
      <c r="P2088">
        <v>313</v>
      </c>
      <c r="Q2088">
        <v>313</v>
      </c>
      <c r="R2088">
        <v>1</v>
      </c>
      <c r="S2088" t="s">
        <v>45</v>
      </c>
      <c r="T2088">
        <v>0</v>
      </c>
      <c r="U2088">
        <v>1001</v>
      </c>
      <c r="V2088" t="s">
        <v>46</v>
      </c>
      <c r="W2088">
        <v>1</v>
      </c>
      <c r="X2088">
        <v>26001</v>
      </c>
      <c r="Y2088" t="s">
        <v>47</v>
      </c>
      <c r="Z2088">
        <v>26</v>
      </c>
      <c r="AA2088">
        <v>902</v>
      </c>
      <c r="AB2088" t="s">
        <v>75</v>
      </c>
      <c r="AC2088">
        <v>0.90100000000000002</v>
      </c>
      <c r="AD2088">
        <v>983</v>
      </c>
      <c r="AE2088" t="s">
        <v>48</v>
      </c>
      <c r="AF2088">
        <v>0.98199999999999998</v>
      </c>
      <c r="AG2088">
        <v>988</v>
      </c>
      <c r="AH2088" t="s">
        <v>80</v>
      </c>
      <c r="AI2088">
        <v>0.98699999999999999</v>
      </c>
      <c r="AJ2088" t="s">
        <v>1154</v>
      </c>
    </row>
    <row r="2089" spans="1:36" x14ac:dyDescent="0.25">
      <c r="A2089" t="s">
        <v>452</v>
      </c>
      <c r="B2089">
        <v>856395327</v>
      </c>
      <c r="C2089" t="s">
        <v>453</v>
      </c>
      <c r="D2089" t="s">
        <v>453</v>
      </c>
      <c r="E2089" t="s">
        <v>37</v>
      </c>
      <c r="F2089" t="s">
        <v>71</v>
      </c>
      <c r="I2089" t="s">
        <v>39</v>
      </c>
      <c r="J2089" t="s">
        <v>40</v>
      </c>
      <c r="K2089" t="s">
        <v>41</v>
      </c>
      <c r="L2089" t="s">
        <v>251</v>
      </c>
      <c r="N2089" t="s">
        <v>43</v>
      </c>
      <c r="O2089" t="s">
        <v>184</v>
      </c>
      <c r="P2089">
        <v>313</v>
      </c>
      <c r="Q2089">
        <v>313</v>
      </c>
      <c r="S2089" t="s">
        <v>39</v>
      </c>
      <c r="V2089" t="s">
        <v>39</v>
      </c>
      <c r="X2089">
        <v>26001</v>
      </c>
      <c r="Y2089" t="s">
        <v>47</v>
      </c>
      <c r="Z2089">
        <v>26</v>
      </c>
      <c r="AA2089">
        <v>902</v>
      </c>
      <c r="AB2089" t="s">
        <v>75</v>
      </c>
      <c r="AC2089">
        <v>0.90100000000000002</v>
      </c>
      <c r="AD2089">
        <v>983</v>
      </c>
      <c r="AE2089" t="s">
        <v>48</v>
      </c>
      <c r="AF2089">
        <v>0.98199999999999998</v>
      </c>
      <c r="AG2089">
        <v>988</v>
      </c>
      <c r="AH2089" t="s">
        <v>80</v>
      </c>
      <c r="AI2089">
        <v>0.98699999999999999</v>
      </c>
      <c r="AJ2089" t="s">
        <v>1155</v>
      </c>
    </row>
    <row r="2090" spans="1:36" x14ac:dyDescent="0.25">
      <c r="A2090" t="s">
        <v>449</v>
      </c>
      <c r="B2090">
        <v>881482056</v>
      </c>
      <c r="C2090" t="s">
        <v>450</v>
      </c>
      <c r="D2090" t="s">
        <v>450</v>
      </c>
      <c r="E2090" t="s">
        <v>65</v>
      </c>
      <c r="F2090" t="s">
        <v>66</v>
      </c>
      <c r="I2090" t="s">
        <v>39</v>
      </c>
      <c r="J2090" t="s">
        <v>40</v>
      </c>
      <c r="K2090" t="s">
        <v>41</v>
      </c>
      <c r="L2090" t="s">
        <v>406</v>
      </c>
      <c r="M2090" t="s">
        <v>73</v>
      </c>
      <c r="N2090" t="s">
        <v>43</v>
      </c>
      <c r="O2090" t="s">
        <v>451</v>
      </c>
      <c r="P2090">
        <v>314</v>
      </c>
      <c r="Q2090">
        <v>314</v>
      </c>
      <c r="R2090">
        <v>11</v>
      </c>
      <c r="S2090" t="s">
        <v>45</v>
      </c>
      <c r="T2090">
        <v>0.01</v>
      </c>
      <c r="U2090">
        <v>951</v>
      </c>
      <c r="V2090" t="s">
        <v>46</v>
      </c>
      <c r="W2090">
        <v>0.95</v>
      </c>
      <c r="X2090">
        <v>24001</v>
      </c>
      <c r="Y2090" t="s">
        <v>47</v>
      </c>
      <c r="Z2090">
        <v>24</v>
      </c>
      <c r="AA2090">
        <v>570</v>
      </c>
      <c r="AB2090" t="s">
        <v>75</v>
      </c>
      <c r="AC2090">
        <v>0.56899999999999995</v>
      </c>
      <c r="AD2090">
        <v>804</v>
      </c>
      <c r="AE2090" t="s">
        <v>48</v>
      </c>
      <c r="AF2090">
        <v>0.80300000000000005</v>
      </c>
      <c r="AG2090">
        <v>773</v>
      </c>
      <c r="AH2090" t="s">
        <v>49</v>
      </c>
      <c r="AI2090">
        <v>0.77200000000000002</v>
      </c>
      <c r="AJ2090" t="s">
        <v>50</v>
      </c>
    </row>
    <row r="2091" spans="1:36" x14ac:dyDescent="0.25">
      <c r="A2091" t="s">
        <v>449</v>
      </c>
      <c r="B2091">
        <v>881482056</v>
      </c>
      <c r="C2091" t="s">
        <v>450</v>
      </c>
      <c r="D2091" t="s">
        <v>450</v>
      </c>
      <c r="E2091" t="s">
        <v>65</v>
      </c>
      <c r="F2091" t="s">
        <v>66</v>
      </c>
      <c r="I2091" t="s">
        <v>39</v>
      </c>
      <c r="J2091" t="s">
        <v>40</v>
      </c>
      <c r="K2091" t="s">
        <v>41</v>
      </c>
      <c r="L2091" t="s">
        <v>406</v>
      </c>
      <c r="M2091" t="s">
        <v>73</v>
      </c>
      <c r="N2091" t="s">
        <v>43</v>
      </c>
      <c r="O2091" t="s">
        <v>451</v>
      </c>
      <c r="P2091">
        <v>314</v>
      </c>
      <c r="Q2091">
        <v>314</v>
      </c>
      <c r="R2091">
        <v>21</v>
      </c>
      <c r="S2091" t="s">
        <v>45</v>
      </c>
      <c r="T2091">
        <v>0.02</v>
      </c>
      <c r="U2091">
        <v>868</v>
      </c>
      <c r="V2091" t="s">
        <v>113</v>
      </c>
      <c r="W2091">
        <v>0.86699999999999999</v>
      </c>
      <c r="X2091">
        <v>24001</v>
      </c>
      <c r="Y2091" t="s">
        <v>47</v>
      </c>
      <c r="Z2091">
        <v>24</v>
      </c>
      <c r="AA2091">
        <v>570</v>
      </c>
      <c r="AB2091" t="s">
        <v>75</v>
      </c>
      <c r="AC2091">
        <v>0.56899999999999995</v>
      </c>
      <c r="AD2091">
        <v>804</v>
      </c>
      <c r="AE2091" t="s">
        <v>48</v>
      </c>
      <c r="AF2091">
        <v>0.80300000000000005</v>
      </c>
      <c r="AG2091">
        <v>773</v>
      </c>
      <c r="AH2091" t="s">
        <v>49</v>
      </c>
      <c r="AI2091">
        <v>0.77200000000000002</v>
      </c>
      <c r="AJ2091" t="s">
        <v>1141</v>
      </c>
    </row>
    <row r="2092" spans="1:36" x14ac:dyDescent="0.25">
      <c r="A2092" t="s">
        <v>449</v>
      </c>
      <c r="B2092">
        <v>881482056</v>
      </c>
      <c r="C2092" t="s">
        <v>450</v>
      </c>
      <c r="D2092" t="s">
        <v>450</v>
      </c>
      <c r="E2092" t="s">
        <v>65</v>
      </c>
      <c r="F2092" t="s">
        <v>66</v>
      </c>
      <c r="I2092" t="s">
        <v>39</v>
      </c>
      <c r="J2092" t="s">
        <v>40</v>
      </c>
      <c r="K2092" t="s">
        <v>41</v>
      </c>
      <c r="L2092" t="s">
        <v>406</v>
      </c>
      <c r="M2092" t="s">
        <v>73</v>
      </c>
      <c r="N2092" t="s">
        <v>43</v>
      </c>
      <c r="O2092" t="s">
        <v>451</v>
      </c>
      <c r="P2092">
        <v>314</v>
      </c>
      <c r="Q2092">
        <v>314</v>
      </c>
      <c r="R2092">
        <v>11</v>
      </c>
      <c r="S2092" t="s">
        <v>45</v>
      </c>
      <c r="T2092">
        <v>0.01</v>
      </c>
      <c r="U2092">
        <v>951</v>
      </c>
      <c r="V2092" t="s">
        <v>46</v>
      </c>
      <c r="W2092">
        <v>0.95</v>
      </c>
      <c r="X2092">
        <v>24001</v>
      </c>
      <c r="Y2092" t="s">
        <v>47</v>
      </c>
      <c r="Z2092">
        <v>24</v>
      </c>
      <c r="AA2092">
        <v>570</v>
      </c>
      <c r="AB2092" t="s">
        <v>75</v>
      </c>
      <c r="AC2092">
        <v>0.56899999999999995</v>
      </c>
      <c r="AD2092">
        <v>804</v>
      </c>
      <c r="AE2092" t="s">
        <v>48</v>
      </c>
      <c r="AF2092">
        <v>0.80300000000000005</v>
      </c>
      <c r="AG2092">
        <v>773</v>
      </c>
      <c r="AH2092" t="s">
        <v>49</v>
      </c>
      <c r="AI2092">
        <v>0.77200000000000002</v>
      </c>
      <c r="AJ2092" t="s">
        <v>1153</v>
      </c>
    </row>
    <row r="2093" spans="1:36" x14ac:dyDescent="0.25">
      <c r="A2093" t="s">
        <v>449</v>
      </c>
      <c r="B2093">
        <v>881482056</v>
      </c>
      <c r="C2093" t="s">
        <v>450</v>
      </c>
      <c r="D2093" t="s">
        <v>450</v>
      </c>
      <c r="E2093" t="s">
        <v>65</v>
      </c>
      <c r="F2093" t="s">
        <v>66</v>
      </c>
      <c r="I2093" t="s">
        <v>39</v>
      </c>
      <c r="J2093" t="s">
        <v>40</v>
      </c>
      <c r="K2093" t="s">
        <v>41</v>
      </c>
      <c r="L2093" t="s">
        <v>406</v>
      </c>
      <c r="M2093" t="s">
        <v>73</v>
      </c>
      <c r="N2093" t="s">
        <v>43</v>
      </c>
      <c r="O2093" t="s">
        <v>451</v>
      </c>
      <c r="P2093">
        <v>314</v>
      </c>
      <c r="Q2093">
        <v>314</v>
      </c>
      <c r="R2093">
        <v>11</v>
      </c>
      <c r="S2093" t="s">
        <v>45</v>
      </c>
      <c r="T2093">
        <v>0.01</v>
      </c>
      <c r="U2093">
        <v>951</v>
      </c>
      <c r="V2093" t="s">
        <v>46</v>
      </c>
      <c r="W2093">
        <v>0.95</v>
      </c>
      <c r="X2093">
        <v>24001</v>
      </c>
      <c r="Y2093" t="s">
        <v>47</v>
      </c>
      <c r="Z2093">
        <v>24</v>
      </c>
      <c r="AA2093">
        <v>570</v>
      </c>
      <c r="AB2093" t="s">
        <v>75</v>
      </c>
      <c r="AC2093">
        <v>0.56899999999999995</v>
      </c>
      <c r="AD2093">
        <v>804</v>
      </c>
      <c r="AE2093" t="s">
        <v>48</v>
      </c>
      <c r="AF2093">
        <v>0.80300000000000005</v>
      </c>
      <c r="AG2093">
        <v>773</v>
      </c>
      <c r="AH2093" t="s">
        <v>49</v>
      </c>
      <c r="AI2093">
        <v>0.77200000000000002</v>
      </c>
      <c r="AJ2093" t="s">
        <v>1154</v>
      </c>
    </row>
    <row r="2094" spans="1:36" x14ac:dyDescent="0.25">
      <c r="A2094" t="s">
        <v>449</v>
      </c>
      <c r="B2094">
        <v>881482056</v>
      </c>
      <c r="C2094" t="s">
        <v>450</v>
      </c>
      <c r="D2094" t="s">
        <v>450</v>
      </c>
      <c r="E2094" t="s">
        <v>65</v>
      </c>
      <c r="F2094" t="s">
        <v>66</v>
      </c>
      <c r="I2094" t="s">
        <v>39</v>
      </c>
      <c r="J2094" t="s">
        <v>40</v>
      </c>
      <c r="K2094" t="s">
        <v>41</v>
      </c>
      <c r="L2094" t="s">
        <v>406</v>
      </c>
      <c r="M2094" t="s">
        <v>73</v>
      </c>
      <c r="N2094" t="s">
        <v>43</v>
      </c>
      <c r="O2094" t="s">
        <v>451</v>
      </c>
      <c r="P2094">
        <v>314</v>
      </c>
      <c r="Q2094">
        <v>314</v>
      </c>
      <c r="S2094" t="s">
        <v>39</v>
      </c>
      <c r="V2094" t="s">
        <v>39</v>
      </c>
      <c r="X2094">
        <v>24001</v>
      </c>
      <c r="Y2094" t="s">
        <v>47</v>
      </c>
      <c r="Z2094">
        <v>24</v>
      </c>
      <c r="AA2094">
        <v>570</v>
      </c>
      <c r="AB2094" t="s">
        <v>75</v>
      </c>
      <c r="AC2094">
        <v>0.56899999999999995</v>
      </c>
      <c r="AD2094">
        <v>804</v>
      </c>
      <c r="AE2094" t="s">
        <v>48</v>
      </c>
      <c r="AF2094">
        <v>0.80300000000000005</v>
      </c>
      <c r="AG2094">
        <v>773</v>
      </c>
      <c r="AH2094" t="s">
        <v>49</v>
      </c>
      <c r="AI2094">
        <v>0.77200000000000002</v>
      </c>
      <c r="AJ2094" t="s">
        <v>1155</v>
      </c>
    </row>
    <row r="2095" spans="1:36" x14ac:dyDescent="0.25">
      <c r="A2095" t="s">
        <v>447</v>
      </c>
      <c r="B2095">
        <v>886376287</v>
      </c>
      <c r="C2095" t="s">
        <v>448</v>
      </c>
      <c r="D2095" t="s">
        <v>448</v>
      </c>
      <c r="E2095" t="s">
        <v>65</v>
      </c>
      <c r="F2095" t="s">
        <v>93</v>
      </c>
      <c r="I2095" t="s">
        <v>39</v>
      </c>
      <c r="J2095" t="s">
        <v>40</v>
      </c>
      <c r="K2095" t="s">
        <v>41</v>
      </c>
      <c r="L2095" t="s">
        <v>89</v>
      </c>
      <c r="N2095" t="s">
        <v>43</v>
      </c>
      <c r="O2095" t="s">
        <v>307</v>
      </c>
      <c r="P2095">
        <v>315</v>
      </c>
      <c r="Q2095">
        <v>315</v>
      </c>
      <c r="R2095">
        <v>1</v>
      </c>
      <c r="S2095" t="s">
        <v>45</v>
      </c>
      <c r="T2095">
        <v>0</v>
      </c>
      <c r="U2095">
        <v>1000</v>
      </c>
      <c r="V2095" t="s">
        <v>46</v>
      </c>
      <c r="W2095">
        <v>0.999</v>
      </c>
      <c r="X2095">
        <v>25001</v>
      </c>
      <c r="Y2095" t="s">
        <v>47</v>
      </c>
      <c r="Z2095">
        <v>25</v>
      </c>
      <c r="AA2095">
        <v>662</v>
      </c>
      <c r="AB2095" t="s">
        <v>75</v>
      </c>
      <c r="AC2095">
        <v>0.66100000000000003</v>
      </c>
      <c r="AD2095">
        <v>764</v>
      </c>
      <c r="AE2095" t="s">
        <v>48</v>
      </c>
      <c r="AF2095">
        <v>0.76300000000000001</v>
      </c>
      <c r="AG2095">
        <v>918</v>
      </c>
      <c r="AH2095" t="s">
        <v>49</v>
      </c>
      <c r="AI2095">
        <v>0.91700000000000004</v>
      </c>
      <c r="AJ2095" t="s">
        <v>50</v>
      </c>
    </row>
    <row r="2096" spans="1:36" x14ac:dyDescent="0.25">
      <c r="A2096" t="s">
        <v>447</v>
      </c>
      <c r="B2096">
        <v>886376287</v>
      </c>
      <c r="C2096" t="s">
        <v>448</v>
      </c>
      <c r="D2096" t="s">
        <v>448</v>
      </c>
      <c r="E2096" t="s">
        <v>65</v>
      </c>
      <c r="F2096" t="s">
        <v>93</v>
      </c>
      <c r="I2096" t="s">
        <v>39</v>
      </c>
      <c r="J2096" t="s">
        <v>40</v>
      </c>
      <c r="K2096" t="s">
        <v>41</v>
      </c>
      <c r="L2096" t="s">
        <v>89</v>
      </c>
      <c r="N2096" t="s">
        <v>43</v>
      </c>
      <c r="O2096" t="s">
        <v>307</v>
      </c>
      <c r="P2096">
        <v>315</v>
      </c>
      <c r="Q2096">
        <v>315</v>
      </c>
      <c r="R2096">
        <v>1</v>
      </c>
      <c r="S2096" t="s">
        <v>45</v>
      </c>
      <c r="T2096">
        <v>0</v>
      </c>
      <c r="U2096">
        <v>999</v>
      </c>
      <c r="V2096" t="s">
        <v>46</v>
      </c>
      <c r="W2096">
        <v>0.998</v>
      </c>
      <c r="X2096">
        <v>25001</v>
      </c>
      <c r="Y2096" t="s">
        <v>47</v>
      </c>
      <c r="Z2096">
        <v>25</v>
      </c>
      <c r="AA2096">
        <v>662</v>
      </c>
      <c r="AB2096" t="s">
        <v>75</v>
      </c>
      <c r="AC2096">
        <v>0.66100000000000003</v>
      </c>
      <c r="AD2096">
        <v>764</v>
      </c>
      <c r="AE2096" t="s">
        <v>48</v>
      </c>
      <c r="AF2096">
        <v>0.76300000000000001</v>
      </c>
      <c r="AG2096">
        <v>918</v>
      </c>
      <c r="AH2096" t="s">
        <v>49</v>
      </c>
      <c r="AI2096">
        <v>0.91700000000000004</v>
      </c>
      <c r="AJ2096" t="s">
        <v>1141</v>
      </c>
    </row>
    <row r="2097" spans="1:36" x14ac:dyDescent="0.25">
      <c r="A2097" t="s">
        <v>447</v>
      </c>
      <c r="B2097">
        <v>886376287</v>
      </c>
      <c r="C2097" t="s">
        <v>448</v>
      </c>
      <c r="D2097" t="s">
        <v>448</v>
      </c>
      <c r="E2097" t="s">
        <v>65</v>
      </c>
      <c r="F2097" t="s">
        <v>93</v>
      </c>
      <c r="I2097" t="s">
        <v>39</v>
      </c>
      <c r="J2097" t="s">
        <v>40</v>
      </c>
      <c r="K2097" t="s">
        <v>41</v>
      </c>
      <c r="L2097" t="s">
        <v>89</v>
      </c>
      <c r="N2097" t="s">
        <v>43</v>
      </c>
      <c r="O2097" t="s">
        <v>307</v>
      </c>
      <c r="P2097">
        <v>315</v>
      </c>
      <c r="Q2097">
        <v>315</v>
      </c>
      <c r="R2097">
        <v>1</v>
      </c>
      <c r="S2097" t="s">
        <v>45</v>
      </c>
      <c r="T2097">
        <v>0</v>
      </c>
      <c r="U2097">
        <v>1000</v>
      </c>
      <c r="V2097" t="s">
        <v>46</v>
      </c>
      <c r="W2097">
        <v>0.999</v>
      </c>
      <c r="X2097">
        <v>25001</v>
      </c>
      <c r="Y2097" t="s">
        <v>47</v>
      </c>
      <c r="Z2097">
        <v>25</v>
      </c>
      <c r="AA2097">
        <v>662</v>
      </c>
      <c r="AB2097" t="s">
        <v>75</v>
      </c>
      <c r="AC2097">
        <v>0.66100000000000003</v>
      </c>
      <c r="AD2097">
        <v>764</v>
      </c>
      <c r="AE2097" t="s">
        <v>48</v>
      </c>
      <c r="AF2097">
        <v>0.76300000000000001</v>
      </c>
      <c r="AG2097">
        <v>918</v>
      </c>
      <c r="AH2097" t="s">
        <v>49</v>
      </c>
      <c r="AI2097">
        <v>0.91700000000000004</v>
      </c>
      <c r="AJ2097" t="s">
        <v>1153</v>
      </c>
    </row>
    <row r="2098" spans="1:36" x14ac:dyDescent="0.25">
      <c r="A2098" t="s">
        <v>447</v>
      </c>
      <c r="B2098">
        <v>886376287</v>
      </c>
      <c r="C2098" t="s">
        <v>448</v>
      </c>
      <c r="D2098" t="s">
        <v>448</v>
      </c>
      <c r="E2098" t="s">
        <v>65</v>
      </c>
      <c r="F2098" t="s">
        <v>93</v>
      </c>
      <c r="I2098" t="s">
        <v>39</v>
      </c>
      <c r="J2098" t="s">
        <v>40</v>
      </c>
      <c r="K2098" t="s">
        <v>41</v>
      </c>
      <c r="L2098" t="s">
        <v>89</v>
      </c>
      <c r="N2098" t="s">
        <v>43</v>
      </c>
      <c r="O2098" t="s">
        <v>307</v>
      </c>
      <c r="P2098">
        <v>315</v>
      </c>
      <c r="Q2098">
        <v>315</v>
      </c>
      <c r="R2098">
        <v>1</v>
      </c>
      <c r="S2098" t="s">
        <v>45</v>
      </c>
      <c r="T2098">
        <v>0</v>
      </c>
      <c r="U2098">
        <v>1000</v>
      </c>
      <c r="V2098" t="s">
        <v>46</v>
      </c>
      <c r="W2098">
        <v>0.999</v>
      </c>
      <c r="X2098">
        <v>25001</v>
      </c>
      <c r="Y2098" t="s">
        <v>47</v>
      </c>
      <c r="Z2098">
        <v>25</v>
      </c>
      <c r="AA2098">
        <v>662</v>
      </c>
      <c r="AB2098" t="s">
        <v>75</v>
      </c>
      <c r="AC2098">
        <v>0.66100000000000003</v>
      </c>
      <c r="AD2098">
        <v>764</v>
      </c>
      <c r="AE2098" t="s">
        <v>48</v>
      </c>
      <c r="AF2098">
        <v>0.76300000000000001</v>
      </c>
      <c r="AG2098">
        <v>918</v>
      </c>
      <c r="AH2098" t="s">
        <v>49</v>
      </c>
      <c r="AI2098">
        <v>0.91700000000000004</v>
      </c>
      <c r="AJ2098" t="s">
        <v>1154</v>
      </c>
    </row>
    <row r="2099" spans="1:36" x14ac:dyDescent="0.25">
      <c r="A2099" t="s">
        <v>447</v>
      </c>
      <c r="B2099">
        <v>886376287</v>
      </c>
      <c r="C2099" t="s">
        <v>448</v>
      </c>
      <c r="D2099" t="s">
        <v>448</v>
      </c>
      <c r="E2099" t="s">
        <v>65</v>
      </c>
      <c r="F2099" t="s">
        <v>93</v>
      </c>
      <c r="I2099" t="s">
        <v>39</v>
      </c>
      <c r="J2099" t="s">
        <v>40</v>
      </c>
      <c r="K2099" t="s">
        <v>41</v>
      </c>
      <c r="L2099" t="s">
        <v>89</v>
      </c>
      <c r="N2099" t="s">
        <v>43</v>
      </c>
      <c r="O2099" t="s">
        <v>307</v>
      </c>
      <c r="P2099">
        <v>315</v>
      </c>
      <c r="Q2099">
        <v>315</v>
      </c>
      <c r="S2099" t="s">
        <v>39</v>
      </c>
      <c r="V2099" t="s">
        <v>39</v>
      </c>
      <c r="X2099">
        <v>25001</v>
      </c>
      <c r="Y2099" t="s">
        <v>47</v>
      </c>
      <c r="Z2099">
        <v>25</v>
      </c>
      <c r="AA2099">
        <v>662</v>
      </c>
      <c r="AB2099" t="s">
        <v>75</v>
      </c>
      <c r="AC2099">
        <v>0.66100000000000003</v>
      </c>
      <c r="AD2099">
        <v>764</v>
      </c>
      <c r="AE2099" t="s">
        <v>48</v>
      </c>
      <c r="AF2099">
        <v>0.76300000000000001</v>
      </c>
      <c r="AG2099">
        <v>918</v>
      </c>
      <c r="AH2099" t="s">
        <v>49</v>
      </c>
      <c r="AI2099">
        <v>0.91700000000000004</v>
      </c>
      <c r="AJ2099" t="s">
        <v>1155</v>
      </c>
    </row>
    <row r="2100" spans="1:36" x14ac:dyDescent="0.25">
      <c r="A2100" t="s">
        <v>444</v>
      </c>
      <c r="B2100">
        <v>855647507</v>
      </c>
      <c r="C2100" t="s">
        <v>445</v>
      </c>
      <c r="D2100" t="s">
        <v>445</v>
      </c>
      <c r="E2100" t="s">
        <v>60</v>
      </c>
      <c r="F2100" t="s">
        <v>229</v>
      </c>
      <c r="I2100" t="s">
        <v>39</v>
      </c>
      <c r="J2100" t="s">
        <v>40</v>
      </c>
      <c r="K2100" t="s">
        <v>41</v>
      </c>
      <c r="L2100" t="s">
        <v>118</v>
      </c>
      <c r="N2100" t="s">
        <v>43</v>
      </c>
      <c r="O2100" t="s">
        <v>446</v>
      </c>
      <c r="P2100">
        <v>316</v>
      </c>
      <c r="Q2100">
        <v>316</v>
      </c>
      <c r="R2100">
        <v>31</v>
      </c>
      <c r="S2100" t="s">
        <v>45</v>
      </c>
      <c r="T2100">
        <v>0.03</v>
      </c>
      <c r="U2100">
        <v>12</v>
      </c>
      <c r="V2100" t="s">
        <v>55</v>
      </c>
      <c r="W2100">
        <v>1.0999999999999999E-2</v>
      </c>
      <c r="X2100">
        <v>15001</v>
      </c>
      <c r="Y2100" t="s">
        <v>47</v>
      </c>
      <c r="Z2100">
        <v>15</v>
      </c>
      <c r="AA2100">
        <v>317</v>
      </c>
      <c r="AB2100" t="s">
        <v>47</v>
      </c>
      <c r="AC2100">
        <v>0.316</v>
      </c>
      <c r="AD2100">
        <v>457</v>
      </c>
      <c r="AE2100" t="s">
        <v>56</v>
      </c>
      <c r="AF2100">
        <v>0.45600000000000002</v>
      </c>
      <c r="AG2100">
        <v>490</v>
      </c>
      <c r="AH2100" t="s">
        <v>57</v>
      </c>
      <c r="AI2100">
        <v>0.48899999999999999</v>
      </c>
      <c r="AJ2100" t="s">
        <v>50</v>
      </c>
    </row>
    <row r="2101" spans="1:36" x14ac:dyDescent="0.25">
      <c r="A2101" t="s">
        <v>444</v>
      </c>
      <c r="B2101">
        <v>855647507</v>
      </c>
      <c r="C2101" t="s">
        <v>445</v>
      </c>
      <c r="D2101" t="s">
        <v>445</v>
      </c>
      <c r="E2101" t="s">
        <v>60</v>
      </c>
      <c r="F2101" t="s">
        <v>229</v>
      </c>
      <c r="I2101" t="s">
        <v>39</v>
      </c>
      <c r="J2101" t="s">
        <v>40</v>
      </c>
      <c r="K2101" t="s">
        <v>41</v>
      </c>
      <c r="L2101" t="s">
        <v>118</v>
      </c>
      <c r="N2101" t="s">
        <v>43</v>
      </c>
      <c r="O2101" t="s">
        <v>446</v>
      </c>
      <c r="P2101">
        <v>316</v>
      </c>
      <c r="Q2101">
        <v>316</v>
      </c>
      <c r="R2101">
        <v>71</v>
      </c>
      <c r="S2101" t="s">
        <v>56</v>
      </c>
      <c r="T2101">
        <v>7.0000000000000007E-2</v>
      </c>
      <c r="U2101">
        <v>37</v>
      </c>
      <c r="V2101" t="s">
        <v>55</v>
      </c>
      <c r="W2101">
        <v>3.5999999999999997E-2</v>
      </c>
      <c r="X2101">
        <v>15001</v>
      </c>
      <c r="Y2101" t="s">
        <v>47</v>
      </c>
      <c r="Z2101">
        <v>15</v>
      </c>
      <c r="AA2101">
        <v>317</v>
      </c>
      <c r="AB2101" t="s">
        <v>47</v>
      </c>
      <c r="AC2101">
        <v>0.316</v>
      </c>
      <c r="AD2101">
        <v>457</v>
      </c>
      <c r="AE2101" t="s">
        <v>56</v>
      </c>
      <c r="AF2101">
        <v>0.45600000000000002</v>
      </c>
      <c r="AG2101">
        <v>490</v>
      </c>
      <c r="AH2101" t="s">
        <v>57</v>
      </c>
      <c r="AI2101">
        <v>0.48899999999999999</v>
      </c>
      <c r="AJ2101" t="s">
        <v>1141</v>
      </c>
    </row>
    <row r="2102" spans="1:36" x14ac:dyDescent="0.25">
      <c r="A2102" t="s">
        <v>444</v>
      </c>
      <c r="B2102">
        <v>855647507</v>
      </c>
      <c r="C2102" t="s">
        <v>445</v>
      </c>
      <c r="D2102" t="s">
        <v>445</v>
      </c>
      <c r="E2102" t="s">
        <v>60</v>
      </c>
      <c r="F2102" t="s">
        <v>229</v>
      </c>
      <c r="I2102" t="s">
        <v>39</v>
      </c>
      <c r="J2102" t="s">
        <v>40</v>
      </c>
      <c r="K2102" t="s">
        <v>41</v>
      </c>
      <c r="L2102" t="s">
        <v>118</v>
      </c>
      <c r="N2102" t="s">
        <v>43</v>
      </c>
      <c r="O2102" t="s">
        <v>446</v>
      </c>
      <c r="P2102">
        <v>316</v>
      </c>
      <c r="Q2102">
        <v>316</v>
      </c>
      <c r="R2102">
        <v>31</v>
      </c>
      <c r="S2102" t="s">
        <v>45</v>
      </c>
      <c r="T2102">
        <v>0.03</v>
      </c>
      <c r="U2102">
        <v>12</v>
      </c>
      <c r="V2102" t="s">
        <v>55</v>
      </c>
      <c r="W2102">
        <v>1.0999999999999999E-2</v>
      </c>
      <c r="X2102">
        <v>15001</v>
      </c>
      <c r="Y2102" t="s">
        <v>47</v>
      </c>
      <c r="Z2102">
        <v>15</v>
      </c>
      <c r="AA2102">
        <v>317</v>
      </c>
      <c r="AB2102" t="s">
        <v>47</v>
      </c>
      <c r="AC2102">
        <v>0.316</v>
      </c>
      <c r="AD2102">
        <v>457</v>
      </c>
      <c r="AE2102" t="s">
        <v>56</v>
      </c>
      <c r="AF2102">
        <v>0.45600000000000002</v>
      </c>
      <c r="AG2102">
        <v>490</v>
      </c>
      <c r="AH2102" t="s">
        <v>57</v>
      </c>
      <c r="AI2102">
        <v>0.48899999999999999</v>
      </c>
      <c r="AJ2102" t="s">
        <v>1153</v>
      </c>
    </row>
    <row r="2103" spans="1:36" x14ac:dyDescent="0.25">
      <c r="A2103" t="s">
        <v>444</v>
      </c>
      <c r="B2103">
        <v>855647507</v>
      </c>
      <c r="C2103" t="s">
        <v>445</v>
      </c>
      <c r="D2103" t="s">
        <v>445</v>
      </c>
      <c r="E2103" t="s">
        <v>60</v>
      </c>
      <c r="F2103" t="s">
        <v>229</v>
      </c>
      <c r="I2103" t="s">
        <v>39</v>
      </c>
      <c r="J2103" t="s">
        <v>40</v>
      </c>
      <c r="K2103" t="s">
        <v>41</v>
      </c>
      <c r="L2103" t="s">
        <v>118</v>
      </c>
      <c r="N2103" t="s">
        <v>43</v>
      </c>
      <c r="O2103" t="s">
        <v>446</v>
      </c>
      <c r="P2103">
        <v>316</v>
      </c>
      <c r="Q2103">
        <v>316</v>
      </c>
      <c r="R2103">
        <v>31</v>
      </c>
      <c r="S2103" t="s">
        <v>45</v>
      </c>
      <c r="T2103">
        <v>0.03</v>
      </c>
      <c r="U2103">
        <v>12</v>
      </c>
      <c r="V2103" t="s">
        <v>55</v>
      </c>
      <c r="W2103">
        <v>1.0999999999999999E-2</v>
      </c>
      <c r="X2103">
        <v>15001</v>
      </c>
      <c r="Y2103" t="s">
        <v>47</v>
      </c>
      <c r="Z2103">
        <v>15</v>
      </c>
      <c r="AA2103">
        <v>317</v>
      </c>
      <c r="AB2103" t="s">
        <v>47</v>
      </c>
      <c r="AC2103">
        <v>0.316</v>
      </c>
      <c r="AD2103">
        <v>457</v>
      </c>
      <c r="AE2103" t="s">
        <v>56</v>
      </c>
      <c r="AF2103">
        <v>0.45600000000000002</v>
      </c>
      <c r="AG2103">
        <v>490</v>
      </c>
      <c r="AH2103" t="s">
        <v>57</v>
      </c>
      <c r="AI2103">
        <v>0.48899999999999999</v>
      </c>
      <c r="AJ2103" t="s">
        <v>1154</v>
      </c>
    </row>
    <row r="2104" spans="1:36" x14ac:dyDescent="0.25">
      <c r="A2104" t="s">
        <v>444</v>
      </c>
      <c r="B2104">
        <v>855647507</v>
      </c>
      <c r="C2104" t="s">
        <v>445</v>
      </c>
      <c r="D2104" t="s">
        <v>445</v>
      </c>
      <c r="E2104" t="s">
        <v>60</v>
      </c>
      <c r="F2104" t="s">
        <v>229</v>
      </c>
      <c r="I2104" t="s">
        <v>39</v>
      </c>
      <c r="J2104" t="s">
        <v>40</v>
      </c>
      <c r="K2104" t="s">
        <v>41</v>
      </c>
      <c r="L2104" t="s">
        <v>118</v>
      </c>
      <c r="N2104" t="s">
        <v>43</v>
      </c>
      <c r="O2104" t="s">
        <v>446</v>
      </c>
      <c r="P2104">
        <v>316</v>
      </c>
      <c r="Q2104">
        <v>316</v>
      </c>
      <c r="S2104" t="s">
        <v>39</v>
      </c>
      <c r="V2104" t="s">
        <v>39</v>
      </c>
      <c r="X2104">
        <v>15001</v>
      </c>
      <c r="Y2104" t="s">
        <v>47</v>
      </c>
      <c r="Z2104">
        <v>15</v>
      </c>
      <c r="AA2104">
        <v>317</v>
      </c>
      <c r="AB2104" t="s">
        <v>47</v>
      </c>
      <c r="AC2104">
        <v>0.316</v>
      </c>
      <c r="AD2104">
        <v>457</v>
      </c>
      <c r="AE2104" t="s">
        <v>56</v>
      </c>
      <c r="AF2104">
        <v>0.45600000000000002</v>
      </c>
      <c r="AG2104">
        <v>490</v>
      </c>
      <c r="AH2104" t="s">
        <v>57</v>
      </c>
      <c r="AI2104">
        <v>0.48899999999999999</v>
      </c>
      <c r="AJ2104" t="s">
        <v>1155</v>
      </c>
    </row>
    <row r="2105" spans="1:36" x14ac:dyDescent="0.25">
      <c r="A2105" t="s">
        <v>441</v>
      </c>
      <c r="B2105">
        <v>862494638</v>
      </c>
      <c r="C2105" t="s">
        <v>442</v>
      </c>
      <c r="D2105" t="s">
        <v>442</v>
      </c>
      <c r="E2105" t="s">
        <v>99</v>
      </c>
      <c r="F2105" t="s">
        <v>100</v>
      </c>
      <c r="I2105" t="s">
        <v>39</v>
      </c>
      <c r="J2105" t="s">
        <v>40</v>
      </c>
      <c r="K2105" t="s">
        <v>41</v>
      </c>
      <c r="L2105" t="s">
        <v>78</v>
      </c>
      <c r="N2105" t="s">
        <v>43</v>
      </c>
      <c r="O2105" t="s">
        <v>163</v>
      </c>
      <c r="P2105">
        <v>317</v>
      </c>
      <c r="Q2105">
        <v>317</v>
      </c>
      <c r="R2105">
        <v>151</v>
      </c>
      <c r="S2105" t="s">
        <v>56</v>
      </c>
      <c r="T2105">
        <v>0.15</v>
      </c>
      <c r="U2105">
        <v>323</v>
      </c>
      <c r="V2105" t="s">
        <v>55</v>
      </c>
      <c r="W2105">
        <v>0.32200000000000001</v>
      </c>
      <c r="X2105">
        <v>18001</v>
      </c>
      <c r="Y2105" t="s">
        <v>47</v>
      </c>
      <c r="Z2105">
        <v>18</v>
      </c>
      <c r="AA2105">
        <v>435</v>
      </c>
      <c r="AB2105" t="s">
        <v>47</v>
      </c>
      <c r="AC2105">
        <v>0.434</v>
      </c>
      <c r="AD2105">
        <v>538</v>
      </c>
      <c r="AE2105" t="s">
        <v>48</v>
      </c>
      <c r="AF2105">
        <v>0.53700000000000003</v>
      </c>
      <c r="AG2105">
        <v>597</v>
      </c>
      <c r="AH2105" t="s">
        <v>49</v>
      </c>
      <c r="AI2105">
        <v>0.59599999999999997</v>
      </c>
      <c r="AJ2105" t="s">
        <v>50</v>
      </c>
    </row>
    <row r="2106" spans="1:36" x14ac:dyDescent="0.25">
      <c r="A2106" t="s">
        <v>441</v>
      </c>
      <c r="B2106">
        <v>862494638</v>
      </c>
      <c r="C2106" t="s">
        <v>442</v>
      </c>
      <c r="D2106" t="s">
        <v>442</v>
      </c>
      <c r="E2106" t="s">
        <v>65</v>
      </c>
      <c r="F2106" t="s">
        <v>100</v>
      </c>
      <c r="I2106" t="s">
        <v>39</v>
      </c>
      <c r="J2106" t="s">
        <v>40</v>
      </c>
      <c r="K2106" t="s">
        <v>41</v>
      </c>
      <c r="L2106" t="s">
        <v>78</v>
      </c>
      <c r="N2106" t="s">
        <v>43</v>
      </c>
      <c r="O2106" t="s">
        <v>443</v>
      </c>
      <c r="P2106">
        <v>317</v>
      </c>
      <c r="Q2106">
        <v>317</v>
      </c>
      <c r="R2106">
        <v>11</v>
      </c>
      <c r="S2106" t="s">
        <v>45</v>
      </c>
      <c r="T2106">
        <v>0.01</v>
      </c>
      <c r="U2106">
        <v>310</v>
      </c>
      <c r="V2106" t="s">
        <v>55</v>
      </c>
      <c r="W2106">
        <v>0.309</v>
      </c>
      <c r="X2106">
        <v>21001</v>
      </c>
      <c r="Y2106" t="s">
        <v>47</v>
      </c>
      <c r="Z2106">
        <v>21</v>
      </c>
      <c r="AA2106">
        <v>422</v>
      </c>
      <c r="AB2106" t="s">
        <v>47</v>
      </c>
      <c r="AC2106">
        <v>0.42099999999999999</v>
      </c>
      <c r="AD2106">
        <v>521</v>
      </c>
      <c r="AE2106" t="s">
        <v>48</v>
      </c>
      <c r="AF2106">
        <v>0.52</v>
      </c>
      <c r="AG2106">
        <v>355</v>
      </c>
      <c r="AH2106" t="s">
        <v>57</v>
      </c>
      <c r="AI2106">
        <v>0.35399999999999998</v>
      </c>
      <c r="AJ2106" t="s">
        <v>50</v>
      </c>
    </row>
    <row r="2107" spans="1:36" x14ac:dyDescent="0.25">
      <c r="A2107" t="s">
        <v>441</v>
      </c>
      <c r="B2107">
        <v>862494638</v>
      </c>
      <c r="C2107" t="s">
        <v>442</v>
      </c>
      <c r="D2107" t="s">
        <v>442</v>
      </c>
      <c r="E2107" t="s">
        <v>99</v>
      </c>
      <c r="F2107" t="s">
        <v>100</v>
      </c>
      <c r="I2107" t="s">
        <v>39</v>
      </c>
      <c r="J2107" t="s">
        <v>40</v>
      </c>
      <c r="K2107" t="s">
        <v>41</v>
      </c>
      <c r="L2107" t="s">
        <v>78</v>
      </c>
      <c r="N2107" t="s">
        <v>43</v>
      </c>
      <c r="O2107" t="s">
        <v>163</v>
      </c>
      <c r="P2107">
        <v>317</v>
      </c>
      <c r="Q2107">
        <v>317</v>
      </c>
      <c r="R2107">
        <v>91</v>
      </c>
      <c r="S2107" t="s">
        <v>56</v>
      </c>
      <c r="T2107">
        <v>0.09</v>
      </c>
      <c r="U2107">
        <v>216</v>
      </c>
      <c r="V2107" t="s">
        <v>55</v>
      </c>
      <c r="W2107">
        <v>0.215</v>
      </c>
      <c r="X2107">
        <v>18001</v>
      </c>
      <c r="Y2107" t="s">
        <v>47</v>
      </c>
      <c r="Z2107">
        <v>18</v>
      </c>
      <c r="AA2107">
        <v>435</v>
      </c>
      <c r="AB2107" t="s">
        <v>47</v>
      </c>
      <c r="AC2107">
        <v>0.434</v>
      </c>
      <c r="AD2107">
        <v>538</v>
      </c>
      <c r="AE2107" t="s">
        <v>48</v>
      </c>
      <c r="AF2107">
        <v>0.53700000000000003</v>
      </c>
      <c r="AG2107">
        <v>597</v>
      </c>
      <c r="AH2107" t="s">
        <v>49</v>
      </c>
      <c r="AI2107">
        <v>0.59599999999999997</v>
      </c>
      <c r="AJ2107" t="s">
        <v>1141</v>
      </c>
    </row>
    <row r="2108" spans="1:36" x14ac:dyDescent="0.25">
      <c r="A2108" t="s">
        <v>441</v>
      </c>
      <c r="B2108">
        <v>862494638</v>
      </c>
      <c r="C2108" t="s">
        <v>442</v>
      </c>
      <c r="D2108" t="s">
        <v>442</v>
      </c>
      <c r="E2108" t="s">
        <v>65</v>
      </c>
      <c r="F2108" t="s">
        <v>100</v>
      </c>
      <c r="I2108" t="s">
        <v>39</v>
      </c>
      <c r="J2108" t="s">
        <v>40</v>
      </c>
      <c r="K2108" t="s">
        <v>41</v>
      </c>
      <c r="L2108" t="s">
        <v>78</v>
      </c>
      <c r="N2108" t="s">
        <v>43</v>
      </c>
      <c r="O2108" t="s">
        <v>443</v>
      </c>
      <c r="P2108">
        <v>317</v>
      </c>
      <c r="Q2108">
        <v>317</v>
      </c>
      <c r="R2108">
        <v>61</v>
      </c>
      <c r="S2108" t="s">
        <v>56</v>
      </c>
      <c r="T2108">
        <v>0.06</v>
      </c>
      <c r="U2108">
        <v>148</v>
      </c>
      <c r="V2108" t="s">
        <v>55</v>
      </c>
      <c r="W2108">
        <v>0.14699999999999999</v>
      </c>
      <c r="X2108">
        <v>21001</v>
      </c>
      <c r="Y2108" t="s">
        <v>47</v>
      </c>
      <c r="Z2108">
        <v>21</v>
      </c>
      <c r="AA2108">
        <v>422</v>
      </c>
      <c r="AB2108" t="s">
        <v>47</v>
      </c>
      <c r="AC2108">
        <v>0.42099999999999999</v>
      </c>
      <c r="AD2108">
        <v>521</v>
      </c>
      <c r="AE2108" t="s">
        <v>48</v>
      </c>
      <c r="AF2108">
        <v>0.52</v>
      </c>
      <c r="AG2108">
        <v>355</v>
      </c>
      <c r="AH2108" t="s">
        <v>57</v>
      </c>
      <c r="AI2108">
        <v>0.35399999999999998</v>
      </c>
      <c r="AJ2108" t="s">
        <v>1141</v>
      </c>
    </row>
    <row r="2109" spans="1:36" x14ac:dyDescent="0.25">
      <c r="A2109" t="s">
        <v>441</v>
      </c>
      <c r="B2109">
        <v>862494638</v>
      </c>
      <c r="C2109" t="s">
        <v>442</v>
      </c>
      <c r="D2109" t="s">
        <v>442</v>
      </c>
      <c r="E2109" t="s">
        <v>99</v>
      </c>
      <c r="F2109" t="s">
        <v>100</v>
      </c>
      <c r="I2109" t="s">
        <v>39</v>
      </c>
      <c r="J2109" t="s">
        <v>40</v>
      </c>
      <c r="K2109" t="s">
        <v>41</v>
      </c>
      <c r="L2109" t="s">
        <v>78</v>
      </c>
      <c r="N2109" t="s">
        <v>43</v>
      </c>
      <c r="O2109" t="s">
        <v>163</v>
      </c>
      <c r="P2109">
        <v>317</v>
      </c>
      <c r="Q2109">
        <v>317</v>
      </c>
      <c r="R2109">
        <v>151</v>
      </c>
      <c r="S2109" t="s">
        <v>56</v>
      </c>
      <c r="T2109">
        <v>0.15</v>
      </c>
      <c r="U2109">
        <v>323</v>
      </c>
      <c r="V2109" t="s">
        <v>55</v>
      </c>
      <c r="W2109">
        <v>0.32200000000000001</v>
      </c>
      <c r="X2109">
        <v>18001</v>
      </c>
      <c r="Y2109" t="s">
        <v>47</v>
      </c>
      <c r="Z2109">
        <v>18</v>
      </c>
      <c r="AA2109">
        <v>435</v>
      </c>
      <c r="AB2109" t="s">
        <v>47</v>
      </c>
      <c r="AC2109">
        <v>0.434</v>
      </c>
      <c r="AD2109">
        <v>538</v>
      </c>
      <c r="AE2109" t="s">
        <v>48</v>
      </c>
      <c r="AF2109">
        <v>0.53700000000000003</v>
      </c>
      <c r="AG2109">
        <v>597</v>
      </c>
      <c r="AH2109" t="s">
        <v>49</v>
      </c>
      <c r="AI2109">
        <v>0.59599999999999997</v>
      </c>
      <c r="AJ2109" t="s">
        <v>1153</v>
      </c>
    </row>
    <row r="2110" spans="1:36" x14ac:dyDescent="0.25">
      <c r="A2110" t="s">
        <v>441</v>
      </c>
      <c r="B2110">
        <v>862494638</v>
      </c>
      <c r="C2110" t="s">
        <v>442</v>
      </c>
      <c r="D2110" t="s">
        <v>442</v>
      </c>
      <c r="E2110" t="s">
        <v>65</v>
      </c>
      <c r="F2110" t="s">
        <v>100</v>
      </c>
      <c r="I2110" t="s">
        <v>39</v>
      </c>
      <c r="J2110" t="s">
        <v>40</v>
      </c>
      <c r="K2110" t="s">
        <v>41</v>
      </c>
      <c r="L2110" t="s">
        <v>78</v>
      </c>
      <c r="N2110" t="s">
        <v>43</v>
      </c>
      <c r="O2110" t="s">
        <v>443</v>
      </c>
      <c r="P2110">
        <v>317</v>
      </c>
      <c r="Q2110">
        <v>317</v>
      </c>
      <c r="R2110">
        <v>11</v>
      </c>
      <c r="S2110" t="s">
        <v>45</v>
      </c>
      <c r="T2110">
        <v>0.01</v>
      </c>
      <c r="U2110">
        <v>310</v>
      </c>
      <c r="V2110" t="s">
        <v>55</v>
      </c>
      <c r="W2110">
        <v>0.309</v>
      </c>
      <c r="X2110">
        <v>21001</v>
      </c>
      <c r="Y2110" t="s">
        <v>47</v>
      </c>
      <c r="Z2110">
        <v>21</v>
      </c>
      <c r="AA2110">
        <v>422</v>
      </c>
      <c r="AB2110" t="s">
        <v>47</v>
      </c>
      <c r="AC2110">
        <v>0.42099999999999999</v>
      </c>
      <c r="AD2110">
        <v>521</v>
      </c>
      <c r="AE2110" t="s">
        <v>48</v>
      </c>
      <c r="AF2110">
        <v>0.52</v>
      </c>
      <c r="AG2110">
        <v>355</v>
      </c>
      <c r="AH2110" t="s">
        <v>57</v>
      </c>
      <c r="AI2110">
        <v>0.35399999999999998</v>
      </c>
      <c r="AJ2110" t="s">
        <v>1153</v>
      </c>
    </row>
    <row r="2111" spans="1:36" x14ac:dyDescent="0.25">
      <c r="A2111" t="s">
        <v>441</v>
      </c>
      <c r="B2111">
        <v>862494638</v>
      </c>
      <c r="C2111" t="s">
        <v>442</v>
      </c>
      <c r="D2111" t="s">
        <v>442</v>
      </c>
      <c r="E2111" t="s">
        <v>99</v>
      </c>
      <c r="F2111" t="s">
        <v>100</v>
      </c>
      <c r="I2111" t="s">
        <v>39</v>
      </c>
      <c r="J2111" t="s">
        <v>40</v>
      </c>
      <c r="K2111" t="s">
        <v>41</v>
      </c>
      <c r="L2111" t="s">
        <v>78</v>
      </c>
      <c r="N2111" t="s">
        <v>43</v>
      </c>
      <c r="O2111" t="s">
        <v>163</v>
      </c>
      <c r="P2111">
        <v>317</v>
      </c>
      <c r="Q2111">
        <v>317</v>
      </c>
      <c r="R2111">
        <v>151</v>
      </c>
      <c r="S2111" t="s">
        <v>56</v>
      </c>
      <c r="T2111">
        <v>0.15</v>
      </c>
      <c r="U2111">
        <v>323</v>
      </c>
      <c r="V2111" t="s">
        <v>55</v>
      </c>
      <c r="W2111">
        <v>0.32200000000000001</v>
      </c>
      <c r="X2111">
        <v>18001</v>
      </c>
      <c r="Y2111" t="s">
        <v>47</v>
      </c>
      <c r="Z2111">
        <v>18</v>
      </c>
      <c r="AA2111">
        <v>435</v>
      </c>
      <c r="AB2111" t="s">
        <v>47</v>
      </c>
      <c r="AC2111">
        <v>0.434</v>
      </c>
      <c r="AD2111">
        <v>538</v>
      </c>
      <c r="AE2111" t="s">
        <v>48</v>
      </c>
      <c r="AF2111">
        <v>0.53700000000000003</v>
      </c>
      <c r="AG2111">
        <v>597</v>
      </c>
      <c r="AH2111" t="s">
        <v>49</v>
      </c>
      <c r="AI2111">
        <v>0.59599999999999997</v>
      </c>
      <c r="AJ2111" t="s">
        <v>1154</v>
      </c>
    </row>
    <row r="2112" spans="1:36" x14ac:dyDescent="0.25">
      <c r="A2112" t="s">
        <v>441</v>
      </c>
      <c r="B2112">
        <v>862494638</v>
      </c>
      <c r="C2112" t="s">
        <v>442</v>
      </c>
      <c r="D2112" t="s">
        <v>442</v>
      </c>
      <c r="E2112" t="s">
        <v>65</v>
      </c>
      <c r="F2112" t="s">
        <v>100</v>
      </c>
      <c r="I2112" t="s">
        <v>39</v>
      </c>
      <c r="J2112" t="s">
        <v>40</v>
      </c>
      <c r="K2112" t="s">
        <v>41</v>
      </c>
      <c r="L2112" t="s">
        <v>78</v>
      </c>
      <c r="N2112" t="s">
        <v>43</v>
      </c>
      <c r="O2112" t="s">
        <v>443</v>
      </c>
      <c r="P2112">
        <v>317</v>
      </c>
      <c r="Q2112">
        <v>317</v>
      </c>
      <c r="R2112">
        <v>11</v>
      </c>
      <c r="S2112" t="s">
        <v>45</v>
      </c>
      <c r="T2112">
        <v>0.01</v>
      </c>
      <c r="U2112">
        <v>310</v>
      </c>
      <c r="V2112" t="s">
        <v>55</v>
      </c>
      <c r="W2112">
        <v>0.309</v>
      </c>
      <c r="X2112">
        <v>21001</v>
      </c>
      <c r="Y2112" t="s">
        <v>47</v>
      </c>
      <c r="Z2112">
        <v>21</v>
      </c>
      <c r="AA2112">
        <v>422</v>
      </c>
      <c r="AB2112" t="s">
        <v>47</v>
      </c>
      <c r="AC2112">
        <v>0.42099999999999999</v>
      </c>
      <c r="AD2112">
        <v>521</v>
      </c>
      <c r="AE2112" t="s">
        <v>48</v>
      </c>
      <c r="AF2112">
        <v>0.52</v>
      </c>
      <c r="AG2112">
        <v>355</v>
      </c>
      <c r="AH2112" t="s">
        <v>57</v>
      </c>
      <c r="AI2112">
        <v>0.35399999999999998</v>
      </c>
      <c r="AJ2112" t="s">
        <v>1154</v>
      </c>
    </row>
    <row r="2113" spans="1:36" x14ac:dyDescent="0.25">
      <c r="A2113" t="s">
        <v>441</v>
      </c>
      <c r="B2113">
        <v>862494638</v>
      </c>
      <c r="C2113" t="s">
        <v>442</v>
      </c>
      <c r="D2113" t="s">
        <v>442</v>
      </c>
      <c r="E2113" t="s">
        <v>99</v>
      </c>
      <c r="F2113" t="s">
        <v>100</v>
      </c>
      <c r="I2113" t="s">
        <v>39</v>
      </c>
      <c r="J2113" t="s">
        <v>40</v>
      </c>
      <c r="K2113" t="s">
        <v>41</v>
      </c>
      <c r="L2113" t="s">
        <v>78</v>
      </c>
      <c r="N2113" t="s">
        <v>43</v>
      </c>
      <c r="O2113" t="s">
        <v>163</v>
      </c>
      <c r="P2113">
        <v>317</v>
      </c>
      <c r="Q2113">
        <v>317</v>
      </c>
      <c r="S2113" t="s">
        <v>39</v>
      </c>
      <c r="V2113" t="s">
        <v>39</v>
      </c>
      <c r="X2113">
        <v>18001</v>
      </c>
      <c r="Y2113" t="s">
        <v>47</v>
      </c>
      <c r="Z2113">
        <v>18</v>
      </c>
      <c r="AA2113">
        <v>435</v>
      </c>
      <c r="AB2113" t="s">
        <v>47</v>
      </c>
      <c r="AC2113">
        <v>0.434</v>
      </c>
      <c r="AD2113">
        <v>538</v>
      </c>
      <c r="AE2113" t="s">
        <v>48</v>
      </c>
      <c r="AF2113">
        <v>0.53700000000000003</v>
      </c>
      <c r="AG2113">
        <v>597</v>
      </c>
      <c r="AH2113" t="s">
        <v>49</v>
      </c>
      <c r="AI2113">
        <v>0.59599999999999997</v>
      </c>
      <c r="AJ2113" t="s">
        <v>1155</v>
      </c>
    </row>
    <row r="2114" spans="1:36" x14ac:dyDescent="0.25">
      <c r="A2114" t="s">
        <v>441</v>
      </c>
      <c r="B2114">
        <v>862494638</v>
      </c>
      <c r="C2114" t="s">
        <v>442</v>
      </c>
      <c r="D2114" t="s">
        <v>442</v>
      </c>
      <c r="E2114" t="s">
        <v>65</v>
      </c>
      <c r="F2114" t="s">
        <v>100</v>
      </c>
      <c r="I2114" t="s">
        <v>39</v>
      </c>
      <c r="J2114" t="s">
        <v>40</v>
      </c>
      <c r="K2114" t="s">
        <v>41</v>
      </c>
      <c r="L2114" t="s">
        <v>78</v>
      </c>
      <c r="N2114" t="s">
        <v>43</v>
      </c>
      <c r="O2114" t="s">
        <v>443</v>
      </c>
      <c r="P2114">
        <v>317</v>
      </c>
      <c r="Q2114">
        <v>317</v>
      </c>
      <c r="S2114" t="s">
        <v>39</v>
      </c>
      <c r="V2114" t="s">
        <v>39</v>
      </c>
      <c r="X2114">
        <v>21001</v>
      </c>
      <c r="Y2114" t="s">
        <v>47</v>
      </c>
      <c r="Z2114">
        <v>21</v>
      </c>
      <c r="AA2114">
        <v>422</v>
      </c>
      <c r="AB2114" t="s">
        <v>47</v>
      </c>
      <c r="AC2114">
        <v>0.42099999999999999</v>
      </c>
      <c r="AD2114">
        <v>521</v>
      </c>
      <c r="AE2114" t="s">
        <v>48</v>
      </c>
      <c r="AF2114">
        <v>0.52</v>
      </c>
      <c r="AG2114">
        <v>355</v>
      </c>
      <c r="AH2114" t="s">
        <v>57</v>
      </c>
      <c r="AI2114">
        <v>0.35399999999999998</v>
      </c>
      <c r="AJ2114" t="s">
        <v>1155</v>
      </c>
    </row>
    <row r="2115" spans="1:36" x14ac:dyDescent="0.25">
      <c r="A2115" t="s">
        <v>439</v>
      </c>
      <c r="B2115">
        <v>881481782</v>
      </c>
      <c r="C2115" t="s">
        <v>440</v>
      </c>
      <c r="D2115" t="s">
        <v>440</v>
      </c>
      <c r="E2115" t="s">
        <v>65</v>
      </c>
      <c r="F2115" t="s">
        <v>93</v>
      </c>
      <c r="I2115" t="s">
        <v>39</v>
      </c>
      <c r="J2115" t="s">
        <v>40</v>
      </c>
      <c r="K2115" t="s">
        <v>41</v>
      </c>
      <c r="L2115" t="s">
        <v>78</v>
      </c>
      <c r="N2115" t="s">
        <v>43</v>
      </c>
      <c r="O2115" t="s">
        <v>159</v>
      </c>
      <c r="P2115">
        <v>317</v>
      </c>
      <c r="Q2115">
        <v>317</v>
      </c>
      <c r="R2115">
        <v>1</v>
      </c>
      <c r="S2115" t="s">
        <v>45</v>
      </c>
      <c r="T2115">
        <v>0</v>
      </c>
      <c r="U2115">
        <v>1000</v>
      </c>
      <c r="V2115" t="s">
        <v>46</v>
      </c>
      <c r="W2115">
        <v>0.999</v>
      </c>
      <c r="X2115">
        <v>25001</v>
      </c>
      <c r="Y2115" t="s">
        <v>47</v>
      </c>
      <c r="Z2115">
        <v>25</v>
      </c>
      <c r="AA2115">
        <v>674</v>
      </c>
      <c r="AB2115" t="s">
        <v>75</v>
      </c>
      <c r="AC2115">
        <v>0.67300000000000004</v>
      </c>
      <c r="AD2115">
        <v>794</v>
      </c>
      <c r="AE2115" t="s">
        <v>48</v>
      </c>
      <c r="AF2115">
        <v>0.79300000000000004</v>
      </c>
      <c r="AG2115">
        <v>874</v>
      </c>
      <c r="AH2115" t="s">
        <v>49</v>
      </c>
      <c r="AI2115">
        <v>0.873</v>
      </c>
      <c r="AJ2115" t="s">
        <v>50</v>
      </c>
    </row>
    <row r="2116" spans="1:36" x14ac:dyDescent="0.25">
      <c r="A2116" t="s">
        <v>439</v>
      </c>
      <c r="B2116">
        <v>881481782</v>
      </c>
      <c r="C2116" t="s">
        <v>440</v>
      </c>
      <c r="D2116" t="s">
        <v>440</v>
      </c>
      <c r="E2116" t="s">
        <v>65</v>
      </c>
      <c r="F2116" t="s">
        <v>93</v>
      </c>
      <c r="I2116" t="s">
        <v>39</v>
      </c>
      <c r="J2116" t="s">
        <v>40</v>
      </c>
      <c r="K2116" t="s">
        <v>41</v>
      </c>
      <c r="L2116" t="s">
        <v>78</v>
      </c>
      <c r="N2116" t="s">
        <v>43</v>
      </c>
      <c r="O2116" t="s">
        <v>159</v>
      </c>
      <c r="P2116">
        <v>317</v>
      </c>
      <c r="Q2116">
        <v>317</v>
      </c>
      <c r="R2116">
        <v>1</v>
      </c>
      <c r="S2116" t="s">
        <v>45</v>
      </c>
      <c r="T2116">
        <v>0</v>
      </c>
      <c r="U2116">
        <v>990</v>
      </c>
      <c r="V2116" t="s">
        <v>46</v>
      </c>
      <c r="W2116">
        <v>0.98899999999999999</v>
      </c>
      <c r="X2116">
        <v>25001</v>
      </c>
      <c r="Y2116" t="s">
        <v>47</v>
      </c>
      <c r="Z2116">
        <v>25</v>
      </c>
      <c r="AA2116">
        <v>674</v>
      </c>
      <c r="AB2116" t="s">
        <v>75</v>
      </c>
      <c r="AC2116">
        <v>0.67300000000000004</v>
      </c>
      <c r="AD2116">
        <v>794</v>
      </c>
      <c r="AE2116" t="s">
        <v>48</v>
      </c>
      <c r="AF2116">
        <v>0.79300000000000004</v>
      </c>
      <c r="AG2116">
        <v>874</v>
      </c>
      <c r="AH2116" t="s">
        <v>49</v>
      </c>
      <c r="AI2116">
        <v>0.873</v>
      </c>
      <c r="AJ2116" t="s">
        <v>1141</v>
      </c>
    </row>
    <row r="2117" spans="1:36" x14ac:dyDescent="0.25">
      <c r="A2117" t="s">
        <v>439</v>
      </c>
      <c r="B2117">
        <v>881481782</v>
      </c>
      <c r="C2117" t="s">
        <v>440</v>
      </c>
      <c r="D2117" t="s">
        <v>440</v>
      </c>
      <c r="E2117" t="s">
        <v>65</v>
      </c>
      <c r="F2117" t="s">
        <v>93</v>
      </c>
      <c r="I2117" t="s">
        <v>39</v>
      </c>
      <c r="J2117" t="s">
        <v>40</v>
      </c>
      <c r="K2117" t="s">
        <v>41</v>
      </c>
      <c r="L2117" t="s">
        <v>78</v>
      </c>
      <c r="N2117" t="s">
        <v>43</v>
      </c>
      <c r="O2117" t="s">
        <v>159</v>
      </c>
      <c r="P2117">
        <v>317</v>
      </c>
      <c r="Q2117">
        <v>317</v>
      </c>
      <c r="R2117">
        <v>1</v>
      </c>
      <c r="S2117" t="s">
        <v>45</v>
      </c>
      <c r="T2117">
        <v>0</v>
      </c>
      <c r="U2117">
        <v>1000</v>
      </c>
      <c r="V2117" t="s">
        <v>46</v>
      </c>
      <c r="W2117">
        <v>0.999</v>
      </c>
      <c r="X2117">
        <v>25001</v>
      </c>
      <c r="Y2117" t="s">
        <v>47</v>
      </c>
      <c r="Z2117">
        <v>25</v>
      </c>
      <c r="AA2117">
        <v>674</v>
      </c>
      <c r="AB2117" t="s">
        <v>75</v>
      </c>
      <c r="AC2117">
        <v>0.67300000000000004</v>
      </c>
      <c r="AD2117">
        <v>794</v>
      </c>
      <c r="AE2117" t="s">
        <v>48</v>
      </c>
      <c r="AF2117">
        <v>0.79300000000000004</v>
      </c>
      <c r="AG2117">
        <v>874</v>
      </c>
      <c r="AH2117" t="s">
        <v>49</v>
      </c>
      <c r="AI2117">
        <v>0.873</v>
      </c>
      <c r="AJ2117" t="s">
        <v>1153</v>
      </c>
    </row>
    <row r="2118" spans="1:36" x14ac:dyDescent="0.25">
      <c r="A2118" t="s">
        <v>439</v>
      </c>
      <c r="B2118">
        <v>881481782</v>
      </c>
      <c r="C2118" t="s">
        <v>440</v>
      </c>
      <c r="D2118" t="s">
        <v>440</v>
      </c>
      <c r="E2118" t="s">
        <v>65</v>
      </c>
      <c r="F2118" t="s">
        <v>93</v>
      </c>
      <c r="I2118" t="s">
        <v>39</v>
      </c>
      <c r="J2118" t="s">
        <v>40</v>
      </c>
      <c r="K2118" t="s">
        <v>41</v>
      </c>
      <c r="L2118" t="s">
        <v>78</v>
      </c>
      <c r="N2118" t="s">
        <v>43</v>
      </c>
      <c r="O2118" t="s">
        <v>159</v>
      </c>
      <c r="P2118">
        <v>317</v>
      </c>
      <c r="Q2118">
        <v>317</v>
      </c>
      <c r="R2118">
        <v>1</v>
      </c>
      <c r="S2118" t="s">
        <v>45</v>
      </c>
      <c r="T2118">
        <v>0</v>
      </c>
      <c r="U2118">
        <v>1000</v>
      </c>
      <c r="V2118" t="s">
        <v>46</v>
      </c>
      <c r="W2118">
        <v>0.999</v>
      </c>
      <c r="X2118">
        <v>25001</v>
      </c>
      <c r="Y2118" t="s">
        <v>47</v>
      </c>
      <c r="Z2118">
        <v>25</v>
      </c>
      <c r="AA2118">
        <v>674</v>
      </c>
      <c r="AB2118" t="s">
        <v>75</v>
      </c>
      <c r="AC2118">
        <v>0.67300000000000004</v>
      </c>
      <c r="AD2118">
        <v>794</v>
      </c>
      <c r="AE2118" t="s">
        <v>48</v>
      </c>
      <c r="AF2118">
        <v>0.79300000000000004</v>
      </c>
      <c r="AG2118">
        <v>874</v>
      </c>
      <c r="AH2118" t="s">
        <v>49</v>
      </c>
      <c r="AI2118">
        <v>0.873</v>
      </c>
      <c r="AJ2118" t="s">
        <v>1154</v>
      </c>
    </row>
    <row r="2119" spans="1:36" x14ac:dyDescent="0.25">
      <c r="A2119" t="s">
        <v>439</v>
      </c>
      <c r="B2119">
        <v>881481782</v>
      </c>
      <c r="C2119" t="s">
        <v>440</v>
      </c>
      <c r="D2119" t="s">
        <v>440</v>
      </c>
      <c r="E2119" t="s">
        <v>65</v>
      </c>
      <c r="F2119" t="s">
        <v>93</v>
      </c>
      <c r="I2119" t="s">
        <v>39</v>
      </c>
      <c r="J2119" t="s">
        <v>40</v>
      </c>
      <c r="K2119" t="s">
        <v>41</v>
      </c>
      <c r="L2119" t="s">
        <v>78</v>
      </c>
      <c r="N2119" t="s">
        <v>43</v>
      </c>
      <c r="O2119" t="s">
        <v>159</v>
      </c>
      <c r="P2119">
        <v>317</v>
      </c>
      <c r="Q2119">
        <v>317</v>
      </c>
      <c r="S2119" t="s">
        <v>39</v>
      </c>
      <c r="V2119" t="s">
        <v>39</v>
      </c>
      <c r="X2119">
        <v>25001</v>
      </c>
      <c r="Y2119" t="s">
        <v>47</v>
      </c>
      <c r="Z2119">
        <v>25</v>
      </c>
      <c r="AA2119">
        <v>674</v>
      </c>
      <c r="AB2119" t="s">
        <v>75</v>
      </c>
      <c r="AC2119">
        <v>0.67300000000000004</v>
      </c>
      <c r="AD2119">
        <v>794</v>
      </c>
      <c r="AE2119" t="s">
        <v>48</v>
      </c>
      <c r="AF2119">
        <v>0.79300000000000004</v>
      </c>
      <c r="AG2119">
        <v>874</v>
      </c>
      <c r="AH2119" t="s">
        <v>49</v>
      </c>
      <c r="AI2119">
        <v>0.873</v>
      </c>
      <c r="AJ2119" t="s">
        <v>1155</v>
      </c>
    </row>
    <row r="2120" spans="1:36" x14ac:dyDescent="0.25">
      <c r="A2120" t="s">
        <v>437</v>
      </c>
      <c r="B2120">
        <v>856502965</v>
      </c>
      <c r="C2120" t="s">
        <v>438</v>
      </c>
      <c r="D2120" t="s">
        <v>438</v>
      </c>
      <c r="E2120" t="s">
        <v>37</v>
      </c>
      <c r="F2120" t="s">
        <v>38</v>
      </c>
      <c r="I2120" t="s">
        <v>39</v>
      </c>
      <c r="J2120" t="s">
        <v>40</v>
      </c>
      <c r="K2120" t="s">
        <v>41</v>
      </c>
      <c r="L2120" t="s">
        <v>173</v>
      </c>
      <c r="N2120" t="s">
        <v>43</v>
      </c>
      <c r="O2120" t="s">
        <v>139</v>
      </c>
      <c r="P2120">
        <v>318</v>
      </c>
      <c r="Q2120">
        <v>318</v>
      </c>
      <c r="R2120">
        <v>1001</v>
      </c>
      <c r="S2120" t="s">
        <v>56</v>
      </c>
      <c r="T2120">
        <v>1</v>
      </c>
      <c r="U2120">
        <v>6</v>
      </c>
      <c r="V2120" t="s">
        <v>55</v>
      </c>
      <c r="W2120">
        <v>5.0000000000000001E-3</v>
      </c>
      <c r="X2120">
        <v>10001</v>
      </c>
      <c r="Y2120" t="s">
        <v>47</v>
      </c>
      <c r="Z2120">
        <v>10</v>
      </c>
      <c r="AA2120">
        <v>221</v>
      </c>
      <c r="AB2120" t="s">
        <v>47</v>
      </c>
      <c r="AC2120">
        <v>0.22</v>
      </c>
      <c r="AD2120">
        <v>180</v>
      </c>
      <c r="AE2120" t="s">
        <v>56</v>
      </c>
      <c r="AF2120">
        <v>0.17899999999999999</v>
      </c>
      <c r="AG2120">
        <v>2</v>
      </c>
      <c r="AH2120" t="s">
        <v>103</v>
      </c>
      <c r="AI2120">
        <v>1E-3</v>
      </c>
      <c r="AJ2120" t="s">
        <v>50</v>
      </c>
    </row>
    <row r="2121" spans="1:36" x14ac:dyDescent="0.25">
      <c r="A2121" t="s">
        <v>437</v>
      </c>
      <c r="B2121">
        <v>856502965</v>
      </c>
      <c r="C2121" t="s">
        <v>438</v>
      </c>
      <c r="D2121" t="s">
        <v>438</v>
      </c>
      <c r="E2121" t="s">
        <v>37</v>
      </c>
      <c r="F2121" t="s">
        <v>38</v>
      </c>
      <c r="I2121" t="s">
        <v>39</v>
      </c>
      <c r="J2121" t="s">
        <v>40</v>
      </c>
      <c r="K2121" t="s">
        <v>41</v>
      </c>
      <c r="L2121" t="s">
        <v>173</v>
      </c>
      <c r="N2121" t="s">
        <v>43</v>
      </c>
      <c r="O2121" t="s">
        <v>139</v>
      </c>
      <c r="P2121">
        <v>318</v>
      </c>
      <c r="Q2121">
        <v>318</v>
      </c>
      <c r="R2121">
        <v>1001</v>
      </c>
      <c r="S2121" t="s">
        <v>56</v>
      </c>
      <c r="T2121">
        <v>1</v>
      </c>
      <c r="U2121">
        <v>13</v>
      </c>
      <c r="V2121" t="s">
        <v>55</v>
      </c>
      <c r="W2121">
        <v>1.2E-2</v>
      </c>
      <c r="X2121">
        <v>10001</v>
      </c>
      <c r="Y2121" t="s">
        <v>47</v>
      </c>
      <c r="Z2121">
        <v>10</v>
      </c>
      <c r="AA2121">
        <v>221</v>
      </c>
      <c r="AB2121" t="s">
        <v>47</v>
      </c>
      <c r="AC2121">
        <v>0.22</v>
      </c>
      <c r="AD2121">
        <v>180</v>
      </c>
      <c r="AE2121" t="s">
        <v>56</v>
      </c>
      <c r="AF2121">
        <v>0.17899999999999999</v>
      </c>
      <c r="AG2121">
        <v>2</v>
      </c>
      <c r="AH2121" t="s">
        <v>103</v>
      </c>
      <c r="AI2121">
        <v>1E-3</v>
      </c>
      <c r="AJ2121" t="s">
        <v>1141</v>
      </c>
    </row>
    <row r="2122" spans="1:36" x14ac:dyDescent="0.25">
      <c r="A2122" t="s">
        <v>437</v>
      </c>
      <c r="B2122">
        <v>856502965</v>
      </c>
      <c r="C2122" t="s">
        <v>438</v>
      </c>
      <c r="D2122" t="s">
        <v>438</v>
      </c>
      <c r="E2122" t="s">
        <v>37</v>
      </c>
      <c r="F2122" t="s">
        <v>38</v>
      </c>
      <c r="I2122" t="s">
        <v>39</v>
      </c>
      <c r="J2122" t="s">
        <v>40</v>
      </c>
      <c r="K2122" t="s">
        <v>41</v>
      </c>
      <c r="L2122" t="s">
        <v>173</v>
      </c>
      <c r="N2122" t="s">
        <v>43</v>
      </c>
      <c r="O2122" t="s">
        <v>139</v>
      </c>
      <c r="P2122">
        <v>318</v>
      </c>
      <c r="Q2122">
        <v>318</v>
      </c>
      <c r="R2122">
        <v>1001</v>
      </c>
      <c r="S2122" t="s">
        <v>56</v>
      </c>
      <c r="T2122">
        <v>1</v>
      </c>
      <c r="U2122">
        <v>6</v>
      </c>
      <c r="V2122" t="s">
        <v>55</v>
      </c>
      <c r="W2122">
        <v>5.0000000000000001E-3</v>
      </c>
      <c r="X2122">
        <v>10001</v>
      </c>
      <c r="Y2122" t="s">
        <v>47</v>
      </c>
      <c r="Z2122">
        <v>10</v>
      </c>
      <c r="AA2122">
        <v>221</v>
      </c>
      <c r="AB2122" t="s">
        <v>47</v>
      </c>
      <c r="AC2122">
        <v>0.22</v>
      </c>
      <c r="AD2122">
        <v>180</v>
      </c>
      <c r="AE2122" t="s">
        <v>56</v>
      </c>
      <c r="AF2122">
        <v>0.17899999999999999</v>
      </c>
      <c r="AG2122">
        <v>2</v>
      </c>
      <c r="AH2122" t="s">
        <v>103</v>
      </c>
      <c r="AI2122">
        <v>1E-3</v>
      </c>
      <c r="AJ2122" t="s">
        <v>1153</v>
      </c>
    </row>
    <row r="2123" spans="1:36" x14ac:dyDescent="0.25">
      <c r="A2123" t="s">
        <v>437</v>
      </c>
      <c r="B2123">
        <v>856502965</v>
      </c>
      <c r="C2123" t="s">
        <v>438</v>
      </c>
      <c r="D2123" t="s">
        <v>438</v>
      </c>
      <c r="E2123" t="s">
        <v>37</v>
      </c>
      <c r="F2123" t="s">
        <v>38</v>
      </c>
      <c r="I2123" t="s">
        <v>39</v>
      </c>
      <c r="J2123" t="s">
        <v>40</v>
      </c>
      <c r="K2123" t="s">
        <v>41</v>
      </c>
      <c r="L2123" t="s">
        <v>173</v>
      </c>
      <c r="N2123" t="s">
        <v>43</v>
      </c>
      <c r="O2123" t="s">
        <v>139</v>
      </c>
      <c r="P2123">
        <v>318</v>
      </c>
      <c r="Q2123">
        <v>318</v>
      </c>
      <c r="R2123">
        <v>1001</v>
      </c>
      <c r="S2123" t="s">
        <v>56</v>
      </c>
      <c r="T2123">
        <v>1</v>
      </c>
      <c r="U2123">
        <v>6</v>
      </c>
      <c r="V2123" t="s">
        <v>55</v>
      </c>
      <c r="W2123">
        <v>5.0000000000000001E-3</v>
      </c>
      <c r="X2123">
        <v>10001</v>
      </c>
      <c r="Y2123" t="s">
        <v>47</v>
      </c>
      <c r="Z2123">
        <v>10</v>
      </c>
      <c r="AA2123">
        <v>221</v>
      </c>
      <c r="AB2123" t="s">
        <v>47</v>
      </c>
      <c r="AC2123">
        <v>0.22</v>
      </c>
      <c r="AD2123">
        <v>180</v>
      </c>
      <c r="AE2123" t="s">
        <v>56</v>
      </c>
      <c r="AF2123">
        <v>0.17899999999999999</v>
      </c>
      <c r="AG2123">
        <v>2</v>
      </c>
      <c r="AH2123" t="s">
        <v>103</v>
      </c>
      <c r="AI2123">
        <v>1E-3</v>
      </c>
      <c r="AJ2123" t="s">
        <v>1154</v>
      </c>
    </row>
    <row r="2124" spans="1:36" x14ac:dyDescent="0.25">
      <c r="A2124" t="s">
        <v>437</v>
      </c>
      <c r="B2124">
        <v>856502965</v>
      </c>
      <c r="C2124" t="s">
        <v>438</v>
      </c>
      <c r="D2124" t="s">
        <v>438</v>
      </c>
      <c r="E2124" t="s">
        <v>37</v>
      </c>
      <c r="F2124" t="s">
        <v>38</v>
      </c>
      <c r="I2124" t="s">
        <v>39</v>
      </c>
      <c r="J2124" t="s">
        <v>40</v>
      </c>
      <c r="K2124" t="s">
        <v>41</v>
      </c>
      <c r="L2124" t="s">
        <v>173</v>
      </c>
      <c r="N2124" t="s">
        <v>43</v>
      </c>
      <c r="O2124" t="s">
        <v>139</v>
      </c>
      <c r="P2124">
        <v>318</v>
      </c>
      <c r="Q2124">
        <v>318</v>
      </c>
      <c r="S2124" t="s">
        <v>39</v>
      </c>
      <c r="V2124" t="s">
        <v>39</v>
      </c>
      <c r="X2124">
        <v>10001</v>
      </c>
      <c r="Y2124" t="s">
        <v>47</v>
      </c>
      <c r="Z2124">
        <v>10</v>
      </c>
      <c r="AA2124">
        <v>221</v>
      </c>
      <c r="AB2124" t="s">
        <v>47</v>
      </c>
      <c r="AC2124">
        <v>0.22</v>
      </c>
      <c r="AD2124">
        <v>180</v>
      </c>
      <c r="AE2124" t="s">
        <v>56</v>
      </c>
      <c r="AF2124">
        <v>0.17899999999999999</v>
      </c>
      <c r="AG2124">
        <v>2</v>
      </c>
      <c r="AH2124" t="s">
        <v>103</v>
      </c>
      <c r="AI2124">
        <v>1E-3</v>
      </c>
      <c r="AJ2124" t="s">
        <v>1155</v>
      </c>
    </row>
    <row r="2125" spans="1:36" x14ac:dyDescent="0.25">
      <c r="A2125" t="s">
        <v>435</v>
      </c>
      <c r="B2125">
        <v>855327972</v>
      </c>
      <c r="C2125" t="s">
        <v>436</v>
      </c>
      <c r="D2125" t="s">
        <v>436</v>
      </c>
      <c r="E2125" t="s">
        <v>99</v>
      </c>
      <c r="F2125" t="s">
        <v>100</v>
      </c>
      <c r="I2125" t="s">
        <v>39</v>
      </c>
      <c r="J2125" t="s">
        <v>40</v>
      </c>
      <c r="K2125" t="s">
        <v>41</v>
      </c>
      <c r="L2125" t="s">
        <v>248</v>
      </c>
      <c r="M2125" t="s">
        <v>335</v>
      </c>
      <c r="N2125" t="s">
        <v>43</v>
      </c>
      <c r="O2125" t="s">
        <v>38</v>
      </c>
      <c r="P2125">
        <v>320</v>
      </c>
      <c r="Q2125">
        <v>320</v>
      </c>
      <c r="R2125">
        <v>31</v>
      </c>
      <c r="S2125" t="s">
        <v>45</v>
      </c>
      <c r="T2125">
        <v>0.03</v>
      </c>
      <c r="U2125">
        <v>747</v>
      </c>
      <c r="V2125" t="s">
        <v>113</v>
      </c>
      <c r="W2125">
        <v>0.746</v>
      </c>
      <c r="X2125">
        <v>22001</v>
      </c>
      <c r="Y2125" t="s">
        <v>47</v>
      </c>
      <c r="Z2125">
        <v>22</v>
      </c>
      <c r="AA2125">
        <v>406</v>
      </c>
      <c r="AB2125" t="s">
        <v>47</v>
      </c>
      <c r="AC2125">
        <v>0.40500000000000003</v>
      </c>
      <c r="AD2125">
        <v>596</v>
      </c>
      <c r="AE2125" t="s">
        <v>48</v>
      </c>
      <c r="AF2125">
        <v>0.59499999999999997</v>
      </c>
      <c r="AG2125">
        <v>687</v>
      </c>
      <c r="AH2125" t="s">
        <v>49</v>
      </c>
      <c r="AI2125">
        <v>0.68600000000000005</v>
      </c>
      <c r="AJ2125" t="s">
        <v>50</v>
      </c>
    </row>
    <row r="2126" spans="1:36" x14ac:dyDescent="0.25">
      <c r="A2126" t="s">
        <v>435</v>
      </c>
      <c r="B2126">
        <v>855327972</v>
      </c>
      <c r="C2126" t="s">
        <v>436</v>
      </c>
      <c r="D2126" t="s">
        <v>436</v>
      </c>
      <c r="E2126" t="s">
        <v>65</v>
      </c>
      <c r="F2126" t="s">
        <v>100</v>
      </c>
      <c r="I2126" t="s">
        <v>39</v>
      </c>
      <c r="J2126" t="s">
        <v>40</v>
      </c>
      <c r="K2126" t="s">
        <v>41</v>
      </c>
      <c r="L2126" t="s">
        <v>248</v>
      </c>
      <c r="M2126" t="s">
        <v>335</v>
      </c>
      <c r="N2126" t="s">
        <v>43</v>
      </c>
      <c r="O2126" t="s">
        <v>68</v>
      </c>
      <c r="P2126">
        <v>320</v>
      </c>
      <c r="Q2126">
        <v>320</v>
      </c>
      <c r="R2126">
        <v>1</v>
      </c>
      <c r="S2126" t="s">
        <v>45</v>
      </c>
      <c r="T2126">
        <v>0</v>
      </c>
      <c r="U2126">
        <v>998</v>
      </c>
      <c r="V2126" t="s">
        <v>46</v>
      </c>
      <c r="W2126">
        <v>0.997</v>
      </c>
      <c r="X2126">
        <v>23001</v>
      </c>
      <c r="Y2126" t="s">
        <v>47</v>
      </c>
      <c r="Z2126">
        <v>23</v>
      </c>
      <c r="AA2126">
        <v>578</v>
      </c>
      <c r="AB2126" t="s">
        <v>75</v>
      </c>
      <c r="AC2126">
        <v>0.57699999999999996</v>
      </c>
      <c r="AD2126">
        <v>765</v>
      </c>
      <c r="AE2126" t="s">
        <v>48</v>
      </c>
      <c r="AF2126">
        <v>0.76400000000000001</v>
      </c>
      <c r="AG2126">
        <v>905</v>
      </c>
      <c r="AH2126" t="s">
        <v>49</v>
      </c>
      <c r="AI2126">
        <v>0.90400000000000003</v>
      </c>
      <c r="AJ2126" t="s">
        <v>50</v>
      </c>
    </row>
    <row r="2127" spans="1:36" x14ac:dyDescent="0.25">
      <c r="A2127" t="s">
        <v>435</v>
      </c>
      <c r="B2127">
        <v>855327972</v>
      </c>
      <c r="C2127" t="s">
        <v>436</v>
      </c>
      <c r="D2127" t="s">
        <v>436</v>
      </c>
      <c r="E2127" t="s">
        <v>99</v>
      </c>
      <c r="F2127" t="s">
        <v>100</v>
      </c>
      <c r="I2127" t="s">
        <v>39</v>
      </c>
      <c r="J2127" t="s">
        <v>40</v>
      </c>
      <c r="K2127" t="s">
        <v>41</v>
      </c>
      <c r="L2127" t="s">
        <v>248</v>
      </c>
      <c r="M2127" t="s">
        <v>335</v>
      </c>
      <c r="N2127" t="s">
        <v>43</v>
      </c>
      <c r="O2127" t="s">
        <v>38</v>
      </c>
      <c r="P2127">
        <v>320</v>
      </c>
      <c r="Q2127">
        <v>320</v>
      </c>
      <c r="R2127">
        <v>21</v>
      </c>
      <c r="S2127" t="s">
        <v>45</v>
      </c>
      <c r="T2127">
        <v>0.02</v>
      </c>
      <c r="U2127">
        <v>111</v>
      </c>
      <c r="V2127" t="s">
        <v>55</v>
      </c>
      <c r="W2127">
        <v>0.11</v>
      </c>
      <c r="X2127">
        <v>22001</v>
      </c>
      <c r="Y2127" t="s">
        <v>47</v>
      </c>
      <c r="Z2127">
        <v>22</v>
      </c>
      <c r="AA2127">
        <v>406</v>
      </c>
      <c r="AB2127" t="s">
        <v>47</v>
      </c>
      <c r="AC2127">
        <v>0.40500000000000003</v>
      </c>
      <c r="AD2127">
        <v>596</v>
      </c>
      <c r="AE2127" t="s">
        <v>48</v>
      </c>
      <c r="AF2127">
        <v>0.59499999999999997</v>
      </c>
      <c r="AG2127">
        <v>687</v>
      </c>
      <c r="AH2127" t="s">
        <v>49</v>
      </c>
      <c r="AI2127">
        <v>0.68600000000000005</v>
      </c>
      <c r="AJ2127" t="s">
        <v>1141</v>
      </c>
    </row>
    <row r="2128" spans="1:36" x14ac:dyDescent="0.25">
      <c r="A2128" t="s">
        <v>435</v>
      </c>
      <c r="B2128">
        <v>855327972</v>
      </c>
      <c r="C2128" t="s">
        <v>436</v>
      </c>
      <c r="D2128" t="s">
        <v>436</v>
      </c>
      <c r="E2128" t="s">
        <v>65</v>
      </c>
      <c r="F2128" t="s">
        <v>100</v>
      </c>
      <c r="I2128" t="s">
        <v>39</v>
      </c>
      <c r="J2128" t="s">
        <v>40</v>
      </c>
      <c r="K2128" t="s">
        <v>41</v>
      </c>
      <c r="L2128" t="s">
        <v>248</v>
      </c>
      <c r="M2128" t="s">
        <v>335</v>
      </c>
      <c r="N2128" t="s">
        <v>43</v>
      </c>
      <c r="O2128" t="s">
        <v>68</v>
      </c>
      <c r="P2128">
        <v>320</v>
      </c>
      <c r="Q2128">
        <v>320</v>
      </c>
      <c r="R2128">
        <v>1</v>
      </c>
      <c r="S2128" t="s">
        <v>45</v>
      </c>
      <c r="T2128">
        <v>0</v>
      </c>
      <c r="U2128">
        <v>989</v>
      </c>
      <c r="V2128" t="s">
        <v>46</v>
      </c>
      <c r="W2128">
        <v>0.98799999999999999</v>
      </c>
      <c r="X2128">
        <v>23001</v>
      </c>
      <c r="Y2128" t="s">
        <v>47</v>
      </c>
      <c r="Z2128">
        <v>23</v>
      </c>
      <c r="AA2128">
        <v>578</v>
      </c>
      <c r="AB2128" t="s">
        <v>75</v>
      </c>
      <c r="AC2128">
        <v>0.57699999999999996</v>
      </c>
      <c r="AD2128">
        <v>765</v>
      </c>
      <c r="AE2128" t="s">
        <v>48</v>
      </c>
      <c r="AF2128">
        <v>0.76400000000000001</v>
      </c>
      <c r="AG2128">
        <v>905</v>
      </c>
      <c r="AH2128" t="s">
        <v>49</v>
      </c>
      <c r="AI2128">
        <v>0.90400000000000003</v>
      </c>
      <c r="AJ2128" t="s">
        <v>1141</v>
      </c>
    </row>
    <row r="2129" spans="1:36" x14ac:dyDescent="0.25">
      <c r="A2129" t="s">
        <v>435</v>
      </c>
      <c r="B2129">
        <v>855327972</v>
      </c>
      <c r="C2129" t="s">
        <v>436</v>
      </c>
      <c r="D2129" t="s">
        <v>436</v>
      </c>
      <c r="E2129" t="s">
        <v>99</v>
      </c>
      <c r="F2129" t="s">
        <v>100</v>
      </c>
      <c r="I2129" t="s">
        <v>39</v>
      </c>
      <c r="J2129" t="s">
        <v>40</v>
      </c>
      <c r="K2129" t="s">
        <v>41</v>
      </c>
      <c r="L2129" t="s">
        <v>248</v>
      </c>
      <c r="M2129" t="s">
        <v>335</v>
      </c>
      <c r="N2129" t="s">
        <v>43</v>
      </c>
      <c r="O2129" t="s">
        <v>38</v>
      </c>
      <c r="P2129">
        <v>320</v>
      </c>
      <c r="Q2129">
        <v>320</v>
      </c>
      <c r="R2129">
        <v>31</v>
      </c>
      <c r="S2129" t="s">
        <v>45</v>
      </c>
      <c r="T2129">
        <v>0.03</v>
      </c>
      <c r="U2129">
        <v>747</v>
      </c>
      <c r="V2129" t="s">
        <v>113</v>
      </c>
      <c r="W2129">
        <v>0.746</v>
      </c>
      <c r="X2129">
        <v>22001</v>
      </c>
      <c r="Y2129" t="s">
        <v>47</v>
      </c>
      <c r="Z2129">
        <v>22</v>
      </c>
      <c r="AA2129">
        <v>406</v>
      </c>
      <c r="AB2129" t="s">
        <v>47</v>
      </c>
      <c r="AC2129">
        <v>0.40500000000000003</v>
      </c>
      <c r="AD2129">
        <v>596</v>
      </c>
      <c r="AE2129" t="s">
        <v>48</v>
      </c>
      <c r="AF2129">
        <v>0.59499999999999997</v>
      </c>
      <c r="AG2129">
        <v>687</v>
      </c>
      <c r="AH2129" t="s">
        <v>49</v>
      </c>
      <c r="AI2129">
        <v>0.68600000000000005</v>
      </c>
      <c r="AJ2129" t="s">
        <v>1153</v>
      </c>
    </row>
    <row r="2130" spans="1:36" x14ac:dyDescent="0.25">
      <c r="A2130" t="s">
        <v>435</v>
      </c>
      <c r="B2130">
        <v>855327972</v>
      </c>
      <c r="C2130" t="s">
        <v>436</v>
      </c>
      <c r="D2130" t="s">
        <v>436</v>
      </c>
      <c r="E2130" t="s">
        <v>65</v>
      </c>
      <c r="F2130" t="s">
        <v>100</v>
      </c>
      <c r="I2130" t="s">
        <v>39</v>
      </c>
      <c r="J2130" t="s">
        <v>40</v>
      </c>
      <c r="K2130" t="s">
        <v>41</v>
      </c>
      <c r="L2130" t="s">
        <v>248</v>
      </c>
      <c r="M2130" t="s">
        <v>335</v>
      </c>
      <c r="N2130" t="s">
        <v>43</v>
      </c>
      <c r="O2130" t="s">
        <v>68</v>
      </c>
      <c r="P2130">
        <v>320</v>
      </c>
      <c r="Q2130">
        <v>320</v>
      </c>
      <c r="R2130">
        <v>1</v>
      </c>
      <c r="S2130" t="s">
        <v>45</v>
      </c>
      <c r="T2130">
        <v>0</v>
      </c>
      <c r="U2130">
        <v>998</v>
      </c>
      <c r="V2130" t="s">
        <v>46</v>
      </c>
      <c r="W2130">
        <v>0.997</v>
      </c>
      <c r="X2130">
        <v>23001</v>
      </c>
      <c r="Y2130" t="s">
        <v>47</v>
      </c>
      <c r="Z2130">
        <v>23</v>
      </c>
      <c r="AA2130">
        <v>578</v>
      </c>
      <c r="AB2130" t="s">
        <v>75</v>
      </c>
      <c r="AC2130">
        <v>0.57699999999999996</v>
      </c>
      <c r="AD2130">
        <v>765</v>
      </c>
      <c r="AE2130" t="s">
        <v>48</v>
      </c>
      <c r="AF2130">
        <v>0.76400000000000001</v>
      </c>
      <c r="AG2130">
        <v>905</v>
      </c>
      <c r="AH2130" t="s">
        <v>49</v>
      </c>
      <c r="AI2130">
        <v>0.90400000000000003</v>
      </c>
      <c r="AJ2130" t="s">
        <v>1153</v>
      </c>
    </row>
    <row r="2131" spans="1:36" x14ac:dyDescent="0.25">
      <c r="A2131" t="s">
        <v>435</v>
      </c>
      <c r="B2131">
        <v>855327972</v>
      </c>
      <c r="C2131" t="s">
        <v>436</v>
      </c>
      <c r="D2131" t="s">
        <v>436</v>
      </c>
      <c r="E2131" t="s">
        <v>99</v>
      </c>
      <c r="F2131" t="s">
        <v>100</v>
      </c>
      <c r="I2131" t="s">
        <v>39</v>
      </c>
      <c r="J2131" t="s">
        <v>40</v>
      </c>
      <c r="K2131" t="s">
        <v>41</v>
      </c>
      <c r="L2131" t="s">
        <v>248</v>
      </c>
      <c r="M2131" t="s">
        <v>335</v>
      </c>
      <c r="N2131" t="s">
        <v>43</v>
      </c>
      <c r="O2131" t="s">
        <v>38</v>
      </c>
      <c r="P2131">
        <v>320</v>
      </c>
      <c r="Q2131">
        <v>320</v>
      </c>
      <c r="R2131">
        <v>31</v>
      </c>
      <c r="S2131" t="s">
        <v>45</v>
      </c>
      <c r="T2131">
        <v>0.03</v>
      </c>
      <c r="U2131">
        <v>747</v>
      </c>
      <c r="V2131" t="s">
        <v>113</v>
      </c>
      <c r="W2131">
        <v>0.746</v>
      </c>
      <c r="X2131">
        <v>22001</v>
      </c>
      <c r="Y2131" t="s">
        <v>47</v>
      </c>
      <c r="Z2131">
        <v>22</v>
      </c>
      <c r="AA2131">
        <v>406</v>
      </c>
      <c r="AB2131" t="s">
        <v>47</v>
      </c>
      <c r="AC2131">
        <v>0.40500000000000003</v>
      </c>
      <c r="AD2131">
        <v>596</v>
      </c>
      <c r="AE2131" t="s">
        <v>48</v>
      </c>
      <c r="AF2131">
        <v>0.59499999999999997</v>
      </c>
      <c r="AG2131">
        <v>687</v>
      </c>
      <c r="AH2131" t="s">
        <v>49</v>
      </c>
      <c r="AI2131">
        <v>0.68600000000000005</v>
      </c>
      <c r="AJ2131" t="s">
        <v>1154</v>
      </c>
    </row>
    <row r="2132" spans="1:36" x14ac:dyDescent="0.25">
      <c r="A2132" t="s">
        <v>435</v>
      </c>
      <c r="B2132">
        <v>855327972</v>
      </c>
      <c r="C2132" t="s">
        <v>436</v>
      </c>
      <c r="D2132" t="s">
        <v>436</v>
      </c>
      <c r="E2132" t="s">
        <v>65</v>
      </c>
      <c r="F2132" t="s">
        <v>100</v>
      </c>
      <c r="I2132" t="s">
        <v>39</v>
      </c>
      <c r="J2132" t="s">
        <v>40</v>
      </c>
      <c r="K2132" t="s">
        <v>41</v>
      </c>
      <c r="L2132" t="s">
        <v>248</v>
      </c>
      <c r="M2132" t="s">
        <v>335</v>
      </c>
      <c r="N2132" t="s">
        <v>43</v>
      </c>
      <c r="O2132" t="s">
        <v>68</v>
      </c>
      <c r="P2132">
        <v>320</v>
      </c>
      <c r="Q2132">
        <v>320</v>
      </c>
      <c r="R2132">
        <v>1</v>
      </c>
      <c r="S2132" t="s">
        <v>45</v>
      </c>
      <c r="T2132">
        <v>0</v>
      </c>
      <c r="U2132">
        <v>998</v>
      </c>
      <c r="V2132" t="s">
        <v>46</v>
      </c>
      <c r="W2132">
        <v>0.997</v>
      </c>
      <c r="X2132">
        <v>23001</v>
      </c>
      <c r="Y2132" t="s">
        <v>47</v>
      </c>
      <c r="Z2132">
        <v>23</v>
      </c>
      <c r="AA2132">
        <v>578</v>
      </c>
      <c r="AB2132" t="s">
        <v>75</v>
      </c>
      <c r="AC2132">
        <v>0.57699999999999996</v>
      </c>
      <c r="AD2132">
        <v>765</v>
      </c>
      <c r="AE2132" t="s">
        <v>48</v>
      </c>
      <c r="AF2132">
        <v>0.76400000000000001</v>
      </c>
      <c r="AG2132">
        <v>905</v>
      </c>
      <c r="AH2132" t="s">
        <v>49</v>
      </c>
      <c r="AI2132">
        <v>0.90400000000000003</v>
      </c>
      <c r="AJ2132" t="s">
        <v>1154</v>
      </c>
    </row>
    <row r="2133" spans="1:36" x14ac:dyDescent="0.25">
      <c r="A2133" t="s">
        <v>435</v>
      </c>
      <c r="B2133">
        <v>855327972</v>
      </c>
      <c r="C2133" t="s">
        <v>436</v>
      </c>
      <c r="D2133" t="s">
        <v>436</v>
      </c>
      <c r="E2133" t="s">
        <v>99</v>
      </c>
      <c r="F2133" t="s">
        <v>100</v>
      </c>
      <c r="I2133" t="s">
        <v>39</v>
      </c>
      <c r="J2133" t="s">
        <v>40</v>
      </c>
      <c r="K2133" t="s">
        <v>41</v>
      </c>
      <c r="L2133" t="s">
        <v>248</v>
      </c>
      <c r="M2133" t="s">
        <v>335</v>
      </c>
      <c r="N2133" t="s">
        <v>43</v>
      </c>
      <c r="O2133" t="s">
        <v>38</v>
      </c>
      <c r="P2133">
        <v>320</v>
      </c>
      <c r="Q2133">
        <v>320</v>
      </c>
      <c r="S2133" t="s">
        <v>39</v>
      </c>
      <c r="V2133" t="s">
        <v>39</v>
      </c>
      <c r="X2133">
        <v>22001</v>
      </c>
      <c r="Y2133" t="s">
        <v>47</v>
      </c>
      <c r="Z2133">
        <v>22</v>
      </c>
      <c r="AA2133">
        <v>406</v>
      </c>
      <c r="AB2133" t="s">
        <v>47</v>
      </c>
      <c r="AC2133">
        <v>0.40500000000000003</v>
      </c>
      <c r="AD2133">
        <v>596</v>
      </c>
      <c r="AE2133" t="s">
        <v>48</v>
      </c>
      <c r="AF2133">
        <v>0.59499999999999997</v>
      </c>
      <c r="AG2133">
        <v>687</v>
      </c>
      <c r="AH2133" t="s">
        <v>49</v>
      </c>
      <c r="AI2133">
        <v>0.68600000000000005</v>
      </c>
      <c r="AJ2133" t="s">
        <v>1155</v>
      </c>
    </row>
    <row r="2134" spans="1:36" x14ac:dyDescent="0.25">
      <c r="A2134" t="s">
        <v>435</v>
      </c>
      <c r="B2134">
        <v>855327972</v>
      </c>
      <c r="C2134" t="s">
        <v>436</v>
      </c>
      <c r="D2134" t="s">
        <v>436</v>
      </c>
      <c r="E2134" t="s">
        <v>65</v>
      </c>
      <c r="F2134" t="s">
        <v>100</v>
      </c>
      <c r="I2134" t="s">
        <v>39</v>
      </c>
      <c r="J2134" t="s">
        <v>40</v>
      </c>
      <c r="K2134" t="s">
        <v>41</v>
      </c>
      <c r="L2134" t="s">
        <v>248</v>
      </c>
      <c r="M2134" t="s">
        <v>335</v>
      </c>
      <c r="N2134" t="s">
        <v>43</v>
      </c>
      <c r="O2134" t="s">
        <v>68</v>
      </c>
      <c r="P2134">
        <v>320</v>
      </c>
      <c r="Q2134">
        <v>320</v>
      </c>
      <c r="S2134" t="s">
        <v>39</v>
      </c>
      <c r="V2134" t="s">
        <v>39</v>
      </c>
      <c r="X2134">
        <v>23001</v>
      </c>
      <c r="Y2134" t="s">
        <v>47</v>
      </c>
      <c r="Z2134">
        <v>23</v>
      </c>
      <c r="AA2134">
        <v>578</v>
      </c>
      <c r="AB2134" t="s">
        <v>75</v>
      </c>
      <c r="AC2134">
        <v>0.57699999999999996</v>
      </c>
      <c r="AD2134">
        <v>765</v>
      </c>
      <c r="AE2134" t="s">
        <v>48</v>
      </c>
      <c r="AF2134">
        <v>0.76400000000000001</v>
      </c>
      <c r="AG2134">
        <v>905</v>
      </c>
      <c r="AH2134" t="s">
        <v>49</v>
      </c>
      <c r="AI2134">
        <v>0.90400000000000003</v>
      </c>
      <c r="AJ2134" t="s">
        <v>1155</v>
      </c>
    </row>
    <row r="2135" spans="1:36" x14ac:dyDescent="0.25">
      <c r="A2135" t="s">
        <v>432</v>
      </c>
      <c r="B2135">
        <v>856233076</v>
      </c>
      <c r="C2135" t="s">
        <v>433</v>
      </c>
      <c r="D2135" t="s">
        <v>433</v>
      </c>
      <c r="E2135" t="s">
        <v>99</v>
      </c>
      <c r="F2135" t="s">
        <v>143</v>
      </c>
      <c r="I2135" t="s">
        <v>39</v>
      </c>
      <c r="J2135" t="s">
        <v>40</v>
      </c>
      <c r="K2135" t="s">
        <v>41</v>
      </c>
      <c r="L2135" t="s">
        <v>67</v>
      </c>
      <c r="N2135" t="s">
        <v>43</v>
      </c>
      <c r="O2135" t="s">
        <v>434</v>
      </c>
      <c r="P2135">
        <v>321</v>
      </c>
      <c r="Q2135">
        <v>321</v>
      </c>
      <c r="R2135">
        <v>1</v>
      </c>
      <c r="S2135" t="s">
        <v>45</v>
      </c>
      <c r="T2135">
        <v>0</v>
      </c>
      <c r="U2135">
        <v>926</v>
      </c>
      <c r="V2135" t="s">
        <v>46</v>
      </c>
      <c r="W2135">
        <v>0.92500000000000004</v>
      </c>
      <c r="X2135">
        <v>24001</v>
      </c>
      <c r="Y2135" t="s">
        <v>47</v>
      </c>
      <c r="Z2135">
        <v>24</v>
      </c>
      <c r="AA2135">
        <v>540</v>
      </c>
      <c r="AB2135" t="s">
        <v>75</v>
      </c>
      <c r="AC2135">
        <v>0.53900000000000003</v>
      </c>
      <c r="AD2135">
        <v>758</v>
      </c>
      <c r="AE2135" t="s">
        <v>48</v>
      </c>
      <c r="AF2135">
        <v>0.75700000000000001</v>
      </c>
      <c r="AG2135">
        <v>874</v>
      </c>
      <c r="AH2135" t="s">
        <v>49</v>
      </c>
      <c r="AI2135">
        <v>0.873</v>
      </c>
      <c r="AJ2135" t="s">
        <v>50</v>
      </c>
    </row>
    <row r="2136" spans="1:36" x14ac:dyDescent="0.25">
      <c r="A2136" t="s">
        <v>432</v>
      </c>
      <c r="B2136">
        <v>856233076</v>
      </c>
      <c r="C2136" t="s">
        <v>433</v>
      </c>
      <c r="D2136" t="s">
        <v>433</v>
      </c>
      <c r="E2136" t="s">
        <v>99</v>
      </c>
      <c r="F2136" t="s">
        <v>143</v>
      </c>
      <c r="I2136" t="s">
        <v>39</v>
      </c>
      <c r="J2136" t="s">
        <v>40</v>
      </c>
      <c r="K2136" t="s">
        <v>41</v>
      </c>
      <c r="L2136" t="s">
        <v>67</v>
      </c>
      <c r="N2136" t="s">
        <v>43</v>
      </c>
      <c r="O2136" t="s">
        <v>434</v>
      </c>
      <c r="P2136">
        <v>321</v>
      </c>
      <c r="Q2136">
        <v>321</v>
      </c>
      <c r="R2136">
        <v>1</v>
      </c>
      <c r="S2136" t="s">
        <v>45</v>
      </c>
      <c r="T2136">
        <v>0</v>
      </c>
      <c r="U2136">
        <v>891</v>
      </c>
      <c r="V2136" t="s">
        <v>113</v>
      </c>
      <c r="W2136">
        <v>0.89</v>
      </c>
      <c r="X2136">
        <v>24001</v>
      </c>
      <c r="Y2136" t="s">
        <v>47</v>
      </c>
      <c r="Z2136">
        <v>24</v>
      </c>
      <c r="AA2136">
        <v>540</v>
      </c>
      <c r="AB2136" t="s">
        <v>75</v>
      </c>
      <c r="AC2136">
        <v>0.53900000000000003</v>
      </c>
      <c r="AD2136">
        <v>758</v>
      </c>
      <c r="AE2136" t="s">
        <v>48</v>
      </c>
      <c r="AF2136">
        <v>0.75700000000000001</v>
      </c>
      <c r="AG2136">
        <v>874</v>
      </c>
      <c r="AH2136" t="s">
        <v>49</v>
      </c>
      <c r="AI2136">
        <v>0.873</v>
      </c>
      <c r="AJ2136" t="s">
        <v>1141</v>
      </c>
    </row>
    <row r="2137" spans="1:36" x14ac:dyDescent="0.25">
      <c r="A2137" t="s">
        <v>432</v>
      </c>
      <c r="B2137">
        <v>856233076</v>
      </c>
      <c r="C2137" t="s">
        <v>433</v>
      </c>
      <c r="D2137" t="s">
        <v>433</v>
      </c>
      <c r="E2137" t="s">
        <v>99</v>
      </c>
      <c r="F2137" t="s">
        <v>143</v>
      </c>
      <c r="I2137" t="s">
        <v>39</v>
      </c>
      <c r="J2137" t="s">
        <v>40</v>
      </c>
      <c r="K2137" t="s">
        <v>41</v>
      </c>
      <c r="L2137" t="s">
        <v>67</v>
      </c>
      <c r="N2137" t="s">
        <v>43</v>
      </c>
      <c r="O2137" t="s">
        <v>434</v>
      </c>
      <c r="P2137">
        <v>321</v>
      </c>
      <c r="Q2137">
        <v>321</v>
      </c>
      <c r="R2137">
        <v>1</v>
      </c>
      <c r="S2137" t="s">
        <v>45</v>
      </c>
      <c r="T2137">
        <v>0</v>
      </c>
      <c r="U2137">
        <v>926</v>
      </c>
      <c r="V2137" t="s">
        <v>46</v>
      </c>
      <c r="W2137">
        <v>0.92500000000000004</v>
      </c>
      <c r="X2137">
        <v>24001</v>
      </c>
      <c r="Y2137" t="s">
        <v>47</v>
      </c>
      <c r="Z2137">
        <v>24</v>
      </c>
      <c r="AA2137">
        <v>540</v>
      </c>
      <c r="AB2137" t="s">
        <v>75</v>
      </c>
      <c r="AC2137">
        <v>0.53900000000000003</v>
      </c>
      <c r="AD2137">
        <v>758</v>
      </c>
      <c r="AE2137" t="s">
        <v>48</v>
      </c>
      <c r="AF2137">
        <v>0.75700000000000001</v>
      </c>
      <c r="AG2137">
        <v>874</v>
      </c>
      <c r="AH2137" t="s">
        <v>49</v>
      </c>
      <c r="AI2137">
        <v>0.873</v>
      </c>
      <c r="AJ2137" t="s">
        <v>1153</v>
      </c>
    </row>
    <row r="2138" spans="1:36" x14ac:dyDescent="0.25">
      <c r="A2138" t="s">
        <v>432</v>
      </c>
      <c r="B2138">
        <v>856233076</v>
      </c>
      <c r="C2138" t="s">
        <v>433</v>
      </c>
      <c r="D2138" t="s">
        <v>433</v>
      </c>
      <c r="E2138" t="s">
        <v>99</v>
      </c>
      <c r="F2138" t="s">
        <v>143</v>
      </c>
      <c r="I2138" t="s">
        <v>39</v>
      </c>
      <c r="J2138" t="s">
        <v>40</v>
      </c>
      <c r="K2138" t="s">
        <v>41</v>
      </c>
      <c r="L2138" t="s">
        <v>67</v>
      </c>
      <c r="N2138" t="s">
        <v>43</v>
      </c>
      <c r="O2138" t="s">
        <v>434</v>
      </c>
      <c r="P2138">
        <v>321</v>
      </c>
      <c r="Q2138">
        <v>321</v>
      </c>
      <c r="R2138">
        <v>1</v>
      </c>
      <c r="S2138" t="s">
        <v>45</v>
      </c>
      <c r="T2138">
        <v>0</v>
      </c>
      <c r="U2138">
        <v>926</v>
      </c>
      <c r="V2138" t="s">
        <v>46</v>
      </c>
      <c r="W2138">
        <v>0.92500000000000004</v>
      </c>
      <c r="X2138">
        <v>24001</v>
      </c>
      <c r="Y2138" t="s">
        <v>47</v>
      </c>
      <c r="Z2138">
        <v>24</v>
      </c>
      <c r="AA2138">
        <v>540</v>
      </c>
      <c r="AB2138" t="s">
        <v>75</v>
      </c>
      <c r="AC2138">
        <v>0.53900000000000003</v>
      </c>
      <c r="AD2138">
        <v>758</v>
      </c>
      <c r="AE2138" t="s">
        <v>48</v>
      </c>
      <c r="AF2138">
        <v>0.75700000000000001</v>
      </c>
      <c r="AG2138">
        <v>874</v>
      </c>
      <c r="AH2138" t="s">
        <v>49</v>
      </c>
      <c r="AI2138">
        <v>0.873</v>
      </c>
      <c r="AJ2138" t="s">
        <v>1154</v>
      </c>
    </row>
    <row r="2139" spans="1:36" x14ac:dyDescent="0.25">
      <c r="A2139" t="s">
        <v>432</v>
      </c>
      <c r="B2139">
        <v>856233076</v>
      </c>
      <c r="C2139" t="s">
        <v>433</v>
      </c>
      <c r="D2139" t="s">
        <v>433</v>
      </c>
      <c r="E2139" t="s">
        <v>99</v>
      </c>
      <c r="F2139" t="s">
        <v>143</v>
      </c>
      <c r="I2139" t="s">
        <v>39</v>
      </c>
      <c r="J2139" t="s">
        <v>40</v>
      </c>
      <c r="K2139" t="s">
        <v>41</v>
      </c>
      <c r="L2139" t="s">
        <v>67</v>
      </c>
      <c r="N2139" t="s">
        <v>43</v>
      </c>
      <c r="O2139" t="s">
        <v>434</v>
      </c>
      <c r="P2139">
        <v>321</v>
      </c>
      <c r="Q2139">
        <v>321</v>
      </c>
      <c r="S2139" t="s">
        <v>39</v>
      </c>
      <c r="V2139" t="s">
        <v>39</v>
      </c>
      <c r="X2139">
        <v>24001</v>
      </c>
      <c r="Y2139" t="s">
        <v>47</v>
      </c>
      <c r="Z2139">
        <v>24</v>
      </c>
      <c r="AA2139">
        <v>540</v>
      </c>
      <c r="AB2139" t="s">
        <v>75</v>
      </c>
      <c r="AC2139">
        <v>0.53900000000000003</v>
      </c>
      <c r="AD2139">
        <v>758</v>
      </c>
      <c r="AE2139" t="s">
        <v>48</v>
      </c>
      <c r="AF2139">
        <v>0.75700000000000001</v>
      </c>
      <c r="AG2139">
        <v>874</v>
      </c>
      <c r="AH2139" t="s">
        <v>49</v>
      </c>
      <c r="AI2139">
        <v>0.873</v>
      </c>
      <c r="AJ2139" t="s">
        <v>1155</v>
      </c>
    </row>
    <row r="2140" spans="1:36" x14ac:dyDescent="0.25">
      <c r="A2140" t="s">
        <v>427</v>
      </c>
      <c r="B2140">
        <v>853117083</v>
      </c>
      <c r="C2140" t="s">
        <v>428</v>
      </c>
      <c r="D2140" t="s">
        <v>428</v>
      </c>
      <c r="E2140" t="s">
        <v>60</v>
      </c>
      <c r="F2140" t="s">
        <v>396</v>
      </c>
      <c r="I2140" t="s">
        <v>39</v>
      </c>
      <c r="J2140" t="s">
        <v>40</v>
      </c>
      <c r="K2140" t="s">
        <v>41</v>
      </c>
      <c r="L2140" t="s">
        <v>429</v>
      </c>
      <c r="M2140" t="s">
        <v>55</v>
      </c>
      <c r="N2140" t="s">
        <v>43</v>
      </c>
      <c r="O2140" t="s">
        <v>283</v>
      </c>
      <c r="P2140">
        <v>322</v>
      </c>
      <c r="Q2140">
        <v>322</v>
      </c>
      <c r="R2140">
        <v>101</v>
      </c>
      <c r="S2140" t="s">
        <v>56</v>
      </c>
      <c r="T2140">
        <v>0.1</v>
      </c>
      <c r="U2140">
        <v>205</v>
      </c>
      <c r="V2140" t="s">
        <v>55</v>
      </c>
      <c r="W2140">
        <v>0.20399999999999999</v>
      </c>
      <c r="X2140">
        <v>7001</v>
      </c>
      <c r="Y2140" t="s">
        <v>47</v>
      </c>
      <c r="Z2140">
        <v>7</v>
      </c>
      <c r="AA2140">
        <v>208</v>
      </c>
      <c r="AB2140" t="s">
        <v>47</v>
      </c>
      <c r="AC2140">
        <v>0.20699999999999999</v>
      </c>
      <c r="AD2140">
        <v>536</v>
      </c>
      <c r="AE2140" t="s">
        <v>48</v>
      </c>
      <c r="AF2140">
        <v>0.53500000000000003</v>
      </c>
      <c r="AG2140">
        <v>367</v>
      </c>
      <c r="AH2140" t="s">
        <v>57</v>
      </c>
      <c r="AI2140">
        <v>0.36599999999999999</v>
      </c>
      <c r="AJ2140" t="s">
        <v>50</v>
      </c>
    </row>
    <row r="2141" spans="1:36" x14ac:dyDescent="0.25">
      <c r="A2141" t="s">
        <v>427</v>
      </c>
      <c r="B2141">
        <v>853117083</v>
      </c>
      <c r="C2141" t="s">
        <v>428</v>
      </c>
      <c r="D2141" t="s">
        <v>428</v>
      </c>
      <c r="E2141" t="s">
        <v>60</v>
      </c>
      <c r="F2141" t="s">
        <v>396</v>
      </c>
      <c r="I2141" t="s">
        <v>39</v>
      </c>
      <c r="J2141" t="s">
        <v>40</v>
      </c>
      <c r="K2141" t="s">
        <v>41</v>
      </c>
      <c r="L2141" t="s">
        <v>429</v>
      </c>
      <c r="M2141" t="s">
        <v>55</v>
      </c>
      <c r="N2141" t="s">
        <v>43</v>
      </c>
      <c r="O2141" t="s">
        <v>283</v>
      </c>
      <c r="P2141">
        <v>322</v>
      </c>
      <c r="Q2141">
        <v>322</v>
      </c>
      <c r="R2141">
        <v>111</v>
      </c>
      <c r="S2141" t="s">
        <v>56</v>
      </c>
      <c r="T2141">
        <v>0.11</v>
      </c>
      <c r="U2141">
        <v>48</v>
      </c>
      <c r="V2141" t="s">
        <v>55</v>
      </c>
      <c r="W2141">
        <v>4.7E-2</v>
      </c>
      <c r="X2141">
        <v>7001</v>
      </c>
      <c r="Y2141" t="s">
        <v>47</v>
      </c>
      <c r="Z2141">
        <v>7</v>
      </c>
      <c r="AA2141">
        <v>208</v>
      </c>
      <c r="AB2141" t="s">
        <v>47</v>
      </c>
      <c r="AC2141">
        <v>0.20699999999999999</v>
      </c>
      <c r="AD2141">
        <v>536</v>
      </c>
      <c r="AE2141" t="s">
        <v>48</v>
      </c>
      <c r="AF2141">
        <v>0.53500000000000003</v>
      </c>
      <c r="AG2141">
        <v>367</v>
      </c>
      <c r="AH2141" t="s">
        <v>57</v>
      </c>
      <c r="AI2141">
        <v>0.36599999999999999</v>
      </c>
      <c r="AJ2141" t="s">
        <v>1141</v>
      </c>
    </row>
    <row r="2142" spans="1:36" x14ac:dyDescent="0.25">
      <c r="A2142" t="s">
        <v>427</v>
      </c>
      <c r="B2142">
        <v>853117083</v>
      </c>
      <c r="C2142" t="s">
        <v>428</v>
      </c>
      <c r="D2142" t="s">
        <v>428</v>
      </c>
      <c r="E2142" t="s">
        <v>60</v>
      </c>
      <c r="F2142" t="s">
        <v>396</v>
      </c>
      <c r="I2142" t="s">
        <v>39</v>
      </c>
      <c r="J2142" t="s">
        <v>40</v>
      </c>
      <c r="K2142" t="s">
        <v>41</v>
      </c>
      <c r="L2142" t="s">
        <v>429</v>
      </c>
      <c r="M2142" t="s">
        <v>55</v>
      </c>
      <c r="N2142" t="s">
        <v>43</v>
      </c>
      <c r="O2142" t="s">
        <v>283</v>
      </c>
      <c r="P2142">
        <v>322</v>
      </c>
      <c r="Q2142">
        <v>322</v>
      </c>
      <c r="R2142">
        <v>101</v>
      </c>
      <c r="S2142" t="s">
        <v>56</v>
      </c>
      <c r="T2142">
        <v>0.1</v>
      </c>
      <c r="U2142">
        <v>205</v>
      </c>
      <c r="V2142" t="s">
        <v>55</v>
      </c>
      <c r="W2142">
        <v>0.20399999999999999</v>
      </c>
      <c r="X2142">
        <v>7001</v>
      </c>
      <c r="Y2142" t="s">
        <v>47</v>
      </c>
      <c r="Z2142">
        <v>7</v>
      </c>
      <c r="AA2142">
        <v>208</v>
      </c>
      <c r="AB2142" t="s">
        <v>47</v>
      </c>
      <c r="AC2142">
        <v>0.20699999999999999</v>
      </c>
      <c r="AD2142">
        <v>536</v>
      </c>
      <c r="AE2142" t="s">
        <v>48</v>
      </c>
      <c r="AF2142">
        <v>0.53500000000000003</v>
      </c>
      <c r="AG2142">
        <v>367</v>
      </c>
      <c r="AH2142" t="s">
        <v>57</v>
      </c>
      <c r="AI2142">
        <v>0.36599999999999999</v>
      </c>
      <c r="AJ2142" t="s">
        <v>1153</v>
      </c>
    </row>
    <row r="2143" spans="1:36" x14ac:dyDescent="0.25">
      <c r="A2143" t="s">
        <v>427</v>
      </c>
      <c r="B2143">
        <v>853117083</v>
      </c>
      <c r="C2143" t="s">
        <v>428</v>
      </c>
      <c r="D2143" t="s">
        <v>428</v>
      </c>
      <c r="E2143" t="s">
        <v>60</v>
      </c>
      <c r="F2143" t="s">
        <v>396</v>
      </c>
      <c r="I2143" t="s">
        <v>39</v>
      </c>
      <c r="J2143" t="s">
        <v>40</v>
      </c>
      <c r="K2143" t="s">
        <v>41</v>
      </c>
      <c r="L2143" t="s">
        <v>429</v>
      </c>
      <c r="M2143" t="s">
        <v>55</v>
      </c>
      <c r="N2143" t="s">
        <v>43</v>
      </c>
      <c r="O2143" t="s">
        <v>283</v>
      </c>
      <c r="P2143">
        <v>322</v>
      </c>
      <c r="Q2143">
        <v>322</v>
      </c>
      <c r="R2143">
        <v>101</v>
      </c>
      <c r="S2143" t="s">
        <v>56</v>
      </c>
      <c r="T2143">
        <v>0.1</v>
      </c>
      <c r="U2143">
        <v>205</v>
      </c>
      <c r="V2143" t="s">
        <v>55</v>
      </c>
      <c r="W2143">
        <v>0.20399999999999999</v>
      </c>
      <c r="X2143">
        <v>7001</v>
      </c>
      <c r="Y2143" t="s">
        <v>47</v>
      </c>
      <c r="Z2143">
        <v>7</v>
      </c>
      <c r="AA2143">
        <v>208</v>
      </c>
      <c r="AB2143" t="s">
        <v>47</v>
      </c>
      <c r="AC2143">
        <v>0.20699999999999999</v>
      </c>
      <c r="AD2143">
        <v>536</v>
      </c>
      <c r="AE2143" t="s">
        <v>48</v>
      </c>
      <c r="AF2143">
        <v>0.53500000000000003</v>
      </c>
      <c r="AG2143">
        <v>367</v>
      </c>
      <c r="AH2143" t="s">
        <v>57</v>
      </c>
      <c r="AI2143">
        <v>0.36599999999999999</v>
      </c>
      <c r="AJ2143" t="s">
        <v>1154</v>
      </c>
    </row>
    <row r="2144" spans="1:36" x14ac:dyDescent="0.25">
      <c r="A2144" t="s">
        <v>427</v>
      </c>
      <c r="B2144">
        <v>853117083</v>
      </c>
      <c r="C2144" t="s">
        <v>428</v>
      </c>
      <c r="D2144" t="s">
        <v>428</v>
      </c>
      <c r="E2144" t="s">
        <v>60</v>
      </c>
      <c r="F2144" t="s">
        <v>396</v>
      </c>
      <c r="I2144" t="s">
        <v>39</v>
      </c>
      <c r="J2144" t="s">
        <v>40</v>
      </c>
      <c r="K2144" t="s">
        <v>41</v>
      </c>
      <c r="L2144" t="s">
        <v>429</v>
      </c>
      <c r="M2144" t="s">
        <v>55</v>
      </c>
      <c r="N2144" t="s">
        <v>43</v>
      </c>
      <c r="O2144" t="s">
        <v>283</v>
      </c>
      <c r="P2144">
        <v>322</v>
      </c>
      <c r="Q2144">
        <v>322</v>
      </c>
      <c r="S2144" t="s">
        <v>39</v>
      </c>
      <c r="V2144" t="s">
        <v>39</v>
      </c>
      <c r="X2144">
        <v>7001</v>
      </c>
      <c r="Y2144" t="s">
        <v>47</v>
      </c>
      <c r="Z2144">
        <v>7</v>
      </c>
      <c r="AA2144">
        <v>208</v>
      </c>
      <c r="AB2144" t="s">
        <v>47</v>
      </c>
      <c r="AC2144">
        <v>0.20699999999999999</v>
      </c>
      <c r="AD2144">
        <v>536</v>
      </c>
      <c r="AE2144" t="s">
        <v>48</v>
      </c>
      <c r="AF2144">
        <v>0.53500000000000003</v>
      </c>
      <c r="AG2144">
        <v>367</v>
      </c>
      <c r="AH2144" t="s">
        <v>57</v>
      </c>
      <c r="AI2144">
        <v>0.36599999999999999</v>
      </c>
      <c r="AJ2144" t="s">
        <v>1155</v>
      </c>
    </row>
    <row r="2145" spans="1:36" x14ac:dyDescent="0.25">
      <c r="A2145" t="s">
        <v>430</v>
      </c>
      <c r="B2145">
        <v>851975530</v>
      </c>
      <c r="C2145" t="s">
        <v>431</v>
      </c>
      <c r="D2145" t="s">
        <v>431</v>
      </c>
      <c r="E2145" t="s">
        <v>37</v>
      </c>
      <c r="F2145" t="s">
        <v>191</v>
      </c>
      <c r="I2145" t="s">
        <v>39</v>
      </c>
      <c r="J2145" t="s">
        <v>40</v>
      </c>
      <c r="K2145" t="s">
        <v>41</v>
      </c>
      <c r="L2145" t="s">
        <v>94</v>
      </c>
      <c r="M2145" t="s">
        <v>55</v>
      </c>
      <c r="N2145" t="s">
        <v>43</v>
      </c>
      <c r="O2145" t="s">
        <v>293</v>
      </c>
      <c r="P2145">
        <v>322</v>
      </c>
      <c r="Q2145">
        <v>322</v>
      </c>
      <c r="R2145">
        <v>1</v>
      </c>
      <c r="S2145" t="s">
        <v>45</v>
      </c>
      <c r="T2145">
        <v>0</v>
      </c>
      <c r="U2145">
        <v>989</v>
      </c>
      <c r="V2145" t="s">
        <v>46</v>
      </c>
      <c r="W2145">
        <v>0.98799999999999999</v>
      </c>
      <c r="X2145">
        <v>19001</v>
      </c>
      <c r="Y2145" t="s">
        <v>47</v>
      </c>
      <c r="Z2145">
        <v>19</v>
      </c>
      <c r="AA2145">
        <v>465</v>
      </c>
      <c r="AB2145" t="s">
        <v>47</v>
      </c>
      <c r="AC2145">
        <v>0.46400000000000002</v>
      </c>
      <c r="AD2145">
        <v>839</v>
      </c>
      <c r="AE2145" t="s">
        <v>48</v>
      </c>
      <c r="AF2145">
        <v>0.83799999999999997</v>
      </c>
      <c r="AG2145">
        <v>920</v>
      </c>
      <c r="AH2145" t="s">
        <v>49</v>
      </c>
      <c r="AI2145">
        <v>0.91900000000000004</v>
      </c>
      <c r="AJ2145" t="s">
        <v>50</v>
      </c>
    </row>
    <row r="2146" spans="1:36" x14ac:dyDescent="0.25">
      <c r="A2146" t="s">
        <v>430</v>
      </c>
      <c r="B2146">
        <v>851975530</v>
      </c>
      <c r="C2146" t="s">
        <v>431</v>
      </c>
      <c r="D2146" t="s">
        <v>431</v>
      </c>
      <c r="E2146" t="s">
        <v>60</v>
      </c>
      <c r="F2146" t="s">
        <v>191</v>
      </c>
      <c r="I2146" t="s">
        <v>39</v>
      </c>
      <c r="J2146" t="s">
        <v>40</v>
      </c>
      <c r="K2146" t="s">
        <v>41</v>
      </c>
      <c r="L2146" t="s">
        <v>94</v>
      </c>
      <c r="M2146" t="s">
        <v>55</v>
      </c>
      <c r="N2146" t="s">
        <v>43</v>
      </c>
      <c r="O2146" t="s">
        <v>295</v>
      </c>
      <c r="P2146">
        <v>322</v>
      </c>
      <c r="Q2146">
        <v>322</v>
      </c>
      <c r="R2146">
        <v>71</v>
      </c>
      <c r="S2146" t="s">
        <v>56</v>
      </c>
      <c r="T2146">
        <v>7.0000000000000007E-2</v>
      </c>
      <c r="U2146">
        <v>152</v>
      </c>
      <c r="V2146" t="s">
        <v>55</v>
      </c>
      <c r="W2146">
        <v>0.151</v>
      </c>
      <c r="X2146">
        <v>12001</v>
      </c>
      <c r="Y2146" t="s">
        <v>47</v>
      </c>
      <c r="Z2146">
        <v>12</v>
      </c>
      <c r="AA2146">
        <v>157</v>
      </c>
      <c r="AB2146" t="s">
        <v>47</v>
      </c>
      <c r="AC2146">
        <v>0.156</v>
      </c>
      <c r="AD2146">
        <v>534</v>
      </c>
      <c r="AE2146" t="s">
        <v>48</v>
      </c>
      <c r="AF2146">
        <v>0.53300000000000003</v>
      </c>
      <c r="AG2146">
        <v>530</v>
      </c>
      <c r="AH2146" t="s">
        <v>49</v>
      </c>
      <c r="AI2146">
        <v>0.52900000000000003</v>
      </c>
      <c r="AJ2146" t="s">
        <v>50</v>
      </c>
    </row>
    <row r="2147" spans="1:36" x14ac:dyDescent="0.25">
      <c r="A2147" t="s">
        <v>430</v>
      </c>
      <c r="B2147">
        <v>851975530</v>
      </c>
      <c r="C2147" t="s">
        <v>431</v>
      </c>
      <c r="D2147" t="s">
        <v>431</v>
      </c>
      <c r="E2147" t="s">
        <v>37</v>
      </c>
      <c r="F2147" t="s">
        <v>191</v>
      </c>
      <c r="I2147" t="s">
        <v>39</v>
      </c>
      <c r="J2147" t="s">
        <v>40</v>
      </c>
      <c r="K2147" t="s">
        <v>41</v>
      </c>
      <c r="L2147" t="s">
        <v>94</v>
      </c>
      <c r="M2147" t="s">
        <v>55</v>
      </c>
      <c r="N2147" t="s">
        <v>43</v>
      </c>
      <c r="O2147" t="s">
        <v>293</v>
      </c>
      <c r="P2147">
        <v>322</v>
      </c>
      <c r="Q2147">
        <v>322</v>
      </c>
      <c r="R2147">
        <v>1</v>
      </c>
      <c r="S2147" t="s">
        <v>45</v>
      </c>
      <c r="T2147">
        <v>0</v>
      </c>
      <c r="U2147">
        <v>800</v>
      </c>
      <c r="V2147" t="s">
        <v>113</v>
      </c>
      <c r="W2147">
        <v>0.79900000000000004</v>
      </c>
      <c r="X2147">
        <v>19001</v>
      </c>
      <c r="Y2147" t="s">
        <v>47</v>
      </c>
      <c r="Z2147">
        <v>19</v>
      </c>
      <c r="AA2147">
        <v>465</v>
      </c>
      <c r="AB2147" t="s">
        <v>47</v>
      </c>
      <c r="AC2147">
        <v>0.46400000000000002</v>
      </c>
      <c r="AD2147">
        <v>839</v>
      </c>
      <c r="AE2147" t="s">
        <v>48</v>
      </c>
      <c r="AF2147">
        <v>0.83799999999999997</v>
      </c>
      <c r="AG2147">
        <v>920</v>
      </c>
      <c r="AH2147" t="s">
        <v>49</v>
      </c>
      <c r="AI2147">
        <v>0.91900000000000004</v>
      </c>
      <c r="AJ2147" t="s">
        <v>1141</v>
      </c>
    </row>
    <row r="2148" spans="1:36" x14ac:dyDescent="0.25">
      <c r="A2148" t="s">
        <v>430</v>
      </c>
      <c r="B2148">
        <v>851975530</v>
      </c>
      <c r="C2148" t="s">
        <v>431</v>
      </c>
      <c r="D2148" t="s">
        <v>431</v>
      </c>
      <c r="E2148" t="s">
        <v>60</v>
      </c>
      <c r="F2148" t="s">
        <v>191</v>
      </c>
      <c r="I2148" t="s">
        <v>39</v>
      </c>
      <c r="J2148" t="s">
        <v>40</v>
      </c>
      <c r="K2148" t="s">
        <v>41</v>
      </c>
      <c r="L2148" t="s">
        <v>94</v>
      </c>
      <c r="M2148" t="s">
        <v>55</v>
      </c>
      <c r="N2148" t="s">
        <v>43</v>
      </c>
      <c r="O2148" t="s">
        <v>295</v>
      </c>
      <c r="P2148">
        <v>322</v>
      </c>
      <c r="Q2148">
        <v>322</v>
      </c>
      <c r="R2148">
        <v>101</v>
      </c>
      <c r="S2148" t="s">
        <v>56</v>
      </c>
      <c r="T2148">
        <v>0.1</v>
      </c>
      <c r="U2148">
        <v>50</v>
      </c>
      <c r="V2148" t="s">
        <v>55</v>
      </c>
      <c r="W2148">
        <v>4.9000000000000002E-2</v>
      </c>
      <c r="X2148">
        <v>12001</v>
      </c>
      <c r="Y2148" t="s">
        <v>47</v>
      </c>
      <c r="Z2148">
        <v>12</v>
      </c>
      <c r="AA2148">
        <v>157</v>
      </c>
      <c r="AB2148" t="s">
        <v>47</v>
      </c>
      <c r="AC2148">
        <v>0.156</v>
      </c>
      <c r="AD2148">
        <v>534</v>
      </c>
      <c r="AE2148" t="s">
        <v>48</v>
      </c>
      <c r="AF2148">
        <v>0.53300000000000003</v>
      </c>
      <c r="AG2148">
        <v>530</v>
      </c>
      <c r="AH2148" t="s">
        <v>49</v>
      </c>
      <c r="AI2148">
        <v>0.52900000000000003</v>
      </c>
      <c r="AJ2148" t="s">
        <v>1141</v>
      </c>
    </row>
    <row r="2149" spans="1:36" x14ac:dyDescent="0.25">
      <c r="A2149" t="s">
        <v>430</v>
      </c>
      <c r="B2149">
        <v>851975530</v>
      </c>
      <c r="C2149" t="s">
        <v>431</v>
      </c>
      <c r="D2149" t="s">
        <v>431</v>
      </c>
      <c r="E2149" t="s">
        <v>37</v>
      </c>
      <c r="F2149" t="s">
        <v>191</v>
      </c>
      <c r="I2149" t="s">
        <v>39</v>
      </c>
      <c r="J2149" t="s">
        <v>40</v>
      </c>
      <c r="K2149" t="s">
        <v>41</v>
      </c>
      <c r="L2149" t="s">
        <v>94</v>
      </c>
      <c r="M2149" t="s">
        <v>55</v>
      </c>
      <c r="N2149" t="s">
        <v>43</v>
      </c>
      <c r="O2149" t="s">
        <v>293</v>
      </c>
      <c r="P2149">
        <v>322</v>
      </c>
      <c r="Q2149">
        <v>322</v>
      </c>
      <c r="R2149">
        <v>1</v>
      </c>
      <c r="S2149" t="s">
        <v>45</v>
      </c>
      <c r="T2149">
        <v>0</v>
      </c>
      <c r="U2149">
        <v>989</v>
      </c>
      <c r="V2149" t="s">
        <v>46</v>
      </c>
      <c r="W2149">
        <v>0.98799999999999999</v>
      </c>
      <c r="X2149">
        <v>19001</v>
      </c>
      <c r="Y2149" t="s">
        <v>47</v>
      </c>
      <c r="Z2149">
        <v>19</v>
      </c>
      <c r="AA2149">
        <v>465</v>
      </c>
      <c r="AB2149" t="s">
        <v>47</v>
      </c>
      <c r="AC2149">
        <v>0.46400000000000002</v>
      </c>
      <c r="AD2149">
        <v>839</v>
      </c>
      <c r="AE2149" t="s">
        <v>48</v>
      </c>
      <c r="AF2149">
        <v>0.83799999999999997</v>
      </c>
      <c r="AG2149">
        <v>920</v>
      </c>
      <c r="AH2149" t="s">
        <v>49</v>
      </c>
      <c r="AI2149">
        <v>0.91900000000000004</v>
      </c>
      <c r="AJ2149" t="s">
        <v>1153</v>
      </c>
    </row>
    <row r="2150" spans="1:36" x14ac:dyDescent="0.25">
      <c r="A2150" t="s">
        <v>430</v>
      </c>
      <c r="B2150">
        <v>851975530</v>
      </c>
      <c r="C2150" t="s">
        <v>431</v>
      </c>
      <c r="D2150" t="s">
        <v>431</v>
      </c>
      <c r="E2150" t="s">
        <v>60</v>
      </c>
      <c r="F2150" t="s">
        <v>191</v>
      </c>
      <c r="I2150" t="s">
        <v>39</v>
      </c>
      <c r="J2150" t="s">
        <v>40</v>
      </c>
      <c r="K2150" t="s">
        <v>41</v>
      </c>
      <c r="L2150" t="s">
        <v>94</v>
      </c>
      <c r="M2150" t="s">
        <v>55</v>
      </c>
      <c r="N2150" t="s">
        <v>43</v>
      </c>
      <c r="O2150" t="s">
        <v>295</v>
      </c>
      <c r="P2150">
        <v>322</v>
      </c>
      <c r="Q2150">
        <v>322</v>
      </c>
      <c r="R2150">
        <v>71</v>
      </c>
      <c r="S2150" t="s">
        <v>56</v>
      </c>
      <c r="T2150">
        <v>7.0000000000000007E-2</v>
      </c>
      <c r="U2150">
        <v>152</v>
      </c>
      <c r="V2150" t="s">
        <v>55</v>
      </c>
      <c r="W2150">
        <v>0.151</v>
      </c>
      <c r="X2150">
        <v>12001</v>
      </c>
      <c r="Y2150" t="s">
        <v>47</v>
      </c>
      <c r="Z2150">
        <v>12</v>
      </c>
      <c r="AA2150">
        <v>157</v>
      </c>
      <c r="AB2150" t="s">
        <v>47</v>
      </c>
      <c r="AC2150">
        <v>0.156</v>
      </c>
      <c r="AD2150">
        <v>534</v>
      </c>
      <c r="AE2150" t="s">
        <v>48</v>
      </c>
      <c r="AF2150">
        <v>0.53300000000000003</v>
      </c>
      <c r="AG2150">
        <v>530</v>
      </c>
      <c r="AH2150" t="s">
        <v>49</v>
      </c>
      <c r="AI2150">
        <v>0.52900000000000003</v>
      </c>
      <c r="AJ2150" t="s">
        <v>1153</v>
      </c>
    </row>
    <row r="2151" spans="1:36" x14ac:dyDescent="0.25">
      <c r="A2151" t="s">
        <v>430</v>
      </c>
      <c r="B2151">
        <v>851975530</v>
      </c>
      <c r="C2151" t="s">
        <v>431</v>
      </c>
      <c r="D2151" t="s">
        <v>431</v>
      </c>
      <c r="E2151" t="s">
        <v>37</v>
      </c>
      <c r="F2151" t="s">
        <v>191</v>
      </c>
      <c r="I2151" t="s">
        <v>39</v>
      </c>
      <c r="J2151" t="s">
        <v>40</v>
      </c>
      <c r="K2151" t="s">
        <v>41</v>
      </c>
      <c r="L2151" t="s">
        <v>94</v>
      </c>
      <c r="M2151" t="s">
        <v>55</v>
      </c>
      <c r="N2151" t="s">
        <v>43</v>
      </c>
      <c r="O2151" t="s">
        <v>293</v>
      </c>
      <c r="P2151">
        <v>322</v>
      </c>
      <c r="Q2151">
        <v>322</v>
      </c>
      <c r="R2151">
        <v>1</v>
      </c>
      <c r="S2151" t="s">
        <v>45</v>
      </c>
      <c r="T2151">
        <v>0</v>
      </c>
      <c r="U2151">
        <v>989</v>
      </c>
      <c r="V2151" t="s">
        <v>46</v>
      </c>
      <c r="W2151">
        <v>0.98799999999999999</v>
      </c>
      <c r="X2151">
        <v>19001</v>
      </c>
      <c r="Y2151" t="s">
        <v>47</v>
      </c>
      <c r="Z2151">
        <v>19</v>
      </c>
      <c r="AA2151">
        <v>465</v>
      </c>
      <c r="AB2151" t="s">
        <v>47</v>
      </c>
      <c r="AC2151">
        <v>0.46400000000000002</v>
      </c>
      <c r="AD2151">
        <v>839</v>
      </c>
      <c r="AE2151" t="s">
        <v>48</v>
      </c>
      <c r="AF2151">
        <v>0.83799999999999997</v>
      </c>
      <c r="AG2151">
        <v>920</v>
      </c>
      <c r="AH2151" t="s">
        <v>49</v>
      </c>
      <c r="AI2151">
        <v>0.91900000000000004</v>
      </c>
      <c r="AJ2151" t="s">
        <v>1154</v>
      </c>
    </row>
    <row r="2152" spans="1:36" x14ac:dyDescent="0.25">
      <c r="A2152" t="s">
        <v>430</v>
      </c>
      <c r="B2152">
        <v>851975530</v>
      </c>
      <c r="C2152" t="s">
        <v>431</v>
      </c>
      <c r="D2152" t="s">
        <v>431</v>
      </c>
      <c r="E2152" t="s">
        <v>60</v>
      </c>
      <c r="F2152" t="s">
        <v>191</v>
      </c>
      <c r="I2152" t="s">
        <v>39</v>
      </c>
      <c r="J2152" t="s">
        <v>40</v>
      </c>
      <c r="K2152" t="s">
        <v>41</v>
      </c>
      <c r="L2152" t="s">
        <v>94</v>
      </c>
      <c r="M2152" t="s">
        <v>55</v>
      </c>
      <c r="N2152" t="s">
        <v>43</v>
      </c>
      <c r="O2152" t="s">
        <v>295</v>
      </c>
      <c r="P2152">
        <v>322</v>
      </c>
      <c r="Q2152">
        <v>322</v>
      </c>
      <c r="R2152">
        <v>71</v>
      </c>
      <c r="S2152" t="s">
        <v>56</v>
      </c>
      <c r="T2152">
        <v>7.0000000000000007E-2</v>
      </c>
      <c r="U2152">
        <v>152</v>
      </c>
      <c r="V2152" t="s">
        <v>55</v>
      </c>
      <c r="W2152">
        <v>0.151</v>
      </c>
      <c r="X2152">
        <v>12001</v>
      </c>
      <c r="Y2152" t="s">
        <v>47</v>
      </c>
      <c r="Z2152">
        <v>12</v>
      </c>
      <c r="AA2152">
        <v>157</v>
      </c>
      <c r="AB2152" t="s">
        <v>47</v>
      </c>
      <c r="AC2152">
        <v>0.156</v>
      </c>
      <c r="AD2152">
        <v>534</v>
      </c>
      <c r="AE2152" t="s">
        <v>48</v>
      </c>
      <c r="AF2152">
        <v>0.53300000000000003</v>
      </c>
      <c r="AG2152">
        <v>530</v>
      </c>
      <c r="AH2152" t="s">
        <v>49</v>
      </c>
      <c r="AI2152">
        <v>0.52900000000000003</v>
      </c>
      <c r="AJ2152" t="s">
        <v>1154</v>
      </c>
    </row>
    <row r="2153" spans="1:36" x14ac:dyDescent="0.25">
      <c r="A2153" t="s">
        <v>430</v>
      </c>
      <c r="B2153">
        <v>851975530</v>
      </c>
      <c r="C2153" t="s">
        <v>431</v>
      </c>
      <c r="D2153" t="s">
        <v>431</v>
      </c>
      <c r="E2153" t="s">
        <v>37</v>
      </c>
      <c r="F2153" t="s">
        <v>191</v>
      </c>
      <c r="I2153" t="s">
        <v>39</v>
      </c>
      <c r="J2153" t="s">
        <v>40</v>
      </c>
      <c r="K2153" t="s">
        <v>41</v>
      </c>
      <c r="L2153" t="s">
        <v>94</v>
      </c>
      <c r="M2153" t="s">
        <v>55</v>
      </c>
      <c r="N2153" t="s">
        <v>43</v>
      </c>
      <c r="O2153" t="s">
        <v>293</v>
      </c>
      <c r="P2153">
        <v>322</v>
      </c>
      <c r="Q2153">
        <v>322</v>
      </c>
      <c r="S2153" t="s">
        <v>39</v>
      </c>
      <c r="V2153" t="s">
        <v>39</v>
      </c>
      <c r="X2153">
        <v>19001</v>
      </c>
      <c r="Y2153" t="s">
        <v>47</v>
      </c>
      <c r="Z2153">
        <v>19</v>
      </c>
      <c r="AA2153">
        <v>465</v>
      </c>
      <c r="AB2153" t="s">
        <v>47</v>
      </c>
      <c r="AC2153">
        <v>0.46400000000000002</v>
      </c>
      <c r="AD2153">
        <v>839</v>
      </c>
      <c r="AE2153" t="s">
        <v>48</v>
      </c>
      <c r="AF2153">
        <v>0.83799999999999997</v>
      </c>
      <c r="AG2153">
        <v>920</v>
      </c>
      <c r="AH2153" t="s">
        <v>49</v>
      </c>
      <c r="AI2153">
        <v>0.91900000000000004</v>
      </c>
      <c r="AJ2153" t="s">
        <v>1155</v>
      </c>
    </row>
    <row r="2154" spans="1:36" x14ac:dyDescent="0.25">
      <c r="A2154" t="s">
        <v>430</v>
      </c>
      <c r="B2154">
        <v>851975530</v>
      </c>
      <c r="C2154" t="s">
        <v>431</v>
      </c>
      <c r="D2154" t="s">
        <v>431</v>
      </c>
      <c r="E2154" t="s">
        <v>60</v>
      </c>
      <c r="F2154" t="s">
        <v>191</v>
      </c>
      <c r="I2154" t="s">
        <v>39</v>
      </c>
      <c r="J2154" t="s">
        <v>40</v>
      </c>
      <c r="K2154" t="s">
        <v>41</v>
      </c>
      <c r="L2154" t="s">
        <v>94</v>
      </c>
      <c r="M2154" t="s">
        <v>55</v>
      </c>
      <c r="N2154" t="s">
        <v>43</v>
      </c>
      <c r="O2154" t="s">
        <v>295</v>
      </c>
      <c r="P2154">
        <v>322</v>
      </c>
      <c r="Q2154">
        <v>322</v>
      </c>
      <c r="S2154" t="s">
        <v>39</v>
      </c>
      <c r="V2154" t="s">
        <v>39</v>
      </c>
      <c r="X2154">
        <v>12001</v>
      </c>
      <c r="Y2154" t="s">
        <v>47</v>
      </c>
      <c r="Z2154">
        <v>12</v>
      </c>
      <c r="AA2154">
        <v>157</v>
      </c>
      <c r="AB2154" t="s">
        <v>47</v>
      </c>
      <c r="AC2154">
        <v>0.156</v>
      </c>
      <c r="AD2154">
        <v>534</v>
      </c>
      <c r="AE2154" t="s">
        <v>48</v>
      </c>
      <c r="AF2154">
        <v>0.53300000000000003</v>
      </c>
      <c r="AG2154">
        <v>530</v>
      </c>
      <c r="AH2154" t="s">
        <v>49</v>
      </c>
      <c r="AI2154">
        <v>0.52900000000000003</v>
      </c>
      <c r="AJ2154" t="s">
        <v>1155</v>
      </c>
    </row>
    <row r="2155" spans="1:36" x14ac:dyDescent="0.25">
      <c r="A2155" t="s">
        <v>424</v>
      </c>
      <c r="B2155">
        <v>851668055</v>
      </c>
      <c r="C2155" t="s">
        <v>425</v>
      </c>
      <c r="D2155" t="s">
        <v>425</v>
      </c>
      <c r="E2155" t="s">
        <v>37</v>
      </c>
      <c r="F2155" t="s">
        <v>38</v>
      </c>
      <c r="I2155" t="s">
        <v>39</v>
      </c>
      <c r="J2155" t="s">
        <v>40</v>
      </c>
      <c r="K2155" t="s">
        <v>41</v>
      </c>
      <c r="N2155" t="s">
        <v>43</v>
      </c>
      <c r="O2155" t="s">
        <v>426</v>
      </c>
      <c r="P2155">
        <v>325</v>
      </c>
      <c r="Q2155">
        <v>325</v>
      </c>
      <c r="R2155">
        <v>11</v>
      </c>
      <c r="S2155" t="s">
        <v>45</v>
      </c>
      <c r="T2155">
        <v>0.01</v>
      </c>
      <c r="U2155">
        <v>534</v>
      </c>
      <c r="V2155" t="s">
        <v>113</v>
      </c>
      <c r="W2155">
        <v>0.53300000000000003</v>
      </c>
      <c r="X2155">
        <v>13001</v>
      </c>
      <c r="Y2155" t="s">
        <v>47</v>
      </c>
      <c r="Z2155">
        <v>13</v>
      </c>
      <c r="AA2155">
        <v>479</v>
      </c>
      <c r="AB2155" t="s">
        <v>47</v>
      </c>
      <c r="AC2155">
        <v>0.47799999999999998</v>
      </c>
      <c r="AD2155">
        <v>664</v>
      </c>
      <c r="AE2155" t="s">
        <v>48</v>
      </c>
      <c r="AF2155">
        <v>0.66300000000000003</v>
      </c>
      <c r="AG2155">
        <v>764</v>
      </c>
      <c r="AH2155" t="s">
        <v>49</v>
      </c>
      <c r="AI2155">
        <v>0.76300000000000001</v>
      </c>
      <c r="AJ2155" t="s">
        <v>50</v>
      </c>
    </row>
    <row r="2156" spans="1:36" x14ac:dyDescent="0.25">
      <c r="A2156" t="s">
        <v>424</v>
      </c>
      <c r="B2156">
        <v>851668055</v>
      </c>
      <c r="C2156" t="s">
        <v>425</v>
      </c>
      <c r="D2156" t="s">
        <v>425</v>
      </c>
      <c r="E2156" t="s">
        <v>37</v>
      </c>
      <c r="F2156" t="s">
        <v>38</v>
      </c>
      <c r="I2156" t="s">
        <v>39</v>
      </c>
      <c r="J2156" t="s">
        <v>40</v>
      </c>
      <c r="K2156" t="s">
        <v>41</v>
      </c>
      <c r="N2156" t="s">
        <v>43</v>
      </c>
      <c r="O2156" t="s">
        <v>426</v>
      </c>
      <c r="P2156">
        <v>325</v>
      </c>
      <c r="Q2156">
        <v>325</v>
      </c>
      <c r="R2156">
        <v>31</v>
      </c>
      <c r="S2156" t="s">
        <v>45</v>
      </c>
      <c r="T2156">
        <v>0.03</v>
      </c>
      <c r="U2156">
        <v>408</v>
      </c>
      <c r="V2156" t="s">
        <v>55</v>
      </c>
      <c r="W2156">
        <v>0.40699999999999997</v>
      </c>
      <c r="X2156">
        <v>13001</v>
      </c>
      <c r="Y2156" t="s">
        <v>47</v>
      </c>
      <c r="Z2156">
        <v>13</v>
      </c>
      <c r="AA2156">
        <v>479</v>
      </c>
      <c r="AB2156" t="s">
        <v>47</v>
      </c>
      <c r="AC2156">
        <v>0.47799999999999998</v>
      </c>
      <c r="AD2156">
        <v>664</v>
      </c>
      <c r="AE2156" t="s">
        <v>48</v>
      </c>
      <c r="AF2156">
        <v>0.66300000000000003</v>
      </c>
      <c r="AG2156">
        <v>764</v>
      </c>
      <c r="AH2156" t="s">
        <v>49</v>
      </c>
      <c r="AI2156">
        <v>0.76300000000000001</v>
      </c>
      <c r="AJ2156" t="s">
        <v>1141</v>
      </c>
    </row>
    <row r="2157" spans="1:36" x14ac:dyDescent="0.25">
      <c r="A2157" t="s">
        <v>424</v>
      </c>
      <c r="B2157">
        <v>851668055</v>
      </c>
      <c r="C2157" t="s">
        <v>425</v>
      </c>
      <c r="D2157" t="s">
        <v>425</v>
      </c>
      <c r="E2157" t="s">
        <v>37</v>
      </c>
      <c r="F2157" t="s">
        <v>38</v>
      </c>
      <c r="I2157" t="s">
        <v>39</v>
      </c>
      <c r="J2157" t="s">
        <v>40</v>
      </c>
      <c r="K2157" t="s">
        <v>41</v>
      </c>
      <c r="N2157" t="s">
        <v>43</v>
      </c>
      <c r="O2157" t="s">
        <v>426</v>
      </c>
      <c r="P2157">
        <v>325</v>
      </c>
      <c r="Q2157">
        <v>325</v>
      </c>
      <c r="R2157">
        <v>11</v>
      </c>
      <c r="S2157" t="s">
        <v>45</v>
      </c>
      <c r="T2157">
        <v>0.01</v>
      </c>
      <c r="U2157">
        <v>534</v>
      </c>
      <c r="V2157" t="s">
        <v>113</v>
      </c>
      <c r="W2157">
        <v>0.53300000000000003</v>
      </c>
      <c r="X2157">
        <v>13001</v>
      </c>
      <c r="Y2157" t="s">
        <v>47</v>
      </c>
      <c r="Z2157">
        <v>13</v>
      </c>
      <c r="AA2157">
        <v>479</v>
      </c>
      <c r="AB2157" t="s">
        <v>47</v>
      </c>
      <c r="AC2157">
        <v>0.47799999999999998</v>
      </c>
      <c r="AD2157">
        <v>664</v>
      </c>
      <c r="AE2157" t="s">
        <v>48</v>
      </c>
      <c r="AF2157">
        <v>0.66300000000000003</v>
      </c>
      <c r="AG2157">
        <v>764</v>
      </c>
      <c r="AH2157" t="s">
        <v>49</v>
      </c>
      <c r="AI2157">
        <v>0.76300000000000001</v>
      </c>
      <c r="AJ2157" t="s">
        <v>1153</v>
      </c>
    </row>
    <row r="2158" spans="1:36" x14ac:dyDescent="0.25">
      <c r="A2158" t="s">
        <v>424</v>
      </c>
      <c r="B2158">
        <v>851668055</v>
      </c>
      <c r="C2158" t="s">
        <v>425</v>
      </c>
      <c r="D2158" t="s">
        <v>425</v>
      </c>
      <c r="E2158" t="s">
        <v>37</v>
      </c>
      <c r="F2158" t="s">
        <v>38</v>
      </c>
      <c r="I2158" t="s">
        <v>39</v>
      </c>
      <c r="J2158" t="s">
        <v>40</v>
      </c>
      <c r="K2158" t="s">
        <v>41</v>
      </c>
      <c r="N2158" t="s">
        <v>43</v>
      </c>
      <c r="O2158" t="s">
        <v>426</v>
      </c>
      <c r="P2158">
        <v>325</v>
      </c>
      <c r="Q2158">
        <v>325</v>
      </c>
      <c r="R2158">
        <v>11</v>
      </c>
      <c r="S2158" t="s">
        <v>45</v>
      </c>
      <c r="T2158">
        <v>0.01</v>
      </c>
      <c r="U2158">
        <v>534</v>
      </c>
      <c r="V2158" t="s">
        <v>113</v>
      </c>
      <c r="W2158">
        <v>0.53300000000000003</v>
      </c>
      <c r="X2158">
        <v>13001</v>
      </c>
      <c r="Y2158" t="s">
        <v>47</v>
      </c>
      <c r="Z2158">
        <v>13</v>
      </c>
      <c r="AA2158">
        <v>479</v>
      </c>
      <c r="AB2158" t="s">
        <v>47</v>
      </c>
      <c r="AC2158">
        <v>0.47799999999999998</v>
      </c>
      <c r="AD2158">
        <v>664</v>
      </c>
      <c r="AE2158" t="s">
        <v>48</v>
      </c>
      <c r="AF2158">
        <v>0.66300000000000003</v>
      </c>
      <c r="AG2158">
        <v>764</v>
      </c>
      <c r="AH2158" t="s">
        <v>49</v>
      </c>
      <c r="AI2158">
        <v>0.76300000000000001</v>
      </c>
      <c r="AJ2158" t="s">
        <v>1154</v>
      </c>
    </row>
    <row r="2159" spans="1:36" x14ac:dyDescent="0.25">
      <c r="A2159" t="s">
        <v>424</v>
      </c>
      <c r="B2159">
        <v>851668055</v>
      </c>
      <c r="C2159" t="s">
        <v>425</v>
      </c>
      <c r="D2159" t="s">
        <v>425</v>
      </c>
      <c r="E2159" t="s">
        <v>37</v>
      </c>
      <c r="F2159" t="s">
        <v>38</v>
      </c>
      <c r="I2159" t="s">
        <v>39</v>
      </c>
      <c r="J2159" t="s">
        <v>40</v>
      </c>
      <c r="K2159" t="s">
        <v>41</v>
      </c>
      <c r="N2159" t="s">
        <v>43</v>
      </c>
      <c r="O2159" t="s">
        <v>426</v>
      </c>
      <c r="P2159">
        <v>325</v>
      </c>
      <c r="Q2159">
        <v>325</v>
      </c>
      <c r="S2159" t="s">
        <v>39</v>
      </c>
      <c r="V2159" t="s">
        <v>39</v>
      </c>
      <c r="X2159">
        <v>13001</v>
      </c>
      <c r="Y2159" t="s">
        <v>47</v>
      </c>
      <c r="Z2159">
        <v>13</v>
      </c>
      <c r="AA2159">
        <v>479</v>
      </c>
      <c r="AB2159" t="s">
        <v>47</v>
      </c>
      <c r="AC2159">
        <v>0.47799999999999998</v>
      </c>
      <c r="AD2159">
        <v>664</v>
      </c>
      <c r="AE2159" t="s">
        <v>48</v>
      </c>
      <c r="AF2159">
        <v>0.66300000000000003</v>
      </c>
      <c r="AG2159">
        <v>764</v>
      </c>
      <c r="AH2159" t="s">
        <v>49</v>
      </c>
      <c r="AI2159">
        <v>0.76300000000000001</v>
      </c>
      <c r="AJ2159" t="s">
        <v>1155</v>
      </c>
    </row>
    <row r="2160" spans="1:36" x14ac:dyDescent="0.25">
      <c r="A2160" t="s">
        <v>421</v>
      </c>
      <c r="B2160">
        <v>881481132</v>
      </c>
      <c r="C2160" t="s">
        <v>422</v>
      </c>
      <c r="D2160" t="s">
        <v>422</v>
      </c>
      <c r="E2160" t="s">
        <v>37</v>
      </c>
      <c r="F2160" t="s">
        <v>127</v>
      </c>
      <c r="I2160" t="s">
        <v>39</v>
      </c>
      <c r="J2160" t="s">
        <v>40</v>
      </c>
      <c r="K2160" t="s">
        <v>41</v>
      </c>
      <c r="L2160" t="s">
        <v>42</v>
      </c>
      <c r="N2160" t="s">
        <v>43</v>
      </c>
      <c r="O2160" t="s">
        <v>423</v>
      </c>
      <c r="P2160">
        <v>325</v>
      </c>
      <c r="Q2160">
        <v>325</v>
      </c>
      <c r="R2160">
        <v>51</v>
      </c>
      <c r="S2160" t="s">
        <v>56</v>
      </c>
      <c r="T2160">
        <v>0.05</v>
      </c>
      <c r="U2160">
        <v>47</v>
      </c>
      <c r="V2160" t="s">
        <v>55</v>
      </c>
      <c r="W2160">
        <v>4.5999999999999999E-2</v>
      </c>
      <c r="X2160">
        <v>1</v>
      </c>
      <c r="Y2160" t="s">
        <v>47</v>
      </c>
      <c r="Z2160">
        <v>0</v>
      </c>
      <c r="AA2160">
        <v>407</v>
      </c>
      <c r="AB2160" t="s">
        <v>47</v>
      </c>
      <c r="AC2160">
        <v>0.40600000000000003</v>
      </c>
      <c r="AD2160">
        <v>600</v>
      </c>
      <c r="AE2160" t="s">
        <v>48</v>
      </c>
      <c r="AF2160">
        <v>0.59899999999999998</v>
      </c>
      <c r="AG2160">
        <v>805</v>
      </c>
      <c r="AH2160" t="s">
        <v>49</v>
      </c>
      <c r="AI2160">
        <v>0.80400000000000005</v>
      </c>
      <c r="AJ2160" t="s">
        <v>50</v>
      </c>
    </row>
    <row r="2161" spans="1:36" x14ac:dyDescent="0.25">
      <c r="A2161" t="s">
        <v>421</v>
      </c>
      <c r="B2161">
        <v>881481132</v>
      </c>
      <c r="C2161" t="s">
        <v>422</v>
      </c>
      <c r="D2161" t="s">
        <v>422</v>
      </c>
      <c r="E2161" t="s">
        <v>37</v>
      </c>
      <c r="F2161" t="s">
        <v>127</v>
      </c>
      <c r="I2161" t="s">
        <v>39</v>
      </c>
      <c r="J2161" t="s">
        <v>40</v>
      </c>
      <c r="K2161" t="s">
        <v>41</v>
      </c>
      <c r="L2161" t="s">
        <v>42</v>
      </c>
      <c r="N2161" t="s">
        <v>43</v>
      </c>
      <c r="O2161" t="s">
        <v>423</v>
      </c>
      <c r="P2161">
        <v>325</v>
      </c>
      <c r="Q2161">
        <v>325</v>
      </c>
      <c r="R2161">
        <v>141</v>
      </c>
      <c r="S2161" t="s">
        <v>56</v>
      </c>
      <c r="T2161">
        <v>0.14000000000000001</v>
      </c>
      <c r="U2161">
        <v>29</v>
      </c>
      <c r="V2161" t="s">
        <v>55</v>
      </c>
      <c r="W2161">
        <v>2.8000000000000001E-2</v>
      </c>
      <c r="X2161">
        <v>1</v>
      </c>
      <c r="Y2161" t="s">
        <v>47</v>
      </c>
      <c r="Z2161">
        <v>0</v>
      </c>
      <c r="AA2161">
        <v>407</v>
      </c>
      <c r="AB2161" t="s">
        <v>47</v>
      </c>
      <c r="AC2161">
        <v>0.40600000000000003</v>
      </c>
      <c r="AD2161">
        <v>600</v>
      </c>
      <c r="AE2161" t="s">
        <v>48</v>
      </c>
      <c r="AF2161">
        <v>0.59899999999999998</v>
      </c>
      <c r="AG2161">
        <v>805</v>
      </c>
      <c r="AH2161" t="s">
        <v>49</v>
      </c>
      <c r="AI2161">
        <v>0.80400000000000005</v>
      </c>
      <c r="AJ2161" t="s">
        <v>1141</v>
      </c>
    </row>
    <row r="2162" spans="1:36" x14ac:dyDescent="0.25">
      <c r="A2162" t="s">
        <v>421</v>
      </c>
      <c r="B2162">
        <v>881481132</v>
      </c>
      <c r="C2162" t="s">
        <v>422</v>
      </c>
      <c r="D2162" t="s">
        <v>422</v>
      </c>
      <c r="E2162" t="s">
        <v>37</v>
      </c>
      <c r="F2162" t="s">
        <v>127</v>
      </c>
      <c r="I2162" t="s">
        <v>39</v>
      </c>
      <c r="J2162" t="s">
        <v>40</v>
      </c>
      <c r="K2162" t="s">
        <v>41</v>
      </c>
      <c r="L2162" t="s">
        <v>42</v>
      </c>
      <c r="N2162" t="s">
        <v>43</v>
      </c>
      <c r="O2162" t="s">
        <v>423</v>
      </c>
      <c r="P2162">
        <v>325</v>
      </c>
      <c r="Q2162">
        <v>325</v>
      </c>
      <c r="R2162">
        <v>51</v>
      </c>
      <c r="S2162" t="s">
        <v>56</v>
      </c>
      <c r="T2162">
        <v>0.05</v>
      </c>
      <c r="U2162">
        <v>47</v>
      </c>
      <c r="V2162" t="s">
        <v>55</v>
      </c>
      <c r="W2162">
        <v>4.5999999999999999E-2</v>
      </c>
      <c r="X2162">
        <v>1</v>
      </c>
      <c r="Y2162" t="s">
        <v>47</v>
      </c>
      <c r="Z2162">
        <v>0</v>
      </c>
      <c r="AA2162">
        <v>407</v>
      </c>
      <c r="AB2162" t="s">
        <v>47</v>
      </c>
      <c r="AC2162">
        <v>0.40600000000000003</v>
      </c>
      <c r="AD2162">
        <v>600</v>
      </c>
      <c r="AE2162" t="s">
        <v>48</v>
      </c>
      <c r="AF2162">
        <v>0.59899999999999998</v>
      </c>
      <c r="AG2162">
        <v>805</v>
      </c>
      <c r="AH2162" t="s">
        <v>49</v>
      </c>
      <c r="AI2162">
        <v>0.80400000000000005</v>
      </c>
      <c r="AJ2162" t="s">
        <v>1153</v>
      </c>
    </row>
    <row r="2163" spans="1:36" x14ac:dyDescent="0.25">
      <c r="A2163" t="s">
        <v>421</v>
      </c>
      <c r="B2163">
        <v>881481132</v>
      </c>
      <c r="C2163" t="s">
        <v>422</v>
      </c>
      <c r="D2163" t="s">
        <v>422</v>
      </c>
      <c r="E2163" t="s">
        <v>37</v>
      </c>
      <c r="F2163" t="s">
        <v>127</v>
      </c>
      <c r="I2163" t="s">
        <v>39</v>
      </c>
      <c r="J2163" t="s">
        <v>40</v>
      </c>
      <c r="K2163" t="s">
        <v>41</v>
      </c>
      <c r="L2163" t="s">
        <v>42</v>
      </c>
      <c r="N2163" t="s">
        <v>43</v>
      </c>
      <c r="O2163" t="s">
        <v>423</v>
      </c>
      <c r="P2163">
        <v>325</v>
      </c>
      <c r="Q2163">
        <v>325</v>
      </c>
      <c r="R2163">
        <v>51</v>
      </c>
      <c r="S2163" t="s">
        <v>56</v>
      </c>
      <c r="T2163">
        <v>0.05</v>
      </c>
      <c r="U2163">
        <v>47</v>
      </c>
      <c r="V2163" t="s">
        <v>55</v>
      </c>
      <c r="W2163">
        <v>4.5999999999999999E-2</v>
      </c>
      <c r="X2163">
        <v>1</v>
      </c>
      <c r="Y2163" t="s">
        <v>47</v>
      </c>
      <c r="Z2163">
        <v>0</v>
      </c>
      <c r="AA2163">
        <v>407</v>
      </c>
      <c r="AB2163" t="s">
        <v>47</v>
      </c>
      <c r="AC2163">
        <v>0.40600000000000003</v>
      </c>
      <c r="AD2163">
        <v>600</v>
      </c>
      <c r="AE2163" t="s">
        <v>48</v>
      </c>
      <c r="AF2163">
        <v>0.59899999999999998</v>
      </c>
      <c r="AG2163">
        <v>805</v>
      </c>
      <c r="AH2163" t="s">
        <v>49</v>
      </c>
      <c r="AI2163">
        <v>0.80400000000000005</v>
      </c>
      <c r="AJ2163" t="s">
        <v>1154</v>
      </c>
    </row>
    <row r="2164" spans="1:36" x14ac:dyDescent="0.25">
      <c r="A2164" t="s">
        <v>421</v>
      </c>
      <c r="B2164">
        <v>881481132</v>
      </c>
      <c r="C2164" t="s">
        <v>422</v>
      </c>
      <c r="D2164" t="s">
        <v>422</v>
      </c>
      <c r="E2164" t="s">
        <v>37</v>
      </c>
      <c r="F2164" t="s">
        <v>127</v>
      </c>
      <c r="I2164" t="s">
        <v>39</v>
      </c>
      <c r="J2164" t="s">
        <v>40</v>
      </c>
      <c r="K2164" t="s">
        <v>41</v>
      </c>
      <c r="L2164" t="s">
        <v>42</v>
      </c>
      <c r="N2164" t="s">
        <v>43</v>
      </c>
      <c r="O2164" t="s">
        <v>423</v>
      </c>
      <c r="P2164">
        <v>325</v>
      </c>
      <c r="Q2164">
        <v>325</v>
      </c>
      <c r="S2164" t="s">
        <v>39</v>
      </c>
      <c r="V2164" t="s">
        <v>39</v>
      </c>
      <c r="X2164">
        <v>1</v>
      </c>
      <c r="Y2164" t="s">
        <v>47</v>
      </c>
      <c r="Z2164">
        <v>0</v>
      </c>
      <c r="AA2164">
        <v>407</v>
      </c>
      <c r="AB2164" t="s">
        <v>47</v>
      </c>
      <c r="AC2164">
        <v>0.40600000000000003</v>
      </c>
      <c r="AD2164">
        <v>600</v>
      </c>
      <c r="AE2164" t="s">
        <v>48</v>
      </c>
      <c r="AF2164">
        <v>0.59899999999999998</v>
      </c>
      <c r="AG2164">
        <v>805</v>
      </c>
      <c r="AH2164" t="s">
        <v>49</v>
      </c>
      <c r="AI2164">
        <v>0.80400000000000005</v>
      </c>
      <c r="AJ2164" t="s">
        <v>1155</v>
      </c>
    </row>
    <row r="2165" spans="1:36" x14ac:dyDescent="0.25">
      <c r="A2165" t="s">
        <v>417</v>
      </c>
      <c r="B2165">
        <v>855900155</v>
      </c>
      <c r="C2165" t="s">
        <v>418</v>
      </c>
      <c r="D2165" t="s">
        <v>418</v>
      </c>
      <c r="E2165" t="s">
        <v>60</v>
      </c>
      <c r="F2165" t="s">
        <v>122</v>
      </c>
      <c r="I2165" t="s">
        <v>39</v>
      </c>
      <c r="J2165" t="s">
        <v>40</v>
      </c>
      <c r="K2165" t="s">
        <v>41</v>
      </c>
      <c r="L2165" t="s">
        <v>248</v>
      </c>
      <c r="M2165" t="s">
        <v>419</v>
      </c>
      <c r="N2165" t="s">
        <v>43</v>
      </c>
      <c r="O2165" t="s">
        <v>420</v>
      </c>
      <c r="P2165">
        <v>325</v>
      </c>
      <c r="Q2165">
        <v>325</v>
      </c>
      <c r="R2165">
        <v>281</v>
      </c>
      <c r="S2165" t="s">
        <v>56</v>
      </c>
      <c r="T2165">
        <v>0.28000000000000003</v>
      </c>
      <c r="U2165">
        <v>8</v>
      </c>
      <c r="V2165" t="s">
        <v>55</v>
      </c>
      <c r="W2165">
        <v>7.0000000000000001E-3</v>
      </c>
      <c r="X2165">
        <v>1</v>
      </c>
      <c r="Y2165" t="s">
        <v>47</v>
      </c>
      <c r="Z2165">
        <v>0</v>
      </c>
      <c r="AA2165">
        <v>257</v>
      </c>
      <c r="AB2165" t="s">
        <v>47</v>
      </c>
      <c r="AC2165">
        <v>0.25600000000000001</v>
      </c>
      <c r="AD2165">
        <v>460</v>
      </c>
      <c r="AE2165" t="s">
        <v>56</v>
      </c>
      <c r="AF2165">
        <v>0.45900000000000002</v>
      </c>
      <c r="AG2165">
        <v>396</v>
      </c>
      <c r="AH2165" t="s">
        <v>57</v>
      </c>
      <c r="AI2165">
        <v>0.39500000000000002</v>
      </c>
      <c r="AJ2165" t="s">
        <v>50</v>
      </c>
    </row>
    <row r="2166" spans="1:36" x14ac:dyDescent="0.25">
      <c r="A2166" t="s">
        <v>417</v>
      </c>
      <c r="B2166">
        <v>855900155</v>
      </c>
      <c r="C2166" t="s">
        <v>418</v>
      </c>
      <c r="D2166" t="s">
        <v>418</v>
      </c>
      <c r="E2166" t="s">
        <v>60</v>
      </c>
      <c r="F2166" t="s">
        <v>122</v>
      </c>
      <c r="I2166" t="s">
        <v>39</v>
      </c>
      <c r="J2166" t="s">
        <v>40</v>
      </c>
      <c r="K2166" t="s">
        <v>41</v>
      </c>
      <c r="L2166" t="s">
        <v>248</v>
      </c>
      <c r="M2166" t="s">
        <v>419</v>
      </c>
      <c r="N2166" t="s">
        <v>43</v>
      </c>
      <c r="O2166" t="s">
        <v>420</v>
      </c>
      <c r="P2166">
        <v>325</v>
      </c>
      <c r="Q2166">
        <v>325</v>
      </c>
      <c r="R2166">
        <v>291</v>
      </c>
      <c r="S2166" t="s">
        <v>56</v>
      </c>
      <c r="T2166">
        <v>0.28999999999999998</v>
      </c>
      <c r="U2166">
        <v>4</v>
      </c>
      <c r="V2166" t="s">
        <v>55</v>
      </c>
      <c r="W2166">
        <v>3.0000000000000001E-3</v>
      </c>
      <c r="X2166">
        <v>1</v>
      </c>
      <c r="Y2166" t="s">
        <v>47</v>
      </c>
      <c r="Z2166">
        <v>0</v>
      </c>
      <c r="AA2166">
        <v>257</v>
      </c>
      <c r="AB2166" t="s">
        <v>47</v>
      </c>
      <c r="AC2166">
        <v>0.25600000000000001</v>
      </c>
      <c r="AD2166">
        <v>460</v>
      </c>
      <c r="AE2166" t="s">
        <v>56</v>
      </c>
      <c r="AF2166">
        <v>0.45900000000000002</v>
      </c>
      <c r="AG2166">
        <v>396</v>
      </c>
      <c r="AH2166" t="s">
        <v>57</v>
      </c>
      <c r="AI2166">
        <v>0.39500000000000002</v>
      </c>
      <c r="AJ2166" t="s">
        <v>1141</v>
      </c>
    </row>
    <row r="2167" spans="1:36" x14ac:dyDescent="0.25">
      <c r="A2167" t="s">
        <v>417</v>
      </c>
      <c r="B2167">
        <v>855900155</v>
      </c>
      <c r="C2167" t="s">
        <v>418</v>
      </c>
      <c r="D2167" t="s">
        <v>418</v>
      </c>
      <c r="E2167" t="s">
        <v>60</v>
      </c>
      <c r="F2167" t="s">
        <v>122</v>
      </c>
      <c r="I2167" t="s">
        <v>39</v>
      </c>
      <c r="J2167" t="s">
        <v>40</v>
      </c>
      <c r="K2167" t="s">
        <v>41</v>
      </c>
      <c r="L2167" t="s">
        <v>248</v>
      </c>
      <c r="M2167" t="s">
        <v>419</v>
      </c>
      <c r="N2167" t="s">
        <v>43</v>
      </c>
      <c r="O2167" t="s">
        <v>420</v>
      </c>
      <c r="P2167">
        <v>325</v>
      </c>
      <c r="Q2167">
        <v>325</v>
      </c>
      <c r="R2167">
        <v>281</v>
      </c>
      <c r="S2167" t="s">
        <v>56</v>
      </c>
      <c r="T2167">
        <v>0.28000000000000003</v>
      </c>
      <c r="U2167">
        <v>8</v>
      </c>
      <c r="V2167" t="s">
        <v>55</v>
      </c>
      <c r="W2167">
        <v>7.0000000000000001E-3</v>
      </c>
      <c r="X2167">
        <v>1</v>
      </c>
      <c r="Y2167" t="s">
        <v>47</v>
      </c>
      <c r="Z2167">
        <v>0</v>
      </c>
      <c r="AA2167">
        <v>257</v>
      </c>
      <c r="AB2167" t="s">
        <v>47</v>
      </c>
      <c r="AC2167">
        <v>0.25600000000000001</v>
      </c>
      <c r="AD2167">
        <v>460</v>
      </c>
      <c r="AE2167" t="s">
        <v>56</v>
      </c>
      <c r="AF2167">
        <v>0.45900000000000002</v>
      </c>
      <c r="AG2167">
        <v>396</v>
      </c>
      <c r="AH2167" t="s">
        <v>57</v>
      </c>
      <c r="AI2167">
        <v>0.39500000000000002</v>
      </c>
      <c r="AJ2167" t="s">
        <v>1153</v>
      </c>
    </row>
    <row r="2168" spans="1:36" x14ac:dyDescent="0.25">
      <c r="A2168" t="s">
        <v>417</v>
      </c>
      <c r="B2168">
        <v>855900155</v>
      </c>
      <c r="C2168" t="s">
        <v>418</v>
      </c>
      <c r="D2168" t="s">
        <v>418</v>
      </c>
      <c r="E2168" t="s">
        <v>60</v>
      </c>
      <c r="F2168" t="s">
        <v>122</v>
      </c>
      <c r="I2168" t="s">
        <v>39</v>
      </c>
      <c r="J2168" t="s">
        <v>40</v>
      </c>
      <c r="K2168" t="s">
        <v>41</v>
      </c>
      <c r="L2168" t="s">
        <v>248</v>
      </c>
      <c r="M2168" t="s">
        <v>419</v>
      </c>
      <c r="N2168" t="s">
        <v>43</v>
      </c>
      <c r="O2168" t="s">
        <v>420</v>
      </c>
      <c r="P2168">
        <v>325</v>
      </c>
      <c r="Q2168">
        <v>325</v>
      </c>
      <c r="R2168">
        <v>281</v>
      </c>
      <c r="S2168" t="s">
        <v>56</v>
      </c>
      <c r="T2168">
        <v>0.28000000000000003</v>
      </c>
      <c r="U2168">
        <v>8</v>
      </c>
      <c r="V2168" t="s">
        <v>55</v>
      </c>
      <c r="W2168">
        <v>7.0000000000000001E-3</v>
      </c>
      <c r="X2168">
        <v>1</v>
      </c>
      <c r="Y2168" t="s">
        <v>47</v>
      </c>
      <c r="Z2168">
        <v>0</v>
      </c>
      <c r="AA2168">
        <v>257</v>
      </c>
      <c r="AB2168" t="s">
        <v>47</v>
      </c>
      <c r="AC2168">
        <v>0.25600000000000001</v>
      </c>
      <c r="AD2168">
        <v>460</v>
      </c>
      <c r="AE2168" t="s">
        <v>56</v>
      </c>
      <c r="AF2168">
        <v>0.45900000000000002</v>
      </c>
      <c r="AG2168">
        <v>396</v>
      </c>
      <c r="AH2168" t="s">
        <v>57</v>
      </c>
      <c r="AI2168">
        <v>0.39500000000000002</v>
      </c>
      <c r="AJ2168" t="s">
        <v>1154</v>
      </c>
    </row>
    <row r="2169" spans="1:36" x14ac:dyDescent="0.25">
      <c r="A2169" t="s">
        <v>417</v>
      </c>
      <c r="B2169">
        <v>855900155</v>
      </c>
      <c r="C2169" t="s">
        <v>418</v>
      </c>
      <c r="D2169" t="s">
        <v>418</v>
      </c>
      <c r="E2169" t="s">
        <v>60</v>
      </c>
      <c r="F2169" t="s">
        <v>122</v>
      </c>
      <c r="I2169" t="s">
        <v>39</v>
      </c>
      <c r="J2169" t="s">
        <v>40</v>
      </c>
      <c r="K2169" t="s">
        <v>41</v>
      </c>
      <c r="L2169" t="s">
        <v>248</v>
      </c>
      <c r="M2169" t="s">
        <v>419</v>
      </c>
      <c r="N2169" t="s">
        <v>43</v>
      </c>
      <c r="O2169" t="s">
        <v>420</v>
      </c>
      <c r="P2169">
        <v>325</v>
      </c>
      <c r="Q2169">
        <v>325</v>
      </c>
      <c r="S2169" t="s">
        <v>39</v>
      </c>
      <c r="V2169" t="s">
        <v>39</v>
      </c>
      <c r="X2169">
        <v>1</v>
      </c>
      <c r="Y2169" t="s">
        <v>47</v>
      </c>
      <c r="Z2169">
        <v>0</v>
      </c>
      <c r="AA2169">
        <v>257</v>
      </c>
      <c r="AB2169" t="s">
        <v>47</v>
      </c>
      <c r="AC2169">
        <v>0.25600000000000001</v>
      </c>
      <c r="AD2169">
        <v>460</v>
      </c>
      <c r="AE2169" t="s">
        <v>56</v>
      </c>
      <c r="AF2169">
        <v>0.45900000000000002</v>
      </c>
      <c r="AG2169">
        <v>396</v>
      </c>
      <c r="AH2169" t="s">
        <v>57</v>
      </c>
      <c r="AI2169">
        <v>0.39500000000000002</v>
      </c>
      <c r="AJ2169" t="s">
        <v>1155</v>
      </c>
    </row>
    <row r="2170" spans="1:36" x14ac:dyDescent="0.25">
      <c r="A2170" t="s">
        <v>415</v>
      </c>
      <c r="B2170">
        <v>852475520</v>
      </c>
      <c r="C2170" t="s">
        <v>416</v>
      </c>
      <c r="D2170" t="s">
        <v>416</v>
      </c>
      <c r="E2170" t="s">
        <v>65</v>
      </c>
      <c r="F2170" t="s">
        <v>83</v>
      </c>
      <c r="I2170" t="s">
        <v>39</v>
      </c>
      <c r="J2170" t="s">
        <v>40</v>
      </c>
      <c r="K2170" t="s">
        <v>41</v>
      </c>
      <c r="L2170" t="s">
        <v>151</v>
      </c>
      <c r="M2170" t="s">
        <v>73</v>
      </c>
      <c r="N2170" t="s">
        <v>43</v>
      </c>
      <c r="O2170" t="s">
        <v>84</v>
      </c>
      <c r="P2170">
        <v>326</v>
      </c>
      <c r="Q2170">
        <v>326</v>
      </c>
      <c r="R2170">
        <v>1001</v>
      </c>
      <c r="S2170" t="s">
        <v>56</v>
      </c>
      <c r="T2170">
        <v>1</v>
      </c>
      <c r="U2170">
        <v>2</v>
      </c>
      <c r="V2170" t="s">
        <v>55</v>
      </c>
      <c r="W2170">
        <v>1E-3</v>
      </c>
      <c r="X2170">
        <v>1</v>
      </c>
      <c r="Y2170" t="s">
        <v>47</v>
      </c>
      <c r="Z2170">
        <v>0</v>
      </c>
      <c r="AA2170">
        <v>267</v>
      </c>
      <c r="AB2170" t="s">
        <v>47</v>
      </c>
      <c r="AC2170">
        <v>0.26600000000000001</v>
      </c>
      <c r="AD2170">
        <v>290</v>
      </c>
      <c r="AE2170" t="s">
        <v>56</v>
      </c>
      <c r="AF2170">
        <v>0.28899999999999998</v>
      </c>
      <c r="AG2170">
        <v>235</v>
      </c>
      <c r="AH2170" t="s">
        <v>57</v>
      </c>
      <c r="AI2170">
        <v>0.23400000000000001</v>
      </c>
      <c r="AJ2170" t="s">
        <v>50</v>
      </c>
    </row>
    <row r="2171" spans="1:36" x14ac:dyDescent="0.25">
      <c r="A2171" t="s">
        <v>415</v>
      </c>
      <c r="B2171">
        <v>852475520</v>
      </c>
      <c r="C2171" t="s">
        <v>416</v>
      </c>
      <c r="D2171" t="s">
        <v>416</v>
      </c>
      <c r="E2171" t="s">
        <v>60</v>
      </c>
      <c r="F2171" t="s">
        <v>83</v>
      </c>
      <c r="I2171" t="s">
        <v>39</v>
      </c>
      <c r="J2171" t="s">
        <v>40</v>
      </c>
      <c r="K2171" t="s">
        <v>41</v>
      </c>
      <c r="L2171" t="s">
        <v>151</v>
      </c>
      <c r="M2171" t="s">
        <v>73</v>
      </c>
      <c r="N2171" t="s">
        <v>43</v>
      </c>
      <c r="O2171" t="s">
        <v>375</v>
      </c>
      <c r="P2171">
        <v>326</v>
      </c>
      <c r="Q2171">
        <v>326</v>
      </c>
      <c r="R2171">
        <v>581</v>
      </c>
      <c r="S2171" t="s">
        <v>56</v>
      </c>
      <c r="T2171">
        <v>0.57999999999999996</v>
      </c>
      <c r="U2171">
        <v>4</v>
      </c>
      <c r="V2171" t="s">
        <v>55</v>
      </c>
      <c r="W2171">
        <v>3.0000000000000001E-3</v>
      </c>
      <c r="X2171">
        <v>1</v>
      </c>
      <c r="Y2171" t="s">
        <v>47</v>
      </c>
      <c r="Z2171">
        <v>0</v>
      </c>
      <c r="AA2171">
        <v>202</v>
      </c>
      <c r="AB2171" t="s">
        <v>47</v>
      </c>
      <c r="AC2171">
        <v>0.20100000000000001</v>
      </c>
      <c r="AD2171">
        <v>243</v>
      </c>
      <c r="AE2171" t="s">
        <v>56</v>
      </c>
      <c r="AF2171">
        <v>0.24199999999999999</v>
      </c>
      <c r="AG2171">
        <v>135</v>
      </c>
      <c r="AH2171" t="s">
        <v>103</v>
      </c>
      <c r="AI2171">
        <v>0.13400000000000001</v>
      </c>
      <c r="AJ2171" t="s">
        <v>50</v>
      </c>
    </row>
    <row r="2172" spans="1:36" x14ac:dyDescent="0.25">
      <c r="A2172" t="s">
        <v>415</v>
      </c>
      <c r="B2172">
        <v>852475520</v>
      </c>
      <c r="C2172" t="s">
        <v>416</v>
      </c>
      <c r="D2172" t="s">
        <v>416</v>
      </c>
      <c r="E2172" t="s">
        <v>65</v>
      </c>
      <c r="F2172" t="s">
        <v>83</v>
      </c>
      <c r="I2172" t="s">
        <v>39</v>
      </c>
      <c r="J2172" t="s">
        <v>40</v>
      </c>
      <c r="K2172" t="s">
        <v>41</v>
      </c>
      <c r="L2172" t="s">
        <v>151</v>
      </c>
      <c r="M2172" t="s">
        <v>73</v>
      </c>
      <c r="N2172" t="s">
        <v>43</v>
      </c>
      <c r="O2172" t="s">
        <v>84</v>
      </c>
      <c r="P2172">
        <v>326</v>
      </c>
      <c r="Q2172">
        <v>326</v>
      </c>
      <c r="R2172">
        <v>661</v>
      </c>
      <c r="S2172" t="s">
        <v>56</v>
      </c>
      <c r="T2172">
        <v>0.66</v>
      </c>
      <c r="U2172">
        <v>1</v>
      </c>
      <c r="V2172" t="s">
        <v>55</v>
      </c>
      <c r="W2172">
        <v>0</v>
      </c>
      <c r="X2172">
        <v>1</v>
      </c>
      <c r="Y2172" t="s">
        <v>47</v>
      </c>
      <c r="Z2172">
        <v>0</v>
      </c>
      <c r="AA2172">
        <v>267</v>
      </c>
      <c r="AB2172" t="s">
        <v>47</v>
      </c>
      <c r="AC2172">
        <v>0.26600000000000001</v>
      </c>
      <c r="AD2172">
        <v>290</v>
      </c>
      <c r="AE2172" t="s">
        <v>56</v>
      </c>
      <c r="AF2172">
        <v>0.28899999999999998</v>
      </c>
      <c r="AG2172">
        <v>235</v>
      </c>
      <c r="AH2172" t="s">
        <v>57</v>
      </c>
      <c r="AI2172">
        <v>0.23400000000000001</v>
      </c>
      <c r="AJ2172" t="s">
        <v>1141</v>
      </c>
    </row>
    <row r="2173" spans="1:36" x14ac:dyDescent="0.25">
      <c r="A2173" t="s">
        <v>415</v>
      </c>
      <c r="B2173">
        <v>852475520</v>
      </c>
      <c r="C2173" t="s">
        <v>416</v>
      </c>
      <c r="D2173" t="s">
        <v>416</v>
      </c>
      <c r="E2173" t="s">
        <v>60</v>
      </c>
      <c r="F2173" t="s">
        <v>83</v>
      </c>
      <c r="I2173" t="s">
        <v>39</v>
      </c>
      <c r="J2173" t="s">
        <v>40</v>
      </c>
      <c r="K2173" t="s">
        <v>41</v>
      </c>
      <c r="L2173" t="s">
        <v>151</v>
      </c>
      <c r="M2173" t="s">
        <v>73</v>
      </c>
      <c r="N2173" t="s">
        <v>43</v>
      </c>
      <c r="O2173" t="s">
        <v>375</v>
      </c>
      <c r="P2173">
        <v>326</v>
      </c>
      <c r="Q2173">
        <v>326</v>
      </c>
      <c r="R2173">
        <v>631</v>
      </c>
      <c r="S2173" t="s">
        <v>56</v>
      </c>
      <c r="T2173">
        <v>0.63</v>
      </c>
      <c r="U2173">
        <v>4</v>
      </c>
      <c r="V2173" t="s">
        <v>55</v>
      </c>
      <c r="W2173">
        <v>3.0000000000000001E-3</v>
      </c>
      <c r="X2173">
        <v>1</v>
      </c>
      <c r="Y2173" t="s">
        <v>47</v>
      </c>
      <c r="Z2173">
        <v>0</v>
      </c>
      <c r="AA2173">
        <v>202</v>
      </c>
      <c r="AB2173" t="s">
        <v>47</v>
      </c>
      <c r="AC2173">
        <v>0.20100000000000001</v>
      </c>
      <c r="AD2173">
        <v>243</v>
      </c>
      <c r="AE2173" t="s">
        <v>56</v>
      </c>
      <c r="AF2173">
        <v>0.24199999999999999</v>
      </c>
      <c r="AG2173">
        <v>135</v>
      </c>
      <c r="AH2173" t="s">
        <v>103</v>
      </c>
      <c r="AI2173">
        <v>0.13400000000000001</v>
      </c>
      <c r="AJ2173" t="s">
        <v>1141</v>
      </c>
    </row>
    <row r="2174" spans="1:36" x14ac:dyDescent="0.25">
      <c r="A2174" t="s">
        <v>415</v>
      </c>
      <c r="B2174">
        <v>852475520</v>
      </c>
      <c r="C2174" t="s">
        <v>416</v>
      </c>
      <c r="D2174" t="s">
        <v>416</v>
      </c>
      <c r="E2174" t="s">
        <v>65</v>
      </c>
      <c r="F2174" t="s">
        <v>83</v>
      </c>
      <c r="I2174" t="s">
        <v>39</v>
      </c>
      <c r="J2174" t="s">
        <v>40</v>
      </c>
      <c r="K2174" t="s">
        <v>41</v>
      </c>
      <c r="L2174" t="s">
        <v>151</v>
      </c>
      <c r="M2174" t="s">
        <v>73</v>
      </c>
      <c r="N2174" t="s">
        <v>43</v>
      </c>
      <c r="O2174" t="s">
        <v>84</v>
      </c>
      <c r="P2174">
        <v>326</v>
      </c>
      <c r="Q2174">
        <v>326</v>
      </c>
      <c r="R2174">
        <v>1001</v>
      </c>
      <c r="S2174" t="s">
        <v>56</v>
      </c>
      <c r="T2174">
        <v>1</v>
      </c>
      <c r="U2174">
        <v>2</v>
      </c>
      <c r="V2174" t="s">
        <v>55</v>
      </c>
      <c r="W2174">
        <v>1E-3</v>
      </c>
      <c r="X2174">
        <v>1</v>
      </c>
      <c r="Y2174" t="s">
        <v>47</v>
      </c>
      <c r="Z2174">
        <v>0</v>
      </c>
      <c r="AA2174">
        <v>267</v>
      </c>
      <c r="AB2174" t="s">
        <v>47</v>
      </c>
      <c r="AC2174">
        <v>0.26600000000000001</v>
      </c>
      <c r="AD2174">
        <v>290</v>
      </c>
      <c r="AE2174" t="s">
        <v>56</v>
      </c>
      <c r="AF2174">
        <v>0.28899999999999998</v>
      </c>
      <c r="AG2174">
        <v>235</v>
      </c>
      <c r="AH2174" t="s">
        <v>57</v>
      </c>
      <c r="AI2174">
        <v>0.23400000000000001</v>
      </c>
      <c r="AJ2174" t="s">
        <v>1153</v>
      </c>
    </row>
    <row r="2175" spans="1:36" x14ac:dyDescent="0.25">
      <c r="A2175" t="s">
        <v>415</v>
      </c>
      <c r="B2175">
        <v>852475520</v>
      </c>
      <c r="C2175" t="s">
        <v>416</v>
      </c>
      <c r="D2175" t="s">
        <v>416</v>
      </c>
      <c r="E2175" t="s">
        <v>60</v>
      </c>
      <c r="F2175" t="s">
        <v>83</v>
      </c>
      <c r="I2175" t="s">
        <v>39</v>
      </c>
      <c r="J2175" t="s">
        <v>40</v>
      </c>
      <c r="K2175" t="s">
        <v>41</v>
      </c>
      <c r="L2175" t="s">
        <v>151</v>
      </c>
      <c r="M2175" t="s">
        <v>73</v>
      </c>
      <c r="N2175" t="s">
        <v>43</v>
      </c>
      <c r="O2175" t="s">
        <v>375</v>
      </c>
      <c r="P2175">
        <v>326</v>
      </c>
      <c r="Q2175">
        <v>326</v>
      </c>
      <c r="R2175">
        <v>581</v>
      </c>
      <c r="S2175" t="s">
        <v>56</v>
      </c>
      <c r="T2175">
        <v>0.57999999999999996</v>
      </c>
      <c r="U2175">
        <v>4</v>
      </c>
      <c r="V2175" t="s">
        <v>55</v>
      </c>
      <c r="W2175">
        <v>3.0000000000000001E-3</v>
      </c>
      <c r="X2175">
        <v>1</v>
      </c>
      <c r="Y2175" t="s">
        <v>47</v>
      </c>
      <c r="Z2175">
        <v>0</v>
      </c>
      <c r="AA2175">
        <v>202</v>
      </c>
      <c r="AB2175" t="s">
        <v>47</v>
      </c>
      <c r="AC2175">
        <v>0.20100000000000001</v>
      </c>
      <c r="AD2175">
        <v>243</v>
      </c>
      <c r="AE2175" t="s">
        <v>56</v>
      </c>
      <c r="AF2175">
        <v>0.24199999999999999</v>
      </c>
      <c r="AG2175">
        <v>135</v>
      </c>
      <c r="AH2175" t="s">
        <v>103</v>
      </c>
      <c r="AI2175">
        <v>0.13400000000000001</v>
      </c>
      <c r="AJ2175" t="s">
        <v>1153</v>
      </c>
    </row>
    <row r="2176" spans="1:36" x14ac:dyDescent="0.25">
      <c r="A2176" t="s">
        <v>415</v>
      </c>
      <c r="B2176">
        <v>852475520</v>
      </c>
      <c r="C2176" t="s">
        <v>416</v>
      </c>
      <c r="D2176" t="s">
        <v>416</v>
      </c>
      <c r="E2176" t="s">
        <v>65</v>
      </c>
      <c r="F2176" t="s">
        <v>83</v>
      </c>
      <c r="I2176" t="s">
        <v>39</v>
      </c>
      <c r="J2176" t="s">
        <v>40</v>
      </c>
      <c r="K2176" t="s">
        <v>41</v>
      </c>
      <c r="L2176" t="s">
        <v>151</v>
      </c>
      <c r="M2176" t="s">
        <v>73</v>
      </c>
      <c r="N2176" t="s">
        <v>43</v>
      </c>
      <c r="O2176" t="s">
        <v>84</v>
      </c>
      <c r="P2176">
        <v>326</v>
      </c>
      <c r="Q2176">
        <v>326</v>
      </c>
      <c r="R2176">
        <v>1001</v>
      </c>
      <c r="S2176" t="s">
        <v>56</v>
      </c>
      <c r="T2176">
        <v>1</v>
      </c>
      <c r="U2176">
        <v>2</v>
      </c>
      <c r="V2176" t="s">
        <v>55</v>
      </c>
      <c r="W2176">
        <v>1E-3</v>
      </c>
      <c r="X2176">
        <v>1</v>
      </c>
      <c r="Y2176" t="s">
        <v>47</v>
      </c>
      <c r="Z2176">
        <v>0</v>
      </c>
      <c r="AA2176">
        <v>267</v>
      </c>
      <c r="AB2176" t="s">
        <v>47</v>
      </c>
      <c r="AC2176">
        <v>0.26600000000000001</v>
      </c>
      <c r="AD2176">
        <v>290</v>
      </c>
      <c r="AE2176" t="s">
        <v>56</v>
      </c>
      <c r="AF2176">
        <v>0.28899999999999998</v>
      </c>
      <c r="AG2176">
        <v>235</v>
      </c>
      <c r="AH2176" t="s">
        <v>57</v>
      </c>
      <c r="AI2176">
        <v>0.23400000000000001</v>
      </c>
      <c r="AJ2176" t="s">
        <v>1154</v>
      </c>
    </row>
    <row r="2177" spans="1:36" x14ac:dyDescent="0.25">
      <c r="A2177" t="s">
        <v>415</v>
      </c>
      <c r="B2177">
        <v>852475520</v>
      </c>
      <c r="C2177" t="s">
        <v>416</v>
      </c>
      <c r="D2177" t="s">
        <v>416</v>
      </c>
      <c r="E2177" t="s">
        <v>60</v>
      </c>
      <c r="F2177" t="s">
        <v>83</v>
      </c>
      <c r="I2177" t="s">
        <v>39</v>
      </c>
      <c r="J2177" t="s">
        <v>40</v>
      </c>
      <c r="K2177" t="s">
        <v>41</v>
      </c>
      <c r="L2177" t="s">
        <v>151</v>
      </c>
      <c r="M2177" t="s">
        <v>73</v>
      </c>
      <c r="N2177" t="s">
        <v>43</v>
      </c>
      <c r="O2177" t="s">
        <v>375</v>
      </c>
      <c r="P2177">
        <v>326</v>
      </c>
      <c r="Q2177">
        <v>326</v>
      </c>
      <c r="R2177">
        <v>581</v>
      </c>
      <c r="S2177" t="s">
        <v>56</v>
      </c>
      <c r="T2177">
        <v>0.57999999999999996</v>
      </c>
      <c r="U2177">
        <v>4</v>
      </c>
      <c r="V2177" t="s">
        <v>55</v>
      </c>
      <c r="W2177">
        <v>3.0000000000000001E-3</v>
      </c>
      <c r="X2177">
        <v>1</v>
      </c>
      <c r="Y2177" t="s">
        <v>47</v>
      </c>
      <c r="Z2177">
        <v>0</v>
      </c>
      <c r="AA2177">
        <v>202</v>
      </c>
      <c r="AB2177" t="s">
        <v>47</v>
      </c>
      <c r="AC2177">
        <v>0.20100000000000001</v>
      </c>
      <c r="AD2177">
        <v>243</v>
      </c>
      <c r="AE2177" t="s">
        <v>56</v>
      </c>
      <c r="AF2177">
        <v>0.24199999999999999</v>
      </c>
      <c r="AG2177">
        <v>135</v>
      </c>
      <c r="AH2177" t="s">
        <v>103</v>
      </c>
      <c r="AI2177">
        <v>0.13400000000000001</v>
      </c>
      <c r="AJ2177" t="s">
        <v>1154</v>
      </c>
    </row>
    <row r="2178" spans="1:36" x14ac:dyDescent="0.25">
      <c r="A2178" t="s">
        <v>415</v>
      </c>
      <c r="B2178">
        <v>852475520</v>
      </c>
      <c r="C2178" t="s">
        <v>416</v>
      </c>
      <c r="D2178" t="s">
        <v>416</v>
      </c>
      <c r="E2178" t="s">
        <v>65</v>
      </c>
      <c r="F2178" t="s">
        <v>83</v>
      </c>
      <c r="I2178" t="s">
        <v>39</v>
      </c>
      <c r="J2178" t="s">
        <v>40</v>
      </c>
      <c r="K2178" t="s">
        <v>41</v>
      </c>
      <c r="L2178" t="s">
        <v>151</v>
      </c>
      <c r="M2178" t="s">
        <v>73</v>
      </c>
      <c r="N2178" t="s">
        <v>43</v>
      </c>
      <c r="O2178" t="s">
        <v>84</v>
      </c>
      <c r="P2178">
        <v>326</v>
      </c>
      <c r="Q2178">
        <v>326</v>
      </c>
      <c r="S2178" t="s">
        <v>39</v>
      </c>
      <c r="V2178" t="s">
        <v>39</v>
      </c>
      <c r="X2178">
        <v>1</v>
      </c>
      <c r="Y2178" t="s">
        <v>47</v>
      </c>
      <c r="Z2178">
        <v>0</v>
      </c>
      <c r="AA2178">
        <v>267</v>
      </c>
      <c r="AB2178" t="s">
        <v>47</v>
      </c>
      <c r="AC2178">
        <v>0.26600000000000001</v>
      </c>
      <c r="AD2178">
        <v>290</v>
      </c>
      <c r="AE2178" t="s">
        <v>56</v>
      </c>
      <c r="AF2178">
        <v>0.28899999999999998</v>
      </c>
      <c r="AG2178">
        <v>235</v>
      </c>
      <c r="AH2178" t="s">
        <v>57</v>
      </c>
      <c r="AI2178">
        <v>0.23400000000000001</v>
      </c>
      <c r="AJ2178" t="s">
        <v>1155</v>
      </c>
    </row>
    <row r="2179" spans="1:36" x14ac:dyDescent="0.25">
      <c r="A2179" t="s">
        <v>415</v>
      </c>
      <c r="B2179">
        <v>852475520</v>
      </c>
      <c r="C2179" t="s">
        <v>416</v>
      </c>
      <c r="D2179" t="s">
        <v>416</v>
      </c>
      <c r="E2179" t="s">
        <v>60</v>
      </c>
      <c r="F2179" t="s">
        <v>83</v>
      </c>
      <c r="I2179" t="s">
        <v>39</v>
      </c>
      <c r="J2179" t="s">
        <v>40</v>
      </c>
      <c r="K2179" t="s">
        <v>41</v>
      </c>
      <c r="L2179" t="s">
        <v>151</v>
      </c>
      <c r="M2179" t="s">
        <v>73</v>
      </c>
      <c r="N2179" t="s">
        <v>43</v>
      </c>
      <c r="O2179" t="s">
        <v>375</v>
      </c>
      <c r="P2179">
        <v>326</v>
      </c>
      <c r="Q2179">
        <v>326</v>
      </c>
      <c r="S2179" t="s">
        <v>39</v>
      </c>
      <c r="V2179" t="s">
        <v>39</v>
      </c>
      <c r="X2179">
        <v>1</v>
      </c>
      <c r="Y2179" t="s">
        <v>47</v>
      </c>
      <c r="Z2179">
        <v>0</v>
      </c>
      <c r="AA2179">
        <v>202</v>
      </c>
      <c r="AB2179" t="s">
        <v>47</v>
      </c>
      <c r="AC2179">
        <v>0.20100000000000001</v>
      </c>
      <c r="AD2179">
        <v>243</v>
      </c>
      <c r="AE2179" t="s">
        <v>56</v>
      </c>
      <c r="AF2179">
        <v>0.24199999999999999</v>
      </c>
      <c r="AG2179">
        <v>135</v>
      </c>
      <c r="AH2179" t="s">
        <v>103</v>
      </c>
      <c r="AI2179">
        <v>0.13400000000000001</v>
      </c>
      <c r="AJ2179" t="s">
        <v>1155</v>
      </c>
    </row>
    <row r="2180" spans="1:36" x14ac:dyDescent="0.25">
      <c r="A2180" t="s">
        <v>413</v>
      </c>
      <c r="B2180">
        <v>853336315</v>
      </c>
      <c r="C2180" t="s">
        <v>414</v>
      </c>
      <c r="D2180" t="s">
        <v>414</v>
      </c>
      <c r="E2180" t="s">
        <v>65</v>
      </c>
      <c r="F2180" t="s">
        <v>166</v>
      </c>
      <c r="I2180" t="s">
        <v>39</v>
      </c>
      <c r="J2180" t="s">
        <v>40</v>
      </c>
      <c r="K2180" t="s">
        <v>41</v>
      </c>
      <c r="L2180" t="s">
        <v>89</v>
      </c>
      <c r="N2180" t="s">
        <v>43</v>
      </c>
      <c r="O2180" t="s">
        <v>71</v>
      </c>
      <c r="P2180">
        <v>328</v>
      </c>
      <c r="Q2180">
        <v>328</v>
      </c>
      <c r="R2180">
        <v>591</v>
      </c>
      <c r="S2180" t="s">
        <v>56</v>
      </c>
      <c r="T2180">
        <v>0.59</v>
      </c>
      <c r="U2180">
        <v>2</v>
      </c>
      <c r="V2180" t="s">
        <v>55</v>
      </c>
      <c r="W2180">
        <v>1E-3</v>
      </c>
      <c r="X2180">
        <v>1001</v>
      </c>
      <c r="Y2180" t="s">
        <v>47</v>
      </c>
      <c r="Z2180">
        <v>1</v>
      </c>
      <c r="AA2180">
        <v>142</v>
      </c>
      <c r="AB2180" t="s">
        <v>47</v>
      </c>
      <c r="AC2180">
        <v>0.14099999999999999</v>
      </c>
      <c r="AD2180">
        <v>315</v>
      </c>
      <c r="AE2180" t="s">
        <v>56</v>
      </c>
      <c r="AF2180">
        <v>0.314</v>
      </c>
      <c r="AG2180">
        <v>169</v>
      </c>
      <c r="AH2180" t="s">
        <v>103</v>
      </c>
      <c r="AI2180">
        <v>0.16800000000000001</v>
      </c>
      <c r="AJ2180" t="s">
        <v>50</v>
      </c>
    </row>
    <row r="2181" spans="1:36" x14ac:dyDescent="0.25">
      <c r="A2181" t="s">
        <v>413</v>
      </c>
      <c r="B2181">
        <v>853336315</v>
      </c>
      <c r="C2181" t="s">
        <v>414</v>
      </c>
      <c r="D2181" t="s">
        <v>414</v>
      </c>
      <c r="E2181" t="s">
        <v>65</v>
      </c>
      <c r="F2181" t="s">
        <v>166</v>
      </c>
      <c r="I2181" t="s">
        <v>39</v>
      </c>
      <c r="J2181" t="s">
        <v>40</v>
      </c>
      <c r="K2181" t="s">
        <v>41</v>
      </c>
      <c r="L2181" t="s">
        <v>89</v>
      </c>
      <c r="N2181" t="s">
        <v>43</v>
      </c>
      <c r="O2181" t="s">
        <v>71</v>
      </c>
      <c r="P2181">
        <v>328</v>
      </c>
      <c r="Q2181">
        <v>328</v>
      </c>
      <c r="R2181">
        <v>291</v>
      </c>
      <c r="S2181" t="s">
        <v>56</v>
      </c>
      <c r="T2181">
        <v>0.28999999999999998</v>
      </c>
      <c r="U2181">
        <v>1</v>
      </c>
      <c r="V2181" t="s">
        <v>55</v>
      </c>
      <c r="W2181">
        <v>0</v>
      </c>
      <c r="X2181">
        <v>1001</v>
      </c>
      <c r="Y2181" t="s">
        <v>47</v>
      </c>
      <c r="Z2181">
        <v>1</v>
      </c>
      <c r="AA2181">
        <v>142</v>
      </c>
      <c r="AB2181" t="s">
        <v>47</v>
      </c>
      <c r="AC2181">
        <v>0.14099999999999999</v>
      </c>
      <c r="AD2181">
        <v>315</v>
      </c>
      <c r="AE2181" t="s">
        <v>56</v>
      </c>
      <c r="AF2181">
        <v>0.314</v>
      </c>
      <c r="AG2181">
        <v>169</v>
      </c>
      <c r="AH2181" t="s">
        <v>103</v>
      </c>
      <c r="AI2181">
        <v>0.16800000000000001</v>
      </c>
      <c r="AJ2181" t="s">
        <v>1141</v>
      </c>
    </row>
    <row r="2182" spans="1:36" x14ac:dyDescent="0.25">
      <c r="A2182" t="s">
        <v>413</v>
      </c>
      <c r="B2182">
        <v>853336315</v>
      </c>
      <c r="C2182" t="s">
        <v>414</v>
      </c>
      <c r="D2182" t="s">
        <v>414</v>
      </c>
      <c r="E2182" t="s">
        <v>65</v>
      </c>
      <c r="F2182" t="s">
        <v>166</v>
      </c>
      <c r="I2182" t="s">
        <v>39</v>
      </c>
      <c r="J2182" t="s">
        <v>40</v>
      </c>
      <c r="K2182" t="s">
        <v>41</v>
      </c>
      <c r="L2182" t="s">
        <v>89</v>
      </c>
      <c r="N2182" t="s">
        <v>43</v>
      </c>
      <c r="O2182" t="s">
        <v>71</v>
      </c>
      <c r="P2182">
        <v>328</v>
      </c>
      <c r="Q2182">
        <v>328</v>
      </c>
      <c r="R2182">
        <v>591</v>
      </c>
      <c r="S2182" t="s">
        <v>56</v>
      </c>
      <c r="T2182">
        <v>0.59</v>
      </c>
      <c r="U2182">
        <v>2</v>
      </c>
      <c r="V2182" t="s">
        <v>55</v>
      </c>
      <c r="W2182">
        <v>1E-3</v>
      </c>
      <c r="X2182">
        <v>1001</v>
      </c>
      <c r="Y2182" t="s">
        <v>47</v>
      </c>
      <c r="Z2182">
        <v>1</v>
      </c>
      <c r="AA2182">
        <v>142</v>
      </c>
      <c r="AB2182" t="s">
        <v>47</v>
      </c>
      <c r="AC2182">
        <v>0.14099999999999999</v>
      </c>
      <c r="AD2182">
        <v>315</v>
      </c>
      <c r="AE2182" t="s">
        <v>56</v>
      </c>
      <c r="AF2182">
        <v>0.314</v>
      </c>
      <c r="AG2182">
        <v>169</v>
      </c>
      <c r="AH2182" t="s">
        <v>103</v>
      </c>
      <c r="AI2182">
        <v>0.16800000000000001</v>
      </c>
      <c r="AJ2182" t="s">
        <v>1153</v>
      </c>
    </row>
    <row r="2183" spans="1:36" x14ac:dyDescent="0.25">
      <c r="A2183" t="s">
        <v>413</v>
      </c>
      <c r="B2183">
        <v>853336315</v>
      </c>
      <c r="C2183" t="s">
        <v>414</v>
      </c>
      <c r="D2183" t="s">
        <v>414</v>
      </c>
      <c r="E2183" t="s">
        <v>65</v>
      </c>
      <c r="F2183" t="s">
        <v>166</v>
      </c>
      <c r="I2183" t="s">
        <v>39</v>
      </c>
      <c r="J2183" t="s">
        <v>40</v>
      </c>
      <c r="K2183" t="s">
        <v>41</v>
      </c>
      <c r="L2183" t="s">
        <v>89</v>
      </c>
      <c r="N2183" t="s">
        <v>43</v>
      </c>
      <c r="O2183" t="s">
        <v>71</v>
      </c>
      <c r="P2183">
        <v>328</v>
      </c>
      <c r="Q2183">
        <v>328</v>
      </c>
      <c r="R2183">
        <v>591</v>
      </c>
      <c r="S2183" t="s">
        <v>56</v>
      </c>
      <c r="T2183">
        <v>0.59</v>
      </c>
      <c r="U2183">
        <v>2</v>
      </c>
      <c r="V2183" t="s">
        <v>55</v>
      </c>
      <c r="W2183">
        <v>1E-3</v>
      </c>
      <c r="X2183">
        <v>1001</v>
      </c>
      <c r="Y2183" t="s">
        <v>47</v>
      </c>
      <c r="Z2183">
        <v>1</v>
      </c>
      <c r="AA2183">
        <v>142</v>
      </c>
      <c r="AB2183" t="s">
        <v>47</v>
      </c>
      <c r="AC2183">
        <v>0.14099999999999999</v>
      </c>
      <c r="AD2183">
        <v>315</v>
      </c>
      <c r="AE2183" t="s">
        <v>56</v>
      </c>
      <c r="AF2183">
        <v>0.314</v>
      </c>
      <c r="AG2183">
        <v>169</v>
      </c>
      <c r="AH2183" t="s">
        <v>103</v>
      </c>
      <c r="AI2183">
        <v>0.16800000000000001</v>
      </c>
      <c r="AJ2183" t="s">
        <v>1154</v>
      </c>
    </row>
    <row r="2184" spans="1:36" x14ac:dyDescent="0.25">
      <c r="A2184" t="s">
        <v>413</v>
      </c>
      <c r="B2184">
        <v>853336315</v>
      </c>
      <c r="C2184" t="s">
        <v>414</v>
      </c>
      <c r="D2184" t="s">
        <v>414</v>
      </c>
      <c r="E2184" t="s">
        <v>65</v>
      </c>
      <c r="F2184" t="s">
        <v>166</v>
      </c>
      <c r="I2184" t="s">
        <v>39</v>
      </c>
      <c r="J2184" t="s">
        <v>40</v>
      </c>
      <c r="K2184" t="s">
        <v>41</v>
      </c>
      <c r="L2184" t="s">
        <v>89</v>
      </c>
      <c r="N2184" t="s">
        <v>43</v>
      </c>
      <c r="O2184" t="s">
        <v>71</v>
      </c>
      <c r="P2184">
        <v>328</v>
      </c>
      <c r="Q2184">
        <v>328</v>
      </c>
      <c r="S2184" t="s">
        <v>39</v>
      </c>
      <c r="V2184" t="s">
        <v>39</v>
      </c>
      <c r="X2184">
        <v>1001</v>
      </c>
      <c r="Y2184" t="s">
        <v>47</v>
      </c>
      <c r="Z2184">
        <v>1</v>
      </c>
      <c r="AA2184">
        <v>142</v>
      </c>
      <c r="AB2184" t="s">
        <v>47</v>
      </c>
      <c r="AC2184">
        <v>0.14099999999999999</v>
      </c>
      <c r="AD2184">
        <v>315</v>
      </c>
      <c r="AE2184" t="s">
        <v>56</v>
      </c>
      <c r="AF2184">
        <v>0.314</v>
      </c>
      <c r="AG2184">
        <v>169</v>
      </c>
      <c r="AH2184" t="s">
        <v>103</v>
      </c>
      <c r="AI2184">
        <v>0.16800000000000001</v>
      </c>
      <c r="AJ2184" t="s">
        <v>1155</v>
      </c>
    </row>
    <row r="2185" spans="1:36" x14ac:dyDescent="0.25">
      <c r="A2185" t="s">
        <v>410</v>
      </c>
      <c r="B2185">
        <v>874098941</v>
      </c>
      <c r="C2185" t="s">
        <v>411</v>
      </c>
      <c r="D2185" t="s">
        <v>411</v>
      </c>
      <c r="E2185" t="s">
        <v>37</v>
      </c>
      <c r="F2185" t="s">
        <v>38</v>
      </c>
      <c r="I2185" t="s">
        <v>39</v>
      </c>
      <c r="J2185" t="s">
        <v>40</v>
      </c>
      <c r="K2185" t="s">
        <v>41</v>
      </c>
      <c r="L2185" t="s">
        <v>89</v>
      </c>
      <c r="N2185" t="s">
        <v>43</v>
      </c>
      <c r="O2185" t="s">
        <v>412</v>
      </c>
      <c r="P2185">
        <v>329</v>
      </c>
      <c r="Q2185">
        <v>329</v>
      </c>
      <c r="R2185">
        <v>31</v>
      </c>
      <c r="S2185" t="s">
        <v>45</v>
      </c>
      <c r="T2185">
        <v>0.03</v>
      </c>
      <c r="U2185">
        <v>1</v>
      </c>
      <c r="V2185" t="s">
        <v>55</v>
      </c>
      <c r="W2185">
        <v>0</v>
      </c>
      <c r="X2185">
        <v>1</v>
      </c>
      <c r="Y2185" t="s">
        <v>47</v>
      </c>
      <c r="Z2185">
        <v>0</v>
      </c>
      <c r="AA2185">
        <v>227</v>
      </c>
      <c r="AB2185" t="s">
        <v>47</v>
      </c>
      <c r="AC2185">
        <v>0.22600000000000001</v>
      </c>
      <c r="AD2185">
        <v>283</v>
      </c>
      <c r="AE2185" t="s">
        <v>56</v>
      </c>
      <c r="AF2185">
        <v>0.28199999999999997</v>
      </c>
      <c r="AG2185">
        <v>119</v>
      </c>
      <c r="AH2185" t="s">
        <v>103</v>
      </c>
      <c r="AI2185">
        <v>0.11799999999999999</v>
      </c>
      <c r="AJ2185" t="s">
        <v>50</v>
      </c>
    </row>
    <row r="2186" spans="1:36" x14ac:dyDescent="0.25">
      <c r="A2186" t="s">
        <v>410</v>
      </c>
      <c r="B2186">
        <v>874098941</v>
      </c>
      <c r="C2186" t="s">
        <v>411</v>
      </c>
      <c r="D2186" t="s">
        <v>411</v>
      </c>
      <c r="E2186" t="s">
        <v>37</v>
      </c>
      <c r="F2186" t="s">
        <v>38</v>
      </c>
      <c r="I2186" t="s">
        <v>39</v>
      </c>
      <c r="J2186" t="s">
        <v>40</v>
      </c>
      <c r="K2186" t="s">
        <v>41</v>
      </c>
      <c r="L2186" t="s">
        <v>89</v>
      </c>
      <c r="N2186" t="s">
        <v>43</v>
      </c>
      <c r="O2186" t="s">
        <v>412</v>
      </c>
      <c r="P2186">
        <v>329</v>
      </c>
      <c r="Q2186">
        <v>329</v>
      </c>
      <c r="R2186">
        <v>41</v>
      </c>
      <c r="S2186" t="s">
        <v>45</v>
      </c>
      <c r="T2186">
        <v>0.04</v>
      </c>
      <c r="U2186">
        <v>1</v>
      </c>
      <c r="V2186" t="s">
        <v>55</v>
      </c>
      <c r="W2186">
        <v>0</v>
      </c>
      <c r="X2186">
        <v>1</v>
      </c>
      <c r="Y2186" t="s">
        <v>47</v>
      </c>
      <c r="Z2186">
        <v>0</v>
      </c>
      <c r="AA2186">
        <v>227</v>
      </c>
      <c r="AB2186" t="s">
        <v>47</v>
      </c>
      <c r="AC2186">
        <v>0.22600000000000001</v>
      </c>
      <c r="AD2186">
        <v>283</v>
      </c>
      <c r="AE2186" t="s">
        <v>56</v>
      </c>
      <c r="AF2186">
        <v>0.28199999999999997</v>
      </c>
      <c r="AG2186">
        <v>119</v>
      </c>
      <c r="AH2186" t="s">
        <v>103</v>
      </c>
      <c r="AI2186">
        <v>0.11799999999999999</v>
      </c>
      <c r="AJ2186" t="s">
        <v>1141</v>
      </c>
    </row>
    <row r="2187" spans="1:36" x14ac:dyDescent="0.25">
      <c r="A2187" t="s">
        <v>410</v>
      </c>
      <c r="B2187">
        <v>874098941</v>
      </c>
      <c r="C2187" t="s">
        <v>411</v>
      </c>
      <c r="D2187" t="s">
        <v>411</v>
      </c>
      <c r="E2187" t="s">
        <v>37</v>
      </c>
      <c r="F2187" t="s">
        <v>38</v>
      </c>
      <c r="I2187" t="s">
        <v>39</v>
      </c>
      <c r="J2187" t="s">
        <v>40</v>
      </c>
      <c r="K2187" t="s">
        <v>41</v>
      </c>
      <c r="L2187" t="s">
        <v>89</v>
      </c>
      <c r="N2187" t="s">
        <v>43</v>
      </c>
      <c r="O2187" t="s">
        <v>412</v>
      </c>
      <c r="P2187">
        <v>329</v>
      </c>
      <c r="Q2187">
        <v>329</v>
      </c>
      <c r="R2187">
        <v>31</v>
      </c>
      <c r="S2187" t="s">
        <v>45</v>
      </c>
      <c r="T2187">
        <v>0.03</v>
      </c>
      <c r="U2187">
        <v>1</v>
      </c>
      <c r="V2187" t="s">
        <v>55</v>
      </c>
      <c r="W2187">
        <v>0</v>
      </c>
      <c r="X2187">
        <v>1</v>
      </c>
      <c r="Y2187" t="s">
        <v>47</v>
      </c>
      <c r="Z2187">
        <v>0</v>
      </c>
      <c r="AA2187">
        <v>227</v>
      </c>
      <c r="AB2187" t="s">
        <v>47</v>
      </c>
      <c r="AC2187">
        <v>0.22600000000000001</v>
      </c>
      <c r="AD2187">
        <v>283</v>
      </c>
      <c r="AE2187" t="s">
        <v>56</v>
      </c>
      <c r="AF2187">
        <v>0.28199999999999997</v>
      </c>
      <c r="AG2187">
        <v>119</v>
      </c>
      <c r="AH2187" t="s">
        <v>103</v>
      </c>
      <c r="AI2187">
        <v>0.11799999999999999</v>
      </c>
      <c r="AJ2187" t="s">
        <v>1153</v>
      </c>
    </row>
    <row r="2188" spans="1:36" x14ac:dyDescent="0.25">
      <c r="A2188" t="s">
        <v>410</v>
      </c>
      <c r="B2188">
        <v>874098941</v>
      </c>
      <c r="C2188" t="s">
        <v>411</v>
      </c>
      <c r="D2188" t="s">
        <v>411</v>
      </c>
      <c r="E2188" t="s">
        <v>37</v>
      </c>
      <c r="F2188" t="s">
        <v>38</v>
      </c>
      <c r="I2188" t="s">
        <v>39</v>
      </c>
      <c r="J2188" t="s">
        <v>40</v>
      </c>
      <c r="K2188" t="s">
        <v>41</v>
      </c>
      <c r="L2188" t="s">
        <v>89</v>
      </c>
      <c r="N2188" t="s">
        <v>43</v>
      </c>
      <c r="O2188" t="s">
        <v>412</v>
      </c>
      <c r="P2188">
        <v>329</v>
      </c>
      <c r="Q2188">
        <v>329</v>
      </c>
      <c r="R2188">
        <v>31</v>
      </c>
      <c r="S2188" t="s">
        <v>45</v>
      </c>
      <c r="T2188">
        <v>0.03</v>
      </c>
      <c r="U2188">
        <v>1</v>
      </c>
      <c r="V2188" t="s">
        <v>55</v>
      </c>
      <c r="W2188">
        <v>0</v>
      </c>
      <c r="X2188">
        <v>1</v>
      </c>
      <c r="Y2188" t="s">
        <v>47</v>
      </c>
      <c r="Z2188">
        <v>0</v>
      </c>
      <c r="AA2188">
        <v>227</v>
      </c>
      <c r="AB2188" t="s">
        <v>47</v>
      </c>
      <c r="AC2188">
        <v>0.22600000000000001</v>
      </c>
      <c r="AD2188">
        <v>283</v>
      </c>
      <c r="AE2188" t="s">
        <v>56</v>
      </c>
      <c r="AF2188">
        <v>0.28199999999999997</v>
      </c>
      <c r="AG2188">
        <v>119</v>
      </c>
      <c r="AH2188" t="s">
        <v>103</v>
      </c>
      <c r="AI2188">
        <v>0.11799999999999999</v>
      </c>
      <c r="AJ2188" t="s">
        <v>1154</v>
      </c>
    </row>
    <row r="2189" spans="1:36" x14ac:dyDescent="0.25">
      <c r="A2189" t="s">
        <v>410</v>
      </c>
      <c r="B2189">
        <v>874098941</v>
      </c>
      <c r="C2189" t="s">
        <v>411</v>
      </c>
      <c r="D2189" t="s">
        <v>411</v>
      </c>
      <c r="E2189" t="s">
        <v>37</v>
      </c>
      <c r="F2189" t="s">
        <v>38</v>
      </c>
      <c r="I2189" t="s">
        <v>39</v>
      </c>
      <c r="J2189" t="s">
        <v>40</v>
      </c>
      <c r="K2189" t="s">
        <v>41</v>
      </c>
      <c r="L2189" t="s">
        <v>89</v>
      </c>
      <c r="N2189" t="s">
        <v>43</v>
      </c>
      <c r="O2189" t="s">
        <v>412</v>
      </c>
      <c r="P2189">
        <v>329</v>
      </c>
      <c r="Q2189">
        <v>329</v>
      </c>
      <c r="S2189" t="s">
        <v>39</v>
      </c>
      <c r="V2189" t="s">
        <v>39</v>
      </c>
      <c r="X2189">
        <v>1</v>
      </c>
      <c r="Y2189" t="s">
        <v>47</v>
      </c>
      <c r="Z2189">
        <v>0</v>
      </c>
      <c r="AA2189">
        <v>227</v>
      </c>
      <c r="AB2189" t="s">
        <v>47</v>
      </c>
      <c r="AC2189">
        <v>0.22600000000000001</v>
      </c>
      <c r="AD2189">
        <v>283</v>
      </c>
      <c r="AE2189" t="s">
        <v>56</v>
      </c>
      <c r="AF2189">
        <v>0.28199999999999997</v>
      </c>
      <c r="AG2189">
        <v>119</v>
      </c>
      <c r="AH2189" t="s">
        <v>103</v>
      </c>
      <c r="AI2189">
        <v>0.11799999999999999</v>
      </c>
      <c r="AJ2189" t="s">
        <v>1155</v>
      </c>
    </row>
    <row r="2190" spans="1:36" x14ac:dyDescent="0.25">
      <c r="A2190" t="s">
        <v>407</v>
      </c>
      <c r="B2190">
        <v>854985664</v>
      </c>
      <c r="C2190" t="s">
        <v>408</v>
      </c>
      <c r="D2190" t="s">
        <v>408</v>
      </c>
      <c r="E2190" t="s">
        <v>65</v>
      </c>
      <c r="F2190" t="s">
        <v>83</v>
      </c>
      <c r="G2190" t="s">
        <v>65</v>
      </c>
      <c r="H2190">
        <v>1.9623199999999999E-4</v>
      </c>
      <c r="I2190" t="s">
        <v>268</v>
      </c>
      <c r="J2190" t="s">
        <v>40</v>
      </c>
      <c r="K2190" t="s">
        <v>41</v>
      </c>
      <c r="L2190" t="s">
        <v>331</v>
      </c>
      <c r="M2190" t="s">
        <v>73</v>
      </c>
      <c r="N2190" t="s">
        <v>43</v>
      </c>
      <c r="O2190" t="s">
        <v>253</v>
      </c>
      <c r="P2190">
        <v>331</v>
      </c>
      <c r="Q2190">
        <v>331</v>
      </c>
      <c r="R2190">
        <v>1</v>
      </c>
      <c r="S2190" t="s">
        <v>45</v>
      </c>
      <c r="T2190">
        <v>0</v>
      </c>
      <c r="U2190">
        <v>1001</v>
      </c>
      <c r="V2190" t="s">
        <v>46</v>
      </c>
      <c r="W2190">
        <v>1</v>
      </c>
      <c r="X2190">
        <v>26001</v>
      </c>
      <c r="Y2190" t="s">
        <v>47</v>
      </c>
      <c r="Z2190">
        <v>26</v>
      </c>
      <c r="AA2190">
        <v>865</v>
      </c>
      <c r="AB2190" t="s">
        <v>75</v>
      </c>
      <c r="AC2190">
        <v>0.86399999999999999</v>
      </c>
      <c r="AD2190">
        <v>960</v>
      </c>
      <c r="AE2190" t="s">
        <v>48</v>
      </c>
      <c r="AF2190">
        <v>0.95899999999999996</v>
      </c>
      <c r="AG2190">
        <v>979</v>
      </c>
      <c r="AH2190" t="s">
        <v>80</v>
      </c>
      <c r="AI2190">
        <v>0.97799999999999998</v>
      </c>
      <c r="AJ2190" t="s">
        <v>50</v>
      </c>
    </row>
    <row r="2191" spans="1:36" x14ac:dyDescent="0.25">
      <c r="A2191" t="s">
        <v>407</v>
      </c>
      <c r="B2191">
        <v>854985664</v>
      </c>
      <c r="C2191" t="s">
        <v>408</v>
      </c>
      <c r="D2191" t="s">
        <v>408</v>
      </c>
      <c r="E2191" t="s">
        <v>60</v>
      </c>
      <c r="F2191" t="s">
        <v>83</v>
      </c>
      <c r="G2191" t="s">
        <v>65</v>
      </c>
      <c r="H2191">
        <v>1.9623199999999999E-4</v>
      </c>
      <c r="I2191" t="s">
        <v>268</v>
      </c>
      <c r="J2191" t="s">
        <v>40</v>
      </c>
      <c r="K2191" t="s">
        <v>41</v>
      </c>
      <c r="L2191" t="s">
        <v>331</v>
      </c>
      <c r="M2191" t="s">
        <v>73</v>
      </c>
      <c r="N2191" t="s">
        <v>43</v>
      </c>
      <c r="O2191" t="s">
        <v>409</v>
      </c>
      <c r="P2191">
        <v>331</v>
      </c>
      <c r="Q2191">
        <v>331</v>
      </c>
      <c r="R2191">
        <v>1</v>
      </c>
      <c r="S2191" t="s">
        <v>45</v>
      </c>
      <c r="T2191">
        <v>0</v>
      </c>
      <c r="U2191">
        <v>994</v>
      </c>
      <c r="V2191" t="s">
        <v>46</v>
      </c>
      <c r="W2191">
        <v>0.99299999999999999</v>
      </c>
      <c r="X2191">
        <v>25001</v>
      </c>
      <c r="Y2191" t="s">
        <v>47</v>
      </c>
      <c r="Z2191">
        <v>25</v>
      </c>
      <c r="AA2191">
        <v>866</v>
      </c>
      <c r="AB2191" t="s">
        <v>75</v>
      </c>
      <c r="AC2191">
        <v>0.86499999999999999</v>
      </c>
      <c r="AD2191">
        <v>950</v>
      </c>
      <c r="AE2191" t="s">
        <v>48</v>
      </c>
      <c r="AF2191">
        <v>0.94899999999999995</v>
      </c>
      <c r="AG2191">
        <v>959</v>
      </c>
      <c r="AH2191" t="s">
        <v>80</v>
      </c>
      <c r="AI2191">
        <v>0.95799999999999996</v>
      </c>
      <c r="AJ2191" t="s">
        <v>50</v>
      </c>
    </row>
    <row r="2192" spans="1:36" x14ac:dyDescent="0.25">
      <c r="A2192" t="s">
        <v>407</v>
      </c>
      <c r="B2192">
        <v>854985664</v>
      </c>
      <c r="C2192" t="s">
        <v>408</v>
      </c>
      <c r="D2192" t="s">
        <v>408</v>
      </c>
      <c r="E2192" t="s">
        <v>65</v>
      </c>
      <c r="F2192" t="s">
        <v>83</v>
      </c>
      <c r="G2192" t="s">
        <v>65</v>
      </c>
      <c r="H2192">
        <v>1.9623199999999999E-4</v>
      </c>
      <c r="I2192" t="s">
        <v>268</v>
      </c>
      <c r="J2192" t="s">
        <v>40</v>
      </c>
      <c r="K2192" t="s">
        <v>41</v>
      </c>
      <c r="L2192" t="s">
        <v>331</v>
      </c>
      <c r="M2192" t="s">
        <v>73</v>
      </c>
      <c r="N2192" t="s">
        <v>43</v>
      </c>
      <c r="O2192" t="s">
        <v>253</v>
      </c>
      <c r="P2192">
        <v>331</v>
      </c>
      <c r="Q2192">
        <v>331</v>
      </c>
      <c r="R2192">
        <v>1</v>
      </c>
      <c r="S2192" t="s">
        <v>45</v>
      </c>
      <c r="T2192">
        <v>0</v>
      </c>
      <c r="U2192">
        <v>1000</v>
      </c>
      <c r="V2192" t="s">
        <v>46</v>
      </c>
      <c r="W2192">
        <v>0.999</v>
      </c>
      <c r="X2192">
        <v>26001</v>
      </c>
      <c r="Y2192" t="s">
        <v>47</v>
      </c>
      <c r="Z2192">
        <v>26</v>
      </c>
      <c r="AA2192">
        <v>865</v>
      </c>
      <c r="AB2192" t="s">
        <v>75</v>
      </c>
      <c r="AC2192">
        <v>0.86399999999999999</v>
      </c>
      <c r="AD2192">
        <v>960</v>
      </c>
      <c r="AE2192" t="s">
        <v>48</v>
      </c>
      <c r="AF2192">
        <v>0.95899999999999996</v>
      </c>
      <c r="AG2192">
        <v>979</v>
      </c>
      <c r="AH2192" t="s">
        <v>80</v>
      </c>
      <c r="AI2192">
        <v>0.97799999999999998</v>
      </c>
      <c r="AJ2192" t="s">
        <v>1141</v>
      </c>
    </row>
    <row r="2193" spans="1:36" x14ac:dyDescent="0.25">
      <c r="A2193" t="s">
        <v>407</v>
      </c>
      <c r="B2193">
        <v>854985664</v>
      </c>
      <c r="C2193" t="s">
        <v>408</v>
      </c>
      <c r="D2193" t="s">
        <v>408</v>
      </c>
      <c r="E2193" t="s">
        <v>60</v>
      </c>
      <c r="F2193" t="s">
        <v>83</v>
      </c>
      <c r="G2193" t="s">
        <v>65</v>
      </c>
      <c r="H2193">
        <v>1.9623199999999999E-4</v>
      </c>
      <c r="I2193" t="s">
        <v>268</v>
      </c>
      <c r="J2193" t="s">
        <v>40</v>
      </c>
      <c r="K2193" t="s">
        <v>41</v>
      </c>
      <c r="L2193" t="s">
        <v>331</v>
      </c>
      <c r="M2193" t="s">
        <v>73</v>
      </c>
      <c r="N2193" t="s">
        <v>43</v>
      </c>
      <c r="O2193" t="s">
        <v>409</v>
      </c>
      <c r="P2193">
        <v>331</v>
      </c>
      <c r="Q2193">
        <v>331</v>
      </c>
      <c r="R2193">
        <v>1</v>
      </c>
      <c r="S2193" t="s">
        <v>45</v>
      </c>
      <c r="T2193">
        <v>0</v>
      </c>
      <c r="U2193">
        <v>991</v>
      </c>
      <c r="V2193" t="s">
        <v>46</v>
      </c>
      <c r="W2193">
        <v>0.99</v>
      </c>
      <c r="X2193">
        <v>25001</v>
      </c>
      <c r="Y2193" t="s">
        <v>47</v>
      </c>
      <c r="Z2193">
        <v>25</v>
      </c>
      <c r="AA2193">
        <v>866</v>
      </c>
      <c r="AB2193" t="s">
        <v>75</v>
      </c>
      <c r="AC2193">
        <v>0.86499999999999999</v>
      </c>
      <c r="AD2193">
        <v>950</v>
      </c>
      <c r="AE2193" t="s">
        <v>48</v>
      </c>
      <c r="AF2193">
        <v>0.94899999999999995</v>
      </c>
      <c r="AG2193">
        <v>959</v>
      </c>
      <c r="AH2193" t="s">
        <v>80</v>
      </c>
      <c r="AI2193">
        <v>0.95799999999999996</v>
      </c>
      <c r="AJ2193" t="s">
        <v>1141</v>
      </c>
    </row>
    <row r="2194" spans="1:36" x14ac:dyDescent="0.25">
      <c r="A2194" t="s">
        <v>407</v>
      </c>
      <c r="B2194">
        <v>854985664</v>
      </c>
      <c r="C2194" t="s">
        <v>408</v>
      </c>
      <c r="D2194" t="s">
        <v>408</v>
      </c>
      <c r="E2194" t="s">
        <v>65</v>
      </c>
      <c r="F2194" t="s">
        <v>83</v>
      </c>
      <c r="G2194" t="s">
        <v>65</v>
      </c>
      <c r="H2194">
        <v>1.9623199999999999E-4</v>
      </c>
      <c r="I2194" t="s">
        <v>268</v>
      </c>
      <c r="J2194" t="s">
        <v>40</v>
      </c>
      <c r="K2194" t="s">
        <v>41</v>
      </c>
      <c r="L2194" t="s">
        <v>331</v>
      </c>
      <c r="M2194" t="s">
        <v>73</v>
      </c>
      <c r="N2194" t="s">
        <v>43</v>
      </c>
      <c r="O2194" t="s">
        <v>253</v>
      </c>
      <c r="P2194">
        <v>331</v>
      </c>
      <c r="Q2194">
        <v>331</v>
      </c>
      <c r="R2194">
        <v>1</v>
      </c>
      <c r="S2194" t="s">
        <v>45</v>
      </c>
      <c r="T2194">
        <v>0</v>
      </c>
      <c r="U2194">
        <v>1001</v>
      </c>
      <c r="V2194" t="s">
        <v>46</v>
      </c>
      <c r="W2194">
        <v>1</v>
      </c>
      <c r="X2194">
        <v>26001</v>
      </c>
      <c r="Y2194" t="s">
        <v>47</v>
      </c>
      <c r="Z2194">
        <v>26</v>
      </c>
      <c r="AA2194">
        <v>865</v>
      </c>
      <c r="AB2194" t="s">
        <v>75</v>
      </c>
      <c r="AC2194">
        <v>0.86399999999999999</v>
      </c>
      <c r="AD2194">
        <v>960</v>
      </c>
      <c r="AE2194" t="s">
        <v>48</v>
      </c>
      <c r="AF2194">
        <v>0.95899999999999996</v>
      </c>
      <c r="AG2194">
        <v>979</v>
      </c>
      <c r="AH2194" t="s">
        <v>80</v>
      </c>
      <c r="AI2194">
        <v>0.97799999999999998</v>
      </c>
      <c r="AJ2194" t="s">
        <v>1153</v>
      </c>
    </row>
    <row r="2195" spans="1:36" x14ac:dyDescent="0.25">
      <c r="A2195" t="s">
        <v>407</v>
      </c>
      <c r="B2195">
        <v>854985664</v>
      </c>
      <c r="C2195" t="s">
        <v>408</v>
      </c>
      <c r="D2195" t="s">
        <v>408</v>
      </c>
      <c r="E2195" t="s">
        <v>60</v>
      </c>
      <c r="F2195" t="s">
        <v>83</v>
      </c>
      <c r="G2195" t="s">
        <v>65</v>
      </c>
      <c r="H2195">
        <v>1.9623199999999999E-4</v>
      </c>
      <c r="I2195" t="s">
        <v>268</v>
      </c>
      <c r="J2195" t="s">
        <v>40</v>
      </c>
      <c r="K2195" t="s">
        <v>41</v>
      </c>
      <c r="L2195" t="s">
        <v>331</v>
      </c>
      <c r="M2195" t="s">
        <v>73</v>
      </c>
      <c r="N2195" t="s">
        <v>43</v>
      </c>
      <c r="O2195" t="s">
        <v>409</v>
      </c>
      <c r="P2195">
        <v>331</v>
      </c>
      <c r="Q2195">
        <v>331</v>
      </c>
      <c r="R2195">
        <v>1</v>
      </c>
      <c r="S2195" t="s">
        <v>45</v>
      </c>
      <c r="T2195">
        <v>0</v>
      </c>
      <c r="U2195">
        <v>994</v>
      </c>
      <c r="V2195" t="s">
        <v>46</v>
      </c>
      <c r="W2195">
        <v>0.99299999999999999</v>
      </c>
      <c r="X2195">
        <v>25001</v>
      </c>
      <c r="Y2195" t="s">
        <v>47</v>
      </c>
      <c r="Z2195">
        <v>25</v>
      </c>
      <c r="AA2195">
        <v>866</v>
      </c>
      <c r="AB2195" t="s">
        <v>75</v>
      </c>
      <c r="AC2195">
        <v>0.86499999999999999</v>
      </c>
      <c r="AD2195">
        <v>950</v>
      </c>
      <c r="AE2195" t="s">
        <v>48</v>
      </c>
      <c r="AF2195">
        <v>0.94899999999999995</v>
      </c>
      <c r="AG2195">
        <v>959</v>
      </c>
      <c r="AH2195" t="s">
        <v>80</v>
      </c>
      <c r="AI2195">
        <v>0.95799999999999996</v>
      </c>
      <c r="AJ2195" t="s">
        <v>1153</v>
      </c>
    </row>
    <row r="2196" spans="1:36" x14ac:dyDescent="0.25">
      <c r="A2196" t="s">
        <v>407</v>
      </c>
      <c r="B2196">
        <v>854985664</v>
      </c>
      <c r="C2196" t="s">
        <v>408</v>
      </c>
      <c r="D2196" t="s">
        <v>408</v>
      </c>
      <c r="E2196" t="s">
        <v>65</v>
      </c>
      <c r="F2196" t="s">
        <v>83</v>
      </c>
      <c r="G2196" t="s">
        <v>65</v>
      </c>
      <c r="H2196">
        <v>1.9623199999999999E-4</v>
      </c>
      <c r="I2196" t="s">
        <v>268</v>
      </c>
      <c r="J2196" t="s">
        <v>40</v>
      </c>
      <c r="K2196" t="s">
        <v>41</v>
      </c>
      <c r="L2196" t="s">
        <v>331</v>
      </c>
      <c r="M2196" t="s">
        <v>73</v>
      </c>
      <c r="N2196" t="s">
        <v>43</v>
      </c>
      <c r="O2196" t="s">
        <v>253</v>
      </c>
      <c r="P2196">
        <v>331</v>
      </c>
      <c r="Q2196">
        <v>331</v>
      </c>
      <c r="R2196">
        <v>1</v>
      </c>
      <c r="S2196" t="s">
        <v>45</v>
      </c>
      <c r="T2196">
        <v>0</v>
      </c>
      <c r="U2196">
        <v>1001</v>
      </c>
      <c r="V2196" t="s">
        <v>46</v>
      </c>
      <c r="W2196">
        <v>1</v>
      </c>
      <c r="X2196">
        <v>26001</v>
      </c>
      <c r="Y2196" t="s">
        <v>47</v>
      </c>
      <c r="Z2196">
        <v>26</v>
      </c>
      <c r="AA2196">
        <v>865</v>
      </c>
      <c r="AB2196" t="s">
        <v>75</v>
      </c>
      <c r="AC2196">
        <v>0.86399999999999999</v>
      </c>
      <c r="AD2196">
        <v>960</v>
      </c>
      <c r="AE2196" t="s">
        <v>48</v>
      </c>
      <c r="AF2196">
        <v>0.95899999999999996</v>
      </c>
      <c r="AG2196">
        <v>979</v>
      </c>
      <c r="AH2196" t="s">
        <v>80</v>
      </c>
      <c r="AI2196">
        <v>0.97799999999999998</v>
      </c>
      <c r="AJ2196" t="s">
        <v>1154</v>
      </c>
    </row>
    <row r="2197" spans="1:36" x14ac:dyDescent="0.25">
      <c r="A2197" t="s">
        <v>407</v>
      </c>
      <c r="B2197">
        <v>854985664</v>
      </c>
      <c r="C2197" t="s">
        <v>408</v>
      </c>
      <c r="D2197" t="s">
        <v>408</v>
      </c>
      <c r="E2197" t="s">
        <v>60</v>
      </c>
      <c r="F2197" t="s">
        <v>83</v>
      </c>
      <c r="G2197" t="s">
        <v>65</v>
      </c>
      <c r="H2197">
        <v>1.9623199999999999E-4</v>
      </c>
      <c r="I2197" t="s">
        <v>268</v>
      </c>
      <c r="J2197" t="s">
        <v>40</v>
      </c>
      <c r="K2197" t="s">
        <v>41</v>
      </c>
      <c r="L2197" t="s">
        <v>331</v>
      </c>
      <c r="M2197" t="s">
        <v>73</v>
      </c>
      <c r="N2197" t="s">
        <v>43</v>
      </c>
      <c r="O2197" t="s">
        <v>409</v>
      </c>
      <c r="P2197">
        <v>331</v>
      </c>
      <c r="Q2197">
        <v>331</v>
      </c>
      <c r="R2197">
        <v>1</v>
      </c>
      <c r="S2197" t="s">
        <v>45</v>
      </c>
      <c r="T2197">
        <v>0</v>
      </c>
      <c r="U2197">
        <v>994</v>
      </c>
      <c r="V2197" t="s">
        <v>46</v>
      </c>
      <c r="W2197">
        <v>0.99299999999999999</v>
      </c>
      <c r="X2197">
        <v>25001</v>
      </c>
      <c r="Y2197" t="s">
        <v>47</v>
      </c>
      <c r="Z2197">
        <v>25</v>
      </c>
      <c r="AA2197">
        <v>866</v>
      </c>
      <c r="AB2197" t="s">
        <v>75</v>
      </c>
      <c r="AC2197">
        <v>0.86499999999999999</v>
      </c>
      <c r="AD2197">
        <v>950</v>
      </c>
      <c r="AE2197" t="s">
        <v>48</v>
      </c>
      <c r="AF2197">
        <v>0.94899999999999995</v>
      </c>
      <c r="AG2197">
        <v>959</v>
      </c>
      <c r="AH2197" t="s">
        <v>80</v>
      </c>
      <c r="AI2197">
        <v>0.95799999999999996</v>
      </c>
      <c r="AJ2197" t="s">
        <v>1154</v>
      </c>
    </row>
    <row r="2198" spans="1:36" x14ac:dyDescent="0.25">
      <c r="A2198" t="s">
        <v>407</v>
      </c>
      <c r="B2198">
        <v>854985664</v>
      </c>
      <c r="C2198" t="s">
        <v>408</v>
      </c>
      <c r="D2198" t="s">
        <v>408</v>
      </c>
      <c r="E2198" t="s">
        <v>65</v>
      </c>
      <c r="F2198" t="s">
        <v>83</v>
      </c>
      <c r="G2198" t="s">
        <v>65</v>
      </c>
      <c r="H2198">
        <v>1.9623199999999999E-4</v>
      </c>
      <c r="I2198" t="s">
        <v>268</v>
      </c>
      <c r="J2198" t="s">
        <v>40</v>
      </c>
      <c r="K2198" t="s">
        <v>41</v>
      </c>
      <c r="L2198" t="s">
        <v>331</v>
      </c>
      <c r="M2198" t="s">
        <v>73</v>
      </c>
      <c r="N2198" t="s">
        <v>43</v>
      </c>
      <c r="O2198" t="s">
        <v>253</v>
      </c>
      <c r="P2198">
        <v>331</v>
      </c>
      <c r="Q2198">
        <v>331</v>
      </c>
      <c r="S2198" t="s">
        <v>39</v>
      </c>
      <c r="V2198" t="s">
        <v>39</v>
      </c>
      <c r="X2198">
        <v>26001</v>
      </c>
      <c r="Y2198" t="s">
        <v>47</v>
      </c>
      <c r="Z2198">
        <v>26</v>
      </c>
      <c r="AA2198">
        <v>865</v>
      </c>
      <c r="AB2198" t="s">
        <v>75</v>
      </c>
      <c r="AC2198">
        <v>0.86399999999999999</v>
      </c>
      <c r="AD2198">
        <v>960</v>
      </c>
      <c r="AE2198" t="s">
        <v>48</v>
      </c>
      <c r="AF2198">
        <v>0.95899999999999996</v>
      </c>
      <c r="AG2198">
        <v>979</v>
      </c>
      <c r="AH2198" t="s">
        <v>80</v>
      </c>
      <c r="AI2198">
        <v>0.97799999999999998</v>
      </c>
      <c r="AJ2198" t="s">
        <v>1155</v>
      </c>
    </row>
    <row r="2199" spans="1:36" x14ac:dyDescent="0.25">
      <c r="A2199" t="s">
        <v>407</v>
      </c>
      <c r="B2199">
        <v>854985664</v>
      </c>
      <c r="C2199" t="s">
        <v>408</v>
      </c>
      <c r="D2199" t="s">
        <v>408</v>
      </c>
      <c r="E2199" t="s">
        <v>60</v>
      </c>
      <c r="F2199" t="s">
        <v>83</v>
      </c>
      <c r="G2199" t="s">
        <v>65</v>
      </c>
      <c r="H2199">
        <v>1.9623199999999999E-4</v>
      </c>
      <c r="I2199" t="s">
        <v>268</v>
      </c>
      <c r="J2199" t="s">
        <v>40</v>
      </c>
      <c r="K2199" t="s">
        <v>41</v>
      </c>
      <c r="L2199" t="s">
        <v>331</v>
      </c>
      <c r="M2199" t="s">
        <v>73</v>
      </c>
      <c r="N2199" t="s">
        <v>43</v>
      </c>
      <c r="O2199" t="s">
        <v>409</v>
      </c>
      <c r="P2199">
        <v>331</v>
      </c>
      <c r="Q2199">
        <v>331</v>
      </c>
      <c r="S2199" t="s">
        <v>39</v>
      </c>
      <c r="V2199" t="s">
        <v>39</v>
      </c>
      <c r="X2199">
        <v>25001</v>
      </c>
      <c r="Y2199" t="s">
        <v>47</v>
      </c>
      <c r="Z2199">
        <v>25</v>
      </c>
      <c r="AA2199">
        <v>866</v>
      </c>
      <c r="AB2199" t="s">
        <v>75</v>
      </c>
      <c r="AC2199">
        <v>0.86499999999999999</v>
      </c>
      <c r="AD2199">
        <v>950</v>
      </c>
      <c r="AE2199" t="s">
        <v>48</v>
      </c>
      <c r="AF2199">
        <v>0.94899999999999995</v>
      </c>
      <c r="AG2199">
        <v>959</v>
      </c>
      <c r="AH2199" t="s">
        <v>80</v>
      </c>
      <c r="AI2199">
        <v>0.95799999999999996</v>
      </c>
      <c r="AJ2199" t="s">
        <v>1155</v>
      </c>
    </row>
    <row r="2200" spans="1:36" x14ac:dyDescent="0.25">
      <c r="A2200" t="s">
        <v>404</v>
      </c>
      <c r="B2200">
        <v>881480488</v>
      </c>
      <c r="C2200" t="s">
        <v>405</v>
      </c>
      <c r="D2200" t="s">
        <v>405</v>
      </c>
      <c r="E2200" t="s">
        <v>37</v>
      </c>
      <c r="F2200" t="s">
        <v>38</v>
      </c>
      <c r="I2200" t="s">
        <v>39</v>
      </c>
      <c r="J2200" t="s">
        <v>40</v>
      </c>
      <c r="K2200" t="s">
        <v>41</v>
      </c>
      <c r="L2200" t="s">
        <v>406</v>
      </c>
      <c r="M2200" t="s">
        <v>73</v>
      </c>
      <c r="N2200" t="s">
        <v>43</v>
      </c>
      <c r="O2200" t="s">
        <v>139</v>
      </c>
      <c r="P2200">
        <v>333</v>
      </c>
      <c r="Q2200">
        <v>333</v>
      </c>
      <c r="R2200">
        <v>61</v>
      </c>
      <c r="S2200" t="s">
        <v>56</v>
      </c>
      <c r="T2200">
        <v>0.06</v>
      </c>
      <c r="U2200">
        <v>934</v>
      </c>
      <c r="V2200" t="s">
        <v>46</v>
      </c>
      <c r="W2200">
        <v>0.93300000000000005</v>
      </c>
      <c r="X2200">
        <v>20001</v>
      </c>
      <c r="Y2200" t="s">
        <v>47</v>
      </c>
      <c r="Z2200">
        <v>20</v>
      </c>
      <c r="AA2200">
        <v>211</v>
      </c>
      <c r="AB2200" t="s">
        <v>47</v>
      </c>
      <c r="AC2200">
        <v>0.21</v>
      </c>
      <c r="AD2200">
        <v>533</v>
      </c>
      <c r="AE2200" t="s">
        <v>48</v>
      </c>
      <c r="AF2200">
        <v>0.53200000000000003</v>
      </c>
      <c r="AG2200">
        <v>566</v>
      </c>
      <c r="AH2200" t="s">
        <v>49</v>
      </c>
      <c r="AI2200">
        <v>0.56499999999999995</v>
      </c>
      <c r="AJ2200" t="s">
        <v>50</v>
      </c>
    </row>
    <row r="2201" spans="1:36" x14ac:dyDescent="0.25">
      <c r="A2201" t="s">
        <v>404</v>
      </c>
      <c r="B2201">
        <v>881480488</v>
      </c>
      <c r="C2201" t="s">
        <v>405</v>
      </c>
      <c r="D2201" t="s">
        <v>405</v>
      </c>
      <c r="E2201" t="s">
        <v>37</v>
      </c>
      <c r="F2201" t="s">
        <v>38</v>
      </c>
      <c r="I2201" t="s">
        <v>39</v>
      </c>
      <c r="J2201" t="s">
        <v>40</v>
      </c>
      <c r="K2201" t="s">
        <v>41</v>
      </c>
      <c r="L2201" t="s">
        <v>406</v>
      </c>
      <c r="M2201" t="s">
        <v>73</v>
      </c>
      <c r="N2201" t="s">
        <v>43</v>
      </c>
      <c r="O2201" t="s">
        <v>139</v>
      </c>
      <c r="P2201">
        <v>333</v>
      </c>
      <c r="Q2201">
        <v>333</v>
      </c>
      <c r="R2201">
        <v>61</v>
      </c>
      <c r="S2201" t="s">
        <v>56</v>
      </c>
      <c r="T2201">
        <v>0.06</v>
      </c>
      <c r="U2201">
        <v>568</v>
      </c>
      <c r="V2201" t="s">
        <v>113</v>
      </c>
      <c r="W2201">
        <v>0.56699999999999995</v>
      </c>
      <c r="X2201">
        <v>20001</v>
      </c>
      <c r="Y2201" t="s">
        <v>47</v>
      </c>
      <c r="Z2201">
        <v>20</v>
      </c>
      <c r="AA2201">
        <v>211</v>
      </c>
      <c r="AB2201" t="s">
        <v>47</v>
      </c>
      <c r="AC2201">
        <v>0.21</v>
      </c>
      <c r="AD2201">
        <v>533</v>
      </c>
      <c r="AE2201" t="s">
        <v>48</v>
      </c>
      <c r="AF2201">
        <v>0.53200000000000003</v>
      </c>
      <c r="AG2201">
        <v>566</v>
      </c>
      <c r="AH2201" t="s">
        <v>49</v>
      </c>
      <c r="AI2201">
        <v>0.56499999999999995</v>
      </c>
      <c r="AJ2201" t="s">
        <v>1141</v>
      </c>
    </row>
    <row r="2202" spans="1:36" x14ac:dyDescent="0.25">
      <c r="A2202" t="s">
        <v>404</v>
      </c>
      <c r="B2202">
        <v>881480488</v>
      </c>
      <c r="C2202" t="s">
        <v>405</v>
      </c>
      <c r="D2202" t="s">
        <v>405</v>
      </c>
      <c r="E2202" t="s">
        <v>37</v>
      </c>
      <c r="F2202" t="s">
        <v>38</v>
      </c>
      <c r="I2202" t="s">
        <v>39</v>
      </c>
      <c r="J2202" t="s">
        <v>40</v>
      </c>
      <c r="K2202" t="s">
        <v>41</v>
      </c>
      <c r="L2202" t="s">
        <v>406</v>
      </c>
      <c r="M2202" t="s">
        <v>73</v>
      </c>
      <c r="N2202" t="s">
        <v>43</v>
      </c>
      <c r="O2202" t="s">
        <v>139</v>
      </c>
      <c r="P2202">
        <v>333</v>
      </c>
      <c r="Q2202">
        <v>333</v>
      </c>
      <c r="R2202">
        <v>61</v>
      </c>
      <c r="S2202" t="s">
        <v>56</v>
      </c>
      <c r="T2202">
        <v>0.06</v>
      </c>
      <c r="U2202">
        <v>934</v>
      </c>
      <c r="V2202" t="s">
        <v>46</v>
      </c>
      <c r="W2202">
        <v>0.93300000000000005</v>
      </c>
      <c r="X2202">
        <v>20001</v>
      </c>
      <c r="Y2202" t="s">
        <v>47</v>
      </c>
      <c r="Z2202">
        <v>20</v>
      </c>
      <c r="AA2202">
        <v>211</v>
      </c>
      <c r="AB2202" t="s">
        <v>47</v>
      </c>
      <c r="AC2202">
        <v>0.21</v>
      </c>
      <c r="AD2202">
        <v>533</v>
      </c>
      <c r="AE2202" t="s">
        <v>48</v>
      </c>
      <c r="AF2202">
        <v>0.53200000000000003</v>
      </c>
      <c r="AG2202">
        <v>566</v>
      </c>
      <c r="AH2202" t="s">
        <v>49</v>
      </c>
      <c r="AI2202">
        <v>0.56499999999999995</v>
      </c>
      <c r="AJ2202" t="s">
        <v>1153</v>
      </c>
    </row>
    <row r="2203" spans="1:36" x14ac:dyDescent="0.25">
      <c r="A2203" t="s">
        <v>404</v>
      </c>
      <c r="B2203">
        <v>881480488</v>
      </c>
      <c r="C2203" t="s">
        <v>405</v>
      </c>
      <c r="D2203" t="s">
        <v>405</v>
      </c>
      <c r="E2203" t="s">
        <v>37</v>
      </c>
      <c r="F2203" t="s">
        <v>38</v>
      </c>
      <c r="I2203" t="s">
        <v>39</v>
      </c>
      <c r="J2203" t="s">
        <v>40</v>
      </c>
      <c r="K2203" t="s">
        <v>41</v>
      </c>
      <c r="L2203" t="s">
        <v>406</v>
      </c>
      <c r="M2203" t="s">
        <v>73</v>
      </c>
      <c r="N2203" t="s">
        <v>43</v>
      </c>
      <c r="O2203" t="s">
        <v>139</v>
      </c>
      <c r="P2203">
        <v>333</v>
      </c>
      <c r="Q2203">
        <v>333</v>
      </c>
      <c r="R2203">
        <v>61</v>
      </c>
      <c r="S2203" t="s">
        <v>56</v>
      </c>
      <c r="T2203">
        <v>0.06</v>
      </c>
      <c r="U2203">
        <v>934</v>
      </c>
      <c r="V2203" t="s">
        <v>46</v>
      </c>
      <c r="W2203">
        <v>0.93300000000000005</v>
      </c>
      <c r="X2203">
        <v>20001</v>
      </c>
      <c r="Y2203" t="s">
        <v>47</v>
      </c>
      <c r="Z2203">
        <v>20</v>
      </c>
      <c r="AA2203">
        <v>211</v>
      </c>
      <c r="AB2203" t="s">
        <v>47</v>
      </c>
      <c r="AC2203">
        <v>0.21</v>
      </c>
      <c r="AD2203">
        <v>533</v>
      </c>
      <c r="AE2203" t="s">
        <v>48</v>
      </c>
      <c r="AF2203">
        <v>0.53200000000000003</v>
      </c>
      <c r="AG2203">
        <v>566</v>
      </c>
      <c r="AH2203" t="s">
        <v>49</v>
      </c>
      <c r="AI2203">
        <v>0.56499999999999995</v>
      </c>
      <c r="AJ2203" t="s">
        <v>1154</v>
      </c>
    </row>
    <row r="2204" spans="1:36" x14ac:dyDescent="0.25">
      <c r="A2204" t="s">
        <v>404</v>
      </c>
      <c r="B2204">
        <v>881480488</v>
      </c>
      <c r="C2204" t="s">
        <v>405</v>
      </c>
      <c r="D2204" t="s">
        <v>405</v>
      </c>
      <c r="E2204" t="s">
        <v>37</v>
      </c>
      <c r="F2204" t="s">
        <v>38</v>
      </c>
      <c r="I2204" t="s">
        <v>39</v>
      </c>
      <c r="J2204" t="s">
        <v>40</v>
      </c>
      <c r="K2204" t="s">
        <v>41</v>
      </c>
      <c r="L2204" t="s">
        <v>406</v>
      </c>
      <c r="M2204" t="s">
        <v>73</v>
      </c>
      <c r="N2204" t="s">
        <v>43</v>
      </c>
      <c r="O2204" t="s">
        <v>139</v>
      </c>
      <c r="P2204">
        <v>333</v>
      </c>
      <c r="Q2204">
        <v>333</v>
      </c>
      <c r="S2204" t="s">
        <v>39</v>
      </c>
      <c r="V2204" t="s">
        <v>39</v>
      </c>
      <c r="X2204">
        <v>20001</v>
      </c>
      <c r="Y2204" t="s">
        <v>47</v>
      </c>
      <c r="Z2204">
        <v>20</v>
      </c>
      <c r="AA2204">
        <v>211</v>
      </c>
      <c r="AB2204" t="s">
        <v>47</v>
      </c>
      <c r="AC2204">
        <v>0.21</v>
      </c>
      <c r="AD2204">
        <v>533</v>
      </c>
      <c r="AE2204" t="s">
        <v>48</v>
      </c>
      <c r="AF2204">
        <v>0.53200000000000003</v>
      </c>
      <c r="AG2204">
        <v>566</v>
      </c>
      <c r="AH2204" t="s">
        <v>49</v>
      </c>
      <c r="AI2204">
        <v>0.56499999999999995</v>
      </c>
      <c r="AJ2204" t="s">
        <v>1155</v>
      </c>
    </row>
    <row r="2205" spans="1:36" x14ac:dyDescent="0.25">
      <c r="A2205" t="s">
        <v>402</v>
      </c>
      <c r="B2205">
        <v>871195127</v>
      </c>
      <c r="C2205" t="s">
        <v>403</v>
      </c>
      <c r="D2205" t="s">
        <v>403</v>
      </c>
      <c r="E2205" t="s">
        <v>99</v>
      </c>
      <c r="F2205" t="s">
        <v>143</v>
      </c>
      <c r="I2205" t="s">
        <v>39</v>
      </c>
      <c r="J2205" t="s">
        <v>40</v>
      </c>
      <c r="K2205" t="s">
        <v>41</v>
      </c>
      <c r="L2205" t="s">
        <v>197</v>
      </c>
      <c r="M2205" t="s">
        <v>47</v>
      </c>
      <c r="N2205" t="s">
        <v>43</v>
      </c>
      <c r="O2205" t="s">
        <v>332</v>
      </c>
      <c r="P2205">
        <v>334</v>
      </c>
      <c r="Q2205">
        <v>334</v>
      </c>
      <c r="R2205">
        <v>681</v>
      </c>
      <c r="S2205" t="s">
        <v>56</v>
      </c>
      <c r="T2205">
        <v>0.68</v>
      </c>
      <c r="U2205">
        <v>64</v>
      </c>
      <c r="V2205" t="s">
        <v>55</v>
      </c>
      <c r="W2205">
        <v>6.3E-2</v>
      </c>
      <c r="X2205">
        <v>5001</v>
      </c>
      <c r="Y2205" t="s">
        <v>47</v>
      </c>
      <c r="Z2205">
        <v>5</v>
      </c>
      <c r="AA2205">
        <v>98</v>
      </c>
      <c r="AB2205" t="s">
        <v>47</v>
      </c>
      <c r="AC2205">
        <v>9.7000000000000003E-2</v>
      </c>
      <c r="AD2205">
        <v>371</v>
      </c>
      <c r="AE2205" t="s">
        <v>56</v>
      </c>
      <c r="AF2205">
        <v>0.37</v>
      </c>
      <c r="AG2205">
        <v>151</v>
      </c>
      <c r="AH2205" t="s">
        <v>103</v>
      </c>
      <c r="AI2205">
        <v>0.15</v>
      </c>
      <c r="AJ2205" t="s">
        <v>50</v>
      </c>
    </row>
    <row r="2206" spans="1:36" x14ac:dyDescent="0.25">
      <c r="A2206" t="s">
        <v>402</v>
      </c>
      <c r="B2206">
        <v>871195127</v>
      </c>
      <c r="C2206" t="s">
        <v>403</v>
      </c>
      <c r="D2206" t="s">
        <v>403</v>
      </c>
      <c r="E2206" t="s">
        <v>99</v>
      </c>
      <c r="F2206" t="s">
        <v>143</v>
      </c>
      <c r="I2206" t="s">
        <v>39</v>
      </c>
      <c r="J2206" t="s">
        <v>40</v>
      </c>
      <c r="K2206" t="s">
        <v>41</v>
      </c>
      <c r="L2206" t="s">
        <v>197</v>
      </c>
      <c r="M2206" t="s">
        <v>47</v>
      </c>
      <c r="N2206" t="s">
        <v>43</v>
      </c>
      <c r="O2206" t="s">
        <v>332</v>
      </c>
      <c r="P2206">
        <v>334</v>
      </c>
      <c r="Q2206">
        <v>334</v>
      </c>
      <c r="R2206">
        <v>71</v>
      </c>
      <c r="S2206" t="s">
        <v>56</v>
      </c>
      <c r="T2206">
        <v>7.0000000000000007E-2</v>
      </c>
      <c r="U2206">
        <v>8</v>
      </c>
      <c r="V2206" t="s">
        <v>55</v>
      </c>
      <c r="W2206">
        <v>7.0000000000000001E-3</v>
      </c>
      <c r="X2206">
        <v>5001</v>
      </c>
      <c r="Y2206" t="s">
        <v>47</v>
      </c>
      <c r="Z2206">
        <v>5</v>
      </c>
      <c r="AA2206">
        <v>98</v>
      </c>
      <c r="AB2206" t="s">
        <v>47</v>
      </c>
      <c r="AC2206">
        <v>9.7000000000000003E-2</v>
      </c>
      <c r="AD2206">
        <v>371</v>
      </c>
      <c r="AE2206" t="s">
        <v>56</v>
      </c>
      <c r="AF2206">
        <v>0.37</v>
      </c>
      <c r="AG2206">
        <v>151</v>
      </c>
      <c r="AH2206" t="s">
        <v>103</v>
      </c>
      <c r="AI2206">
        <v>0.15</v>
      </c>
      <c r="AJ2206" t="s">
        <v>1141</v>
      </c>
    </row>
    <row r="2207" spans="1:36" x14ac:dyDescent="0.25">
      <c r="A2207" t="s">
        <v>402</v>
      </c>
      <c r="B2207">
        <v>871195127</v>
      </c>
      <c r="C2207" t="s">
        <v>403</v>
      </c>
      <c r="D2207" t="s">
        <v>403</v>
      </c>
      <c r="E2207" t="s">
        <v>99</v>
      </c>
      <c r="F2207" t="s">
        <v>143</v>
      </c>
      <c r="I2207" t="s">
        <v>39</v>
      </c>
      <c r="J2207" t="s">
        <v>40</v>
      </c>
      <c r="K2207" t="s">
        <v>41</v>
      </c>
      <c r="L2207" t="s">
        <v>197</v>
      </c>
      <c r="M2207" t="s">
        <v>47</v>
      </c>
      <c r="N2207" t="s">
        <v>43</v>
      </c>
      <c r="O2207" t="s">
        <v>332</v>
      </c>
      <c r="P2207">
        <v>334</v>
      </c>
      <c r="Q2207">
        <v>334</v>
      </c>
      <c r="R2207">
        <v>681</v>
      </c>
      <c r="S2207" t="s">
        <v>56</v>
      </c>
      <c r="T2207">
        <v>0.68</v>
      </c>
      <c r="U2207">
        <v>64</v>
      </c>
      <c r="V2207" t="s">
        <v>55</v>
      </c>
      <c r="W2207">
        <v>6.3E-2</v>
      </c>
      <c r="X2207">
        <v>5001</v>
      </c>
      <c r="Y2207" t="s">
        <v>47</v>
      </c>
      <c r="Z2207">
        <v>5</v>
      </c>
      <c r="AA2207">
        <v>98</v>
      </c>
      <c r="AB2207" t="s">
        <v>47</v>
      </c>
      <c r="AC2207">
        <v>9.7000000000000003E-2</v>
      </c>
      <c r="AD2207">
        <v>371</v>
      </c>
      <c r="AE2207" t="s">
        <v>56</v>
      </c>
      <c r="AF2207">
        <v>0.37</v>
      </c>
      <c r="AG2207">
        <v>151</v>
      </c>
      <c r="AH2207" t="s">
        <v>103</v>
      </c>
      <c r="AI2207">
        <v>0.15</v>
      </c>
      <c r="AJ2207" t="s">
        <v>1153</v>
      </c>
    </row>
    <row r="2208" spans="1:36" x14ac:dyDescent="0.25">
      <c r="A2208" t="s">
        <v>402</v>
      </c>
      <c r="B2208">
        <v>871195127</v>
      </c>
      <c r="C2208" t="s">
        <v>403</v>
      </c>
      <c r="D2208" t="s">
        <v>403</v>
      </c>
      <c r="E2208" t="s">
        <v>99</v>
      </c>
      <c r="F2208" t="s">
        <v>143</v>
      </c>
      <c r="I2208" t="s">
        <v>39</v>
      </c>
      <c r="J2208" t="s">
        <v>40</v>
      </c>
      <c r="K2208" t="s">
        <v>41</v>
      </c>
      <c r="L2208" t="s">
        <v>197</v>
      </c>
      <c r="M2208" t="s">
        <v>47</v>
      </c>
      <c r="N2208" t="s">
        <v>43</v>
      </c>
      <c r="O2208" t="s">
        <v>332</v>
      </c>
      <c r="P2208">
        <v>334</v>
      </c>
      <c r="Q2208">
        <v>334</v>
      </c>
      <c r="R2208">
        <v>681</v>
      </c>
      <c r="S2208" t="s">
        <v>56</v>
      </c>
      <c r="T2208">
        <v>0.68</v>
      </c>
      <c r="U2208">
        <v>64</v>
      </c>
      <c r="V2208" t="s">
        <v>55</v>
      </c>
      <c r="W2208">
        <v>6.3E-2</v>
      </c>
      <c r="X2208">
        <v>5001</v>
      </c>
      <c r="Y2208" t="s">
        <v>47</v>
      </c>
      <c r="Z2208">
        <v>5</v>
      </c>
      <c r="AA2208">
        <v>98</v>
      </c>
      <c r="AB2208" t="s">
        <v>47</v>
      </c>
      <c r="AC2208">
        <v>9.7000000000000003E-2</v>
      </c>
      <c r="AD2208">
        <v>371</v>
      </c>
      <c r="AE2208" t="s">
        <v>56</v>
      </c>
      <c r="AF2208">
        <v>0.37</v>
      </c>
      <c r="AG2208">
        <v>151</v>
      </c>
      <c r="AH2208" t="s">
        <v>103</v>
      </c>
      <c r="AI2208">
        <v>0.15</v>
      </c>
      <c r="AJ2208" t="s">
        <v>1154</v>
      </c>
    </row>
    <row r="2209" spans="1:36" x14ac:dyDescent="0.25">
      <c r="A2209" t="s">
        <v>402</v>
      </c>
      <c r="B2209">
        <v>871195127</v>
      </c>
      <c r="C2209" t="s">
        <v>403</v>
      </c>
      <c r="D2209" t="s">
        <v>403</v>
      </c>
      <c r="E2209" t="s">
        <v>99</v>
      </c>
      <c r="F2209" t="s">
        <v>143</v>
      </c>
      <c r="I2209" t="s">
        <v>39</v>
      </c>
      <c r="J2209" t="s">
        <v>40</v>
      </c>
      <c r="K2209" t="s">
        <v>41</v>
      </c>
      <c r="L2209" t="s">
        <v>197</v>
      </c>
      <c r="M2209" t="s">
        <v>47</v>
      </c>
      <c r="N2209" t="s">
        <v>43</v>
      </c>
      <c r="O2209" t="s">
        <v>332</v>
      </c>
      <c r="P2209">
        <v>334</v>
      </c>
      <c r="Q2209">
        <v>334</v>
      </c>
      <c r="S2209" t="s">
        <v>39</v>
      </c>
      <c r="V2209" t="s">
        <v>39</v>
      </c>
      <c r="X2209">
        <v>5001</v>
      </c>
      <c r="Y2209" t="s">
        <v>47</v>
      </c>
      <c r="Z2209">
        <v>5</v>
      </c>
      <c r="AA2209">
        <v>98</v>
      </c>
      <c r="AB2209" t="s">
        <v>47</v>
      </c>
      <c r="AC2209">
        <v>9.7000000000000003E-2</v>
      </c>
      <c r="AD2209">
        <v>371</v>
      </c>
      <c r="AE2209" t="s">
        <v>56</v>
      </c>
      <c r="AF2209">
        <v>0.37</v>
      </c>
      <c r="AG2209">
        <v>151</v>
      </c>
      <c r="AH2209" t="s">
        <v>103</v>
      </c>
      <c r="AI2209">
        <v>0.15</v>
      </c>
      <c r="AJ2209" t="s">
        <v>1155</v>
      </c>
    </row>
    <row r="2210" spans="1:36" x14ac:dyDescent="0.25">
      <c r="A2210" t="s">
        <v>399</v>
      </c>
      <c r="B2210">
        <v>853091634</v>
      </c>
      <c r="C2210" t="s">
        <v>400</v>
      </c>
      <c r="D2210" t="s">
        <v>400</v>
      </c>
      <c r="E2210" t="s">
        <v>37</v>
      </c>
      <c r="F2210" t="s">
        <v>191</v>
      </c>
      <c r="I2210" t="s">
        <v>39</v>
      </c>
      <c r="J2210" t="s">
        <v>40</v>
      </c>
      <c r="K2210" t="s">
        <v>41</v>
      </c>
      <c r="L2210" t="s">
        <v>401</v>
      </c>
      <c r="N2210" t="s">
        <v>43</v>
      </c>
      <c r="O2210" t="s">
        <v>174</v>
      </c>
      <c r="P2210">
        <v>335</v>
      </c>
      <c r="Q2210">
        <v>335</v>
      </c>
      <c r="R2210">
        <v>1</v>
      </c>
      <c r="S2210" t="s">
        <v>45</v>
      </c>
      <c r="T2210">
        <v>0</v>
      </c>
      <c r="U2210">
        <v>981</v>
      </c>
      <c r="V2210" t="s">
        <v>46</v>
      </c>
      <c r="W2210">
        <v>0.98</v>
      </c>
      <c r="X2210">
        <v>18001</v>
      </c>
      <c r="Y2210" t="s">
        <v>47</v>
      </c>
      <c r="Z2210">
        <v>18</v>
      </c>
      <c r="AA2210">
        <v>545</v>
      </c>
      <c r="AB2210" t="s">
        <v>75</v>
      </c>
      <c r="AC2210">
        <v>0.54400000000000004</v>
      </c>
      <c r="AD2210">
        <v>736</v>
      </c>
      <c r="AE2210" t="s">
        <v>48</v>
      </c>
      <c r="AF2210">
        <v>0.73499999999999999</v>
      </c>
      <c r="AG2210">
        <v>879</v>
      </c>
      <c r="AH2210" t="s">
        <v>49</v>
      </c>
      <c r="AI2210">
        <v>0.878</v>
      </c>
      <c r="AJ2210" t="s">
        <v>50</v>
      </c>
    </row>
    <row r="2211" spans="1:36" x14ac:dyDescent="0.25">
      <c r="A2211" t="s">
        <v>399</v>
      </c>
      <c r="B2211">
        <v>853091634</v>
      </c>
      <c r="C2211" t="s">
        <v>400</v>
      </c>
      <c r="D2211" t="s">
        <v>400</v>
      </c>
      <c r="E2211" t="s">
        <v>60</v>
      </c>
      <c r="F2211" t="s">
        <v>191</v>
      </c>
      <c r="I2211" t="s">
        <v>39</v>
      </c>
      <c r="J2211" t="s">
        <v>40</v>
      </c>
      <c r="K2211" t="s">
        <v>41</v>
      </c>
      <c r="L2211" t="s">
        <v>401</v>
      </c>
      <c r="N2211" t="s">
        <v>43</v>
      </c>
      <c r="O2211" t="s">
        <v>375</v>
      </c>
      <c r="P2211">
        <v>335</v>
      </c>
      <c r="Q2211">
        <v>335</v>
      </c>
      <c r="R2211">
        <v>91</v>
      </c>
      <c r="S2211" t="s">
        <v>56</v>
      </c>
      <c r="T2211">
        <v>0.09</v>
      </c>
      <c r="U2211">
        <v>60</v>
      </c>
      <c r="V2211" t="s">
        <v>55</v>
      </c>
      <c r="W2211">
        <v>5.8999999999999997E-2</v>
      </c>
      <c r="X2211">
        <v>7001</v>
      </c>
      <c r="Y2211" t="s">
        <v>47</v>
      </c>
      <c r="Z2211">
        <v>7</v>
      </c>
      <c r="AA2211">
        <v>115</v>
      </c>
      <c r="AB2211" t="s">
        <v>47</v>
      </c>
      <c r="AC2211">
        <v>0.114</v>
      </c>
      <c r="AD2211">
        <v>321</v>
      </c>
      <c r="AE2211" t="s">
        <v>56</v>
      </c>
      <c r="AF2211">
        <v>0.32</v>
      </c>
      <c r="AG2211">
        <v>381</v>
      </c>
      <c r="AH2211" t="s">
        <v>57</v>
      </c>
      <c r="AI2211">
        <v>0.38</v>
      </c>
      <c r="AJ2211" t="s">
        <v>50</v>
      </c>
    </row>
    <row r="2212" spans="1:36" x14ac:dyDescent="0.25">
      <c r="A2212" t="s">
        <v>399</v>
      </c>
      <c r="B2212">
        <v>853091634</v>
      </c>
      <c r="C2212" t="s">
        <v>400</v>
      </c>
      <c r="D2212" t="s">
        <v>400</v>
      </c>
      <c r="E2212" t="s">
        <v>37</v>
      </c>
      <c r="F2212" t="s">
        <v>191</v>
      </c>
      <c r="I2212" t="s">
        <v>39</v>
      </c>
      <c r="J2212" t="s">
        <v>40</v>
      </c>
      <c r="K2212" t="s">
        <v>41</v>
      </c>
      <c r="L2212" t="s">
        <v>401</v>
      </c>
      <c r="N2212" t="s">
        <v>43</v>
      </c>
      <c r="O2212" t="s">
        <v>174</v>
      </c>
      <c r="P2212">
        <v>335</v>
      </c>
      <c r="Q2212">
        <v>335</v>
      </c>
      <c r="R2212">
        <v>1</v>
      </c>
      <c r="S2212" t="s">
        <v>45</v>
      </c>
      <c r="T2212">
        <v>0</v>
      </c>
      <c r="U2212">
        <v>960</v>
      </c>
      <c r="V2212" t="s">
        <v>46</v>
      </c>
      <c r="W2212">
        <v>0.95899999999999996</v>
      </c>
      <c r="X2212">
        <v>18001</v>
      </c>
      <c r="Y2212" t="s">
        <v>47</v>
      </c>
      <c r="Z2212">
        <v>18</v>
      </c>
      <c r="AA2212">
        <v>545</v>
      </c>
      <c r="AB2212" t="s">
        <v>75</v>
      </c>
      <c r="AC2212">
        <v>0.54400000000000004</v>
      </c>
      <c r="AD2212">
        <v>736</v>
      </c>
      <c r="AE2212" t="s">
        <v>48</v>
      </c>
      <c r="AF2212">
        <v>0.73499999999999999</v>
      </c>
      <c r="AG2212">
        <v>879</v>
      </c>
      <c r="AH2212" t="s">
        <v>49</v>
      </c>
      <c r="AI2212">
        <v>0.878</v>
      </c>
      <c r="AJ2212" t="s">
        <v>1141</v>
      </c>
    </row>
    <row r="2213" spans="1:36" x14ac:dyDescent="0.25">
      <c r="A2213" t="s">
        <v>399</v>
      </c>
      <c r="B2213">
        <v>853091634</v>
      </c>
      <c r="C2213" t="s">
        <v>400</v>
      </c>
      <c r="D2213" t="s">
        <v>400</v>
      </c>
      <c r="E2213" t="s">
        <v>60</v>
      </c>
      <c r="F2213" t="s">
        <v>191</v>
      </c>
      <c r="I2213" t="s">
        <v>39</v>
      </c>
      <c r="J2213" t="s">
        <v>40</v>
      </c>
      <c r="K2213" t="s">
        <v>41</v>
      </c>
      <c r="L2213" t="s">
        <v>401</v>
      </c>
      <c r="N2213" t="s">
        <v>43</v>
      </c>
      <c r="O2213" t="s">
        <v>375</v>
      </c>
      <c r="P2213">
        <v>335</v>
      </c>
      <c r="Q2213">
        <v>335</v>
      </c>
      <c r="R2213">
        <v>181</v>
      </c>
      <c r="S2213" t="s">
        <v>56</v>
      </c>
      <c r="T2213">
        <v>0.18</v>
      </c>
      <c r="U2213">
        <v>39</v>
      </c>
      <c r="V2213" t="s">
        <v>55</v>
      </c>
      <c r="W2213">
        <v>3.7999999999999999E-2</v>
      </c>
      <c r="X2213">
        <v>7001</v>
      </c>
      <c r="Y2213" t="s">
        <v>47</v>
      </c>
      <c r="Z2213">
        <v>7</v>
      </c>
      <c r="AA2213">
        <v>115</v>
      </c>
      <c r="AB2213" t="s">
        <v>47</v>
      </c>
      <c r="AC2213">
        <v>0.114</v>
      </c>
      <c r="AD2213">
        <v>321</v>
      </c>
      <c r="AE2213" t="s">
        <v>56</v>
      </c>
      <c r="AF2213">
        <v>0.32</v>
      </c>
      <c r="AG2213">
        <v>381</v>
      </c>
      <c r="AH2213" t="s">
        <v>57</v>
      </c>
      <c r="AI2213">
        <v>0.38</v>
      </c>
      <c r="AJ2213" t="s">
        <v>1141</v>
      </c>
    </row>
    <row r="2214" spans="1:36" x14ac:dyDescent="0.25">
      <c r="A2214" t="s">
        <v>399</v>
      </c>
      <c r="B2214">
        <v>853091634</v>
      </c>
      <c r="C2214" t="s">
        <v>400</v>
      </c>
      <c r="D2214" t="s">
        <v>400</v>
      </c>
      <c r="E2214" t="s">
        <v>37</v>
      </c>
      <c r="F2214" t="s">
        <v>191</v>
      </c>
      <c r="I2214" t="s">
        <v>39</v>
      </c>
      <c r="J2214" t="s">
        <v>40</v>
      </c>
      <c r="K2214" t="s">
        <v>41</v>
      </c>
      <c r="L2214" t="s">
        <v>401</v>
      </c>
      <c r="N2214" t="s">
        <v>43</v>
      </c>
      <c r="O2214" t="s">
        <v>174</v>
      </c>
      <c r="P2214">
        <v>335</v>
      </c>
      <c r="Q2214">
        <v>335</v>
      </c>
      <c r="R2214">
        <v>1</v>
      </c>
      <c r="S2214" t="s">
        <v>45</v>
      </c>
      <c r="T2214">
        <v>0</v>
      </c>
      <c r="U2214">
        <v>981</v>
      </c>
      <c r="V2214" t="s">
        <v>46</v>
      </c>
      <c r="W2214">
        <v>0.98</v>
      </c>
      <c r="X2214">
        <v>18001</v>
      </c>
      <c r="Y2214" t="s">
        <v>47</v>
      </c>
      <c r="Z2214">
        <v>18</v>
      </c>
      <c r="AA2214">
        <v>545</v>
      </c>
      <c r="AB2214" t="s">
        <v>75</v>
      </c>
      <c r="AC2214">
        <v>0.54400000000000004</v>
      </c>
      <c r="AD2214">
        <v>736</v>
      </c>
      <c r="AE2214" t="s">
        <v>48</v>
      </c>
      <c r="AF2214">
        <v>0.73499999999999999</v>
      </c>
      <c r="AG2214">
        <v>879</v>
      </c>
      <c r="AH2214" t="s">
        <v>49</v>
      </c>
      <c r="AI2214">
        <v>0.878</v>
      </c>
      <c r="AJ2214" t="s">
        <v>1153</v>
      </c>
    </row>
    <row r="2215" spans="1:36" x14ac:dyDescent="0.25">
      <c r="A2215" t="s">
        <v>399</v>
      </c>
      <c r="B2215">
        <v>853091634</v>
      </c>
      <c r="C2215" t="s">
        <v>400</v>
      </c>
      <c r="D2215" t="s">
        <v>400</v>
      </c>
      <c r="E2215" t="s">
        <v>60</v>
      </c>
      <c r="F2215" t="s">
        <v>191</v>
      </c>
      <c r="I2215" t="s">
        <v>39</v>
      </c>
      <c r="J2215" t="s">
        <v>40</v>
      </c>
      <c r="K2215" t="s">
        <v>41</v>
      </c>
      <c r="L2215" t="s">
        <v>401</v>
      </c>
      <c r="N2215" t="s">
        <v>43</v>
      </c>
      <c r="O2215" t="s">
        <v>375</v>
      </c>
      <c r="P2215">
        <v>335</v>
      </c>
      <c r="Q2215">
        <v>335</v>
      </c>
      <c r="R2215">
        <v>91</v>
      </c>
      <c r="S2215" t="s">
        <v>56</v>
      </c>
      <c r="T2215">
        <v>0.09</v>
      </c>
      <c r="U2215">
        <v>60</v>
      </c>
      <c r="V2215" t="s">
        <v>55</v>
      </c>
      <c r="W2215">
        <v>5.8999999999999997E-2</v>
      </c>
      <c r="X2215">
        <v>7001</v>
      </c>
      <c r="Y2215" t="s">
        <v>47</v>
      </c>
      <c r="Z2215">
        <v>7</v>
      </c>
      <c r="AA2215">
        <v>115</v>
      </c>
      <c r="AB2215" t="s">
        <v>47</v>
      </c>
      <c r="AC2215">
        <v>0.114</v>
      </c>
      <c r="AD2215">
        <v>321</v>
      </c>
      <c r="AE2215" t="s">
        <v>56</v>
      </c>
      <c r="AF2215">
        <v>0.32</v>
      </c>
      <c r="AG2215">
        <v>381</v>
      </c>
      <c r="AH2215" t="s">
        <v>57</v>
      </c>
      <c r="AI2215">
        <v>0.38</v>
      </c>
      <c r="AJ2215" t="s">
        <v>1153</v>
      </c>
    </row>
    <row r="2216" spans="1:36" x14ac:dyDescent="0.25">
      <c r="A2216" t="s">
        <v>399</v>
      </c>
      <c r="B2216">
        <v>853091634</v>
      </c>
      <c r="C2216" t="s">
        <v>400</v>
      </c>
      <c r="D2216" t="s">
        <v>400</v>
      </c>
      <c r="E2216" t="s">
        <v>37</v>
      </c>
      <c r="F2216" t="s">
        <v>191</v>
      </c>
      <c r="I2216" t="s">
        <v>39</v>
      </c>
      <c r="J2216" t="s">
        <v>40</v>
      </c>
      <c r="K2216" t="s">
        <v>41</v>
      </c>
      <c r="L2216" t="s">
        <v>401</v>
      </c>
      <c r="N2216" t="s">
        <v>43</v>
      </c>
      <c r="O2216" t="s">
        <v>174</v>
      </c>
      <c r="P2216">
        <v>335</v>
      </c>
      <c r="Q2216">
        <v>335</v>
      </c>
      <c r="R2216">
        <v>1</v>
      </c>
      <c r="S2216" t="s">
        <v>45</v>
      </c>
      <c r="T2216">
        <v>0</v>
      </c>
      <c r="U2216">
        <v>981</v>
      </c>
      <c r="V2216" t="s">
        <v>46</v>
      </c>
      <c r="W2216">
        <v>0.98</v>
      </c>
      <c r="X2216">
        <v>18001</v>
      </c>
      <c r="Y2216" t="s">
        <v>47</v>
      </c>
      <c r="Z2216">
        <v>18</v>
      </c>
      <c r="AA2216">
        <v>545</v>
      </c>
      <c r="AB2216" t="s">
        <v>75</v>
      </c>
      <c r="AC2216">
        <v>0.54400000000000004</v>
      </c>
      <c r="AD2216">
        <v>736</v>
      </c>
      <c r="AE2216" t="s">
        <v>48</v>
      </c>
      <c r="AF2216">
        <v>0.73499999999999999</v>
      </c>
      <c r="AG2216">
        <v>879</v>
      </c>
      <c r="AH2216" t="s">
        <v>49</v>
      </c>
      <c r="AI2216">
        <v>0.878</v>
      </c>
      <c r="AJ2216" t="s">
        <v>1154</v>
      </c>
    </row>
    <row r="2217" spans="1:36" x14ac:dyDescent="0.25">
      <c r="A2217" t="s">
        <v>399</v>
      </c>
      <c r="B2217">
        <v>853091634</v>
      </c>
      <c r="C2217" t="s">
        <v>400</v>
      </c>
      <c r="D2217" t="s">
        <v>400</v>
      </c>
      <c r="E2217" t="s">
        <v>60</v>
      </c>
      <c r="F2217" t="s">
        <v>191</v>
      </c>
      <c r="I2217" t="s">
        <v>39</v>
      </c>
      <c r="J2217" t="s">
        <v>40</v>
      </c>
      <c r="K2217" t="s">
        <v>41</v>
      </c>
      <c r="L2217" t="s">
        <v>401</v>
      </c>
      <c r="N2217" t="s">
        <v>43</v>
      </c>
      <c r="O2217" t="s">
        <v>375</v>
      </c>
      <c r="P2217">
        <v>335</v>
      </c>
      <c r="Q2217">
        <v>335</v>
      </c>
      <c r="R2217">
        <v>91</v>
      </c>
      <c r="S2217" t="s">
        <v>56</v>
      </c>
      <c r="T2217">
        <v>0.09</v>
      </c>
      <c r="U2217">
        <v>60</v>
      </c>
      <c r="V2217" t="s">
        <v>55</v>
      </c>
      <c r="W2217">
        <v>5.8999999999999997E-2</v>
      </c>
      <c r="X2217">
        <v>7001</v>
      </c>
      <c r="Y2217" t="s">
        <v>47</v>
      </c>
      <c r="Z2217">
        <v>7</v>
      </c>
      <c r="AA2217">
        <v>115</v>
      </c>
      <c r="AB2217" t="s">
        <v>47</v>
      </c>
      <c r="AC2217">
        <v>0.114</v>
      </c>
      <c r="AD2217">
        <v>321</v>
      </c>
      <c r="AE2217" t="s">
        <v>56</v>
      </c>
      <c r="AF2217">
        <v>0.32</v>
      </c>
      <c r="AG2217">
        <v>381</v>
      </c>
      <c r="AH2217" t="s">
        <v>57</v>
      </c>
      <c r="AI2217">
        <v>0.38</v>
      </c>
      <c r="AJ2217" t="s">
        <v>1154</v>
      </c>
    </row>
    <row r="2218" spans="1:36" x14ac:dyDescent="0.25">
      <c r="A2218" t="s">
        <v>399</v>
      </c>
      <c r="B2218">
        <v>853091634</v>
      </c>
      <c r="C2218" t="s">
        <v>400</v>
      </c>
      <c r="D2218" t="s">
        <v>400</v>
      </c>
      <c r="E2218" t="s">
        <v>37</v>
      </c>
      <c r="F2218" t="s">
        <v>191</v>
      </c>
      <c r="I2218" t="s">
        <v>39</v>
      </c>
      <c r="J2218" t="s">
        <v>40</v>
      </c>
      <c r="K2218" t="s">
        <v>41</v>
      </c>
      <c r="L2218" t="s">
        <v>401</v>
      </c>
      <c r="N2218" t="s">
        <v>43</v>
      </c>
      <c r="O2218" t="s">
        <v>174</v>
      </c>
      <c r="P2218">
        <v>335</v>
      </c>
      <c r="Q2218">
        <v>335</v>
      </c>
      <c r="S2218" t="s">
        <v>39</v>
      </c>
      <c r="V2218" t="s">
        <v>39</v>
      </c>
      <c r="X2218">
        <v>18001</v>
      </c>
      <c r="Y2218" t="s">
        <v>47</v>
      </c>
      <c r="Z2218">
        <v>18</v>
      </c>
      <c r="AA2218">
        <v>545</v>
      </c>
      <c r="AB2218" t="s">
        <v>75</v>
      </c>
      <c r="AC2218">
        <v>0.54400000000000004</v>
      </c>
      <c r="AD2218">
        <v>736</v>
      </c>
      <c r="AE2218" t="s">
        <v>48</v>
      </c>
      <c r="AF2218">
        <v>0.73499999999999999</v>
      </c>
      <c r="AG2218">
        <v>879</v>
      </c>
      <c r="AH2218" t="s">
        <v>49</v>
      </c>
      <c r="AI2218">
        <v>0.878</v>
      </c>
      <c r="AJ2218" t="s">
        <v>1155</v>
      </c>
    </row>
    <row r="2219" spans="1:36" x14ac:dyDescent="0.25">
      <c r="A2219" t="s">
        <v>399</v>
      </c>
      <c r="B2219">
        <v>853091634</v>
      </c>
      <c r="C2219" t="s">
        <v>400</v>
      </c>
      <c r="D2219" t="s">
        <v>400</v>
      </c>
      <c r="E2219" t="s">
        <v>60</v>
      </c>
      <c r="F2219" t="s">
        <v>191</v>
      </c>
      <c r="I2219" t="s">
        <v>39</v>
      </c>
      <c r="J2219" t="s">
        <v>40</v>
      </c>
      <c r="K2219" t="s">
        <v>41</v>
      </c>
      <c r="L2219" t="s">
        <v>401</v>
      </c>
      <c r="N2219" t="s">
        <v>43</v>
      </c>
      <c r="O2219" t="s">
        <v>375</v>
      </c>
      <c r="P2219">
        <v>335</v>
      </c>
      <c r="Q2219">
        <v>335</v>
      </c>
      <c r="S2219" t="s">
        <v>39</v>
      </c>
      <c r="V2219" t="s">
        <v>39</v>
      </c>
      <c r="X2219">
        <v>7001</v>
      </c>
      <c r="Y2219" t="s">
        <v>47</v>
      </c>
      <c r="Z2219">
        <v>7</v>
      </c>
      <c r="AA2219">
        <v>115</v>
      </c>
      <c r="AB2219" t="s">
        <v>47</v>
      </c>
      <c r="AC2219">
        <v>0.114</v>
      </c>
      <c r="AD2219">
        <v>321</v>
      </c>
      <c r="AE2219" t="s">
        <v>56</v>
      </c>
      <c r="AF2219">
        <v>0.32</v>
      </c>
      <c r="AG2219">
        <v>381</v>
      </c>
      <c r="AH2219" t="s">
        <v>57</v>
      </c>
      <c r="AI2219">
        <v>0.38</v>
      </c>
      <c r="AJ2219" t="s">
        <v>1155</v>
      </c>
    </row>
    <row r="2220" spans="1:36" x14ac:dyDescent="0.25">
      <c r="A2220" t="s">
        <v>394</v>
      </c>
      <c r="B2220">
        <v>853393069</v>
      </c>
      <c r="C2220" t="s">
        <v>395</v>
      </c>
      <c r="D2220" t="s">
        <v>395</v>
      </c>
      <c r="E2220" t="s">
        <v>60</v>
      </c>
      <c r="F2220" t="s">
        <v>396</v>
      </c>
      <c r="I2220" t="s">
        <v>39</v>
      </c>
      <c r="J2220" t="s">
        <v>40</v>
      </c>
      <c r="K2220" t="s">
        <v>41</v>
      </c>
      <c r="L2220" t="s">
        <v>397</v>
      </c>
      <c r="M2220" t="s">
        <v>47</v>
      </c>
      <c r="N2220" t="s">
        <v>43</v>
      </c>
      <c r="O2220" t="s">
        <v>398</v>
      </c>
      <c r="P2220">
        <v>338</v>
      </c>
      <c r="Q2220">
        <v>338</v>
      </c>
      <c r="R2220">
        <v>61</v>
      </c>
      <c r="S2220" t="s">
        <v>56</v>
      </c>
      <c r="T2220">
        <v>0.06</v>
      </c>
      <c r="U2220">
        <v>152</v>
      </c>
      <c r="V2220" t="s">
        <v>55</v>
      </c>
      <c r="W2220">
        <v>0.151</v>
      </c>
      <c r="X2220">
        <v>1</v>
      </c>
      <c r="Y2220" t="s">
        <v>47</v>
      </c>
      <c r="Z2220">
        <v>0</v>
      </c>
      <c r="AA2220">
        <v>197</v>
      </c>
      <c r="AB2220" t="s">
        <v>47</v>
      </c>
      <c r="AC2220">
        <v>0.19600000000000001</v>
      </c>
      <c r="AD2220">
        <v>472</v>
      </c>
      <c r="AE2220" t="s">
        <v>56</v>
      </c>
      <c r="AF2220">
        <v>0.47099999999999997</v>
      </c>
      <c r="AG2220">
        <v>354</v>
      </c>
      <c r="AH2220" t="s">
        <v>57</v>
      </c>
      <c r="AI2220">
        <v>0.35299999999999998</v>
      </c>
      <c r="AJ2220" t="s">
        <v>50</v>
      </c>
    </row>
    <row r="2221" spans="1:36" x14ac:dyDescent="0.25">
      <c r="A2221" t="s">
        <v>394</v>
      </c>
      <c r="B2221">
        <v>853393069</v>
      </c>
      <c r="C2221" t="s">
        <v>395</v>
      </c>
      <c r="D2221" t="s">
        <v>395</v>
      </c>
      <c r="E2221" t="s">
        <v>60</v>
      </c>
      <c r="F2221" t="s">
        <v>396</v>
      </c>
      <c r="I2221" t="s">
        <v>39</v>
      </c>
      <c r="J2221" t="s">
        <v>40</v>
      </c>
      <c r="K2221" t="s">
        <v>41</v>
      </c>
      <c r="L2221" t="s">
        <v>397</v>
      </c>
      <c r="M2221" t="s">
        <v>47</v>
      </c>
      <c r="N2221" t="s">
        <v>43</v>
      </c>
      <c r="O2221" t="s">
        <v>398</v>
      </c>
      <c r="P2221">
        <v>338</v>
      </c>
      <c r="Q2221">
        <v>338</v>
      </c>
      <c r="R2221">
        <v>81</v>
      </c>
      <c r="S2221" t="s">
        <v>56</v>
      </c>
      <c r="T2221">
        <v>0.08</v>
      </c>
      <c r="U2221">
        <v>25</v>
      </c>
      <c r="V2221" t="s">
        <v>55</v>
      </c>
      <c r="W2221">
        <v>2.4E-2</v>
      </c>
      <c r="X2221">
        <v>1</v>
      </c>
      <c r="Y2221" t="s">
        <v>47</v>
      </c>
      <c r="Z2221">
        <v>0</v>
      </c>
      <c r="AA2221">
        <v>197</v>
      </c>
      <c r="AB2221" t="s">
        <v>47</v>
      </c>
      <c r="AC2221">
        <v>0.19600000000000001</v>
      </c>
      <c r="AD2221">
        <v>472</v>
      </c>
      <c r="AE2221" t="s">
        <v>56</v>
      </c>
      <c r="AF2221">
        <v>0.47099999999999997</v>
      </c>
      <c r="AG2221">
        <v>354</v>
      </c>
      <c r="AH2221" t="s">
        <v>57</v>
      </c>
      <c r="AI2221">
        <v>0.35299999999999998</v>
      </c>
      <c r="AJ2221" t="s">
        <v>1141</v>
      </c>
    </row>
    <row r="2222" spans="1:36" x14ac:dyDescent="0.25">
      <c r="A2222" t="s">
        <v>394</v>
      </c>
      <c r="B2222">
        <v>853393069</v>
      </c>
      <c r="C2222" t="s">
        <v>395</v>
      </c>
      <c r="D2222" t="s">
        <v>395</v>
      </c>
      <c r="E2222" t="s">
        <v>60</v>
      </c>
      <c r="F2222" t="s">
        <v>396</v>
      </c>
      <c r="I2222" t="s">
        <v>39</v>
      </c>
      <c r="J2222" t="s">
        <v>40</v>
      </c>
      <c r="K2222" t="s">
        <v>41</v>
      </c>
      <c r="L2222" t="s">
        <v>397</v>
      </c>
      <c r="M2222" t="s">
        <v>47</v>
      </c>
      <c r="N2222" t="s">
        <v>43</v>
      </c>
      <c r="O2222" t="s">
        <v>398</v>
      </c>
      <c r="P2222">
        <v>338</v>
      </c>
      <c r="Q2222">
        <v>338</v>
      </c>
      <c r="R2222">
        <v>61</v>
      </c>
      <c r="S2222" t="s">
        <v>56</v>
      </c>
      <c r="T2222">
        <v>0.06</v>
      </c>
      <c r="U2222">
        <v>152</v>
      </c>
      <c r="V2222" t="s">
        <v>55</v>
      </c>
      <c r="W2222">
        <v>0.151</v>
      </c>
      <c r="X2222">
        <v>1</v>
      </c>
      <c r="Y2222" t="s">
        <v>47</v>
      </c>
      <c r="Z2222">
        <v>0</v>
      </c>
      <c r="AA2222">
        <v>197</v>
      </c>
      <c r="AB2222" t="s">
        <v>47</v>
      </c>
      <c r="AC2222">
        <v>0.19600000000000001</v>
      </c>
      <c r="AD2222">
        <v>472</v>
      </c>
      <c r="AE2222" t="s">
        <v>56</v>
      </c>
      <c r="AF2222">
        <v>0.47099999999999997</v>
      </c>
      <c r="AG2222">
        <v>354</v>
      </c>
      <c r="AH2222" t="s">
        <v>57</v>
      </c>
      <c r="AI2222">
        <v>0.35299999999999998</v>
      </c>
      <c r="AJ2222" t="s">
        <v>1153</v>
      </c>
    </row>
    <row r="2223" spans="1:36" x14ac:dyDescent="0.25">
      <c r="A2223" t="s">
        <v>394</v>
      </c>
      <c r="B2223">
        <v>853393069</v>
      </c>
      <c r="C2223" t="s">
        <v>395</v>
      </c>
      <c r="D2223" t="s">
        <v>395</v>
      </c>
      <c r="E2223" t="s">
        <v>60</v>
      </c>
      <c r="F2223" t="s">
        <v>396</v>
      </c>
      <c r="I2223" t="s">
        <v>39</v>
      </c>
      <c r="J2223" t="s">
        <v>40</v>
      </c>
      <c r="K2223" t="s">
        <v>41</v>
      </c>
      <c r="L2223" t="s">
        <v>397</v>
      </c>
      <c r="M2223" t="s">
        <v>47</v>
      </c>
      <c r="N2223" t="s">
        <v>43</v>
      </c>
      <c r="O2223" t="s">
        <v>398</v>
      </c>
      <c r="P2223">
        <v>338</v>
      </c>
      <c r="Q2223">
        <v>338</v>
      </c>
      <c r="R2223">
        <v>61</v>
      </c>
      <c r="S2223" t="s">
        <v>56</v>
      </c>
      <c r="T2223">
        <v>0.06</v>
      </c>
      <c r="U2223">
        <v>152</v>
      </c>
      <c r="V2223" t="s">
        <v>55</v>
      </c>
      <c r="W2223">
        <v>0.151</v>
      </c>
      <c r="X2223">
        <v>1</v>
      </c>
      <c r="Y2223" t="s">
        <v>47</v>
      </c>
      <c r="Z2223">
        <v>0</v>
      </c>
      <c r="AA2223">
        <v>197</v>
      </c>
      <c r="AB2223" t="s">
        <v>47</v>
      </c>
      <c r="AC2223">
        <v>0.19600000000000001</v>
      </c>
      <c r="AD2223">
        <v>472</v>
      </c>
      <c r="AE2223" t="s">
        <v>56</v>
      </c>
      <c r="AF2223">
        <v>0.47099999999999997</v>
      </c>
      <c r="AG2223">
        <v>354</v>
      </c>
      <c r="AH2223" t="s">
        <v>57</v>
      </c>
      <c r="AI2223">
        <v>0.35299999999999998</v>
      </c>
      <c r="AJ2223" t="s">
        <v>1154</v>
      </c>
    </row>
    <row r="2224" spans="1:36" x14ac:dyDescent="0.25">
      <c r="A2224" t="s">
        <v>394</v>
      </c>
      <c r="B2224">
        <v>853393069</v>
      </c>
      <c r="C2224" t="s">
        <v>395</v>
      </c>
      <c r="D2224" t="s">
        <v>395</v>
      </c>
      <c r="E2224" t="s">
        <v>60</v>
      </c>
      <c r="F2224" t="s">
        <v>396</v>
      </c>
      <c r="I2224" t="s">
        <v>39</v>
      </c>
      <c r="J2224" t="s">
        <v>40</v>
      </c>
      <c r="K2224" t="s">
        <v>41</v>
      </c>
      <c r="L2224" t="s">
        <v>397</v>
      </c>
      <c r="M2224" t="s">
        <v>47</v>
      </c>
      <c r="N2224" t="s">
        <v>43</v>
      </c>
      <c r="O2224" t="s">
        <v>398</v>
      </c>
      <c r="P2224">
        <v>338</v>
      </c>
      <c r="Q2224">
        <v>338</v>
      </c>
      <c r="S2224" t="s">
        <v>39</v>
      </c>
      <c r="V2224" t="s">
        <v>39</v>
      </c>
      <c r="X2224">
        <v>1</v>
      </c>
      <c r="Y2224" t="s">
        <v>47</v>
      </c>
      <c r="Z2224">
        <v>0</v>
      </c>
      <c r="AA2224">
        <v>197</v>
      </c>
      <c r="AB2224" t="s">
        <v>47</v>
      </c>
      <c r="AC2224">
        <v>0.19600000000000001</v>
      </c>
      <c r="AD2224">
        <v>472</v>
      </c>
      <c r="AE2224" t="s">
        <v>56</v>
      </c>
      <c r="AF2224">
        <v>0.47099999999999997</v>
      </c>
      <c r="AG2224">
        <v>354</v>
      </c>
      <c r="AH2224" t="s">
        <v>57</v>
      </c>
      <c r="AI2224">
        <v>0.35299999999999998</v>
      </c>
      <c r="AJ2224" t="s">
        <v>1155</v>
      </c>
    </row>
    <row r="2225" spans="1:36" x14ac:dyDescent="0.25">
      <c r="A2225" t="s">
        <v>389</v>
      </c>
      <c r="B2225">
        <v>852974996</v>
      </c>
      <c r="C2225" t="s">
        <v>390</v>
      </c>
      <c r="D2225" t="s">
        <v>390</v>
      </c>
      <c r="E2225" t="s">
        <v>60</v>
      </c>
      <c r="F2225" t="s">
        <v>88</v>
      </c>
      <c r="I2225" t="s">
        <v>39</v>
      </c>
      <c r="J2225" t="s">
        <v>40</v>
      </c>
      <c r="K2225" t="s">
        <v>41</v>
      </c>
      <c r="L2225" t="s">
        <v>391</v>
      </c>
      <c r="N2225" t="s">
        <v>43</v>
      </c>
      <c r="O2225" t="s">
        <v>90</v>
      </c>
      <c r="P2225">
        <v>339</v>
      </c>
      <c r="Q2225">
        <v>339</v>
      </c>
      <c r="R2225">
        <v>721</v>
      </c>
      <c r="S2225" t="s">
        <v>56</v>
      </c>
      <c r="T2225">
        <v>0.72</v>
      </c>
      <c r="U2225">
        <v>4</v>
      </c>
      <c r="V2225" t="s">
        <v>55</v>
      </c>
      <c r="W2225">
        <v>3.0000000000000001E-3</v>
      </c>
      <c r="X2225">
        <v>1</v>
      </c>
      <c r="Y2225" t="s">
        <v>47</v>
      </c>
      <c r="Z2225">
        <v>0</v>
      </c>
      <c r="AA2225">
        <v>153</v>
      </c>
      <c r="AB2225" t="s">
        <v>47</v>
      </c>
      <c r="AC2225">
        <v>0.152</v>
      </c>
      <c r="AD2225">
        <v>175</v>
      </c>
      <c r="AE2225" t="s">
        <v>56</v>
      </c>
      <c r="AF2225">
        <v>0.17399999999999999</v>
      </c>
      <c r="AG2225">
        <v>50</v>
      </c>
      <c r="AH2225" t="s">
        <v>103</v>
      </c>
      <c r="AI2225">
        <v>4.9000000000000002E-2</v>
      </c>
      <c r="AJ2225" t="s">
        <v>50</v>
      </c>
    </row>
    <row r="2226" spans="1:36" x14ac:dyDescent="0.25">
      <c r="A2226" t="s">
        <v>389</v>
      </c>
      <c r="B2226">
        <v>852974996</v>
      </c>
      <c r="C2226" t="s">
        <v>390</v>
      </c>
      <c r="D2226" t="s">
        <v>390</v>
      </c>
      <c r="E2226" t="s">
        <v>60</v>
      </c>
      <c r="F2226" t="s">
        <v>88</v>
      </c>
      <c r="I2226" t="s">
        <v>39</v>
      </c>
      <c r="J2226" t="s">
        <v>40</v>
      </c>
      <c r="K2226" t="s">
        <v>41</v>
      </c>
      <c r="L2226" t="s">
        <v>391</v>
      </c>
      <c r="N2226" t="s">
        <v>43</v>
      </c>
      <c r="O2226" t="s">
        <v>90</v>
      </c>
      <c r="P2226">
        <v>339</v>
      </c>
      <c r="Q2226">
        <v>339</v>
      </c>
      <c r="R2226">
        <v>1001</v>
      </c>
      <c r="S2226" t="s">
        <v>56</v>
      </c>
      <c r="T2226">
        <v>1</v>
      </c>
      <c r="U2226">
        <v>2</v>
      </c>
      <c r="V2226" t="s">
        <v>55</v>
      </c>
      <c r="W2226">
        <v>1E-3</v>
      </c>
      <c r="X2226">
        <v>1</v>
      </c>
      <c r="Y2226" t="s">
        <v>47</v>
      </c>
      <c r="Z2226">
        <v>0</v>
      </c>
      <c r="AA2226">
        <v>153</v>
      </c>
      <c r="AB2226" t="s">
        <v>47</v>
      </c>
      <c r="AC2226">
        <v>0.152</v>
      </c>
      <c r="AD2226">
        <v>175</v>
      </c>
      <c r="AE2226" t="s">
        <v>56</v>
      </c>
      <c r="AF2226">
        <v>0.17399999999999999</v>
      </c>
      <c r="AG2226">
        <v>50</v>
      </c>
      <c r="AH2226" t="s">
        <v>103</v>
      </c>
      <c r="AI2226">
        <v>4.9000000000000002E-2</v>
      </c>
      <c r="AJ2226" t="s">
        <v>1141</v>
      </c>
    </row>
    <row r="2227" spans="1:36" x14ac:dyDescent="0.25">
      <c r="A2227" t="s">
        <v>389</v>
      </c>
      <c r="B2227">
        <v>852974996</v>
      </c>
      <c r="C2227" t="s">
        <v>390</v>
      </c>
      <c r="D2227" t="s">
        <v>390</v>
      </c>
      <c r="E2227" t="s">
        <v>60</v>
      </c>
      <c r="F2227" t="s">
        <v>88</v>
      </c>
      <c r="I2227" t="s">
        <v>39</v>
      </c>
      <c r="J2227" t="s">
        <v>40</v>
      </c>
      <c r="K2227" t="s">
        <v>41</v>
      </c>
      <c r="L2227" t="s">
        <v>391</v>
      </c>
      <c r="N2227" t="s">
        <v>43</v>
      </c>
      <c r="O2227" t="s">
        <v>90</v>
      </c>
      <c r="P2227">
        <v>339</v>
      </c>
      <c r="Q2227">
        <v>339</v>
      </c>
      <c r="R2227">
        <v>721</v>
      </c>
      <c r="S2227" t="s">
        <v>56</v>
      </c>
      <c r="T2227">
        <v>0.72</v>
      </c>
      <c r="U2227">
        <v>4</v>
      </c>
      <c r="V2227" t="s">
        <v>55</v>
      </c>
      <c r="W2227">
        <v>3.0000000000000001E-3</v>
      </c>
      <c r="X2227">
        <v>1</v>
      </c>
      <c r="Y2227" t="s">
        <v>47</v>
      </c>
      <c r="Z2227">
        <v>0</v>
      </c>
      <c r="AA2227">
        <v>153</v>
      </c>
      <c r="AB2227" t="s">
        <v>47</v>
      </c>
      <c r="AC2227">
        <v>0.152</v>
      </c>
      <c r="AD2227">
        <v>175</v>
      </c>
      <c r="AE2227" t="s">
        <v>56</v>
      </c>
      <c r="AF2227">
        <v>0.17399999999999999</v>
      </c>
      <c r="AG2227">
        <v>50</v>
      </c>
      <c r="AH2227" t="s">
        <v>103</v>
      </c>
      <c r="AI2227">
        <v>4.9000000000000002E-2</v>
      </c>
      <c r="AJ2227" t="s">
        <v>1153</v>
      </c>
    </row>
    <row r="2228" spans="1:36" x14ac:dyDescent="0.25">
      <c r="A2228" t="s">
        <v>389</v>
      </c>
      <c r="B2228">
        <v>852974996</v>
      </c>
      <c r="C2228" t="s">
        <v>390</v>
      </c>
      <c r="D2228" t="s">
        <v>390</v>
      </c>
      <c r="E2228" t="s">
        <v>60</v>
      </c>
      <c r="F2228" t="s">
        <v>88</v>
      </c>
      <c r="I2228" t="s">
        <v>39</v>
      </c>
      <c r="J2228" t="s">
        <v>40</v>
      </c>
      <c r="K2228" t="s">
        <v>41</v>
      </c>
      <c r="L2228" t="s">
        <v>391</v>
      </c>
      <c r="N2228" t="s">
        <v>43</v>
      </c>
      <c r="O2228" t="s">
        <v>90</v>
      </c>
      <c r="P2228">
        <v>339</v>
      </c>
      <c r="Q2228">
        <v>339</v>
      </c>
      <c r="R2228">
        <v>721</v>
      </c>
      <c r="S2228" t="s">
        <v>56</v>
      </c>
      <c r="T2228">
        <v>0.72</v>
      </c>
      <c r="U2228">
        <v>4</v>
      </c>
      <c r="V2228" t="s">
        <v>55</v>
      </c>
      <c r="W2228">
        <v>3.0000000000000001E-3</v>
      </c>
      <c r="X2228">
        <v>1</v>
      </c>
      <c r="Y2228" t="s">
        <v>47</v>
      </c>
      <c r="Z2228">
        <v>0</v>
      </c>
      <c r="AA2228">
        <v>153</v>
      </c>
      <c r="AB2228" t="s">
        <v>47</v>
      </c>
      <c r="AC2228">
        <v>0.152</v>
      </c>
      <c r="AD2228">
        <v>175</v>
      </c>
      <c r="AE2228" t="s">
        <v>56</v>
      </c>
      <c r="AF2228">
        <v>0.17399999999999999</v>
      </c>
      <c r="AG2228">
        <v>50</v>
      </c>
      <c r="AH2228" t="s">
        <v>103</v>
      </c>
      <c r="AI2228">
        <v>4.9000000000000002E-2</v>
      </c>
      <c r="AJ2228" t="s">
        <v>1154</v>
      </c>
    </row>
    <row r="2229" spans="1:36" x14ac:dyDescent="0.25">
      <c r="A2229" t="s">
        <v>389</v>
      </c>
      <c r="B2229">
        <v>852974996</v>
      </c>
      <c r="C2229" t="s">
        <v>390</v>
      </c>
      <c r="D2229" t="s">
        <v>390</v>
      </c>
      <c r="E2229" t="s">
        <v>60</v>
      </c>
      <c r="F2229" t="s">
        <v>88</v>
      </c>
      <c r="I2229" t="s">
        <v>39</v>
      </c>
      <c r="J2229" t="s">
        <v>40</v>
      </c>
      <c r="K2229" t="s">
        <v>41</v>
      </c>
      <c r="L2229" t="s">
        <v>391</v>
      </c>
      <c r="N2229" t="s">
        <v>43</v>
      </c>
      <c r="O2229" t="s">
        <v>90</v>
      </c>
      <c r="P2229">
        <v>339</v>
      </c>
      <c r="Q2229">
        <v>339</v>
      </c>
      <c r="S2229" t="s">
        <v>39</v>
      </c>
      <c r="V2229" t="s">
        <v>39</v>
      </c>
      <c r="X2229">
        <v>1</v>
      </c>
      <c r="Y2229" t="s">
        <v>47</v>
      </c>
      <c r="Z2229">
        <v>0</v>
      </c>
      <c r="AA2229">
        <v>153</v>
      </c>
      <c r="AB2229" t="s">
        <v>47</v>
      </c>
      <c r="AC2229">
        <v>0.152</v>
      </c>
      <c r="AD2229">
        <v>175</v>
      </c>
      <c r="AE2229" t="s">
        <v>56</v>
      </c>
      <c r="AF2229">
        <v>0.17399999999999999</v>
      </c>
      <c r="AG2229">
        <v>50</v>
      </c>
      <c r="AH2229" t="s">
        <v>103</v>
      </c>
      <c r="AI2229">
        <v>4.9000000000000002E-2</v>
      </c>
      <c r="AJ2229" t="s">
        <v>1155</v>
      </c>
    </row>
    <row r="2230" spans="1:36" x14ac:dyDescent="0.25">
      <c r="A2230" t="s">
        <v>392</v>
      </c>
      <c r="B2230">
        <v>855954810</v>
      </c>
      <c r="C2230" t="s">
        <v>393</v>
      </c>
      <c r="D2230" t="s">
        <v>393</v>
      </c>
      <c r="E2230" t="s">
        <v>37</v>
      </c>
      <c r="F2230" t="s">
        <v>191</v>
      </c>
      <c r="I2230" t="s">
        <v>39</v>
      </c>
      <c r="J2230" t="s">
        <v>40</v>
      </c>
      <c r="K2230" t="s">
        <v>41</v>
      </c>
      <c r="L2230" t="s">
        <v>118</v>
      </c>
      <c r="N2230" t="s">
        <v>43</v>
      </c>
      <c r="O2230" t="s">
        <v>252</v>
      </c>
      <c r="P2230">
        <v>339</v>
      </c>
      <c r="Q2230">
        <v>339</v>
      </c>
      <c r="R2230">
        <v>31</v>
      </c>
      <c r="S2230" t="s">
        <v>45</v>
      </c>
      <c r="T2230">
        <v>0.03</v>
      </c>
      <c r="U2230">
        <v>840</v>
      </c>
      <c r="V2230" t="s">
        <v>113</v>
      </c>
      <c r="W2230">
        <v>0.83899999999999997</v>
      </c>
      <c r="X2230">
        <v>18001</v>
      </c>
      <c r="Y2230" t="s">
        <v>47</v>
      </c>
      <c r="Z2230">
        <v>18</v>
      </c>
      <c r="AA2230">
        <v>411</v>
      </c>
      <c r="AB2230" t="s">
        <v>47</v>
      </c>
      <c r="AC2230">
        <v>0.41</v>
      </c>
      <c r="AD2230">
        <v>567</v>
      </c>
      <c r="AE2230" t="s">
        <v>48</v>
      </c>
      <c r="AF2230">
        <v>0.56599999999999995</v>
      </c>
      <c r="AG2230">
        <v>423</v>
      </c>
      <c r="AH2230" t="s">
        <v>57</v>
      </c>
      <c r="AI2230">
        <v>0.42199999999999999</v>
      </c>
      <c r="AJ2230" t="s">
        <v>50</v>
      </c>
    </row>
    <row r="2231" spans="1:36" x14ac:dyDescent="0.25">
      <c r="A2231" t="s">
        <v>392</v>
      </c>
      <c r="B2231">
        <v>855954810</v>
      </c>
      <c r="C2231" t="s">
        <v>393</v>
      </c>
      <c r="D2231" t="s">
        <v>393</v>
      </c>
      <c r="E2231" t="s">
        <v>60</v>
      </c>
      <c r="F2231" t="s">
        <v>191</v>
      </c>
      <c r="I2231" t="s">
        <v>39</v>
      </c>
      <c r="J2231" t="s">
        <v>40</v>
      </c>
      <c r="K2231" t="s">
        <v>41</v>
      </c>
      <c r="L2231" t="s">
        <v>118</v>
      </c>
      <c r="N2231" t="s">
        <v>43</v>
      </c>
      <c r="O2231" t="s">
        <v>253</v>
      </c>
      <c r="P2231">
        <v>339</v>
      </c>
      <c r="Q2231">
        <v>339</v>
      </c>
      <c r="R2231">
        <v>351</v>
      </c>
      <c r="S2231" t="s">
        <v>56</v>
      </c>
      <c r="T2231">
        <v>0.35</v>
      </c>
      <c r="U2231">
        <v>15</v>
      </c>
      <c r="V2231" t="s">
        <v>55</v>
      </c>
      <c r="W2231">
        <v>1.4E-2</v>
      </c>
      <c r="X2231">
        <v>8001</v>
      </c>
      <c r="Y2231" t="s">
        <v>47</v>
      </c>
      <c r="Z2231">
        <v>8</v>
      </c>
      <c r="AA2231">
        <v>130</v>
      </c>
      <c r="AB2231" t="s">
        <v>47</v>
      </c>
      <c r="AC2231">
        <v>0.129</v>
      </c>
      <c r="AD2231">
        <v>284</v>
      </c>
      <c r="AE2231" t="s">
        <v>56</v>
      </c>
      <c r="AF2231">
        <v>0.28299999999999997</v>
      </c>
      <c r="AG2231">
        <v>135</v>
      </c>
      <c r="AH2231" t="s">
        <v>103</v>
      </c>
      <c r="AI2231">
        <v>0.13400000000000001</v>
      </c>
      <c r="AJ2231" t="s">
        <v>50</v>
      </c>
    </row>
    <row r="2232" spans="1:36" x14ac:dyDescent="0.25">
      <c r="A2232" t="s">
        <v>392</v>
      </c>
      <c r="B2232">
        <v>855954810</v>
      </c>
      <c r="C2232" t="s">
        <v>393</v>
      </c>
      <c r="D2232" t="s">
        <v>393</v>
      </c>
      <c r="E2232" t="s">
        <v>37</v>
      </c>
      <c r="F2232" t="s">
        <v>191</v>
      </c>
      <c r="I2232" t="s">
        <v>39</v>
      </c>
      <c r="J2232" t="s">
        <v>40</v>
      </c>
      <c r="K2232" t="s">
        <v>41</v>
      </c>
      <c r="L2232" t="s">
        <v>118</v>
      </c>
      <c r="N2232" t="s">
        <v>43</v>
      </c>
      <c r="O2232" t="s">
        <v>252</v>
      </c>
      <c r="P2232">
        <v>339</v>
      </c>
      <c r="Q2232">
        <v>339</v>
      </c>
      <c r="R2232">
        <v>11</v>
      </c>
      <c r="S2232" t="s">
        <v>45</v>
      </c>
      <c r="T2232">
        <v>0.01</v>
      </c>
      <c r="U2232">
        <v>752</v>
      </c>
      <c r="V2232" t="s">
        <v>113</v>
      </c>
      <c r="W2232">
        <v>0.751</v>
      </c>
      <c r="X2232">
        <v>18001</v>
      </c>
      <c r="Y2232" t="s">
        <v>47</v>
      </c>
      <c r="Z2232">
        <v>18</v>
      </c>
      <c r="AA2232">
        <v>411</v>
      </c>
      <c r="AB2232" t="s">
        <v>47</v>
      </c>
      <c r="AC2232">
        <v>0.41</v>
      </c>
      <c r="AD2232">
        <v>567</v>
      </c>
      <c r="AE2232" t="s">
        <v>48</v>
      </c>
      <c r="AF2232">
        <v>0.56599999999999995</v>
      </c>
      <c r="AG2232">
        <v>423</v>
      </c>
      <c r="AH2232" t="s">
        <v>57</v>
      </c>
      <c r="AI2232">
        <v>0.42199999999999999</v>
      </c>
      <c r="AJ2232" t="s">
        <v>1141</v>
      </c>
    </row>
    <row r="2233" spans="1:36" x14ac:dyDescent="0.25">
      <c r="A2233" t="s">
        <v>392</v>
      </c>
      <c r="B2233">
        <v>855954810</v>
      </c>
      <c r="C2233" t="s">
        <v>393</v>
      </c>
      <c r="D2233" t="s">
        <v>393</v>
      </c>
      <c r="E2233" t="s">
        <v>60</v>
      </c>
      <c r="F2233" t="s">
        <v>191</v>
      </c>
      <c r="I2233" t="s">
        <v>39</v>
      </c>
      <c r="J2233" t="s">
        <v>40</v>
      </c>
      <c r="K2233" t="s">
        <v>41</v>
      </c>
      <c r="L2233" t="s">
        <v>118</v>
      </c>
      <c r="N2233" t="s">
        <v>43</v>
      </c>
      <c r="O2233" t="s">
        <v>253</v>
      </c>
      <c r="P2233">
        <v>339</v>
      </c>
      <c r="Q2233">
        <v>339</v>
      </c>
      <c r="R2233">
        <v>321</v>
      </c>
      <c r="S2233" t="s">
        <v>56</v>
      </c>
      <c r="T2233">
        <v>0.32</v>
      </c>
      <c r="U2233">
        <v>6</v>
      </c>
      <c r="V2233" t="s">
        <v>55</v>
      </c>
      <c r="W2233">
        <v>5.0000000000000001E-3</v>
      </c>
      <c r="X2233">
        <v>8001</v>
      </c>
      <c r="Y2233" t="s">
        <v>47</v>
      </c>
      <c r="Z2233">
        <v>8</v>
      </c>
      <c r="AA2233">
        <v>130</v>
      </c>
      <c r="AB2233" t="s">
        <v>47</v>
      </c>
      <c r="AC2233">
        <v>0.129</v>
      </c>
      <c r="AD2233">
        <v>284</v>
      </c>
      <c r="AE2233" t="s">
        <v>56</v>
      </c>
      <c r="AF2233">
        <v>0.28299999999999997</v>
      </c>
      <c r="AG2233">
        <v>135</v>
      </c>
      <c r="AH2233" t="s">
        <v>103</v>
      </c>
      <c r="AI2233">
        <v>0.13400000000000001</v>
      </c>
      <c r="AJ2233" t="s">
        <v>1141</v>
      </c>
    </row>
    <row r="2234" spans="1:36" x14ac:dyDescent="0.25">
      <c r="A2234" t="s">
        <v>392</v>
      </c>
      <c r="B2234">
        <v>855954810</v>
      </c>
      <c r="C2234" t="s">
        <v>393</v>
      </c>
      <c r="D2234" t="s">
        <v>393</v>
      </c>
      <c r="E2234" t="s">
        <v>37</v>
      </c>
      <c r="F2234" t="s">
        <v>191</v>
      </c>
      <c r="I2234" t="s">
        <v>39</v>
      </c>
      <c r="J2234" t="s">
        <v>40</v>
      </c>
      <c r="K2234" t="s">
        <v>41</v>
      </c>
      <c r="L2234" t="s">
        <v>118</v>
      </c>
      <c r="N2234" t="s">
        <v>43</v>
      </c>
      <c r="O2234" t="s">
        <v>252</v>
      </c>
      <c r="P2234">
        <v>339</v>
      </c>
      <c r="Q2234">
        <v>339</v>
      </c>
      <c r="R2234">
        <v>31</v>
      </c>
      <c r="S2234" t="s">
        <v>45</v>
      </c>
      <c r="T2234">
        <v>0.03</v>
      </c>
      <c r="U2234">
        <v>840</v>
      </c>
      <c r="V2234" t="s">
        <v>113</v>
      </c>
      <c r="W2234">
        <v>0.83899999999999997</v>
      </c>
      <c r="X2234">
        <v>18001</v>
      </c>
      <c r="Y2234" t="s">
        <v>47</v>
      </c>
      <c r="Z2234">
        <v>18</v>
      </c>
      <c r="AA2234">
        <v>411</v>
      </c>
      <c r="AB2234" t="s">
        <v>47</v>
      </c>
      <c r="AC2234">
        <v>0.41</v>
      </c>
      <c r="AD2234">
        <v>567</v>
      </c>
      <c r="AE2234" t="s">
        <v>48</v>
      </c>
      <c r="AF2234">
        <v>0.56599999999999995</v>
      </c>
      <c r="AG2234">
        <v>423</v>
      </c>
      <c r="AH2234" t="s">
        <v>57</v>
      </c>
      <c r="AI2234">
        <v>0.42199999999999999</v>
      </c>
      <c r="AJ2234" t="s">
        <v>1153</v>
      </c>
    </row>
    <row r="2235" spans="1:36" x14ac:dyDescent="0.25">
      <c r="A2235" t="s">
        <v>392</v>
      </c>
      <c r="B2235">
        <v>855954810</v>
      </c>
      <c r="C2235" t="s">
        <v>393</v>
      </c>
      <c r="D2235" t="s">
        <v>393</v>
      </c>
      <c r="E2235" t="s">
        <v>60</v>
      </c>
      <c r="F2235" t="s">
        <v>191</v>
      </c>
      <c r="I2235" t="s">
        <v>39</v>
      </c>
      <c r="J2235" t="s">
        <v>40</v>
      </c>
      <c r="K2235" t="s">
        <v>41</v>
      </c>
      <c r="L2235" t="s">
        <v>118</v>
      </c>
      <c r="N2235" t="s">
        <v>43</v>
      </c>
      <c r="O2235" t="s">
        <v>253</v>
      </c>
      <c r="P2235">
        <v>339</v>
      </c>
      <c r="Q2235">
        <v>339</v>
      </c>
      <c r="R2235">
        <v>351</v>
      </c>
      <c r="S2235" t="s">
        <v>56</v>
      </c>
      <c r="T2235">
        <v>0.35</v>
      </c>
      <c r="U2235">
        <v>15</v>
      </c>
      <c r="V2235" t="s">
        <v>55</v>
      </c>
      <c r="W2235">
        <v>1.4E-2</v>
      </c>
      <c r="X2235">
        <v>8001</v>
      </c>
      <c r="Y2235" t="s">
        <v>47</v>
      </c>
      <c r="Z2235">
        <v>8</v>
      </c>
      <c r="AA2235">
        <v>130</v>
      </c>
      <c r="AB2235" t="s">
        <v>47</v>
      </c>
      <c r="AC2235">
        <v>0.129</v>
      </c>
      <c r="AD2235">
        <v>284</v>
      </c>
      <c r="AE2235" t="s">
        <v>56</v>
      </c>
      <c r="AF2235">
        <v>0.28299999999999997</v>
      </c>
      <c r="AG2235">
        <v>135</v>
      </c>
      <c r="AH2235" t="s">
        <v>103</v>
      </c>
      <c r="AI2235">
        <v>0.13400000000000001</v>
      </c>
      <c r="AJ2235" t="s">
        <v>1153</v>
      </c>
    </row>
    <row r="2236" spans="1:36" x14ac:dyDescent="0.25">
      <c r="A2236" t="s">
        <v>392</v>
      </c>
      <c r="B2236">
        <v>855954810</v>
      </c>
      <c r="C2236" t="s">
        <v>393</v>
      </c>
      <c r="D2236" t="s">
        <v>393</v>
      </c>
      <c r="E2236" t="s">
        <v>37</v>
      </c>
      <c r="F2236" t="s">
        <v>191</v>
      </c>
      <c r="I2236" t="s">
        <v>39</v>
      </c>
      <c r="J2236" t="s">
        <v>40</v>
      </c>
      <c r="K2236" t="s">
        <v>41</v>
      </c>
      <c r="L2236" t="s">
        <v>118</v>
      </c>
      <c r="N2236" t="s">
        <v>43</v>
      </c>
      <c r="O2236" t="s">
        <v>252</v>
      </c>
      <c r="P2236">
        <v>339</v>
      </c>
      <c r="Q2236">
        <v>339</v>
      </c>
      <c r="R2236">
        <v>31</v>
      </c>
      <c r="S2236" t="s">
        <v>45</v>
      </c>
      <c r="T2236">
        <v>0.03</v>
      </c>
      <c r="U2236">
        <v>840</v>
      </c>
      <c r="V2236" t="s">
        <v>113</v>
      </c>
      <c r="W2236">
        <v>0.83899999999999997</v>
      </c>
      <c r="X2236">
        <v>18001</v>
      </c>
      <c r="Y2236" t="s">
        <v>47</v>
      </c>
      <c r="Z2236">
        <v>18</v>
      </c>
      <c r="AA2236">
        <v>411</v>
      </c>
      <c r="AB2236" t="s">
        <v>47</v>
      </c>
      <c r="AC2236">
        <v>0.41</v>
      </c>
      <c r="AD2236">
        <v>567</v>
      </c>
      <c r="AE2236" t="s">
        <v>48</v>
      </c>
      <c r="AF2236">
        <v>0.56599999999999995</v>
      </c>
      <c r="AG2236">
        <v>423</v>
      </c>
      <c r="AH2236" t="s">
        <v>57</v>
      </c>
      <c r="AI2236">
        <v>0.42199999999999999</v>
      </c>
      <c r="AJ2236" t="s">
        <v>1154</v>
      </c>
    </row>
    <row r="2237" spans="1:36" x14ac:dyDescent="0.25">
      <c r="A2237" t="s">
        <v>392</v>
      </c>
      <c r="B2237">
        <v>855954810</v>
      </c>
      <c r="C2237" t="s">
        <v>393</v>
      </c>
      <c r="D2237" t="s">
        <v>393</v>
      </c>
      <c r="E2237" t="s">
        <v>60</v>
      </c>
      <c r="F2237" t="s">
        <v>191</v>
      </c>
      <c r="I2237" t="s">
        <v>39</v>
      </c>
      <c r="J2237" t="s">
        <v>40</v>
      </c>
      <c r="K2237" t="s">
        <v>41</v>
      </c>
      <c r="L2237" t="s">
        <v>118</v>
      </c>
      <c r="N2237" t="s">
        <v>43</v>
      </c>
      <c r="O2237" t="s">
        <v>253</v>
      </c>
      <c r="P2237">
        <v>339</v>
      </c>
      <c r="Q2237">
        <v>339</v>
      </c>
      <c r="R2237">
        <v>351</v>
      </c>
      <c r="S2237" t="s">
        <v>56</v>
      </c>
      <c r="T2237">
        <v>0.35</v>
      </c>
      <c r="U2237">
        <v>15</v>
      </c>
      <c r="V2237" t="s">
        <v>55</v>
      </c>
      <c r="W2237">
        <v>1.4E-2</v>
      </c>
      <c r="X2237">
        <v>8001</v>
      </c>
      <c r="Y2237" t="s">
        <v>47</v>
      </c>
      <c r="Z2237">
        <v>8</v>
      </c>
      <c r="AA2237">
        <v>130</v>
      </c>
      <c r="AB2237" t="s">
        <v>47</v>
      </c>
      <c r="AC2237">
        <v>0.129</v>
      </c>
      <c r="AD2237">
        <v>284</v>
      </c>
      <c r="AE2237" t="s">
        <v>56</v>
      </c>
      <c r="AF2237">
        <v>0.28299999999999997</v>
      </c>
      <c r="AG2237">
        <v>135</v>
      </c>
      <c r="AH2237" t="s">
        <v>103</v>
      </c>
      <c r="AI2237">
        <v>0.13400000000000001</v>
      </c>
      <c r="AJ2237" t="s">
        <v>1154</v>
      </c>
    </row>
    <row r="2238" spans="1:36" x14ac:dyDescent="0.25">
      <c r="A2238" t="s">
        <v>392</v>
      </c>
      <c r="B2238">
        <v>855954810</v>
      </c>
      <c r="C2238" t="s">
        <v>393</v>
      </c>
      <c r="D2238" t="s">
        <v>393</v>
      </c>
      <c r="E2238" t="s">
        <v>37</v>
      </c>
      <c r="F2238" t="s">
        <v>191</v>
      </c>
      <c r="I2238" t="s">
        <v>39</v>
      </c>
      <c r="J2238" t="s">
        <v>40</v>
      </c>
      <c r="K2238" t="s">
        <v>41</v>
      </c>
      <c r="L2238" t="s">
        <v>118</v>
      </c>
      <c r="N2238" t="s">
        <v>43</v>
      </c>
      <c r="O2238" t="s">
        <v>252</v>
      </c>
      <c r="P2238">
        <v>339</v>
      </c>
      <c r="Q2238">
        <v>339</v>
      </c>
      <c r="S2238" t="s">
        <v>39</v>
      </c>
      <c r="V2238" t="s">
        <v>39</v>
      </c>
      <c r="X2238">
        <v>18001</v>
      </c>
      <c r="Y2238" t="s">
        <v>47</v>
      </c>
      <c r="Z2238">
        <v>18</v>
      </c>
      <c r="AA2238">
        <v>411</v>
      </c>
      <c r="AB2238" t="s">
        <v>47</v>
      </c>
      <c r="AC2238">
        <v>0.41</v>
      </c>
      <c r="AD2238">
        <v>567</v>
      </c>
      <c r="AE2238" t="s">
        <v>48</v>
      </c>
      <c r="AF2238">
        <v>0.56599999999999995</v>
      </c>
      <c r="AG2238">
        <v>423</v>
      </c>
      <c r="AH2238" t="s">
        <v>57</v>
      </c>
      <c r="AI2238">
        <v>0.42199999999999999</v>
      </c>
      <c r="AJ2238" t="s">
        <v>1155</v>
      </c>
    </row>
    <row r="2239" spans="1:36" x14ac:dyDescent="0.25">
      <c r="A2239" t="s">
        <v>392</v>
      </c>
      <c r="B2239">
        <v>855954810</v>
      </c>
      <c r="C2239" t="s">
        <v>393</v>
      </c>
      <c r="D2239" t="s">
        <v>393</v>
      </c>
      <c r="E2239" t="s">
        <v>60</v>
      </c>
      <c r="F2239" t="s">
        <v>191</v>
      </c>
      <c r="I2239" t="s">
        <v>39</v>
      </c>
      <c r="J2239" t="s">
        <v>40</v>
      </c>
      <c r="K2239" t="s">
        <v>41</v>
      </c>
      <c r="L2239" t="s">
        <v>118</v>
      </c>
      <c r="N2239" t="s">
        <v>43</v>
      </c>
      <c r="O2239" t="s">
        <v>253</v>
      </c>
      <c r="P2239">
        <v>339</v>
      </c>
      <c r="Q2239">
        <v>339</v>
      </c>
      <c r="S2239" t="s">
        <v>39</v>
      </c>
      <c r="V2239" t="s">
        <v>39</v>
      </c>
      <c r="X2239">
        <v>8001</v>
      </c>
      <c r="Y2239" t="s">
        <v>47</v>
      </c>
      <c r="Z2239">
        <v>8</v>
      </c>
      <c r="AA2239">
        <v>130</v>
      </c>
      <c r="AB2239" t="s">
        <v>47</v>
      </c>
      <c r="AC2239">
        <v>0.129</v>
      </c>
      <c r="AD2239">
        <v>284</v>
      </c>
      <c r="AE2239" t="s">
        <v>56</v>
      </c>
      <c r="AF2239">
        <v>0.28299999999999997</v>
      </c>
      <c r="AG2239">
        <v>135</v>
      </c>
      <c r="AH2239" t="s">
        <v>103</v>
      </c>
      <c r="AI2239">
        <v>0.13400000000000001</v>
      </c>
      <c r="AJ2239" t="s">
        <v>1155</v>
      </c>
    </row>
    <row r="2240" spans="1:36" x14ac:dyDescent="0.25">
      <c r="A2240" t="s">
        <v>387</v>
      </c>
      <c r="B2240">
        <v>868069553</v>
      </c>
      <c r="C2240" t="s">
        <v>388</v>
      </c>
      <c r="D2240" t="s">
        <v>388</v>
      </c>
      <c r="E2240" t="s">
        <v>37</v>
      </c>
      <c r="F2240" t="s">
        <v>71</v>
      </c>
      <c r="I2240" t="s">
        <v>39</v>
      </c>
      <c r="J2240" t="s">
        <v>40</v>
      </c>
      <c r="K2240" t="s">
        <v>41</v>
      </c>
      <c r="L2240" t="s">
        <v>78</v>
      </c>
      <c r="N2240" t="s">
        <v>43</v>
      </c>
      <c r="O2240" t="s">
        <v>225</v>
      </c>
      <c r="P2240">
        <v>340</v>
      </c>
      <c r="Q2240">
        <v>340</v>
      </c>
      <c r="R2240">
        <v>1</v>
      </c>
      <c r="S2240" t="s">
        <v>45</v>
      </c>
      <c r="T2240">
        <v>0</v>
      </c>
      <c r="U2240">
        <v>970</v>
      </c>
      <c r="V2240" t="s">
        <v>46</v>
      </c>
      <c r="W2240">
        <v>0.96899999999999997</v>
      </c>
      <c r="X2240">
        <v>26001</v>
      </c>
      <c r="Y2240" t="s">
        <v>47</v>
      </c>
      <c r="Z2240">
        <v>26</v>
      </c>
      <c r="AA2240">
        <v>859</v>
      </c>
      <c r="AB2240" t="s">
        <v>75</v>
      </c>
      <c r="AC2240">
        <v>0.85799999999999998</v>
      </c>
      <c r="AD2240">
        <v>876</v>
      </c>
      <c r="AE2240" t="s">
        <v>48</v>
      </c>
      <c r="AF2240">
        <v>0.875</v>
      </c>
      <c r="AG2240">
        <v>937</v>
      </c>
      <c r="AH2240" t="s">
        <v>80</v>
      </c>
      <c r="AI2240">
        <v>0.93600000000000005</v>
      </c>
      <c r="AJ2240" t="s">
        <v>50</v>
      </c>
    </row>
    <row r="2241" spans="1:36" x14ac:dyDescent="0.25">
      <c r="A2241" t="s">
        <v>387</v>
      </c>
      <c r="B2241">
        <v>868069553</v>
      </c>
      <c r="C2241" t="s">
        <v>388</v>
      </c>
      <c r="D2241" t="s">
        <v>388</v>
      </c>
      <c r="E2241" t="s">
        <v>37</v>
      </c>
      <c r="F2241" t="s">
        <v>71</v>
      </c>
      <c r="I2241" t="s">
        <v>39</v>
      </c>
      <c r="J2241" t="s">
        <v>40</v>
      </c>
      <c r="K2241" t="s">
        <v>41</v>
      </c>
      <c r="L2241" t="s">
        <v>78</v>
      </c>
      <c r="N2241" t="s">
        <v>43</v>
      </c>
      <c r="O2241" t="s">
        <v>225</v>
      </c>
      <c r="P2241">
        <v>340</v>
      </c>
      <c r="Q2241">
        <v>340</v>
      </c>
      <c r="R2241">
        <v>1</v>
      </c>
      <c r="S2241" t="s">
        <v>45</v>
      </c>
      <c r="T2241">
        <v>0</v>
      </c>
      <c r="U2241">
        <v>839</v>
      </c>
      <c r="V2241" t="s">
        <v>113</v>
      </c>
      <c r="W2241">
        <v>0.83799999999999997</v>
      </c>
      <c r="X2241">
        <v>26001</v>
      </c>
      <c r="Y2241" t="s">
        <v>47</v>
      </c>
      <c r="Z2241">
        <v>26</v>
      </c>
      <c r="AA2241">
        <v>859</v>
      </c>
      <c r="AB2241" t="s">
        <v>75</v>
      </c>
      <c r="AC2241">
        <v>0.85799999999999998</v>
      </c>
      <c r="AD2241">
        <v>876</v>
      </c>
      <c r="AE2241" t="s">
        <v>48</v>
      </c>
      <c r="AF2241">
        <v>0.875</v>
      </c>
      <c r="AG2241">
        <v>937</v>
      </c>
      <c r="AH2241" t="s">
        <v>80</v>
      </c>
      <c r="AI2241">
        <v>0.93600000000000005</v>
      </c>
      <c r="AJ2241" t="s">
        <v>1141</v>
      </c>
    </row>
    <row r="2242" spans="1:36" x14ac:dyDescent="0.25">
      <c r="A2242" t="s">
        <v>387</v>
      </c>
      <c r="B2242">
        <v>868069553</v>
      </c>
      <c r="C2242" t="s">
        <v>388</v>
      </c>
      <c r="D2242" t="s">
        <v>388</v>
      </c>
      <c r="E2242" t="s">
        <v>37</v>
      </c>
      <c r="F2242" t="s">
        <v>71</v>
      </c>
      <c r="I2242" t="s">
        <v>39</v>
      </c>
      <c r="J2242" t="s">
        <v>40</v>
      </c>
      <c r="K2242" t="s">
        <v>41</v>
      </c>
      <c r="L2242" t="s">
        <v>78</v>
      </c>
      <c r="N2242" t="s">
        <v>43</v>
      </c>
      <c r="O2242" t="s">
        <v>225</v>
      </c>
      <c r="P2242">
        <v>340</v>
      </c>
      <c r="Q2242">
        <v>340</v>
      </c>
      <c r="R2242">
        <v>1</v>
      </c>
      <c r="S2242" t="s">
        <v>45</v>
      </c>
      <c r="T2242">
        <v>0</v>
      </c>
      <c r="U2242">
        <v>970</v>
      </c>
      <c r="V2242" t="s">
        <v>46</v>
      </c>
      <c r="W2242">
        <v>0.96899999999999997</v>
      </c>
      <c r="X2242">
        <v>26001</v>
      </c>
      <c r="Y2242" t="s">
        <v>47</v>
      </c>
      <c r="Z2242">
        <v>26</v>
      </c>
      <c r="AA2242">
        <v>859</v>
      </c>
      <c r="AB2242" t="s">
        <v>75</v>
      </c>
      <c r="AC2242">
        <v>0.85799999999999998</v>
      </c>
      <c r="AD2242">
        <v>876</v>
      </c>
      <c r="AE2242" t="s">
        <v>48</v>
      </c>
      <c r="AF2242">
        <v>0.875</v>
      </c>
      <c r="AG2242">
        <v>937</v>
      </c>
      <c r="AH2242" t="s">
        <v>80</v>
      </c>
      <c r="AI2242">
        <v>0.93600000000000005</v>
      </c>
      <c r="AJ2242" t="s">
        <v>1153</v>
      </c>
    </row>
    <row r="2243" spans="1:36" x14ac:dyDescent="0.25">
      <c r="A2243" t="s">
        <v>387</v>
      </c>
      <c r="B2243">
        <v>868069553</v>
      </c>
      <c r="C2243" t="s">
        <v>388</v>
      </c>
      <c r="D2243" t="s">
        <v>388</v>
      </c>
      <c r="E2243" t="s">
        <v>37</v>
      </c>
      <c r="F2243" t="s">
        <v>71</v>
      </c>
      <c r="I2243" t="s">
        <v>39</v>
      </c>
      <c r="J2243" t="s">
        <v>40</v>
      </c>
      <c r="K2243" t="s">
        <v>41</v>
      </c>
      <c r="L2243" t="s">
        <v>78</v>
      </c>
      <c r="N2243" t="s">
        <v>43</v>
      </c>
      <c r="O2243" t="s">
        <v>225</v>
      </c>
      <c r="P2243">
        <v>340</v>
      </c>
      <c r="Q2243">
        <v>340</v>
      </c>
      <c r="R2243">
        <v>1</v>
      </c>
      <c r="S2243" t="s">
        <v>45</v>
      </c>
      <c r="T2243">
        <v>0</v>
      </c>
      <c r="U2243">
        <v>970</v>
      </c>
      <c r="V2243" t="s">
        <v>46</v>
      </c>
      <c r="W2243">
        <v>0.96899999999999997</v>
      </c>
      <c r="X2243">
        <v>26001</v>
      </c>
      <c r="Y2243" t="s">
        <v>47</v>
      </c>
      <c r="Z2243">
        <v>26</v>
      </c>
      <c r="AA2243">
        <v>859</v>
      </c>
      <c r="AB2243" t="s">
        <v>75</v>
      </c>
      <c r="AC2243">
        <v>0.85799999999999998</v>
      </c>
      <c r="AD2243">
        <v>876</v>
      </c>
      <c r="AE2243" t="s">
        <v>48</v>
      </c>
      <c r="AF2243">
        <v>0.875</v>
      </c>
      <c r="AG2243">
        <v>937</v>
      </c>
      <c r="AH2243" t="s">
        <v>80</v>
      </c>
      <c r="AI2243">
        <v>0.93600000000000005</v>
      </c>
      <c r="AJ2243" t="s">
        <v>1154</v>
      </c>
    </row>
    <row r="2244" spans="1:36" x14ac:dyDescent="0.25">
      <c r="A2244" t="s">
        <v>387</v>
      </c>
      <c r="B2244">
        <v>868069553</v>
      </c>
      <c r="C2244" t="s">
        <v>388</v>
      </c>
      <c r="D2244" t="s">
        <v>388</v>
      </c>
      <c r="E2244" t="s">
        <v>37</v>
      </c>
      <c r="F2244" t="s">
        <v>71</v>
      </c>
      <c r="I2244" t="s">
        <v>39</v>
      </c>
      <c r="J2244" t="s">
        <v>40</v>
      </c>
      <c r="K2244" t="s">
        <v>41</v>
      </c>
      <c r="L2244" t="s">
        <v>78</v>
      </c>
      <c r="N2244" t="s">
        <v>43</v>
      </c>
      <c r="O2244" t="s">
        <v>225</v>
      </c>
      <c r="P2244">
        <v>340</v>
      </c>
      <c r="Q2244">
        <v>340</v>
      </c>
      <c r="S2244" t="s">
        <v>39</v>
      </c>
      <c r="V2244" t="s">
        <v>39</v>
      </c>
      <c r="X2244">
        <v>26001</v>
      </c>
      <c r="Y2244" t="s">
        <v>47</v>
      </c>
      <c r="Z2244">
        <v>26</v>
      </c>
      <c r="AA2244">
        <v>859</v>
      </c>
      <c r="AB2244" t="s">
        <v>75</v>
      </c>
      <c r="AC2244">
        <v>0.85799999999999998</v>
      </c>
      <c r="AD2244">
        <v>876</v>
      </c>
      <c r="AE2244" t="s">
        <v>48</v>
      </c>
      <c r="AF2244">
        <v>0.875</v>
      </c>
      <c r="AG2244">
        <v>937</v>
      </c>
      <c r="AH2244" t="s">
        <v>80</v>
      </c>
      <c r="AI2244">
        <v>0.93600000000000005</v>
      </c>
      <c r="AJ2244" t="s">
        <v>1155</v>
      </c>
    </row>
    <row r="2245" spans="1:36" x14ac:dyDescent="0.25">
      <c r="A2245" t="s">
        <v>384</v>
      </c>
      <c r="B2245">
        <v>851914894</v>
      </c>
      <c r="C2245" t="s">
        <v>385</v>
      </c>
      <c r="D2245" t="s">
        <v>385</v>
      </c>
      <c r="E2245" t="s">
        <v>60</v>
      </c>
      <c r="F2245" t="s">
        <v>88</v>
      </c>
      <c r="I2245" t="s">
        <v>39</v>
      </c>
      <c r="J2245" t="s">
        <v>40</v>
      </c>
      <c r="K2245" t="s">
        <v>41</v>
      </c>
      <c r="L2245" t="s">
        <v>386</v>
      </c>
      <c r="N2245" t="s">
        <v>43</v>
      </c>
      <c r="O2245" t="s">
        <v>295</v>
      </c>
      <c r="P2245">
        <v>341</v>
      </c>
      <c r="Q2245">
        <v>341</v>
      </c>
      <c r="R2245">
        <v>31</v>
      </c>
      <c r="S2245" t="s">
        <v>45</v>
      </c>
      <c r="T2245">
        <v>0.03</v>
      </c>
      <c r="U2245">
        <v>766</v>
      </c>
      <c r="V2245" t="s">
        <v>113</v>
      </c>
      <c r="W2245">
        <v>0.76500000000000001</v>
      </c>
      <c r="X2245">
        <v>24001</v>
      </c>
      <c r="Y2245" t="s">
        <v>47</v>
      </c>
      <c r="Z2245">
        <v>24</v>
      </c>
      <c r="AA2245">
        <v>446</v>
      </c>
      <c r="AB2245" t="s">
        <v>47</v>
      </c>
      <c r="AC2245">
        <v>0.44500000000000001</v>
      </c>
      <c r="AD2245">
        <v>726</v>
      </c>
      <c r="AE2245" t="s">
        <v>48</v>
      </c>
      <c r="AF2245">
        <v>0.72499999999999998</v>
      </c>
      <c r="AG2245">
        <v>651</v>
      </c>
      <c r="AH2245" t="s">
        <v>49</v>
      </c>
      <c r="AI2245">
        <v>0.65</v>
      </c>
      <c r="AJ2245" t="s">
        <v>50</v>
      </c>
    </row>
    <row r="2246" spans="1:36" x14ac:dyDescent="0.25">
      <c r="A2246" t="s">
        <v>384</v>
      </c>
      <c r="B2246">
        <v>851914894</v>
      </c>
      <c r="C2246" t="s">
        <v>385</v>
      </c>
      <c r="D2246" t="s">
        <v>385</v>
      </c>
      <c r="E2246" t="s">
        <v>60</v>
      </c>
      <c r="F2246" t="s">
        <v>88</v>
      </c>
      <c r="I2246" t="s">
        <v>39</v>
      </c>
      <c r="J2246" t="s">
        <v>40</v>
      </c>
      <c r="K2246" t="s">
        <v>41</v>
      </c>
      <c r="L2246" t="s">
        <v>386</v>
      </c>
      <c r="N2246" t="s">
        <v>43</v>
      </c>
      <c r="O2246" t="s">
        <v>295</v>
      </c>
      <c r="P2246">
        <v>341</v>
      </c>
      <c r="Q2246">
        <v>341</v>
      </c>
      <c r="R2246">
        <v>21</v>
      </c>
      <c r="S2246" t="s">
        <v>45</v>
      </c>
      <c r="T2246">
        <v>0.02</v>
      </c>
      <c r="U2246">
        <v>537</v>
      </c>
      <c r="V2246" t="s">
        <v>113</v>
      </c>
      <c r="W2246">
        <v>0.53600000000000003</v>
      </c>
      <c r="X2246">
        <v>24001</v>
      </c>
      <c r="Y2246" t="s">
        <v>47</v>
      </c>
      <c r="Z2246">
        <v>24</v>
      </c>
      <c r="AA2246">
        <v>446</v>
      </c>
      <c r="AB2246" t="s">
        <v>47</v>
      </c>
      <c r="AC2246">
        <v>0.44500000000000001</v>
      </c>
      <c r="AD2246">
        <v>726</v>
      </c>
      <c r="AE2246" t="s">
        <v>48</v>
      </c>
      <c r="AF2246">
        <v>0.72499999999999998</v>
      </c>
      <c r="AG2246">
        <v>651</v>
      </c>
      <c r="AH2246" t="s">
        <v>49</v>
      </c>
      <c r="AI2246">
        <v>0.65</v>
      </c>
      <c r="AJ2246" t="s">
        <v>1141</v>
      </c>
    </row>
    <row r="2247" spans="1:36" x14ac:dyDescent="0.25">
      <c r="A2247" t="s">
        <v>384</v>
      </c>
      <c r="B2247">
        <v>851914894</v>
      </c>
      <c r="C2247" t="s">
        <v>385</v>
      </c>
      <c r="D2247" t="s">
        <v>385</v>
      </c>
      <c r="E2247" t="s">
        <v>60</v>
      </c>
      <c r="F2247" t="s">
        <v>88</v>
      </c>
      <c r="I2247" t="s">
        <v>39</v>
      </c>
      <c r="J2247" t="s">
        <v>40</v>
      </c>
      <c r="K2247" t="s">
        <v>41</v>
      </c>
      <c r="L2247" t="s">
        <v>386</v>
      </c>
      <c r="N2247" t="s">
        <v>43</v>
      </c>
      <c r="O2247" t="s">
        <v>295</v>
      </c>
      <c r="P2247">
        <v>341</v>
      </c>
      <c r="Q2247">
        <v>341</v>
      </c>
      <c r="R2247">
        <v>31</v>
      </c>
      <c r="S2247" t="s">
        <v>45</v>
      </c>
      <c r="T2247">
        <v>0.03</v>
      </c>
      <c r="U2247">
        <v>766</v>
      </c>
      <c r="V2247" t="s">
        <v>113</v>
      </c>
      <c r="W2247">
        <v>0.76500000000000001</v>
      </c>
      <c r="X2247">
        <v>24001</v>
      </c>
      <c r="Y2247" t="s">
        <v>47</v>
      </c>
      <c r="Z2247">
        <v>24</v>
      </c>
      <c r="AA2247">
        <v>446</v>
      </c>
      <c r="AB2247" t="s">
        <v>47</v>
      </c>
      <c r="AC2247">
        <v>0.44500000000000001</v>
      </c>
      <c r="AD2247">
        <v>726</v>
      </c>
      <c r="AE2247" t="s">
        <v>48</v>
      </c>
      <c r="AF2247">
        <v>0.72499999999999998</v>
      </c>
      <c r="AG2247">
        <v>651</v>
      </c>
      <c r="AH2247" t="s">
        <v>49</v>
      </c>
      <c r="AI2247">
        <v>0.65</v>
      </c>
      <c r="AJ2247" t="s">
        <v>1153</v>
      </c>
    </row>
    <row r="2248" spans="1:36" x14ac:dyDescent="0.25">
      <c r="A2248" t="s">
        <v>384</v>
      </c>
      <c r="B2248">
        <v>851914894</v>
      </c>
      <c r="C2248" t="s">
        <v>385</v>
      </c>
      <c r="D2248" t="s">
        <v>385</v>
      </c>
      <c r="E2248" t="s">
        <v>60</v>
      </c>
      <c r="F2248" t="s">
        <v>88</v>
      </c>
      <c r="I2248" t="s">
        <v>39</v>
      </c>
      <c r="J2248" t="s">
        <v>40</v>
      </c>
      <c r="K2248" t="s">
        <v>41</v>
      </c>
      <c r="L2248" t="s">
        <v>386</v>
      </c>
      <c r="N2248" t="s">
        <v>43</v>
      </c>
      <c r="O2248" t="s">
        <v>295</v>
      </c>
      <c r="P2248">
        <v>341</v>
      </c>
      <c r="Q2248">
        <v>341</v>
      </c>
      <c r="R2248">
        <v>31</v>
      </c>
      <c r="S2248" t="s">
        <v>45</v>
      </c>
      <c r="T2248">
        <v>0.03</v>
      </c>
      <c r="U2248">
        <v>766</v>
      </c>
      <c r="V2248" t="s">
        <v>113</v>
      </c>
      <c r="W2248">
        <v>0.76500000000000001</v>
      </c>
      <c r="X2248">
        <v>24001</v>
      </c>
      <c r="Y2248" t="s">
        <v>47</v>
      </c>
      <c r="Z2248">
        <v>24</v>
      </c>
      <c r="AA2248">
        <v>446</v>
      </c>
      <c r="AB2248" t="s">
        <v>47</v>
      </c>
      <c r="AC2248">
        <v>0.44500000000000001</v>
      </c>
      <c r="AD2248">
        <v>726</v>
      </c>
      <c r="AE2248" t="s">
        <v>48</v>
      </c>
      <c r="AF2248">
        <v>0.72499999999999998</v>
      </c>
      <c r="AG2248">
        <v>651</v>
      </c>
      <c r="AH2248" t="s">
        <v>49</v>
      </c>
      <c r="AI2248">
        <v>0.65</v>
      </c>
      <c r="AJ2248" t="s">
        <v>1154</v>
      </c>
    </row>
    <row r="2249" spans="1:36" x14ac:dyDescent="0.25">
      <c r="A2249" t="s">
        <v>384</v>
      </c>
      <c r="B2249">
        <v>851914894</v>
      </c>
      <c r="C2249" t="s">
        <v>385</v>
      </c>
      <c r="D2249" t="s">
        <v>385</v>
      </c>
      <c r="E2249" t="s">
        <v>60</v>
      </c>
      <c r="F2249" t="s">
        <v>88</v>
      </c>
      <c r="I2249" t="s">
        <v>39</v>
      </c>
      <c r="J2249" t="s">
        <v>40</v>
      </c>
      <c r="K2249" t="s">
        <v>41</v>
      </c>
      <c r="L2249" t="s">
        <v>386</v>
      </c>
      <c r="N2249" t="s">
        <v>43</v>
      </c>
      <c r="O2249" t="s">
        <v>295</v>
      </c>
      <c r="P2249">
        <v>341</v>
      </c>
      <c r="Q2249">
        <v>341</v>
      </c>
      <c r="S2249" t="s">
        <v>39</v>
      </c>
      <c r="V2249" t="s">
        <v>39</v>
      </c>
      <c r="X2249">
        <v>24001</v>
      </c>
      <c r="Y2249" t="s">
        <v>47</v>
      </c>
      <c r="Z2249">
        <v>24</v>
      </c>
      <c r="AA2249">
        <v>446</v>
      </c>
      <c r="AB2249" t="s">
        <v>47</v>
      </c>
      <c r="AC2249">
        <v>0.44500000000000001</v>
      </c>
      <c r="AD2249">
        <v>726</v>
      </c>
      <c r="AE2249" t="s">
        <v>48</v>
      </c>
      <c r="AF2249">
        <v>0.72499999999999998</v>
      </c>
      <c r="AG2249">
        <v>651</v>
      </c>
      <c r="AH2249" t="s">
        <v>49</v>
      </c>
      <c r="AI2249">
        <v>0.65</v>
      </c>
      <c r="AJ2249" t="s">
        <v>1155</v>
      </c>
    </row>
    <row r="2250" spans="1:36" x14ac:dyDescent="0.25">
      <c r="A2250" t="s">
        <v>382</v>
      </c>
      <c r="B2250">
        <v>869833111</v>
      </c>
      <c r="C2250" t="s">
        <v>383</v>
      </c>
      <c r="D2250" t="s">
        <v>383</v>
      </c>
      <c r="E2250" t="s">
        <v>99</v>
      </c>
      <c r="F2250" t="s">
        <v>107</v>
      </c>
      <c r="I2250" t="s">
        <v>39</v>
      </c>
      <c r="J2250" t="s">
        <v>40</v>
      </c>
      <c r="K2250" t="s">
        <v>41</v>
      </c>
      <c r="L2250" t="s">
        <v>197</v>
      </c>
      <c r="M2250" t="s">
        <v>47</v>
      </c>
      <c r="N2250" t="s">
        <v>43</v>
      </c>
      <c r="O2250" t="s">
        <v>208</v>
      </c>
      <c r="P2250">
        <v>343</v>
      </c>
      <c r="Q2250">
        <v>343</v>
      </c>
      <c r="R2250">
        <v>1</v>
      </c>
      <c r="S2250" t="s">
        <v>45</v>
      </c>
      <c r="T2250">
        <v>0</v>
      </c>
      <c r="U2250">
        <v>998</v>
      </c>
      <c r="V2250" t="s">
        <v>46</v>
      </c>
      <c r="W2250">
        <v>0.997</v>
      </c>
      <c r="X2250">
        <v>23001</v>
      </c>
      <c r="Y2250" t="s">
        <v>47</v>
      </c>
      <c r="Z2250">
        <v>23</v>
      </c>
      <c r="AA2250">
        <v>695</v>
      </c>
      <c r="AB2250" t="s">
        <v>75</v>
      </c>
      <c r="AC2250">
        <v>0.69399999999999995</v>
      </c>
      <c r="AD2250">
        <v>874</v>
      </c>
      <c r="AE2250" t="s">
        <v>48</v>
      </c>
      <c r="AF2250">
        <v>0.873</v>
      </c>
      <c r="AG2250">
        <v>948</v>
      </c>
      <c r="AH2250" t="s">
        <v>80</v>
      </c>
      <c r="AI2250">
        <v>0.94699999999999995</v>
      </c>
      <c r="AJ2250" t="s">
        <v>50</v>
      </c>
    </row>
    <row r="2251" spans="1:36" x14ac:dyDescent="0.25">
      <c r="A2251" t="s">
        <v>382</v>
      </c>
      <c r="B2251">
        <v>869833111</v>
      </c>
      <c r="C2251" t="s">
        <v>383</v>
      </c>
      <c r="D2251" t="s">
        <v>383</v>
      </c>
      <c r="E2251" t="s">
        <v>99</v>
      </c>
      <c r="F2251" t="s">
        <v>107</v>
      </c>
      <c r="I2251" t="s">
        <v>39</v>
      </c>
      <c r="J2251" t="s">
        <v>40</v>
      </c>
      <c r="K2251" t="s">
        <v>41</v>
      </c>
      <c r="L2251" t="s">
        <v>197</v>
      </c>
      <c r="M2251" t="s">
        <v>47</v>
      </c>
      <c r="N2251" t="s">
        <v>43</v>
      </c>
      <c r="O2251" t="s">
        <v>208</v>
      </c>
      <c r="P2251">
        <v>343</v>
      </c>
      <c r="Q2251">
        <v>343</v>
      </c>
      <c r="R2251">
        <v>1</v>
      </c>
      <c r="S2251" t="s">
        <v>45</v>
      </c>
      <c r="T2251">
        <v>0</v>
      </c>
      <c r="U2251">
        <v>985</v>
      </c>
      <c r="V2251" t="s">
        <v>46</v>
      </c>
      <c r="W2251">
        <v>0.98399999999999999</v>
      </c>
      <c r="X2251">
        <v>23001</v>
      </c>
      <c r="Y2251" t="s">
        <v>47</v>
      </c>
      <c r="Z2251">
        <v>23</v>
      </c>
      <c r="AA2251">
        <v>695</v>
      </c>
      <c r="AB2251" t="s">
        <v>75</v>
      </c>
      <c r="AC2251">
        <v>0.69399999999999995</v>
      </c>
      <c r="AD2251">
        <v>874</v>
      </c>
      <c r="AE2251" t="s">
        <v>48</v>
      </c>
      <c r="AF2251">
        <v>0.873</v>
      </c>
      <c r="AG2251">
        <v>948</v>
      </c>
      <c r="AH2251" t="s">
        <v>80</v>
      </c>
      <c r="AI2251">
        <v>0.94699999999999995</v>
      </c>
      <c r="AJ2251" t="s">
        <v>1141</v>
      </c>
    </row>
    <row r="2252" spans="1:36" x14ac:dyDescent="0.25">
      <c r="A2252" t="s">
        <v>382</v>
      </c>
      <c r="B2252">
        <v>869833111</v>
      </c>
      <c r="C2252" t="s">
        <v>383</v>
      </c>
      <c r="D2252" t="s">
        <v>383</v>
      </c>
      <c r="E2252" t="s">
        <v>99</v>
      </c>
      <c r="F2252" t="s">
        <v>107</v>
      </c>
      <c r="I2252" t="s">
        <v>39</v>
      </c>
      <c r="J2252" t="s">
        <v>40</v>
      </c>
      <c r="K2252" t="s">
        <v>41</v>
      </c>
      <c r="L2252" t="s">
        <v>197</v>
      </c>
      <c r="M2252" t="s">
        <v>47</v>
      </c>
      <c r="N2252" t="s">
        <v>43</v>
      </c>
      <c r="O2252" t="s">
        <v>208</v>
      </c>
      <c r="P2252">
        <v>343</v>
      </c>
      <c r="Q2252">
        <v>343</v>
      </c>
      <c r="R2252">
        <v>1</v>
      </c>
      <c r="S2252" t="s">
        <v>45</v>
      </c>
      <c r="T2252">
        <v>0</v>
      </c>
      <c r="U2252">
        <v>998</v>
      </c>
      <c r="V2252" t="s">
        <v>46</v>
      </c>
      <c r="W2252">
        <v>0.997</v>
      </c>
      <c r="X2252">
        <v>23001</v>
      </c>
      <c r="Y2252" t="s">
        <v>47</v>
      </c>
      <c r="Z2252">
        <v>23</v>
      </c>
      <c r="AA2252">
        <v>695</v>
      </c>
      <c r="AB2252" t="s">
        <v>75</v>
      </c>
      <c r="AC2252">
        <v>0.69399999999999995</v>
      </c>
      <c r="AD2252">
        <v>874</v>
      </c>
      <c r="AE2252" t="s">
        <v>48</v>
      </c>
      <c r="AF2252">
        <v>0.873</v>
      </c>
      <c r="AG2252">
        <v>948</v>
      </c>
      <c r="AH2252" t="s">
        <v>80</v>
      </c>
      <c r="AI2252">
        <v>0.94699999999999995</v>
      </c>
      <c r="AJ2252" t="s">
        <v>1153</v>
      </c>
    </row>
    <row r="2253" spans="1:36" x14ac:dyDescent="0.25">
      <c r="A2253" t="s">
        <v>382</v>
      </c>
      <c r="B2253">
        <v>869833111</v>
      </c>
      <c r="C2253" t="s">
        <v>383</v>
      </c>
      <c r="D2253" t="s">
        <v>383</v>
      </c>
      <c r="E2253" t="s">
        <v>99</v>
      </c>
      <c r="F2253" t="s">
        <v>107</v>
      </c>
      <c r="I2253" t="s">
        <v>39</v>
      </c>
      <c r="J2253" t="s">
        <v>40</v>
      </c>
      <c r="K2253" t="s">
        <v>41</v>
      </c>
      <c r="L2253" t="s">
        <v>197</v>
      </c>
      <c r="M2253" t="s">
        <v>47</v>
      </c>
      <c r="N2253" t="s">
        <v>43</v>
      </c>
      <c r="O2253" t="s">
        <v>208</v>
      </c>
      <c r="P2253">
        <v>343</v>
      </c>
      <c r="Q2253">
        <v>343</v>
      </c>
      <c r="R2253">
        <v>1</v>
      </c>
      <c r="S2253" t="s">
        <v>45</v>
      </c>
      <c r="T2253">
        <v>0</v>
      </c>
      <c r="U2253">
        <v>998</v>
      </c>
      <c r="V2253" t="s">
        <v>46</v>
      </c>
      <c r="W2253">
        <v>0.997</v>
      </c>
      <c r="X2253">
        <v>23001</v>
      </c>
      <c r="Y2253" t="s">
        <v>47</v>
      </c>
      <c r="Z2253">
        <v>23</v>
      </c>
      <c r="AA2253">
        <v>695</v>
      </c>
      <c r="AB2253" t="s">
        <v>75</v>
      </c>
      <c r="AC2253">
        <v>0.69399999999999995</v>
      </c>
      <c r="AD2253">
        <v>874</v>
      </c>
      <c r="AE2253" t="s">
        <v>48</v>
      </c>
      <c r="AF2253">
        <v>0.873</v>
      </c>
      <c r="AG2253">
        <v>948</v>
      </c>
      <c r="AH2253" t="s">
        <v>80</v>
      </c>
      <c r="AI2253">
        <v>0.94699999999999995</v>
      </c>
      <c r="AJ2253" t="s">
        <v>1154</v>
      </c>
    </row>
    <row r="2254" spans="1:36" x14ac:dyDescent="0.25">
      <c r="A2254" t="s">
        <v>382</v>
      </c>
      <c r="B2254">
        <v>869833111</v>
      </c>
      <c r="C2254" t="s">
        <v>383</v>
      </c>
      <c r="D2254" t="s">
        <v>383</v>
      </c>
      <c r="E2254" t="s">
        <v>99</v>
      </c>
      <c r="F2254" t="s">
        <v>107</v>
      </c>
      <c r="I2254" t="s">
        <v>39</v>
      </c>
      <c r="J2254" t="s">
        <v>40</v>
      </c>
      <c r="K2254" t="s">
        <v>41</v>
      </c>
      <c r="L2254" t="s">
        <v>197</v>
      </c>
      <c r="M2254" t="s">
        <v>47</v>
      </c>
      <c r="N2254" t="s">
        <v>43</v>
      </c>
      <c r="O2254" t="s">
        <v>208</v>
      </c>
      <c r="P2254">
        <v>343</v>
      </c>
      <c r="Q2254">
        <v>343</v>
      </c>
      <c r="S2254" t="s">
        <v>39</v>
      </c>
      <c r="V2254" t="s">
        <v>39</v>
      </c>
      <c r="X2254">
        <v>23001</v>
      </c>
      <c r="Y2254" t="s">
        <v>47</v>
      </c>
      <c r="Z2254">
        <v>23</v>
      </c>
      <c r="AA2254">
        <v>695</v>
      </c>
      <c r="AB2254" t="s">
        <v>75</v>
      </c>
      <c r="AC2254">
        <v>0.69399999999999995</v>
      </c>
      <c r="AD2254">
        <v>874</v>
      </c>
      <c r="AE2254" t="s">
        <v>48</v>
      </c>
      <c r="AF2254">
        <v>0.873</v>
      </c>
      <c r="AG2254">
        <v>948</v>
      </c>
      <c r="AH2254" t="s">
        <v>80</v>
      </c>
      <c r="AI2254">
        <v>0.94699999999999995</v>
      </c>
      <c r="AJ2254" t="s">
        <v>1155</v>
      </c>
    </row>
    <row r="2255" spans="1:36" x14ac:dyDescent="0.25">
      <c r="A2255" t="s">
        <v>379</v>
      </c>
      <c r="B2255">
        <v>853278910</v>
      </c>
      <c r="C2255" t="s">
        <v>380</v>
      </c>
      <c r="D2255" t="s">
        <v>380</v>
      </c>
      <c r="E2255" t="s">
        <v>60</v>
      </c>
      <c r="F2255" t="s">
        <v>88</v>
      </c>
      <c r="I2255" t="s">
        <v>39</v>
      </c>
      <c r="J2255" t="s">
        <v>40</v>
      </c>
      <c r="K2255" t="s">
        <v>41</v>
      </c>
      <c r="L2255" t="s">
        <v>381</v>
      </c>
      <c r="M2255" t="s">
        <v>282</v>
      </c>
      <c r="N2255" t="s">
        <v>43</v>
      </c>
      <c r="O2255" t="s">
        <v>253</v>
      </c>
      <c r="P2255">
        <v>344</v>
      </c>
      <c r="Q2255">
        <v>344</v>
      </c>
      <c r="R2255">
        <v>21</v>
      </c>
      <c r="S2255" t="s">
        <v>45</v>
      </c>
      <c r="T2255">
        <v>0.02</v>
      </c>
      <c r="U2255">
        <v>723</v>
      </c>
      <c r="V2255" t="s">
        <v>113</v>
      </c>
      <c r="W2255">
        <v>0.72199999999999998</v>
      </c>
      <c r="X2255">
        <v>23001</v>
      </c>
      <c r="Y2255" t="s">
        <v>47</v>
      </c>
      <c r="Z2255">
        <v>23</v>
      </c>
      <c r="AA2255">
        <v>763</v>
      </c>
      <c r="AB2255" t="s">
        <v>75</v>
      </c>
      <c r="AC2255">
        <v>0.76200000000000001</v>
      </c>
      <c r="AD2255">
        <v>787</v>
      </c>
      <c r="AE2255" t="s">
        <v>48</v>
      </c>
      <c r="AF2255">
        <v>0.78600000000000003</v>
      </c>
      <c r="AG2255">
        <v>854</v>
      </c>
      <c r="AH2255" t="s">
        <v>49</v>
      </c>
      <c r="AI2255">
        <v>0.85299999999999998</v>
      </c>
      <c r="AJ2255" t="s">
        <v>50</v>
      </c>
    </row>
    <row r="2256" spans="1:36" x14ac:dyDescent="0.25">
      <c r="A2256" t="s">
        <v>379</v>
      </c>
      <c r="B2256">
        <v>853278910</v>
      </c>
      <c r="C2256" t="s">
        <v>380</v>
      </c>
      <c r="D2256" t="s">
        <v>380</v>
      </c>
      <c r="E2256" t="s">
        <v>60</v>
      </c>
      <c r="F2256" t="s">
        <v>88</v>
      </c>
      <c r="I2256" t="s">
        <v>39</v>
      </c>
      <c r="J2256" t="s">
        <v>40</v>
      </c>
      <c r="K2256" t="s">
        <v>41</v>
      </c>
      <c r="L2256" t="s">
        <v>381</v>
      </c>
      <c r="M2256" t="s">
        <v>282</v>
      </c>
      <c r="N2256" t="s">
        <v>43</v>
      </c>
      <c r="O2256" t="s">
        <v>253</v>
      </c>
      <c r="P2256">
        <v>344</v>
      </c>
      <c r="Q2256">
        <v>344</v>
      </c>
      <c r="R2256">
        <v>21</v>
      </c>
      <c r="S2256" t="s">
        <v>45</v>
      </c>
      <c r="T2256">
        <v>0.02</v>
      </c>
      <c r="U2256">
        <v>847</v>
      </c>
      <c r="V2256" t="s">
        <v>113</v>
      </c>
      <c r="W2256">
        <v>0.84599999999999997</v>
      </c>
      <c r="X2256">
        <v>23001</v>
      </c>
      <c r="Y2256" t="s">
        <v>47</v>
      </c>
      <c r="Z2256">
        <v>23</v>
      </c>
      <c r="AA2256">
        <v>763</v>
      </c>
      <c r="AB2256" t="s">
        <v>75</v>
      </c>
      <c r="AC2256">
        <v>0.76200000000000001</v>
      </c>
      <c r="AD2256">
        <v>787</v>
      </c>
      <c r="AE2256" t="s">
        <v>48</v>
      </c>
      <c r="AF2256">
        <v>0.78600000000000003</v>
      </c>
      <c r="AG2256">
        <v>854</v>
      </c>
      <c r="AH2256" t="s">
        <v>49</v>
      </c>
      <c r="AI2256">
        <v>0.85299999999999998</v>
      </c>
      <c r="AJ2256" t="s">
        <v>1141</v>
      </c>
    </row>
    <row r="2257" spans="1:36" x14ac:dyDescent="0.25">
      <c r="A2257" t="s">
        <v>379</v>
      </c>
      <c r="B2257">
        <v>853278910</v>
      </c>
      <c r="C2257" t="s">
        <v>380</v>
      </c>
      <c r="D2257" t="s">
        <v>380</v>
      </c>
      <c r="E2257" t="s">
        <v>60</v>
      </c>
      <c r="F2257" t="s">
        <v>88</v>
      </c>
      <c r="I2257" t="s">
        <v>39</v>
      </c>
      <c r="J2257" t="s">
        <v>40</v>
      </c>
      <c r="K2257" t="s">
        <v>41</v>
      </c>
      <c r="L2257" t="s">
        <v>381</v>
      </c>
      <c r="M2257" t="s">
        <v>282</v>
      </c>
      <c r="N2257" t="s">
        <v>43</v>
      </c>
      <c r="O2257" t="s">
        <v>253</v>
      </c>
      <c r="P2257">
        <v>344</v>
      </c>
      <c r="Q2257">
        <v>344</v>
      </c>
      <c r="R2257">
        <v>21</v>
      </c>
      <c r="S2257" t="s">
        <v>45</v>
      </c>
      <c r="T2257">
        <v>0.02</v>
      </c>
      <c r="U2257">
        <v>723</v>
      </c>
      <c r="V2257" t="s">
        <v>113</v>
      </c>
      <c r="W2257">
        <v>0.72199999999999998</v>
      </c>
      <c r="X2257">
        <v>23001</v>
      </c>
      <c r="Y2257" t="s">
        <v>47</v>
      </c>
      <c r="Z2257">
        <v>23</v>
      </c>
      <c r="AA2257">
        <v>763</v>
      </c>
      <c r="AB2257" t="s">
        <v>75</v>
      </c>
      <c r="AC2257">
        <v>0.76200000000000001</v>
      </c>
      <c r="AD2257">
        <v>787</v>
      </c>
      <c r="AE2257" t="s">
        <v>48</v>
      </c>
      <c r="AF2257">
        <v>0.78600000000000003</v>
      </c>
      <c r="AG2257">
        <v>854</v>
      </c>
      <c r="AH2257" t="s">
        <v>49</v>
      </c>
      <c r="AI2257">
        <v>0.85299999999999998</v>
      </c>
      <c r="AJ2257" t="s">
        <v>1153</v>
      </c>
    </row>
    <row r="2258" spans="1:36" x14ac:dyDescent="0.25">
      <c r="A2258" t="s">
        <v>379</v>
      </c>
      <c r="B2258">
        <v>853278910</v>
      </c>
      <c r="C2258" t="s">
        <v>380</v>
      </c>
      <c r="D2258" t="s">
        <v>380</v>
      </c>
      <c r="E2258" t="s">
        <v>60</v>
      </c>
      <c r="F2258" t="s">
        <v>88</v>
      </c>
      <c r="I2258" t="s">
        <v>39</v>
      </c>
      <c r="J2258" t="s">
        <v>40</v>
      </c>
      <c r="K2258" t="s">
        <v>41</v>
      </c>
      <c r="L2258" t="s">
        <v>381</v>
      </c>
      <c r="M2258" t="s">
        <v>282</v>
      </c>
      <c r="N2258" t="s">
        <v>43</v>
      </c>
      <c r="O2258" t="s">
        <v>253</v>
      </c>
      <c r="P2258">
        <v>344</v>
      </c>
      <c r="Q2258">
        <v>344</v>
      </c>
      <c r="R2258">
        <v>21</v>
      </c>
      <c r="S2258" t="s">
        <v>45</v>
      </c>
      <c r="T2258">
        <v>0.02</v>
      </c>
      <c r="U2258">
        <v>723</v>
      </c>
      <c r="V2258" t="s">
        <v>113</v>
      </c>
      <c r="W2258">
        <v>0.72199999999999998</v>
      </c>
      <c r="X2258">
        <v>23001</v>
      </c>
      <c r="Y2258" t="s">
        <v>47</v>
      </c>
      <c r="Z2258">
        <v>23</v>
      </c>
      <c r="AA2258">
        <v>763</v>
      </c>
      <c r="AB2258" t="s">
        <v>75</v>
      </c>
      <c r="AC2258">
        <v>0.76200000000000001</v>
      </c>
      <c r="AD2258">
        <v>787</v>
      </c>
      <c r="AE2258" t="s">
        <v>48</v>
      </c>
      <c r="AF2258">
        <v>0.78600000000000003</v>
      </c>
      <c r="AG2258">
        <v>854</v>
      </c>
      <c r="AH2258" t="s">
        <v>49</v>
      </c>
      <c r="AI2258">
        <v>0.85299999999999998</v>
      </c>
      <c r="AJ2258" t="s">
        <v>1154</v>
      </c>
    </row>
    <row r="2259" spans="1:36" x14ac:dyDescent="0.25">
      <c r="A2259" t="s">
        <v>379</v>
      </c>
      <c r="B2259">
        <v>853278910</v>
      </c>
      <c r="C2259" t="s">
        <v>380</v>
      </c>
      <c r="D2259" t="s">
        <v>380</v>
      </c>
      <c r="E2259" t="s">
        <v>60</v>
      </c>
      <c r="F2259" t="s">
        <v>88</v>
      </c>
      <c r="I2259" t="s">
        <v>39</v>
      </c>
      <c r="J2259" t="s">
        <v>40</v>
      </c>
      <c r="K2259" t="s">
        <v>41</v>
      </c>
      <c r="L2259" t="s">
        <v>381</v>
      </c>
      <c r="M2259" t="s">
        <v>282</v>
      </c>
      <c r="N2259" t="s">
        <v>43</v>
      </c>
      <c r="O2259" t="s">
        <v>253</v>
      </c>
      <c r="P2259">
        <v>344</v>
      </c>
      <c r="Q2259">
        <v>344</v>
      </c>
      <c r="S2259" t="s">
        <v>39</v>
      </c>
      <c r="V2259" t="s">
        <v>39</v>
      </c>
      <c r="X2259">
        <v>23001</v>
      </c>
      <c r="Y2259" t="s">
        <v>47</v>
      </c>
      <c r="Z2259">
        <v>23</v>
      </c>
      <c r="AA2259">
        <v>763</v>
      </c>
      <c r="AB2259" t="s">
        <v>75</v>
      </c>
      <c r="AC2259">
        <v>0.76200000000000001</v>
      </c>
      <c r="AD2259">
        <v>787</v>
      </c>
      <c r="AE2259" t="s">
        <v>48</v>
      </c>
      <c r="AF2259">
        <v>0.78600000000000003</v>
      </c>
      <c r="AG2259">
        <v>854</v>
      </c>
      <c r="AH2259" t="s">
        <v>49</v>
      </c>
      <c r="AI2259">
        <v>0.85299999999999998</v>
      </c>
      <c r="AJ2259" t="s">
        <v>1155</v>
      </c>
    </row>
    <row r="2260" spans="1:36" x14ac:dyDescent="0.25">
      <c r="A2260" t="s">
        <v>376</v>
      </c>
      <c r="B2260">
        <v>856147504</v>
      </c>
      <c r="C2260" t="s">
        <v>377</v>
      </c>
      <c r="D2260" t="s">
        <v>377</v>
      </c>
      <c r="E2260" t="s">
        <v>37</v>
      </c>
      <c r="F2260" t="s">
        <v>127</v>
      </c>
      <c r="I2260" t="s">
        <v>39</v>
      </c>
      <c r="J2260" t="s">
        <v>40</v>
      </c>
      <c r="K2260" t="s">
        <v>41</v>
      </c>
      <c r="L2260" t="s">
        <v>118</v>
      </c>
      <c r="N2260" t="s">
        <v>43</v>
      </c>
      <c r="O2260" t="s">
        <v>378</v>
      </c>
      <c r="P2260">
        <v>344</v>
      </c>
      <c r="Q2260">
        <v>344</v>
      </c>
      <c r="R2260">
        <v>1</v>
      </c>
      <c r="S2260" t="s">
        <v>45</v>
      </c>
      <c r="T2260">
        <v>0</v>
      </c>
      <c r="U2260">
        <v>995</v>
      </c>
      <c r="V2260" t="s">
        <v>46</v>
      </c>
      <c r="W2260">
        <v>0.99399999999999999</v>
      </c>
      <c r="X2260">
        <v>21001</v>
      </c>
      <c r="Y2260" t="s">
        <v>47</v>
      </c>
      <c r="Z2260">
        <v>21</v>
      </c>
      <c r="AA2260">
        <v>701</v>
      </c>
      <c r="AB2260" t="s">
        <v>75</v>
      </c>
      <c r="AC2260">
        <v>0.7</v>
      </c>
      <c r="AD2260">
        <v>861</v>
      </c>
      <c r="AE2260" t="s">
        <v>48</v>
      </c>
      <c r="AF2260">
        <v>0.86</v>
      </c>
      <c r="AG2260">
        <v>994</v>
      </c>
      <c r="AH2260" t="s">
        <v>80</v>
      </c>
      <c r="AI2260">
        <v>0.99299999999999999</v>
      </c>
      <c r="AJ2260" t="s">
        <v>50</v>
      </c>
    </row>
    <row r="2261" spans="1:36" x14ac:dyDescent="0.25">
      <c r="A2261" t="s">
        <v>376</v>
      </c>
      <c r="B2261">
        <v>856147504</v>
      </c>
      <c r="C2261" t="s">
        <v>377</v>
      </c>
      <c r="D2261" t="s">
        <v>377</v>
      </c>
      <c r="E2261" t="s">
        <v>37</v>
      </c>
      <c r="F2261" t="s">
        <v>127</v>
      </c>
      <c r="I2261" t="s">
        <v>39</v>
      </c>
      <c r="J2261" t="s">
        <v>40</v>
      </c>
      <c r="K2261" t="s">
        <v>41</v>
      </c>
      <c r="L2261" t="s">
        <v>118</v>
      </c>
      <c r="N2261" t="s">
        <v>43</v>
      </c>
      <c r="O2261" t="s">
        <v>378</v>
      </c>
      <c r="P2261">
        <v>344</v>
      </c>
      <c r="Q2261">
        <v>344</v>
      </c>
      <c r="R2261">
        <v>1</v>
      </c>
      <c r="S2261" t="s">
        <v>45</v>
      </c>
      <c r="T2261">
        <v>0</v>
      </c>
      <c r="U2261">
        <v>995</v>
      </c>
      <c r="V2261" t="s">
        <v>46</v>
      </c>
      <c r="W2261">
        <v>0.99399999999999999</v>
      </c>
      <c r="X2261">
        <v>21001</v>
      </c>
      <c r="Y2261" t="s">
        <v>47</v>
      </c>
      <c r="Z2261">
        <v>21</v>
      </c>
      <c r="AA2261">
        <v>701</v>
      </c>
      <c r="AB2261" t="s">
        <v>75</v>
      </c>
      <c r="AC2261">
        <v>0.7</v>
      </c>
      <c r="AD2261">
        <v>861</v>
      </c>
      <c r="AE2261" t="s">
        <v>48</v>
      </c>
      <c r="AF2261">
        <v>0.86</v>
      </c>
      <c r="AG2261">
        <v>994</v>
      </c>
      <c r="AH2261" t="s">
        <v>80</v>
      </c>
      <c r="AI2261">
        <v>0.99299999999999999</v>
      </c>
      <c r="AJ2261" t="s">
        <v>1141</v>
      </c>
    </row>
    <row r="2262" spans="1:36" x14ac:dyDescent="0.25">
      <c r="A2262" t="s">
        <v>376</v>
      </c>
      <c r="B2262">
        <v>856147504</v>
      </c>
      <c r="C2262" t="s">
        <v>377</v>
      </c>
      <c r="D2262" t="s">
        <v>377</v>
      </c>
      <c r="E2262" t="s">
        <v>37</v>
      </c>
      <c r="F2262" t="s">
        <v>127</v>
      </c>
      <c r="I2262" t="s">
        <v>39</v>
      </c>
      <c r="J2262" t="s">
        <v>40</v>
      </c>
      <c r="K2262" t="s">
        <v>41</v>
      </c>
      <c r="L2262" t="s">
        <v>118</v>
      </c>
      <c r="N2262" t="s">
        <v>43</v>
      </c>
      <c r="O2262" t="s">
        <v>378</v>
      </c>
      <c r="P2262">
        <v>344</v>
      </c>
      <c r="Q2262">
        <v>344</v>
      </c>
      <c r="R2262">
        <v>1</v>
      </c>
      <c r="S2262" t="s">
        <v>45</v>
      </c>
      <c r="T2262">
        <v>0</v>
      </c>
      <c r="U2262">
        <v>995</v>
      </c>
      <c r="V2262" t="s">
        <v>46</v>
      </c>
      <c r="W2262">
        <v>0.99399999999999999</v>
      </c>
      <c r="X2262">
        <v>21001</v>
      </c>
      <c r="Y2262" t="s">
        <v>47</v>
      </c>
      <c r="Z2262">
        <v>21</v>
      </c>
      <c r="AA2262">
        <v>701</v>
      </c>
      <c r="AB2262" t="s">
        <v>75</v>
      </c>
      <c r="AC2262">
        <v>0.7</v>
      </c>
      <c r="AD2262">
        <v>861</v>
      </c>
      <c r="AE2262" t="s">
        <v>48</v>
      </c>
      <c r="AF2262">
        <v>0.86</v>
      </c>
      <c r="AG2262">
        <v>994</v>
      </c>
      <c r="AH2262" t="s">
        <v>80</v>
      </c>
      <c r="AI2262">
        <v>0.99299999999999999</v>
      </c>
      <c r="AJ2262" t="s">
        <v>1153</v>
      </c>
    </row>
    <row r="2263" spans="1:36" x14ac:dyDescent="0.25">
      <c r="A2263" t="s">
        <v>376</v>
      </c>
      <c r="B2263">
        <v>856147504</v>
      </c>
      <c r="C2263" t="s">
        <v>377</v>
      </c>
      <c r="D2263" t="s">
        <v>377</v>
      </c>
      <c r="E2263" t="s">
        <v>37</v>
      </c>
      <c r="F2263" t="s">
        <v>127</v>
      </c>
      <c r="I2263" t="s">
        <v>39</v>
      </c>
      <c r="J2263" t="s">
        <v>40</v>
      </c>
      <c r="K2263" t="s">
        <v>41</v>
      </c>
      <c r="L2263" t="s">
        <v>118</v>
      </c>
      <c r="N2263" t="s">
        <v>43</v>
      </c>
      <c r="O2263" t="s">
        <v>378</v>
      </c>
      <c r="P2263">
        <v>344</v>
      </c>
      <c r="Q2263">
        <v>344</v>
      </c>
      <c r="R2263">
        <v>1</v>
      </c>
      <c r="S2263" t="s">
        <v>45</v>
      </c>
      <c r="T2263">
        <v>0</v>
      </c>
      <c r="U2263">
        <v>995</v>
      </c>
      <c r="V2263" t="s">
        <v>46</v>
      </c>
      <c r="W2263">
        <v>0.99399999999999999</v>
      </c>
      <c r="X2263">
        <v>21001</v>
      </c>
      <c r="Y2263" t="s">
        <v>47</v>
      </c>
      <c r="Z2263">
        <v>21</v>
      </c>
      <c r="AA2263">
        <v>701</v>
      </c>
      <c r="AB2263" t="s">
        <v>75</v>
      </c>
      <c r="AC2263">
        <v>0.7</v>
      </c>
      <c r="AD2263">
        <v>861</v>
      </c>
      <c r="AE2263" t="s">
        <v>48</v>
      </c>
      <c r="AF2263">
        <v>0.86</v>
      </c>
      <c r="AG2263">
        <v>994</v>
      </c>
      <c r="AH2263" t="s">
        <v>80</v>
      </c>
      <c r="AI2263">
        <v>0.99299999999999999</v>
      </c>
      <c r="AJ2263" t="s">
        <v>1154</v>
      </c>
    </row>
    <row r="2264" spans="1:36" x14ac:dyDescent="0.25">
      <c r="A2264" t="s">
        <v>376</v>
      </c>
      <c r="B2264">
        <v>856147504</v>
      </c>
      <c r="C2264" t="s">
        <v>377</v>
      </c>
      <c r="D2264" t="s">
        <v>377</v>
      </c>
      <c r="E2264" t="s">
        <v>37</v>
      </c>
      <c r="F2264" t="s">
        <v>127</v>
      </c>
      <c r="I2264" t="s">
        <v>39</v>
      </c>
      <c r="J2264" t="s">
        <v>40</v>
      </c>
      <c r="K2264" t="s">
        <v>41</v>
      </c>
      <c r="L2264" t="s">
        <v>118</v>
      </c>
      <c r="N2264" t="s">
        <v>43</v>
      </c>
      <c r="O2264" t="s">
        <v>378</v>
      </c>
      <c r="P2264">
        <v>344</v>
      </c>
      <c r="Q2264">
        <v>344</v>
      </c>
      <c r="S2264" t="s">
        <v>39</v>
      </c>
      <c r="V2264" t="s">
        <v>39</v>
      </c>
      <c r="X2264">
        <v>21001</v>
      </c>
      <c r="Y2264" t="s">
        <v>47</v>
      </c>
      <c r="Z2264">
        <v>21</v>
      </c>
      <c r="AA2264">
        <v>701</v>
      </c>
      <c r="AB2264" t="s">
        <v>75</v>
      </c>
      <c r="AC2264">
        <v>0.7</v>
      </c>
      <c r="AD2264">
        <v>861</v>
      </c>
      <c r="AE2264" t="s">
        <v>48</v>
      </c>
      <c r="AF2264">
        <v>0.86</v>
      </c>
      <c r="AG2264">
        <v>994</v>
      </c>
      <c r="AH2264" t="s">
        <v>80</v>
      </c>
      <c r="AI2264">
        <v>0.99299999999999999</v>
      </c>
      <c r="AJ2264" t="s">
        <v>1155</v>
      </c>
    </row>
    <row r="2265" spans="1:36" x14ac:dyDescent="0.25">
      <c r="A2265" t="s">
        <v>373</v>
      </c>
      <c r="B2265">
        <v>855820308</v>
      </c>
      <c r="C2265" t="s">
        <v>374</v>
      </c>
      <c r="D2265" t="s">
        <v>374</v>
      </c>
      <c r="E2265" t="s">
        <v>37</v>
      </c>
      <c r="F2265" t="s">
        <v>191</v>
      </c>
      <c r="I2265" t="s">
        <v>39</v>
      </c>
      <c r="J2265" t="s">
        <v>40</v>
      </c>
      <c r="K2265" t="s">
        <v>41</v>
      </c>
      <c r="L2265" t="s">
        <v>118</v>
      </c>
      <c r="N2265" t="s">
        <v>43</v>
      </c>
      <c r="O2265" t="s">
        <v>174</v>
      </c>
      <c r="P2265">
        <v>345</v>
      </c>
      <c r="Q2265">
        <v>345</v>
      </c>
      <c r="R2265">
        <v>1</v>
      </c>
      <c r="S2265" t="s">
        <v>45</v>
      </c>
      <c r="T2265">
        <v>0</v>
      </c>
      <c r="U2265">
        <v>531</v>
      </c>
      <c r="V2265" t="s">
        <v>113</v>
      </c>
      <c r="W2265">
        <v>0.53</v>
      </c>
      <c r="X2265">
        <v>12001</v>
      </c>
      <c r="Y2265" t="s">
        <v>47</v>
      </c>
      <c r="Z2265">
        <v>12</v>
      </c>
      <c r="AA2265">
        <v>448</v>
      </c>
      <c r="AB2265" t="s">
        <v>47</v>
      </c>
      <c r="AC2265">
        <v>0.44700000000000001</v>
      </c>
      <c r="AD2265">
        <v>517</v>
      </c>
      <c r="AE2265" t="s">
        <v>48</v>
      </c>
      <c r="AF2265">
        <v>0.51600000000000001</v>
      </c>
      <c r="AG2265">
        <v>458</v>
      </c>
      <c r="AH2265" t="s">
        <v>57</v>
      </c>
      <c r="AI2265">
        <v>0.45700000000000002</v>
      </c>
      <c r="AJ2265" t="s">
        <v>50</v>
      </c>
    </row>
    <row r="2266" spans="1:36" x14ac:dyDescent="0.25">
      <c r="A2266" t="s">
        <v>373</v>
      </c>
      <c r="B2266">
        <v>855820308</v>
      </c>
      <c r="C2266" t="s">
        <v>374</v>
      </c>
      <c r="D2266" t="s">
        <v>374</v>
      </c>
      <c r="E2266" t="s">
        <v>60</v>
      </c>
      <c r="F2266" t="s">
        <v>191</v>
      </c>
      <c r="I2266" t="s">
        <v>39</v>
      </c>
      <c r="J2266" t="s">
        <v>40</v>
      </c>
      <c r="K2266" t="s">
        <v>41</v>
      </c>
      <c r="L2266" t="s">
        <v>118</v>
      </c>
      <c r="N2266" t="s">
        <v>43</v>
      </c>
      <c r="O2266" t="s">
        <v>375</v>
      </c>
      <c r="P2266">
        <v>345</v>
      </c>
      <c r="Q2266">
        <v>345</v>
      </c>
      <c r="R2266">
        <v>1001</v>
      </c>
      <c r="S2266" t="s">
        <v>56</v>
      </c>
      <c r="T2266">
        <v>1</v>
      </c>
      <c r="U2266">
        <v>1</v>
      </c>
      <c r="V2266" t="s">
        <v>55</v>
      </c>
      <c r="W2266">
        <v>0</v>
      </c>
      <c r="X2266">
        <v>1</v>
      </c>
      <c r="Y2266" t="s">
        <v>47</v>
      </c>
      <c r="Z2266">
        <v>0</v>
      </c>
      <c r="AA2266">
        <v>136</v>
      </c>
      <c r="AB2266" t="s">
        <v>47</v>
      </c>
      <c r="AC2266">
        <v>0.13500000000000001</v>
      </c>
      <c r="AD2266">
        <v>144</v>
      </c>
      <c r="AE2266" t="s">
        <v>56</v>
      </c>
      <c r="AF2266">
        <v>0.14299999999999999</v>
      </c>
      <c r="AG2266">
        <v>5</v>
      </c>
      <c r="AH2266" t="s">
        <v>103</v>
      </c>
      <c r="AI2266">
        <v>4.0000000000000001E-3</v>
      </c>
      <c r="AJ2266" t="s">
        <v>50</v>
      </c>
    </row>
    <row r="2267" spans="1:36" x14ac:dyDescent="0.25">
      <c r="A2267" t="s">
        <v>373</v>
      </c>
      <c r="B2267">
        <v>855820308</v>
      </c>
      <c r="C2267" t="s">
        <v>374</v>
      </c>
      <c r="D2267" t="s">
        <v>374</v>
      </c>
      <c r="E2267" t="s">
        <v>37</v>
      </c>
      <c r="F2267" t="s">
        <v>191</v>
      </c>
      <c r="I2267" t="s">
        <v>39</v>
      </c>
      <c r="J2267" t="s">
        <v>40</v>
      </c>
      <c r="K2267" t="s">
        <v>41</v>
      </c>
      <c r="L2267" t="s">
        <v>118</v>
      </c>
      <c r="N2267" t="s">
        <v>43</v>
      </c>
      <c r="O2267" t="s">
        <v>174</v>
      </c>
      <c r="P2267">
        <v>345</v>
      </c>
      <c r="Q2267">
        <v>345</v>
      </c>
      <c r="R2267">
        <v>1</v>
      </c>
      <c r="S2267" t="s">
        <v>45</v>
      </c>
      <c r="T2267">
        <v>0</v>
      </c>
      <c r="U2267">
        <v>419</v>
      </c>
      <c r="V2267" t="s">
        <v>55</v>
      </c>
      <c r="W2267">
        <v>0.41799999999999998</v>
      </c>
      <c r="X2267">
        <v>12001</v>
      </c>
      <c r="Y2267" t="s">
        <v>47</v>
      </c>
      <c r="Z2267">
        <v>12</v>
      </c>
      <c r="AA2267">
        <v>448</v>
      </c>
      <c r="AB2267" t="s">
        <v>47</v>
      </c>
      <c r="AC2267">
        <v>0.44700000000000001</v>
      </c>
      <c r="AD2267">
        <v>517</v>
      </c>
      <c r="AE2267" t="s">
        <v>48</v>
      </c>
      <c r="AF2267">
        <v>0.51600000000000001</v>
      </c>
      <c r="AG2267">
        <v>458</v>
      </c>
      <c r="AH2267" t="s">
        <v>57</v>
      </c>
      <c r="AI2267">
        <v>0.45700000000000002</v>
      </c>
      <c r="AJ2267" t="s">
        <v>1141</v>
      </c>
    </row>
    <row r="2268" spans="1:36" x14ac:dyDescent="0.25">
      <c r="A2268" t="s">
        <v>373</v>
      </c>
      <c r="B2268">
        <v>855820308</v>
      </c>
      <c r="C2268" t="s">
        <v>374</v>
      </c>
      <c r="D2268" t="s">
        <v>374</v>
      </c>
      <c r="E2268" t="s">
        <v>60</v>
      </c>
      <c r="F2268" t="s">
        <v>191</v>
      </c>
      <c r="I2268" t="s">
        <v>39</v>
      </c>
      <c r="J2268" t="s">
        <v>40</v>
      </c>
      <c r="K2268" t="s">
        <v>41</v>
      </c>
      <c r="L2268" t="s">
        <v>118</v>
      </c>
      <c r="N2268" t="s">
        <v>43</v>
      </c>
      <c r="O2268" t="s">
        <v>375</v>
      </c>
      <c r="P2268">
        <v>345</v>
      </c>
      <c r="Q2268">
        <v>345</v>
      </c>
      <c r="R2268">
        <v>1001</v>
      </c>
      <c r="S2268" t="s">
        <v>56</v>
      </c>
      <c r="T2268">
        <v>1</v>
      </c>
      <c r="U2268">
        <v>1</v>
      </c>
      <c r="V2268" t="s">
        <v>55</v>
      </c>
      <c r="W2268">
        <v>0</v>
      </c>
      <c r="X2268">
        <v>1</v>
      </c>
      <c r="Y2268" t="s">
        <v>47</v>
      </c>
      <c r="Z2268">
        <v>0</v>
      </c>
      <c r="AA2268">
        <v>136</v>
      </c>
      <c r="AB2268" t="s">
        <v>47</v>
      </c>
      <c r="AC2268">
        <v>0.13500000000000001</v>
      </c>
      <c r="AD2268">
        <v>144</v>
      </c>
      <c r="AE2268" t="s">
        <v>56</v>
      </c>
      <c r="AF2268">
        <v>0.14299999999999999</v>
      </c>
      <c r="AG2268">
        <v>5</v>
      </c>
      <c r="AH2268" t="s">
        <v>103</v>
      </c>
      <c r="AI2268">
        <v>4.0000000000000001E-3</v>
      </c>
      <c r="AJ2268" t="s">
        <v>1141</v>
      </c>
    </row>
    <row r="2269" spans="1:36" x14ac:dyDescent="0.25">
      <c r="A2269" t="s">
        <v>373</v>
      </c>
      <c r="B2269">
        <v>855820308</v>
      </c>
      <c r="C2269" t="s">
        <v>374</v>
      </c>
      <c r="D2269" t="s">
        <v>374</v>
      </c>
      <c r="E2269" t="s">
        <v>37</v>
      </c>
      <c r="F2269" t="s">
        <v>191</v>
      </c>
      <c r="I2269" t="s">
        <v>39</v>
      </c>
      <c r="J2269" t="s">
        <v>40</v>
      </c>
      <c r="K2269" t="s">
        <v>41</v>
      </c>
      <c r="L2269" t="s">
        <v>118</v>
      </c>
      <c r="N2269" t="s">
        <v>43</v>
      </c>
      <c r="O2269" t="s">
        <v>174</v>
      </c>
      <c r="P2269">
        <v>345</v>
      </c>
      <c r="Q2269">
        <v>345</v>
      </c>
      <c r="R2269">
        <v>1</v>
      </c>
      <c r="S2269" t="s">
        <v>45</v>
      </c>
      <c r="T2269">
        <v>0</v>
      </c>
      <c r="U2269">
        <v>531</v>
      </c>
      <c r="V2269" t="s">
        <v>113</v>
      </c>
      <c r="W2269">
        <v>0.53</v>
      </c>
      <c r="X2269">
        <v>12001</v>
      </c>
      <c r="Y2269" t="s">
        <v>47</v>
      </c>
      <c r="Z2269">
        <v>12</v>
      </c>
      <c r="AA2269">
        <v>448</v>
      </c>
      <c r="AB2269" t="s">
        <v>47</v>
      </c>
      <c r="AC2269">
        <v>0.44700000000000001</v>
      </c>
      <c r="AD2269">
        <v>517</v>
      </c>
      <c r="AE2269" t="s">
        <v>48</v>
      </c>
      <c r="AF2269">
        <v>0.51600000000000001</v>
      </c>
      <c r="AG2269">
        <v>458</v>
      </c>
      <c r="AH2269" t="s">
        <v>57</v>
      </c>
      <c r="AI2269">
        <v>0.45700000000000002</v>
      </c>
      <c r="AJ2269" t="s">
        <v>1153</v>
      </c>
    </row>
    <row r="2270" spans="1:36" x14ac:dyDescent="0.25">
      <c r="A2270" t="s">
        <v>373</v>
      </c>
      <c r="B2270">
        <v>855820308</v>
      </c>
      <c r="C2270" t="s">
        <v>374</v>
      </c>
      <c r="D2270" t="s">
        <v>374</v>
      </c>
      <c r="E2270" t="s">
        <v>60</v>
      </c>
      <c r="F2270" t="s">
        <v>191</v>
      </c>
      <c r="I2270" t="s">
        <v>39</v>
      </c>
      <c r="J2270" t="s">
        <v>40</v>
      </c>
      <c r="K2270" t="s">
        <v>41</v>
      </c>
      <c r="L2270" t="s">
        <v>118</v>
      </c>
      <c r="N2270" t="s">
        <v>43</v>
      </c>
      <c r="O2270" t="s">
        <v>375</v>
      </c>
      <c r="P2270">
        <v>345</v>
      </c>
      <c r="Q2270">
        <v>345</v>
      </c>
      <c r="R2270">
        <v>1001</v>
      </c>
      <c r="S2270" t="s">
        <v>56</v>
      </c>
      <c r="T2270">
        <v>1</v>
      </c>
      <c r="U2270">
        <v>1</v>
      </c>
      <c r="V2270" t="s">
        <v>55</v>
      </c>
      <c r="W2270">
        <v>0</v>
      </c>
      <c r="X2270">
        <v>1</v>
      </c>
      <c r="Y2270" t="s">
        <v>47</v>
      </c>
      <c r="Z2270">
        <v>0</v>
      </c>
      <c r="AA2270">
        <v>136</v>
      </c>
      <c r="AB2270" t="s">
        <v>47</v>
      </c>
      <c r="AC2270">
        <v>0.13500000000000001</v>
      </c>
      <c r="AD2270">
        <v>144</v>
      </c>
      <c r="AE2270" t="s">
        <v>56</v>
      </c>
      <c r="AF2270">
        <v>0.14299999999999999</v>
      </c>
      <c r="AG2270">
        <v>5</v>
      </c>
      <c r="AH2270" t="s">
        <v>103</v>
      </c>
      <c r="AI2270">
        <v>4.0000000000000001E-3</v>
      </c>
      <c r="AJ2270" t="s">
        <v>1153</v>
      </c>
    </row>
    <row r="2271" spans="1:36" x14ac:dyDescent="0.25">
      <c r="A2271" t="s">
        <v>373</v>
      </c>
      <c r="B2271">
        <v>855820308</v>
      </c>
      <c r="C2271" t="s">
        <v>374</v>
      </c>
      <c r="D2271" t="s">
        <v>374</v>
      </c>
      <c r="E2271" t="s">
        <v>37</v>
      </c>
      <c r="F2271" t="s">
        <v>191</v>
      </c>
      <c r="I2271" t="s">
        <v>39</v>
      </c>
      <c r="J2271" t="s">
        <v>40</v>
      </c>
      <c r="K2271" t="s">
        <v>41</v>
      </c>
      <c r="L2271" t="s">
        <v>118</v>
      </c>
      <c r="N2271" t="s">
        <v>43</v>
      </c>
      <c r="O2271" t="s">
        <v>174</v>
      </c>
      <c r="P2271">
        <v>345</v>
      </c>
      <c r="Q2271">
        <v>345</v>
      </c>
      <c r="R2271">
        <v>1</v>
      </c>
      <c r="S2271" t="s">
        <v>45</v>
      </c>
      <c r="T2271">
        <v>0</v>
      </c>
      <c r="U2271">
        <v>531</v>
      </c>
      <c r="V2271" t="s">
        <v>113</v>
      </c>
      <c r="W2271">
        <v>0.53</v>
      </c>
      <c r="X2271">
        <v>12001</v>
      </c>
      <c r="Y2271" t="s">
        <v>47</v>
      </c>
      <c r="Z2271">
        <v>12</v>
      </c>
      <c r="AA2271">
        <v>448</v>
      </c>
      <c r="AB2271" t="s">
        <v>47</v>
      </c>
      <c r="AC2271">
        <v>0.44700000000000001</v>
      </c>
      <c r="AD2271">
        <v>517</v>
      </c>
      <c r="AE2271" t="s">
        <v>48</v>
      </c>
      <c r="AF2271">
        <v>0.51600000000000001</v>
      </c>
      <c r="AG2271">
        <v>458</v>
      </c>
      <c r="AH2271" t="s">
        <v>57</v>
      </c>
      <c r="AI2271">
        <v>0.45700000000000002</v>
      </c>
      <c r="AJ2271" t="s">
        <v>1154</v>
      </c>
    </row>
    <row r="2272" spans="1:36" x14ac:dyDescent="0.25">
      <c r="A2272" t="s">
        <v>373</v>
      </c>
      <c r="B2272">
        <v>855820308</v>
      </c>
      <c r="C2272" t="s">
        <v>374</v>
      </c>
      <c r="D2272" t="s">
        <v>374</v>
      </c>
      <c r="E2272" t="s">
        <v>60</v>
      </c>
      <c r="F2272" t="s">
        <v>191</v>
      </c>
      <c r="I2272" t="s">
        <v>39</v>
      </c>
      <c r="J2272" t="s">
        <v>40</v>
      </c>
      <c r="K2272" t="s">
        <v>41</v>
      </c>
      <c r="L2272" t="s">
        <v>118</v>
      </c>
      <c r="N2272" t="s">
        <v>43</v>
      </c>
      <c r="O2272" t="s">
        <v>375</v>
      </c>
      <c r="P2272">
        <v>345</v>
      </c>
      <c r="Q2272">
        <v>345</v>
      </c>
      <c r="R2272">
        <v>1001</v>
      </c>
      <c r="S2272" t="s">
        <v>56</v>
      </c>
      <c r="T2272">
        <v>1</v>
      </c>
      <c r="U2272">
        <v>1</v>
      </c>
      <c r="V2272" t="s">
        <v>55</v>
      </c>
      <c r="W2272">
        <v>0</v>
      </c>
      <c r="X2272">
        <v>1</v>
      </c>
      <c r="Y2272" t="s">
        <v>47</v>
      </c>
      <c r="Z2272">
        <v>0</v>
      </c>
      <c r="AA2272">
        <v>136</v>
      </c>
      <c r="AB2272" t="s">
        <v>47</v>
      </c>
      <c r="AC2272">
        <v>0.13500000000000001</v>
      </c>
      <c r="AD2272">
        <v>144</v>
      </c>
      <c r="AE2272" t="s">
        <v>56</v>
      </c>
      <c r="AF2272">
        <v>0.14299999999999999</v>
      </c>
      <c r="AG2272">
        <v>5</v>
      </c>
      <c r="AH2272" t="s">
        <v>103</v>
      </c>
      <c r="AI2272">
        <v>4.0000000000000001E-3</v>
      </c>
      <c r="AJ2272" t="s">
        <v>1154</v>
      </c>
    </row>
    <row r="2273" spans="1:36" x14ac:dyDescent="0.25">
      <c r="A2273" t="s">
        <v>373</v>
      </c>
      <c r="B2273">
        <v>855820308</v>
      </c>
      <c r="C2273" t="s">
        <v>374</v>
      </c>
      <c r="D2273" t="s">
        <v>374</v>
      </c>
      <c r="E2273" t="s">
        <v>37</v>
      </c>
      <c r="F2273" t="s">
        <v>191</v>
      </c>
      <c r="I2273" t="s">
        <v>39</v>
      </c>
      <c r="J2273" t="s">
        <v>40</v>
      </c>
      <c r="K2273" t="s">
        <v>41</v>
      </c>
      <c r="L2273" t="s">
        <v>118</v>
      </c>
      <c r="N2273" t="s">
        <v>43</v>
      </c>
      <c r="O2273" t="s">
        <v>174</v>
      </c>
      <c r="P2273">
        <v>345</v>
      </c>
      <c r="Q2273">
        <v>345</v>
      </c>
      <c r="S2273" t="s">
        <v>39</v>
      </c>
      <c r="V2273" t="s">
        <v>39</v>
      </c>
      <c r="X2273">
        <v>12001</v>
      </c>
      <c r="Y2273" t="s">
        <v>47</v>
      </c>
      <c r="Z2273">
        <v>12</v>
      </c>
      <c r="AA2273">
        <v>448</v>
      </c>
      <c r="AB2273" t="s">
        <v>47</v>
      </c>
      <c r="AC2273">
        <v>0.44700000000000001</v>
      </c>
      <c r="AD2273">
        <v>517</v>
      </c>
      <c r="AE2273" t="s">
        <v>48</v>
      </c>
      <c r="AF2273">
        <v>0.51600000000000001</v>
      </c>
      <c r="AG2273">
        <v>458</v>
      </c>
      <c r="AH2273" t="s">
        <v>57</v>
      </c>
      <c r="AI2273">
        <v>0.45700000000000002</v>
      </c>
      <c r="AJ2273" t="s">
        <v>1155</v>
      </c>
    </row>
    <row r="2274" spans="1:36" x14ac:dyDescent="0.25">
      <c r="A2274" t="s">
        <v>373</v>
      </c>
      <c r="B2274">
        <v>855820308</v>
      </c>
      <c r="C2274" t="s">
        <v>374</v>
      </c>
      <c r="D2274" t="s">
        <v>374</v>
      </c>
      <c r="E2274" t="s">
        <v>60</v>
      </c>
      <c r="F2274" t="s">
        <v>191</v>
      </c>
      <c r="I2274" t="s">
        <v>39</v>
      </c>
      <c r="J2274" t="s">
        <v>40</v>
      </c>
      <c r="K2274" t="s">
        <v>41</v>
      </c>
      <c r="L2274" t="s">
        <v>118</v>
      </c>
      <c r="N2274" t="s">
        <v>43</v>
      </c>
      <c r="O2274" t="s">
        <v>375</v>
      </c>
      <c r="P2274">
        <v>345</v>
      </c>
      <c r="Q2274">
        <v>345</v>
      </c>
      <c r="S2274" t="s">
        <v>39</v>
      </c>
      <c r="V2274" t="s">
        <v>39</v>
      </c>
      <c r="X2274">
        <v>1</v>
      </c>
      <c r="Y2274" t="s">
        <v>47</v>
      </c>
      <c r="Z2274">
        <v>0</v>
      </c>
      <c r="AA2274">
        <v>136</v>
      </c>
      <c r="AB2274" t="s">
        <v>47</v>
      </c>
      <c r="AC2274">
        <v>0.13500000000000001</v>
      </c>
      <c r="AD2274">
        <v>144</v>
      </c>
      <c r="AE2274" t="s">
        <v>56</v>
      </c>
      <c r="AF2274">
        <v>0.14299999999999999</v>
      </c>
      <c r="AG2274">
        <v>5</v>
      </c>
      <c r="AH2274" t="s">
        <v>103</v>
      </c>
      <c r="AI2274">
        <v>4.0000000000000001E-3</v>
      </c>
      <c r="AJ2274" t="s">
        <v>1155</v>
      </c>
    </row>
    <row r="2275" spans="1:36" x14ac:dyDescent="0.25">
      <c r="A2275" t="s">
        <v>370</v>
      </c>
      <c r="B2275">
        <v>856495429</v>
      </c>
      <c r="C2275" t="s">
        <v>371</v>
      </c>
      <c r="D2275" t="s">
        <v>371</v>
      </c>
      <c r="E2275" t="s">
        <v>99</v>
      </c>
      <c r="F2275" t="s">
        <v>111</v>
      </c>
      <c r="I2275" t="s">
        <v>39</v>
      </c>
      <c r="J2275" t="s">
        <v>40</v>
      </c>
      <c r="K2275" t="s">
        <v>41</v>
      </c>
      <c r="L2275" t="s">
        <v>89</v>
      </c>
      <c r="N2275" t="s">
        <v>43</v>
      </c>
      <c r="O2275" t="s">
        <v>372</v>
      </c>
      <c r="P2275">
        <v>346</v>
      </c>
      <c r="Q2275">
        <v>346</v>
      </c>
      <c r="R2275">
        <v>1</v>
      </c>
      <c r="S2275" t="s">
        <v>45</v>
      </c>
      <c r="T2275">
        <v>0</v>
      </c>
      <c r="U2275">
        <v>823</v>
      </c>
      <c r="V2275" t="s">
        <v>113</v>
      </c>
      <c r="W2275">
        <v>0.82199999999999995</v>
      </c>
      <c r="X2275">
        <v>20001</v>
      </c>
      <c r="Y2275" t="s">
        <v>47</v>
      </c>
      <c r="Z2275">
        <v>20</v>
      </c>
      <c r="AA2275">
        <v>499</v>
      </c>
      <c r="AB2275" t="s">
        <v>47</v>
      </c>
      <c r="AC2275">
        <v>0.498</v>
      </c>
      <c r="AD2275">
        <v>804</v>
      </c>
      <c r="AE2275" t="s">
        <v>48</v>
      </c>
      <c r="AF2275">
        <v>0.80300000000000005</v>
      </c>
      <c r="AG2275">
        <v>929</v>
      </c>
      <c r="AH2275" t="s">
        <v>49</v>
      </c>
      <c r="AI2275">
        <v>0.92800000000000005</v>
      </c>
      <c r="AJ2275" t="s">
        <v>50</v>
      </c>
    </row>
    <row r="2276" spans="1:36" x14ac:dyDescent="0.25">
      <c r="A2276" t="s">
        <v>370</v>
      </c>
      <c r="B2276">
        <v>856495429</v>
      </c>
      <c r="C2276" t="s">
        <v>371</v>
      </c>
      <c r="D2276" t="s">
        <v>371</v>
      </c>
      <c r="E2276" t="s">
        <v>99</v>
      </c>
      <c r="F2276" t="s">
        <v>111</v>
      </c>
      <c r="I2276" t="s">
        <v>39</v>
      </c>
      <c r="J2276" t="s">
        <v>40</v>
      </c>
      <c r="K2276" t="s">
        <v>41</v>
      </c>
      <c r="L2276" t="s">
        <v>89</v>
      </c>
      <c r="N2276" t="s">
        <v>43</v>
      </c>
      <c r="O2276" t="s">
        <v>372</v>
      </c>
      <c r="P2276">
        <v>346</v>
      </c>
      <c r="Q2276">
        <v>346</v>
      </c>
      <c r="R2276">
        <v>1</v>
      </c>
      <c r="S2276" t="s">
        <v>45</v>
      </c>
      <c r="T2276">
        <v>0</v>
      </c>
      <c r="U2276">
        <v>973</v>
      </c>
      <c r="V2276" t="s">
        <v>46</v>
      </c>
      <c r="W2276">
        <v>0.97199999999999998</v>
      </c>
      <c r="X2276">
        <v>20001</v>
      </c>
      <c r="Y2276" t="s">
        <v>47</v>
      </c>
      <c r="Z2276">
        <v>20</v>
      </c>
      <c r="AA2276">
        <v>499</v>
      </c>
      <c r="AB2276" t="s">
        <v>47</v>
      </c>
      <c r="AC2276">
        <v>0.498</v>
      </c>
      <c r="AD2276">
        <v>804</v>
      </c>
      <c r="AE2276" t="s">
        <v>48</v>
      </c>
      <c r="AF2276">
        <v>0.80300000000000005</v>
      </c>
      <c r="AG2276">
        <v>929</v>
      </c>
      <c r="AH2276" t="s">
        <v>49</v>
      </c>
      <c r="AI2276">
        <v>0.92800000000000005</v>
      </c>
      <c r="AJ2276" t="s">
        <v>1141</v>
      </c>
    </row>
    <row r="2277" spans="1:36" x14ac:dyDescent="0.25">
      <c r="A2277" t="s">
        <v>370</v>
      </c>
      <c r="B2277">
        <v>856495429</v>
      </c>
      <c r="C2277" t="s">
        <v>371</v>
      </c>
      <c r="D2277" t="s">
        <v>371</v>
      </c>
      <c r="E2277" t="s">
        <v>99</v>
      </c>
      <c r="F2277" t="s">
        <v>111</v>
      </c>
      <c r="I2277" t="s">
        <v>39</v>
      </c>
      <c r="J2277" t="s">
        <v>40</v>
      </c>
      <c r="K2277" t="s">
        <v>41</v>
      </c>
      <c r="L2277" t="s">
        <v>89</v>
      </c>
      <c r="N2277" t="s">
        <v>43</v>
      </c>
      <c r="O2277" t="s">
        <v>372</v>
      </c>
      <c r="P2277">
        <v>346</v>
      </c>
      <c r="Q2277">
        <v>346</v>
      </c>
      <c r="R2277">
        <v>1</v>
      </c>
      <c r="S2277" t="s">
        <v>45</v>
      </c>
      <c r="T2277">
        <v>0</v>
      </c>
      <c r="U2277">
        <v>823</v>
      </c>
      <c r="V2277" t="s">
        <v>113</v>
      </c>
      <c r="W2277">
        <v>0.82199999999999995</v>
      </c>
      <c r="X2277">
        <v>20001</v>
      </c>
      <c r="Y2277" t="s">
        <v>47</v>
      </c>
      <c r="Z2277">
        <v>20</v>
      </c>
      <c r="AA2277">
        <v>499</v>
      </c>
      <c r="AB2277" t="s">
        <v>47</v>
      </c>
      <c r="AC2277">
        <v>0.498</v>
      </c>
      <c r="AD2277">
        <v>804</v>
      </c>
      <c r="AE2277" t="s">
        <v>48</v>
      </c>
      <c r="AF2277">
        <v>0.80300000000000005</v>
      </c>
      <c r="AG2277">
        <v>929</v>
      </c>
      <c r="AH2277" t="s">
        <v>49</v>
      </c>
      <c r="AI2277">
        <v>0.92800000000000005</v>
      </c>
      <c r="AJ2277" t="s">
        <v>1153</v>
      </c>
    </row>
    <row r="2278" spans="1:36" x14ac:dyDescent="0.25">
      <c r="A2278" t="s">
        <v>370</v>
      </c>
      <c r="B2278">
        <v>856495429</v>
      </c>
      <c r="C2278" t="s">
        <v>371</v>
      </c>
      <c r="D2278" t="s">
        <v>371</v>
      </c>
      <c r="E2278" t="s">
        <v>99</v>
      </c>
      <c r="F2278" t="s">
        <v>111</v>
      </c>
      <c r="I2278" t="s">
        <v>39</v>
      </c>
      <c r="J2278" t="s">
        <v>40</v>
      </c>
      <c r="K2278" t="s">
        <v>41</v>
      </c>
      <c r="L2278" t="s">
        <v>89</v>
      </c>
      <c r="N2278" t="s">
        <v>43</v>
      </c>
      <c r="O2278" t="s">
        <v>372</v>
      </c>
      <c r="P2278">
        <v>346</v>
      </c>
      <c r="Q2278">
        <v>346</v>
      </c>
      <c r="R2278">
        <v>1</v>
      </c>
      <c r="S2278" t="s">
        <v>45</v>
      </c>
      <c r="T2278">
        <v>0</v>
      </c>
      <c r="U2278">
        <v>823</v>
      </c>
      <c r="V2278" t="s">
        <v>113</v>
      </c>
      <c r="W2278">
        <v>0.82199999999999995</v>
      </c>
      <c r="X2278">
        <v>20001</v>
      </c>
      <c r="Y2278" t="s">
        <v>47</v>
      </c>
      <c r="Z2278">
        <v>20</v>
      </c>
      <c r="AA2278">
        <v>499</v>
      </c>
      <c r="AB2278" t="s">
        <v>47</v>
      </c>
      <c r="AC2278">
        <v>0.498</v>
      </c>
      <c r="AD2278">
        <v>804</v>
      </c>
      <c r="AE2278" t="s">
        <v>48</v>
      </c>
      <c r="AF2278">
        <v>0.80300000000000005</v>
      </c>
      <c r="AG2278">
        <v>929</v>
      </c>
      <c r="AH2278" t="s">
        <v>49</v>
      </c>
      <c r="AI2278">
        <v>0.92800000000000005</v>
      </c>
      <c r="AJ2278" t="s">
        <v>1154</v>
      </c>
    </row>
    <row r="2279" spans="1:36" x14ac:dyDescent="0.25">
      <c r="A2279" t="s">
        <v>370</v>
      </c>
      <c r="B2279">
        <v>856495429</v>
      </c>
      <c r="C2279" t="s">
        <v>371</v>
      </c>
      <c r="D2279" t="s">
        <v>371</v>
      </c>
      <c r="E2279" t="s">
        <v>99</v>
      </c>
      <c r="F2279" t="s">
        <v>111</v>
      </c>
      <c r="I2279" t="s">
        <v>39</v>
      </c>
      <c r="J2279" t="s">
        <v>40</v>
      </c>
      <c r="K2279" t="s">
        <v>41</v>
      </c>
      <c r="L2279" t="s">
        <v>89</v>
      </c>
      <c r="N2279" t="s">
        <v>43</v>
      </c>
      <c r="O2279" t="s">
        <v>372</v>
      </c>
      <c r="P2279">
        <v>346</v>
      </c>
      <c r="Q2279">
        <v>346</v>
      </c>
      <c r="S2279" t="s">
        <v>39</v>
      </c>
      <c r="V2279" t="s">
        <v>39</v>
      </c>
      <c r="X2279">
        <v>20001</v>
      </c>
      <c r="Y2279" t="s">
        <v>47</v>
      </c>
      <c r="Z2279">
        <v>20</v>
      </c>
      <c r="AA2279">
        <v>499</v>
      </c>
      <c r="AB2279" t="s">
        <v>47</v>
      </c>
      <c r="AC2279">
        <v>0.498</v>
      </c>
      <c r="AD2279">
        <v>804</v>
      </c>
      <c r="AE2279" t="s">
        <v>48</v>
      </c>
      <c r="AF2279">
        <v>0.80300000000000005</v>
      </c>
      <c r="AG2279">
        <v>929</v>
      </c>
      <c r="AH2279" t="s">
        <v>49</v>
      </c>
      <c r="AI2279">
        <v>0.92800000000000005</v>
      </c>
      <c r="AJ2279" t="s">
        <v>1155</v>
      </c>
    </row>
    <row r="2280" spans="1:36" x14ac:dyDescent="0.25">
      <c r="A2280" t="s">
        <v>368</v>
      </c>
      <c r="B2280">
        <v>856503662</v>
      </c>
      <c r="C2280" t="s">
        <v>369</v>
      </c>
      <c r="D2280" t="s">
        <v>369</v>
      </c>
      <c r="E2280" t="s">
        <v>65</v>
      </c>
      <c r="F2280" t="s">
        <v>166</v>
      </c>
      <c r="I2280" t="s">
        <v>39</v>
      </c>
      <c r="J2280" t="s">
        <v>40</v>
      </c>
      <c r="K2280" t="s">
        <v>41</v>
      </c>
      <c r="L2280" t="s">
        <v>89</v>
      </c>
      <c r="N2280" t="s">
        <v>43</v>
      </c>
      <c r="O2280" t="s">
        <v>277</v>
      </c>
      <c r="P2280">
        <v>347</v>
      </c>
      <c r="Q2280">
        <v>347</v>
      </c>
      <c r="R2280">
        <v>81</v>
      </c>
      <c r="S2280" t="s">
        <v>56</v>
      </c>
      <c r="T2280">
        <v>0.08</v>
      </c>
      <c r="U2280">
        <v>40</v>
      </c>
      <c r="V2280" t="s">
        <v>55</v>
      </c>
      <c r="W2280">
        <v>3.9E-2</v>
      </c>
      <c r="X2280">
        <v>5001</v>
      </c>
      <c r="Y2280" t="s">
        <v>47</v>
      </c>
      <c r="Z2280">
        <v>5</v>
      </c>
      <c r="AA2280">
        <v>211</v>
      </c>
      <c r="AB2280" t="s">
        <v>47</v>
      </c>
      <c r="AC2280">
        <v>0.21</v>
      </c>
      <c r="AD2280">
        <v>596</v>
      </c>
      <c r="AE2280" t="s">
        <v>48</v>
      </c>
      <c r="AF2280">
        <v>0.59499999999999997</v>
      </c>
      <c r="AG2280">
        <v>640</v>
      </c>
      <c r="AH2280" t="s">
        <v>49</v>
      </c>
      <c r="AI2280">
        <v>0.63900000000000001</v>
      </c>
      <c r="AJ2280" t="s">
        <v>50</v>
      </c>
    </row>
    <row r="2281" spans="1:36" x14ac:dyDescent="0.25">
      <c r="A2281" t="s">
        <v>368</v>
      </c>
      <c r="B2281">
        <v>856503662</v>
      </c>
      <c r="C2281" t="s">
        <v>369</v>
      </c>
      <c r="D2281" t="s">
        <v>369</v>
      </c>
      <c r="E2281" t="s">
        <v>65</v>
      </c>
      <c r="F2281" t="s">
        <v>166</v>
      </c>
      <c r="I2281" t="s">
        <v>39</v>
      </c>
      <c r="J2281" t="s">
        <v>40</v>
      </c>
      <c r="K2281" t="s">
        <v>41</v>
      </c>
      <c r="L2281" t="s">
        <v>89</v>
      </c>
      <c r="N2281" t="s">
        <v>43</v>
      </c>
      <c r="O2281" t="s">
        <v>277</v>
      </c>
      <c r="P2281">
        <v>347</v>
      </c>
      <c r="Q2281">
        <v>347</v>
      </c>
      <c r="R2281">
        <v>111</v>
      </c>
      <c r="S2281" t="s">
        <v>56</v>
      </c>
      <c r="T2281">
        <v>0.11</v>
      </c>
      <c r="U2281">
        <v>6</v>
      </c>
      <c r="V2281" t="s">
        <v>55</v>
      </c>
      <c r="W2281">
        <v>5.0000000000000001E-3</v>
      </c>
      <c r="X2281">
        <v>5001</v>
      </c>
      <c r="Y2281" t="s">
        <v>47</v>
      </c>
      <c r="Z2281">
        <v>5</v>
      </c>
      <c r="AA2281">
        <v>211</v>
      </c>
      <c r="AB2281" t="s">
        <v>47</v>
      </c>
      <c r="AC2281">
        <v>0.21</v>
      </c>
      <c r="AD2281">
        <v>596</v>
      </c>
      <c r="AE2281" t="s">
        <v>48</v>
      </c>
      <c r="AF2281">
        <v>0.59499999999999997</v>
      </c>
      <c r="AG2281">
        <v>640</v>
      </c>
      <c r="AH2281" t="s">
        <v>49</v>
      </c>
      <c r="AI2281">
        <v>0.63900000000000001</v>
      </c>
      <c r="AJ2281" t="s">
        <v>1141</v>
      </c>
    </row>
    <row r="2282" spans="1:36" x14ac:dyDescent="0.25">
      <c r="A2282" t="s">
        <v>368</v>
      </c>
      <c r="B2282">
        <v>856503662</v>
      </c>
      <c r="C2282" t="s">
        <v>369</v>
      </c>
      <c r="D2282" t="s">
        <v>369</v>
      </c>
      <c r="E2282" t="s">
        <v>65</v>
      </c>
      <c r="F2282" t="s">
        <v>166</v>
      </c>
      <c r="I2282" t="s">
        <v>39</v>
      </c>
      <c r="J2282" t="s">
        <v>40</v>
      </c>
      <c r="K2282" t="s">
        <v>41</v>
      </c>
      <c r="L2282" t="s">
        <v>89</v>
      </c>
      <c r="N2282" t="s">
        <v>43</v>
      </c>
      <c r="O2282" t="s">
        <v>277</v>
      </c>
      <c r="P2282">
        <v>347</v>
      </c>
      <c r="Q2282">
        <v>347</v>
      </c>
      <c r="R2282">
        <v>81</v>
      </c>
      <c r="S2282" t="s">
        <v>56</v>
      </c>
      <c r="T2282">
        <v>0.08</v>
      </c>
      <c r="U2282">
        <v>40</v>
      </c>
      <c r="V2282" t="s">
        <v>55</v>
      </c>
      <c r="W2282">
        <v>3.9E-2</v>
      </c>
      <c r="X2282">
        <v>5001</v>
      </c>
      <c r="Y2282" t="s">
        <v>47</v>
      </c>
      <c r="Z2282">
        <v>5</v>
      </c>
      <c r="AA2282">
        <v>211</v>
      </c>
      <c r="AB2282" t="s">
        <v>47</v>
      </c>
      <c r="AC2282">
        <v>0.21</v>
      </c>
      <c r="AD2282">
        <v>596</v>
      </c>
      <c r="AE2282" t="s">
        <v>48</v>
      </c>
      <c r="AF2282">
        <v>0.59499999999999997</v>
      </c>
      <c r="AG2282">
        <v>640</v>
      </c>
      <c r="AH2282" t="s">
        <v>49</v>
      </c>
      <c r="AI2282">
        <v>0.63900000000000001</v>
      </c>
      <c r="AJ2282" t="s">
        <v>1153</v>
      </c>
    </row>
    <row r="2283" spans="1:36" x14ac:dyDescent="0.25">
      <c r="A2283" t="s">
        <v>368</v>
      </c>
      <c r="B2283">
        <v>856503662</v>
      </c>
      <c r="C2283" t="s">
        <v>369</v>
      </c>
      <c r="D2283" t="s">
        <v>369</v>
      </c>
      <c r="E2283" t="s">
        <v>65</v>
      </c>
      <c r="F2283" t="s">
        <v>166</v>
      </c>
      <c r="I2283" t="s">
        <v>39</v>
      </c>
      <c r="J2283" t="s">
        <v>40</v>
      </c>
      <c r="K2283" t="s">
        <v>41</v>
      </c>
      <c r="L2283" t="s">
        <v>89</v>
      </c>
      <c r="N2283" t="s">
        <v>43</v>
      </c>
      <c r="O2283" t="s">
        <v>277</v>
      </c>
      <c r="P2283">
        <v>347</v>
      </c>
      <c r="Q2283">
        <v>347</v>
      </c>
      <c r="R2283">
        <v>81</v>
      </c>
      <c r="S2283" t="s">
        <v>56</v>
      </c>
      <c r="T2283">
        <v>0.08</v>
      </c>
      <c r="U2283">
        <v>40</v>
      </c>
      <c r="V2283" t="s">
        <v>55</v>
      </c>
      <c r="W2283">
        <v>3.9E-2</v>
      </c>
      <c r="X2283">
        <v>5001</v>
      </c>
      <c r="Y2283" t="s">
        <v>47</v>
      </c>
      <c r="Z2283">
        <v>5</v>
      </c>
      <c r="AA2283">
        <v>211</v>
      </c>
      <c r="AB2283" t="s">
        <v>47</v>
      </c>
      <c r="AC2283">
        <v>0.21</v>
      </c>
      <c r="AD2283">
        <v>596</v>
      </c>
      <c r="AE2283" t="s">
        <v>48</v>
      </c>
      <c r="AF2283">
        <v>0.59499999999999997</v>
      </c>
      <c r="AG2283">
        <v>640</v>
      </c>
      <c r="AH2283" t="s">
        <v>49</v>
      </c>
      <c r="AI2283">
        <v>0.63900000000000001</v>
      </c>
      <c r="AJ2283" t="s">
        <v>1154</v>
      </c>
    </row>
    <row r="2284" spans="1:36" x14ac:dyDescent="0.25">
      <c r="A2284" t="s">
        <v>368</v>
      </c>
      <c r="B2284">
        <v>856503662</v>
      </c>
      <c r="C2284" t="s">
        <v>369</v>
      </c>
      <c r="D2284" t="s">
        <v>369</v>
      </c>
      <c r="E2284" t="s">
        <v>65</v>
      </c>
      <c r="F2284" t="s">
        <v>166</v>
      </c>
      <c r="I2284" t="s">
        <v>39</v>
      </c>
      <c r="J2284" t="s">
        <v>40</v>
      </c>
      <c r="K2284" t="s">
        <v>41</v>
      </c>
      <c r="L2284" t="s">
        <v>89</v>
      </c>
      <c r="N2284" t="s">
        <v>43</v>
      </c>
      <c r="O2284" t="s">
        <v>277</v>
      </c>
      <c r="P2284">
        <v>347</v>
      </c>
      <c r="Q2284">
        <v>347</v>
      </c>
      <c r="S2284" t="s">
        <v>39</v>
      </c>
      <c r="V2284" t="s">
        <v>39</v>
      </c>
      <c r="X2284">
        <v>5001</v>
      </c>
      <c r="Y2284" t="s">
        <v>47</v>
      </c>
      <c r="Z2284">
        <v>5</v>
      </c>
      <c r="AA2284">
        <v>211</v>
      </c>
      <c r="AB2284" t="s">
        <v>47</v>
      </c>
      <c r="AC2284">
        <v>0.21</v>
      </c>
      <c r="AD2284">
        <v>596</v>
      </c>
      <c r="AE2284" t="s">
        <v>48</v>
      </c>
      <c r="AF2284">
        <v>0.59499999999999997</v>
      </c>
      <c r="AG2284">
        <v>640</v>
      </c>
      <c r="AH2284" t="s">
        <v>49</v>
      </c>
      <c r="AI2284">
        <v>0.63900000000000001</v>
      </c>
      <c r="AJ2284" t="s">
        <v>1155</v>
      </c>
    </row>
    <row r="2285" spans="1:36" x14ac:dyDescent="0.25">
      <c r="A2285" t="s">
        <v>365</v>
      </c>
      <c r="B2285">
        <v>857961190</v>
      </c>
      <c r="C2285" t="s">
        <v>366</v>
      </c>
      <c r="D2285" t="s">
        <v>366</v>
      </c>
      <c r="E2285" t="s">
        <v>65</v>
      </c>
      <c r="F2285" t="s">
        <v>66</v>
      </c>
      <c r="I2285" t="s">
        <v>39</v>
      </c>
      <c r="J2285" t="s">
        <v>40</v>
      </c>
      <c r="K2285" t="s">
        <v>41</v>
      </c>
      <c r="N2285" t="s">
        <v>43</v>
      </c>
      <c r="O2285" t="s">
        <v>367</v>
      </c>
      <c r="P2285">
        <v>347</v>
      </c>
      <c r="Q2285">
        <v>347</v>
      </c>
      <c r="R2285">
        <v>21</v>
      </c>
      <c r="S2285" t="s">
        <v>45</v>
      </c>
      <c r="T2285">
        <v>0.02</v>
      </c>
      <c r="U2285">
        <v>368</v>
      </c>
      <c r="V2285" t="s">
        <v>55</v>
      </c>
      <c r="W2285">
        <v>0.36699999999999999</v>
      </c>
      <c r="X2285">
        <v>16001</v>
      </c>
      <c r="Y2285" t="s">
        <v>47</v>
      </c>
      <c r="Z2285">
        <v>16</v>
      </c>
      <c r="AA2285">
        <v>243</v>
      </c>
      <c r="AB2285" t="s">
        <v>47</v>
      </c>
      <c r="AC2285">
        <v>0.24199999999999999</v>
      </c>
      <c r="AD2285">
        <v>636</v>
      </c>
      <c r="AE2285" t="s">
        <v>48</v>
      </c>
      <c r="AF2285">
        <v>0.63500000000000001</v>
      </c>
      <c r="AG2285">
        <v>473</v>
      </c>
      <c r="AH2285" t="s">
        <v>57</v>
      </c>
      <c r="AI2285">
        <v>0.47199999999999998</v>
      </c>
      <c r="AJ2285" t="s">
        <v>50</v>
      </c>
    </row>
    <row r="2286" spans="1:36" x14ac:dyDescent="0.25">
      <c r="A2286" t="s">
        <v>365</v>
      </c>
      <c r="B2286">
        <v>857961190</v>
      </c>
      <c r="C2286" t="s">
        <v>366</v>
      </c>
      <c r="D2286" t="s">
        <v>366</v>
      </c>
      <c r="E2286" t="s">
        <v>65</v>
      </c>
      <c r="F2286" t="s">
        <v>66</v>
      </c>
      <c r="I2286" t="s">
        <v>39</v>
      </c>
      <c r="J2286" t="s">
        <v>40</v>
      </c>
      <c r="K2286" t="s">
        <v>41</v>
      </c>
      <c r="N2286" t="s">
        <v>43</v>
      </c>
      <c r="O2286" t="s">
        <v>367</v>
      </c>
      <c r="P2286">
        <v>347</v>
      </c>
      <c r="Q2286">
        <v>347</v>
      </c>
      <c r="R2286">
        <v>11</v>
      </c>
      <c r="S2286" t="s">
        <v>45</v>
      </c>
      <c r="T2286">
        <v>0.01</v>
      </c>
      <c r="U2286">
        <v>327</v>
      </c>
      <c r="V2286" t="s">
        <v>55</v>
      </c>
      <c r="W2286">
        <v>0.32600000000000001</v>
      </c>
      <c r="X2286">
        <v>16001</v>
      </c>
      <c r="Y2286" t="s">
        <v>47</v>
      </c>
      <c r="Z2286">
        <v>16</v>
      </c>
      <c r="AA2286">
        <v>243</v>
      </c>
      <c r="AB2286" t="s">
        <v>47</v>
      </c>
      <c r="AC2286">
        <v>0.24199999999999999</v>
      </c>
      <c r="AD2286">
        <v>636</v>
      </c>
      <c r="AE2286" t="s">
        <v>48</v>
      </c>
      <c r="AF2286">
        <v>0.63500000000000001</v>
      </c>
      <c r="AG2286">
        <v>473</v>
      </c>
      <c r="AH2286" t="s">
        <v>57</v>
      </c>
      <c r="AI2286">
        <v>0.47199999999999998</v>
      </c>
      <c r="AJ2286" t="s">
        <v>1141</v>
      </c>
    </row>
    <row r="2287" spans="1:36" x14ac:dyDescent="0.25">
      <c r="A2287" t="s">
        <v>365</v>
      </c>
      <c r="B2287">
        <v>857961190</v>
      </c>
      <c r="C2287" t="s">
        <v>366</v>
      </c>
      <c r="D2287" t="s">
        <v>366</v>
      </c>
      <c r="E2287" t="s">
        <v>65</v>
      </c>
      <c r="F2287" t="s">
        <v>66</v>
      </c>
      <c r="I2287" t="s">
        <v>39</v>
      </c>
      <c r="J2287" t="s">
        <v>40</v>
      </c>
      <c r="K2287" t="s">
        <v>41</v>
      </c>
      <c r="N2287" t="s">
        <v>43</v>
      </c>
      <c r="O2287" t="s">
        <v>367</v>
      </c>
      <c r="P2287">
        <v>347</v>
      </c>
      <c r="Q2287">
        <v>347</v>
      </c>
      <c r="R2287">
        <v>21</v>
      </c>
      <c r="S2287" t="s">
        <v>45</v>
      </c>
      <c r="T2287">
        <v>0.02</v>
      </c>
      <c r="U2287">
        <v>368</v>
      </c>
      <c r="V2287" t="s">
        <v>55</v>
      </c>
      <c r="W2287">
        <v>0.36699999999999999</v>
      </c>
      <c r="X2287">
        <v>16001</v>
      </c>
      <c r="Y2287" t="s">
        <v>47</v>
      </c>
      <c r="Z2287">
        <v>16</v>
      </c>
      <c r="AA2287">
        <v>243</v>
      </c>
      <c r="AB2287" t="s">
        <v>47</v>
      </c>
      <c r="AC2287">
        <v>0.24199999999999999</v>
      </c>
      <c r="AD2287">
        <v>636</v>
      </c>
      <c r="AE2287" t="s">
        <v>48</v>
      </c>
      <c r="AF2287">
        <v>0.63500000000000001</v>
      </c>
      <c r="AG2287">
        <v>473</v>
      </c>
      <c r="AH2287" t="s">
        <v>57</v>
      </c>
      <c r="AI2287">
        <v>0.47199999999999998</v>
      </c>
      <c r="AJ2287" t="s">
        <v>1153</v>
      </c>
    </row>
    <row r="2288" spans="1:36" x14ac:dyDescent="0.25">
      <c r="A2288" t="s">
        <v>365</v>
      </c>
      <c r="B2288">
        <v>857961190</v>
      </c>
      <c r="C2288" t="s">
        <v>366</v>
      </c>
      <c r="D2288" t="s">
        <v>366</v>
      </c>
      <c r="E2288" t="s">
        <v>65</v>
      </c>
      <c r="F2288" t="s">
        <v>66</v>
      </c>
      <c r="I2288" t="s">
        <v>39</v>
      </c>
      <c r="J2288" t="s">
        <v>40</v>
      </c>
      <c r="K2288" t="s">
        <v>41</v>
      </c>
      <c r="N2288" t="s">
        <v>43</v>
      </c>
      <c r="O2288" t="s">
        <v>367</v>
      </c>
      <c r="P2288">
        <v>347</v>
      </c>
      <c r="Q2288">
        <v>347</v>
      </c>
      <c r="R2288">
        <v>21</v>
      </c>
      <c r="S2288" t="s">
        <v>45</v>
      </c>
      <c r="T2288">
        <v>0.02</v>
      </c>
      <c r="U2288">
        <v>368</v>
      </c>
      <c r="V2288" t="s">
        <v>55</v>
      </c>
      <c r="W2288">
        <v>0.36699999999999999</v>
      </c>
      <c r="X2288">
        <v>16001</v>
      </c>
      <c r="Y2288" t="s">
        <v>47</v>
      </c>
      <c r="Z2288">
        <v>16</v>
      </c>
      <c r="AA2288">
        <v>243</v>
      </c>
      <c r="AB2288" t="s">
        <v>47</v>
      </c>
      <c r="AC2288">
        <v>0.24199999999999999</v>
      </c>
      <c r="AD2288">
        <v>636</v>
      </c>
      <c r="AE2288" t="s">
        <v>48</v>
      </c>
      <c r="AF2288">
        <v>0.63500000000000001</v>
      </c>
      <c r="AG2288">
        <v>473</v>
      </c>
      <c r="AH2288" t="s">
        <v>57</v>
      </c>
      <c r="AI2288">
        <v>0.47199999999999998</v>
      </c>
      <c r="AJ2288" t="s">
        <v>1154</v>
      </c>
    </row>
    <row r="2289" spans="1:36" x14ac:dyDescent="0.25">
      <c r="A2289" t="s">
        <v>365</v>
      </c>
      <c r="B2289">
        <v>857961190</v>
      </c>
      <c r="C2289" t="s">
        <v>366</v>
      </c>
      <c r="D2289" t="s">
        <v>366</v>
      </c>
      <c r="E2289" t="s">
        <v>65</v>
      </c>
      <c r="F2289" t="s">
        <v>66</v>
      </c>
      <c r="I2289" t="s">
        <v>39</v>
      </c>
      <c r="J2289" t="s">
        <v>40</v>
      </c>
      <c r="K2289" t="s">
        <v>41</v>
      </c>
      <c r="N2289" t="s">
        <v>43</v>
      </c>
      <c r="O2289" t="s">
        <v>367</v>
      </c>
      <c r="P2289">
        <v>347</v>
      </c>
      <c r="Q2289">
        <v>347</v>
      </c>
      <c r="S2289" t="s">
        <v>39</v>
      </c>
      <c r="V2289" t="s">
        <v>39</v>
      </c>
      <c r="X2289">
        <v>16001</v>
      </c>
      <c r="Y2289" t="s">
        <v>47</v>
      </c>
      <c r="Z2289">
        <v>16</v>
      </c>
      <c r="AA2289">
        <v>243</v>
      </c>
      <c r="AB2289" t="s">
        <v>47</v>
      </c>
      <c r="AC2289">
        <v>0.24199999999999999</v>
      </c>
      <c r="AD2289">
        <v>636</v>
      </c>
      <c r="AE2289" t="s">
        <v>48</v>
      </c>
      <c r="AF2289">
        <v>0.63500000000000001</v>
      </c>
      <c r="AG2289">
        <v>473</v>
      </c>
      <c r="AH2289" t="s">
        <v>57</v>
      </c>
      <c r="AI2289">
        <v>0.47199999999999998</v>
      </c>
      <c r="AJ2289" t="s">
        <v>1155</v>
      </c>
    </row>
    <row r="2290" spans="1:36" x14ac:dyDescent="0.25">
      <c r="A2290" t="s">
        <v>362</v>
      </c>
      <c r="B2290">
        <v>853514957</v>
      </c>
      <c r="C2290" t="s">
        <v>363</v>
      </c>
      <c r="D2290" t="s">
        <v>363</v>
      </c>
      <c r="E2290" t="s">
        <v>65</v>
      </c>
      <c r="F2290" t="s">
        <v>166</v>
      </c>
      <c r="I2290" t="s">
        <v>39</v>
      </c>
      <c r="J2290" t="s">
        <v>40</v>
      </c>
      <c r="K2290" t="s">
        <v>41</v>
      </c>
      <c r="L2290" t="s">
        <v>364</v>
      </c>
      <c r="N2290" t="s">
        <v>43</v>
      </c>
      <c r="O2290" t="s">
        <v>325</v>
      </c>
      <c r="P2290">
        <v>349</v>
      </c>
      <c r="Q2290">
        <v>349</v>
      </c>
      <c r="R2290">
        <v>571</v>
      </c>
      <c r="S2290" t="s">
        <v>56</v>
      </c>
      <c r="T2290">
        <v>0.56999999999999995</v>
      </c>
      <c r="U2290">
        <v>2</v>
      </c>
      <c r="V2290" t="s">
        <v>55</v>
      </c>
      <c r="W2290">
        <v>1E-3</v>
      </c>
      <c r="X2290">
        <v>1</v>
      </c>
      <c r="Y2290" t="s">
        <v>47</v>
      </c>
      <c r="Z2290">
        <v>0</v>
      </c>
      <c r="AA2290">
        <v>215</v>
      </c>
      <c r="AB2290" t="s">
        <v>47</v>
      </c>
      <c r="AC2290">
        <v>0.214</v>
      </c>
      <c r="AD2290">
        <v>461</v>
      </c>
      <c r="AE2290" t="s">
        <v>56</v>
      </c>
      <c r="AF2290">
        <v>0.46</v>
      </c>
      <c r="AG2290">
        <v>99</v>
      </c>
      <c r="AH2290" t="s">
        <v>103</v>
      </c>
      <c r="AI2290">
        <v>9.8000000000000004E-2</v>
      </c>
      <c r="AJ2290" t="s">
        <v>50</v>
      </c>
    </row>
    <row r="2291" spans="1:36" x14ac:dyDescent="0.25">
      <c r="A2291" t="s">
        <v>362</v>
      </c>
      <c r="B2291">
        <v>853514957</v>
      </c>
      <c r="C2291" t="s">
        <v>363</v>
      </c>
      <c r="D2291" t="s">
        <v>363</v>
      </c>
      <c r="E2291" t="s">
        <v>65</v>
      </c>
      <c r="F2291" t="s">
        <v>166</v>
      </c>
      <c r="I2291" t="s">
        <v>39</v>
      </c>
      <c r="J2291" t="s">
        <v>40</v>
      </c>
      <c r="K2291" t="s">
        <v>41</v>
      </c>
      <c r="L2291" t="s">
        <v>364</v>
      </c>
      <c r="N2291" t="s">
        <v>43</v>
      </c>
      <c r="O2291" t="s">
        <v>325</v>
      </c>
      <c r="P2291">
        <v>349</v>
      </c>
      <c r="Q2291">
        <v>349</v>
      </c>
      <c r="R2291">
        <v>201</v>
      </c>
      <c r="S2291" t="s">
        <v>56</v>
      </c>
      <c r="T2291">
        <v>0.2</v>
      </c>
      <c r="U2291">
        <v>355</v>
      </c>
      <c r="V2291" t="s">
        <v>55</v>
      </c>
      <c r="W2291">
        <v>0.35399999999999998</v>
      </c>
      <c r="X2291">
        <v>1</v>
      </c>
      <c r="Y2291" t="s">
        <v>47</v>
      </c>
      <c r="Z2291">
        <v>0</v>
      </c>
      <c r="AA2291">
        <v>215</v>
      </c>
      <c r="AB2291" t="s">
        <v>47</v>
      </c>
      <c r="AC2291">
        <v>0.214</v>
      </c>
      <c r="AD2291">
        <v>461</v>
      </c>
      <c r="AE2291" t="s">
        <v>56</v>
      </c>
      <c r="AF2291">
        <v>0.46</v>
      </c>
      <c r="AG2291">
        <v>99</v>
      </c>
      <c r="AH2291" t="s">
        <v>103</v>
      </c>
      <c r="AI2291">
        <v>9.8000000000000004E-2</v>
      </c>
      <c r="AJ2291" t="s">
        <v>1141</v>
      </c>
    </row>
    <row r="2292" spans="1:36" x14ac:dyDescent="0.25">
      <c r="A2292" t="s">
        <v>362</v>
      </c>
      <c r="B2292">
        <v>853514957</v>
      </c>
      <c r="C2292" t="s">
        <v>363</v>
      </c>
      <c r="D2292" t="s">
        <v>363</v>
      </c>
      <c r="E2292" t="s">
        <v>65</v>
      </c>
      <c r="F2292" t="s">
        <v>166</v>
      </c>
      <c r="I2292" t="s">
        <v>39</v>
      </c>
      <c r="J2292" t="s">
        <v>40</v>
      </c>
      <c r="K2292" t="s">
        <v>41</v>
      </c>
      <c r="L2292" t="s">
        <v>364</v>
      </c>
      <c r="N2292" t="s">
        <v>43</v>
      </c>
      <c r="O2292" t="s">
        <v>325</v>
      </c>
      <c r="P2292">
        <v>349</v>
      </c>
      <c r="Q2292">
        <v>349</v>
      </c>
      <c r="R2292">
        <v>571</v>
      </c>
      <c r="S2292" t="s">
        <v>56</v>
      </c>
      <c r="T2292">
        <v>0.56999999999999995</v>
      </c>
      <c r="U2292">
        <v>2</v>
      </c>
      <c r="V2292" t="s">
        <v>55</v>
      </c>
      <c r="W2292">
        <v>1E-3</v>
      </c>
      <c r="X2292">
        <v>1</v>
      </c>
      <c r="Y2292" t="s">
        <v>47</v>
      </c>
      <c r="Z2292">
        <v>0</v>
      </c>
      <c r="AA2292">
        <v>215</v>
      </c>
      <c r="AB2292" t="s">
        <v>47</v>
      </c>
      <c r="AC2292">
        <v>0.214</v>
      </c>
      <c r="AD2292">
        <v>461</v>
      </c>
      <c r="AE2292" t="s">
        <v>56</v>
      </c>
      <c r="AF2292">
        <v>0.46</v>
      </c>
      <c r="AG2292">
        <v>99</v>
      </c>
      <c r="AH2292" t="s">
        <v>103</v>
      </c>
      <c r="AI2292">
        <v>9.8000000000000004E-2</v>
      </c>
      <c r="AJ2292" t="s">
        <v>1153</v>
      </c>
    </row>
    <row r="2293" spans="1:36" x14ac:dyDescent="0.25">
      <c r="A2293" t="s">
        <v>362</v>
      </c>
      <c r="B2293">
        <v>853514957</v>
      </c>
      <c r="C2293" t="s">
        <v>363</v>
      </c>
      <c r="D2293" t="s">
        <v>363</v>
      </c>
      <c r="E2293" t="s">
        <v>65</v>
      </c>
      <c r="F2293" t="s">
        <v>166</v>
      </c>
      <c r="I2293" t="s">
        <v>39</v>
      </c>
      <c r="J2293" t="s">
        <v>40</v>
      </c>
      <c r="K2293" t="s">
        <v>41</v>
      </c>
      <c r="L2293" t="s">
        <v>364</v>
      </c>
      <c r="N2293" t="s">
        <v>43</v>
      </c>
      <c r="O2293" t="s">
        <v>325</v>
      </c>
      <c r="P2293">
        <v>349</v>
      </c>
      <c r="Q2293">
        <v>349</v>
      </c>
      <c r="R2293">
        <v>571</v>
      </c>
      <c r="S2293" t="s">
        <v>56</v>
      </c>
      <c r="T2293">
        <v>0.56999999999999995</v>
      </c>
      <c r="U2293">
        <v>2</v>
      </c>
      <c r="V2293" t="s">
        <v>55</v>
      </c>
      <c r="W2293">
        <v>1E-3</v>
      </c>
      <c r="X2293">
        <v>1</v>
      </c>
      <c r="Y2293" t="s">
        <v>47</v>
      </c>
      <c r="Z2293">
        <v>0</v>
      </c>
      <c r="AA2293">
        <v>215</v>
      </c>
      <c r="AB2293" t="s">
        <v>47</v>
      </c>
      <c r="AC2293">
        <v>0.214</v>
      </c>
      <c r="AD2293">
        <v>461</v>
      </c>
      <c r="AE2293" t="s">
        <v>56</v>
      </c>
      <c r="AF2293">
        <v>0.46</v>
      </c>
      <c r="AG2293">
        <v>99</v>
      </c>
      <c r="AH2293" t="s">
        <v>103</v>
      </c>
      <c r="AI2293">
        <v>9.8000000000000004E-2</v>
      </c>
      <c r="AJ2293" t="s">
        <v>1154</v>
      </c>
    </row>
    <row r="2294" spans="1:36" x14ac:dyDescent="0.25">
      <c r="A2294" t="s">
        <v>362</v>
      </c>
      <c r="B2294">
        <v>853514957</v>
      </c>
      <c r="C2294" t="s">
        <v>363</v>
      </c>
      <c r="D2294" t="s">
        <v>363</v>
      </c>
      <c r="E2294" t="s">
        <v>65</v>
      </c>
      <c r="F2294" t="s">
        <v>166</v>
      </c>
      <c r="I2294" t="s">
        <v>39</v>
      </c>
      <c r="J2294" t="s">
        <v>40</v>
      </c>
      <c r="K2294" t="s">
        <v>41</v>
      </c>
      <c r="L2294" t="s">
        <v>364</v>
      </c>
      <c r="N2294" t="s">
        <v>43</v>
      </c>
      <c r="O2294" t="s">
        <v>325</v>
      </c>
      <c r="P2294">
        <v>349</v>
      </c>
      <c r="Q2294">
        <v>349</v>
      </c>
      <c r="S2294" t="s">
        <v>39</v>
      </c>
      <c r="V2294" t="s">
        <v>39</v>
      </c>
      <c r="X2294">
        <v>1</v>
      </c>
      <c r="Y2294" t="s">
        <v>47</v>
      </c>
      <c r="Z2294">
        <v>0</v>
      </c>
      <c r="AA2294">
        <v>215</v>
      </c>
      <c r="AB2294" t="s">
        <v>47</v>
      </c>
      <c r="AC2294">
        <v>0.214</v>
      </c>
      <c r="AD2294">
        <v>461</v>
      </c>
      <c r="AE2294" t="s">
        <v>56</v>
      </c>
      <c r="AF2294">
        <v>0.46</v>
      </c>
      <c r="AG2294">
        <v>99</v>
      </c>
      <c r="AH2294" t="s">
        <v>103</v>
      </c>
      <c r="AI2294">
        <v>9.8000000000000004E-2</v>
      </c>
      <c r="AJ2294" t="s">
        <v>1155</v>
      </c>
    </row>
    <row r="2295" spans="1:36" x14ac:dyDescent="0.25">
      <c r="A2295" t="s">
        <v>359</v>
      </c>
      <c r="B2295">
        <v>853564134</v>
      </c>
      <c r="C2295" t="s">
        <v>360</v>
      </c>
      <c r="D2295" t="s">
        <v>360</v>
      </c>
      <c r="E2295" t="s">
        <v>37</v>
      </c>
      <c r="F2295" t="s">
        <v>122</v>
      </c>
      <c r="I2295" t="s">
        <v>39</v>
      </c>
      <c r="J2295" t="s">
        <v>40</v>
      </c>
      <c r="K2295" t="s">
        <v>41</v>
      </c>
      <c r="L2295" t="s">
        <v>361</v>
      </c>
      <c r="N2295" t="s">
        <v>43</v>
      </c>
      <c r="O2295" t="s">
        <v>184</v>
      </c>
      <c r="P2295">
        <v>350</v>
      </c>
      <c r="Q2295">
        <v>350</v>
      </c>
      <c r="R2295">
        <v>221</v>
      </c>
      <c r="S2295" t="s">
        <v>56</v>
      </c>
      <c r="T2295">
        <v>0.22</v>
      </c>
      <c r="U2295">
        <v>36</v>
      </c>
      <c r="V2295" t="s">
        <v>55</v>
      </c>
      <c r="W2295">
        <v>3.5000000000000003E-2</v>
      </c>
      <c r="X2295">
        <v>11001</v>
      </c>
      <c r="Y2295" t="s">
        <v>47</v>
      </c>
      <c r="Z2295">
        <v>11</v>
      </c>
      <c r="AA2295">
        <v>109</v>
      </c>
      <c r="AB2295" t="s">
        <v>47</v>
      </c>
      <c r="AC2295">
        <v>0.108</v>
      </c>
      <c r="AD2295">
        <v>508</v>
      </c>
      <c r="AE2295" t="s">
        <v>48</v>
      </c>
      <c r="AF2295">
        <v>0.50700000000000001</v>
      </c>
      <c r="AG2295">
        <v>304</v>
      </c>
      <c r="AH2295" t="s">
        <v>57</v>
      </c>
      <c r="AI2295">
        <v>0.30299999999999999</v>
      </c>
      <c r="AJ2295" t="s">
        <v>50</v>
      </c>
    </row>
    <row r="2296" spans="1:36" x14ac:dyDescent="0.25">
      <c r="A2296" t="s">
        <v>359</v>
      </c>
      <c r="B2296">
        <v>853564134</v>
      </c>
      <c r="C2296" t="s">
        <v>360</v>
      </c>
      <c r="D2296" t="s">
        <v>360</v>
      </c>
      <c r="E2296" t="s">
        <v>60</v>
      </c>
      <c r="F2296" t="s">
        <v>122</v>
      </c>
      <c r="I2296" t="s">
        <v>39</v>
      </c>
      <c r="J2296" t="s">
        <v>40</v>
      </c>
      <c r="K2296" t="s">
        <v>41</v>
      </c>
      <c r="L2296" t="s">
        <v>361</v>
      </c>
      <c r="N2296" t="s">
        <v>43</v>
      </c>
      <c r="O2296" t="s">
        <v>119</v>
      </c>
      <c r="P2296">
        <v>350</v>
      </c>
      <c r="Q2296">
        <v>350</v>
      </c>
      <c r="R2296">
        <v>131</v>
      </c>
      <c r="S2296" t="s">
        <v>56</v>
      </c>
      <c r="T2296">
        <v>0.13</v>
      </c>
      <c r="U2296">
        <v>42</v>
      </c>
      <c r="V2296" t="s">
        <v>55</v>
      </c>
      <c r="W2296">
        <v>4.1000000000000002E-2</v>
      </c>
      <c r="X2296">
        <v>11001</v>
      </c>
      <c r="Y2296" t="s">
        <v>47</v>
      </c>
      <c r="Z2296">
        <v>11</v>
      </c>
      <c r="AA2296">
        <v>281</v>
      </c>
      <c r="AB2296" t="s">
        <v>47</v>
      </c>
      <c r="AC2296">
        <v>0.28000000000000003</v>
      </c>
      <c r="AD2296">
        <v>629</v>
      </c>
      <c r="AE2296" t="s">
        <v>48</v>
      </c>
      <c r="AF2296">
        <v>0.628</v>
      </c>
      <c r="AG2296">
        <v>731</v>
      </c>
      <c r="AH2296" t="s">
        <v>49</v>
      </c>
      <c r="AI2296">
        <v>0.73</v>
      </c>
      <c r="AJ2296" t="s">
        <v>50</v>
      </c>
    </row>
    <row r="2297" spans="1:36" x14ac:dyDescent="0.25">
      <c r="A2297" t="s">
        <v>359</v>
      </c>
      <c r="B2297">
        <v>853564134</v>
      </c>
      <c r="C2297" t="s">
        <v>360</v>
      </c>
      <c r="D2297" t="s">
        <v>360</v>
      </c>
      <c r="E2297" t="s">
        <v>37</v>
      </c>
      <c r="F2297" t="s">
        <v>122</v>
      </c>
      <c r="I2297" t="s">
        <v>39</v>
      </c>
      <c r="J2297" t="s">
        <v>40</v>
      </c>
      <c r="K2297" t="s">
        <v>41</v>
      </c>
      <c r="L2297" t="s">
        <v>361</v>
      </c>
      <c r="N2297" t="s">
        <v>43</v>
      </c>
      <c r="O2297" t="s">
        <v>184</v>
      </c>
      <c r="P2297">
        <v>350</v>
      </c>
      <c r="Q2297">
        <v>350</v>
      </c>
      <c r="R2297">
        <v>111</v>
      </c>
      <c r="S2297" t="s">
        <v>56</v>
      </c>
      <c r="T2297">
        <v>0.11</v>
      </c>
      <c r="U2297">
        <v>32</v>
      </c>
      <c r="V2297" t="s">
        <v>55</v>
      </c>
      <c r="W2297">
        <v>3.1E-2</v>
      </c>
      <c r="X2297">
        <v>11001</v>
      </c>
      <c r="Y2297" t="s">
        <v>47</v>
      </c>
      <c r="Z2297">
        <v>11</v>
      </c>
      <c r="AA2297">
        <v>109</v>
      </c>
      <c r="AB2297" t="s">
        <v>47</v>
      </c>
      <c r="AC2297">
        <v>0.108</v>
      </c>
      <c r="AD2297">
        <v>508</v>
      </c>
      <c r="AE2297" t="s">
        <v>48</v>
      </c>
      <c r="AF2297">
        <v>0.50700000000000001</v>
      </c>
      <c r="AG2297">
        <v>304</v>
      </c>
      <c r="AH2297" t="s">
        <v>57</v>
      </c>
      <c r="AI2297">
        <v>0.30299999999999999</v>
      </c>
      <c r="AJ2297" t="s">
        <v>1141</v>
      </c>
    </row>
    <row r="2298" spans="1:36" x14ac:dyDescent="0.25">
      <c r="A2298" t="s">
        <v>359</v>
      </c>
      <c r="B2298">
        <v>853564134</v>
      </c>
      <c r="C2298" t="s">
        <v>360</v>
      </c>
      <c r="D2298" t="s">
        <v>360</v>
      </c>
      <c r="E2298" t="s">
        <v>60</v>
      </c>
      <c r="F2298" t="s">
        <v>122</v>
      </c>
      <c r="I2298" t="s">
        <v>39</v>
      </c>
      <c r="J2298" t="s">
        <v>40</v>
      </c>
      <c r="K2298" t="s">
        <v>41</v>
      </c>
      <c r="L2298" t="s">
        <v>361</v>
      </c>
      <c r="N2298" t="s">
        <v>43</v>
      </c>
      <c r="O2298" t="s">
        <v>119</v>
      </c>
      <c r="P2298">
        <v>350</v>
      </c>
      <c r="Q2298">
        <v>350</v>
      </c>
      <c r="R2298">
        <v>11</v>
      </c>
      <c r="S2298" t="s">
        <v>45</v>
      </c>
      <c r="T2298">
        <v>0.01</v>
      </c>
      <c r="U2298">
        <v>269</v>
      </c>
      <c r="V2298" t="s">
        <v>55</v>
      </c>
      <c r="W2298">
        <v>0.26800000000000002</v>
      </c>
      <c r="X2298">
        <v>11001</v>
      </c>
      <c r="Y2298" t="s">
        <v>47</v>
      </c>
      <c r="Z2298">
        <v>11</v>
      </c>
      <c r="AA2298">
        <v>281</v>
      </c>
      <c r="AB2298" t="s">
        <v>47</v>
      </c>
      <c r="AC2298">
        <v>0.28000000000000003</v>
      </c>
      <c r="AD2298">
        <v>629</v>
      </c>
      <c r="AE2298" t="s">
        <v>48</v>
      </c>
      <c r="AF2298">
        <v>0.628</v>
      </c>
      <c r="AG2298">
        <v>731</v>
      </c>
      <c r="AH2298" t="s">
        <v>49</v>
      </c>
      <c r="AI2298">
        <v>0.73</v>
      </c>
      <c r="AJ2298" t="s">
        <v>1141</v>
      </c>
    </row>
    <row r="2299" spans="1:36" x14ac:dyDescent="0.25">
      <c r="A2299" t="s">
        <v>359</v>
      </c>
      <c r="B2299">
        <v>853564134</v>
      </c>
      <c r="C2299" t="s">
        <v>360</v>
      </c>
      <c r="D2299" t="s">
        <v>360</v>
      </c>
      <c r="E2299" t="s">
        <v>37</v>
      </c>
      <c r="F2299" t="s">
        <v>122</v>
      </c>
      <c r="I2299" t="s">
        <v>39</v>
      </c>
      <c r="J2299" t="s">
        <v>40</v>
      </c>
      <c r="K2299" t="s">
        <v>41</v>
      </c>
      <c r="L2299" t="s">
        <v>361</v>
      </c>
      <c r="N2299" t="s">
        <v>43</v>
      </c>
      <c r="O2299" t="s">
        <v>184</v>
      </c>
      <c r="P2299">
        <v>350</v>
      </c>
      <c r="Q2299">
        <v>350</v>
      </c>
      <c r="R2299">
        <v>221</v>
      </c>
      <c r="S2299" t="s">
        <v>56</v>
      </c>
      <c r="T2299">
        <v>0.22</v>
      </c>
      <c r="U2299">
        <v>36</v>
      </c>
      <c r="V2299" t="s">
        <v>55</v>
      </c>
      <c r="W2299">
        <v>3.5000000000000003E-2</v>
      </c>
      <c r="X2299">
        <v>11001</v>
      </c>
      <c r="Y2299" t="s">
        <v>47</v>
      </c>
      <c r="Z2299">
        <v>11</v>
      </c>
      <c r="AA2299">
        <v>109</v>
      </c>
      <c r="AB2299" t="s">
        <v>47</v>
      </c>
      <c r="AC2299">
        <v>0.108</v>
      </c>
      <c r="AD2299">
        <v>508</v>
      </c>
      <c r="AE2299" t="s">
        <v>48</v>
      </c>
      <c r="AF2299">
        <v>0.50700000000000001</v>
      </c>
      <c r="AG2299">
        <v>304</v>
      </c>
      <c r="AH2299" t="s">
        <v>57</v>
      </c>
      <c r="AI2299">
        <v>0.30299999999999999</v>
      </c>
      <c r="AJ2299" t="s">
        <v>1153</v>
      </c>
    </row>
    <row r="2300" spans="1:36" x14ac:dyDescent="0.25">
      <c r="A2300" t="s">
        <v>359</v>
      </c>
      <c r="B2300">
        <v>853564134</v>
      </c>
      <c r="C2300" t="s">
        <v>360</v>
      </c>
      <c r="D2300" t="s">
        <v>360</v>
      </c>
      <c r="E2300" t="s">
        <v>60</v>
      </c>
      <c r="F2300" t="s">
        <v>122</v>
      </c>
      <c r="I2300" t="s">
        <v>39</v>
      </c>
      <c r="J2300" t="s">
        <v>40</v>
      </c>
      <c r="K2300" t="s">
        <v>41</v>
      </c>
      <c r="L2300" t="s">
        <v>361</v>
      </c>
      <c r="N2300" t="s">
        <v>43</v>
      </c>
      <c r="O2300" t="s">
        <v>119</v>
      </c>
      <c r="P2300">
        <v>350</v>
      </c>
      <c r="Q2300">
        <v>350</v>
      </c>
      <c r="R2300">
        <v>131</v>
      </c>
      <c r="S2300" t="s">
        <v>56</v>
      </c>
      <c r="T2300">
        <v>0.13</v>
      </c>
      <c r="U2300">
        <v>42</v>
      </c>
      <c r="V2300" t="s">
        <v>55</v>
      </c>
      <c r="W2300">
        <v>4.1000000000000002E-2</v>
      </c>
      <c r="X2300">
        <v>11001</v>
      </c>
      <c r="Y2300" t="s">
        <v>47</v>
      </c>
      <c r="Z2300">
        <v>11</v>
      </c>
      <c r="AA2300">
        <v>281</v>
      </c>
      <c r="AB2300" t="s">
        <v>47</v>
      </c>
      <c r="AC2300">
        <v>0.28000000000000003</v>
      </c>
      <c r="AD2300">
        <v>629</v>
      </c>
      <c r="AE2300" t="s">
        <v>48</v>
      </c>
      <c r="AF2300">
        <v>0.628</v>
      </c>
      <c r="AG2300">
        <v>731</v>
      </c>
      <c r="AH2300" t="s">
        <v>49</v>
      </c>
      <c r="AI2300">
        <v>0.73</v>
      </c>
      <c r="AJ2300" t="s">
        <v>1153</v>
      </c>
    </row>
    <row r="2301" spans="1:36" x14ac:dyDescent="0.25">
      <c r="A2301" t="s">
        <v>359</v>
      </c>
      <c r="B2301">
        <v>853564134</v>
      </c>
      <c r="C2301" t="s">
        <v>360</v>
      </c>
      <c r="D2301" t="s">
        <v>360</v>
      </c>
      <c r="E2301" t="s">
        <v>37</v>
      </c>
      <c r="F2301" t="s">
        <v>122</v>
      </c>
      <c r="I2301" t="s">
        <v>39</v>
      </c>
      <c r="J2301" t="s">
        <v>40</v>
      </c>
      <c r="K2301" t="s">
        <v>41</v>
      </c>
      <c r="L2301" t="s">
        <v>361</v>
      </c>
      <c r="N2301" t="s">
        <v>43</v>
      </c>
      <c r="O2301" t="s">
        <v>184</v>
      </c>
      <c r="P2301">
        <v>350</v>
      </c>
      <c r="Q2301">
        <v>350</v>
      </c>
      <c r="R2301">
        <v>221</v>
      </c>
      <c r="S2301" t="s">
        <v>56</v>
      </c>
      <c r="T2301">
        <v>0.22</v>
      </c>
      <c r="U2301">
        <v>36</v>
      </c>
      <c r="V2301" t="s">
        <v>55</v>
      </c>
      <c r="W2301">
        <v>3.5000000000000003E-2</v>
      </c>
      <c r="X2301">
        <v>11001</v>
      </c>
      <c r="Y2301" t="s">
        <v>47</v>
      </c>
      <c r="Z2301">
        <v>11</v>
      </c>
      <c r="AA2301">
        <v>109</v>
      </c>
      <c r="AB2301" t="s">
        <v>47</v>
      </c>
      <c r="AC2301">
        <v>0.108</v>
      </c>
      <c r="AD2301">
        <v>508</v>
      </c>
      <c r="AE2301" t="s">
        <v>48</v>
      </c>
      <c r="AF2301">
        <v>0.50700000000000001</v>
      </c>
      <c r="AG2301">
        <v>304</v>
      </c>
      <c r="AH2301" t="s">
        <v>57</v>
      </c>
      <c r="AI2301">
        <v>0.30299999999999999</v>
      </c>
      <c r="AJ2301" t="s">
        <v>1154</v>
      </c>
    </row>
    <row r="2302" spans="1:36" x14ac:dyDescent="0.25">
      <c r="A2302" t="s">
        <v>359</v>
      </c>
      <c r="B2302">
        <v>853564134</v>
      </c>
      <c r="C2302" t="s">
        <v>360</v>
      </c>
      <c r="D2302" t="s">
        <v>360</v>
      </c>
      <c r="E2302" t="s">
        <v>60</v>
      </c>
      <c r="F2302" t="s">
        <v>122</v>
      </c>
      <c r="I2302" t="s">
        <v>39</v>
      </c>
      <c r="J2302" t="s">
        <v>40</v>
      </c>
      <c r="K2302" t="s">
        <v>41</v>
      </c>
      <c r="L2302" t="s">
        <v>361</v>
      </c>
      <c r="N2302" t="s">
        <v>43</v>
      </c>
      <c r="O2302" t="s">
        <v>119</v>
      </c>
      <c r="P2302">
        <v>350</v>
      </c>
      <c r="Q2302">
        <v>350</v>
      </c>
      <c r="R2302">
        <v>131</v>
      </c>
      <c r="S2302" t="s">
        <v>56</v>
      </c>
      <c r="T2302">
        <v>0.13</v>
      </c>
      <c r="U2302">
        <v>42</v>
      </c>
      <c r="V2302" t="s">
        <v>55</v>
      </c>
      <c r="W2302">
        <v>4.1000000000000002E-2</v>
      </c>
      <c r="X2302">
        <v>11001</v>
      </c>
      <c r="Y2302" t="s">
        <v>47</v>
      </c>
      <c r="Z2302">
        <v>11</v>
      </c>
      <c r="AA2302">
        <v>281</v>
      </c>
      <c r="AB2302" t="s">
        <v>47</v>
      </c>
      <c r="AC2302">
        <v>0.28000000000000003</v>
      </c>
      <c r="AD2302">
        <v>629</v>
      </c>
      <c r="AE2302" t="s">
        <v>48</v>
      </c>
      <c r="AF2302">
        <v>0.628</v>
      </c>
      <c r="AG2302">
        <v>731</v>
      </c>
      <c r="AH2302" t="s">
        <v>49</v>
      </c>
      <c r="AI2302">
        <v>0.73</v>
      </c>
      <c r="AJ2302" t="s">
        <v>1154</v>
      </c>
    </row>
    <row r="2303" spans="1:36" x14ac:dyDescent="0.25">
      <c r="A2303" t="s">
        <v>359</v>
      </c>
      <c r="B2303">
        <v>853564134</v>
      </c>
      <c r="C2303" t="s">
        <v>360</v>
      </c>
      <c r="D2303" t="s">
        <v>360</v>
      </c>
      <c r="E2303" t="s">
        <v>37</v>
      </c>
      <c r="F2303" t="s">
        <v>122</v>
      </c>
      <c r="I2303" t="s">
        <v>39</v>
      </c>
      <c r="J2303" t="s">
        <v>40</v>
      </c>
      <c r="K2303" t="s">
        <v>41</v>
      </c>
      <c r="L2303" t="s">
        <v>361</v>
      </c>
      <c r="N2303" t="s">
        <v>43</v>
      </c>
      <c r="O2303" t="s">
        <v>184</v>
      </c>
      <c r="P2303">
        <v>350</v>
      </c>
      <c r="Q2303">
        <v>350</v>
      </c>
      <c r="S2303" t="s">
        <v>39</v>
      </c>
      <c r="V2303" t="s">
        <v>39</v>
      </c>
      <c r="X2303">
        <v>11001</v>
      </c>
      <c r="Y2303" t="s">
        <v>47</v>
      </c>
      <c r="Z2303">
        <v>11</v>
      </c>
      <c r="AA2303">
        <v>109</v>
      </c>
      <c r="AB2303" t="s">
        <v>47</v>
      </c>
      <c r="AC2303">
        <v>0.108</v>
      </c>
      <c r="AD2303">
        <v>508</v>
      </c>
      <c r="AE2303" t="s">
        <v>48</v>
      </c>
      <c r="AF2303">
        <v>0.50700000000000001</v>
      </c>
      <c r="AG2303">
        <v>304</v>
      </c>
      <c r="AH2303" t="s">
        <v>57</v>
      </c>
      <c r="AI2303">
        <v>0.30299999999999999</v>
      </c>
      <c r="AJ2303" t="s">
        <v>1155</v>
      </c>
    </row>
    <row r="2304" spans="1:36" x14ac:dyDescent="0.25">
      <c r="A2304" t="s">
        <v>359</v>
      </c>
      <c r="B2304">
        <v>853564134</v>
      </c>
      <c r="C2304" t="s">
        <v>360</v>
      </c>
      <c r="D2304" t="s">
        <v>360</v>
      </c>
      <c r="E2304" t="s">
        <v>60</v>
      </c>
      <c r="F2304" t="s">
        <v>122</v>
      </c>
      <c r="I2304" t="s">
        <v>39</v>
      </c>
      <c r="J2304" t="s">
        <v>40</v>
      </c>
      <c r="K2304" t="s">
        <v>41</v>
      </c>
      <c r="L2304" t="s">
        <v>361</v>
      </c>
      <c r="N2304" t="s">
        <v>43</v>
      </c>
      <c r="O2304" t="s">
        <v>119</v>
      </c>
      <c r="P2304">
        <v>350</v>
      </c>
      <c r="Q2304">
        <v>350</v>
      </c>
      <c r="S2304" t="s">
        <v>39</v>
      </c>
      <c r="V2304" t="s">
        <v>39</v>
      </c>
      <c r="X2304">
        <v>11001</v>
      </c>
      <c r="Y2304" t="s">
        <v>47</v>
      </c>
      <c r="Z2304">
        <v>11</v>
      </c>
      <c r="AA2304">
        <v>281</v>
      </c>
      <c r="AB2304" t="s">
        <v>47</v>
      </c>
      <c r="AC2304">
        <v>0.28000000000000003</v>
      </c>
      <c r="AD2304">
        <v>629</v>
      </c>
      <c r="AE2304" t="s">
        <v>48</v>
      </c>
      <c r="AF2304">
        <v>0.628</v>
      </c>
      <c r="AG2304">
        <v>731</v>
      </c>
      <c r="AH2304" t="s">
        <v>49</v>
      </c>
      <c r="AI2304">
        <v>0.73</v>
      </c>
      <c r="AJ2304" t="s">
        <v>1155</v>
      </c>
    </row>
    <row r="2305" spans="1:36" x14ac:dyDescent="0.25">
      <c r="A2305" t="s">
        <v>357</v>
      </c>
      <c r="B2305">
        <v>856083347</v>
      </c>
      <c r="C2305" t="s">
        <v>358</v>
      </c>
      <c r="D2305" t="s">
        <v>358</v>
      </c>
      <c r="E2305" t="s">
        <v>37</v>
      </c>
      <c r="F2305" t="s">
        <v>71</v>
      </c>
      <c r="I2305" t="s">
        <v>39</v>
      </c>
      <c r="J2305" t="s">
        <v>40</v>
      </c>
      <c r="K2305" t="s">
        <v>41</v>
      </c>
      <c r="L2305" t="s">
        <v>137</v>
      </c>
      <c r="M2305" t="s">
        <v>73</v>
      </c>
      <c r="N2305" t="s">
        <v>43</v>
      </c>
      <c r="O2305" t="s">
        <v>74</v>
      </c>
      <c r="P2305">
        <v>350</v>
      </c>
      <c r="Q2305">
        <v>350</v>
      </c>
      <c r="R2305">
        <v>341</v>
      </c>
      <c r="S2305" t="s">
        <v>56</v>
      </c>
      <c r="T2305">
        <v>0.34</v>
      </c>
      <c r="U2305">
        <v>57</v>
      </c>
      <c r="V2305" t="s">
        <v>55</v>
      </c>
      <c r="W2305">
        <v>5.6000000000000001E-2</v>
      </c>
      <c r="X2305">
        <v>15001</v>
      </c>
      <c r="Y2305" t="s">
        <v>47</v>
      </c>
      <c r="Z2305">
        <v>15</v>
      </c>
      <c r="AA2305">
        <v>296</v>
      </c>
      <c r="AB2305" t="s">
        <v>47</v>
      </c>
      <c r="AC2305">
        <v>0.29499999999999998</v>
      </c>
      <c r="AD2305">
        <v>571</v>
      </c>
      <c r="AE2305" t="s">
        <v>48</v>
      </c>
      <c r="AF2305">
        <v>0.56999999999999995</v>
      </c>
      <c r="AG2305">
        <v>605</v>
      </c>
      <c r="AH2305" t="s">
        <v>49</v>
      </c>
      <c r="AI2305">
        <v>0.60399999999999998</v>
      </c>
      <c r="AJ2305" t="s">
        <v>50</v>
      </c>
    </row>
    <row r="2306" spans="1:36" x14ac:dyDescent="0.25">
      <c r="A2306" t="s">
        <v>357</v>
      </c>
      <c r="B2306">
        <v>856083347</v>
      </c>
      <c r="C2306" t="s">
        <v>358</v>
      </c>
      <c r="D2306" t="s">
        <v>358</v>
      </c>
      <c r="E2306" t="s">
        <v>37</v>
      </c>
      <c r="F2306" t="s">
        <v>71</v>
      </c>
      <c r="I2306" t="s">
        <v>39</v>
      </c>
      <c r="J2306" t="s">
        <v>40</v>
      </c>
      <c r="K2306" t="s">
        <v>41</v>
      </c>
      <c r="L2306" t="s">
        <v>137</v>
      </c>
      <c r="M2306" t="s">
        <v>73</v>
      </c>
      <c r="N2306" t="s">
        <v>43</v>
      </c>
      <c r="O2306" t="s">
        <v>74</v>
      </c>
      <c r="P2306">
        <v>350</v>
      </c>
      <c r="Q2306">
        <v>350</v>
      </c>
      <c r="R2306">
        <v>1</v>
      </c>
      <c r="S2306" t="s">
        <v>45</v>
      </c>
      <c r="T2306">
        <v>0</v>
      </c>
      <c r="U2306">
        <v>135</v>
      </c>
      <c r="V2306" t="s">
        <v>55</v>
      </c>
      <c r="W2306">
        <v>0.13400000000000001</v>
      </c>
      <c r="X2306">
        <v>15001</v>
      </c>
      <c r="Y2306" t="s">
        <v>47</v>
      </c>
      <c r="Z2306">
        <v>15</v>
      </c>
      <c r="AA2306">
        <v>296</v>
      </c>
      <c r="AB2306" t="s">
        <v>47</v>
      </c>
      <c r="AC2306">
        <v>0.29499999999999998</v>
      </c>
      <c r="AD2306">
        <v>571</v>
      </c>
      <c r="AE2306" t="s">
        <v>48</v>
      </c>
      <c r="AF2306">
        <v>0.56999999999999995</v>
      </c>
      <c r="AG2306">
        <v>605</v>
      </c>
      <c r="AH2306" t="s">
        <v>49</v>
      </c>
      <c r="AI2306">
        <v>0.60399999999999998</v>
      </c>
      <c r="AJ2306" t="s">
        <v>1141</v>
      </c>
    </row>
    <row r="2307" spans="1:36" x14ac:dyDescent="0.25">
      <c r="A2307" t="s">
        <v>357</v>
      </c>
      <c r="B2307">
        <v>856083347</v>
      </c>
      <c r="C2307" t="s">
        <v>358</v>
      </c>
      <c r="D2307" t="s">
        <v>358</v>
      </c>
      <c r="E2307" t="s">
        <v>37</v>
      </c>
      <c r="F2307" t="s">
        <v>71</v>
      </c>
      <c r="I2307" t="s">
        <v>39</v>
      </c>
      <c r="J2307" t="s">
        <v>40</v>
      </c>
      <c r="K2307" t="s">
        <v>41</v>
      </c>
      <c r="L2307" t="s">
        <v>137</v>
      </c>
      <c r="M2307" t="s">
        <v>73</v>
      </c>
      <c r="N2307" t="s">
        <v>43</v>
      </c>
      <c r="O2307" t="s">
        <v>74</v>
      </c>
      <c r="P2307">
        <v>350</v>
      </c>
      <c r="Q2307">
        <v>350</v>
      </c>
      <c r="R2307">
        <v>341</v>
      </c>
      <c r="S2307" t="s">
        <v>56</v>
      </c>
      <c r="T2307">
        <v>0.34</v>
      </c>
      <c r="U2307">
        <v>57</v>
      </c>
      <c r="V2307" t="s">
        <v>55</v>
      </c>
      <c r="W2307">
        <v>5.6000000000000001E-2</v>
      </c>
      <c r="X2307">
        <v>15001</v>
      </c>
      <c r="Y2307" t="s">
        <v>47</v>
      </c>
      <c r="Z2307">
        <v>15</v>
      </c>
      <c r="AA2307">
        <v>296</v>
      </c>
      <c r="AB2307" t="s">
        <v>47</v>
      </c>
      <c r="AC2307">
        <v>0.29499999999999998</v>
      </c>
      <c r="AD2307">
        <v>571</v>
      </c>
      <c r="AE2307" t="s">
        <v>48</v>
      </c>
      <c r="AF2307">
        <v>0.56999999999999995</v>
      </c>
      <c r="AG2307">
        <v>605</v>
      </c>
      <c r="AH2307" t="s">
        <v>49</v>
      </c>
      <c r="AI2307">
        <v>0.60399999999999998</v>
      </c>
      <c r="AJ2307" t="s">
        <v>1153</v>
      </c>
    </row>
    <row r="2308" spans="1:36" x14ac:dyDescent="0.25">
      <c r="A2308" t="s">
        <v>357</v>
      </c>
      <c r="B2308">
        <v>856083347</v>
      </c>
      <c r="C2308" t="s">
        <v>358</v>
      </c>
      <c r="D2308" t="s">
        <v>358</v>
      </c>
      <c r="E2308" t="s">
        <v>37</v>
      </c>
      <c r="F2308" t="s">
        <v>71</v>
      </c>
      <c r="I2308" t="s">
        <v>39</v>
      </c>
      <c r="J2308" t="s">
        <v>40</v>
      </c>
      <c r="K2308" t="s">
        <v>41</v>
      </c>
      <c r="L2308" t="s">
        <v>137</v>
      </c>
      <c r="M2308" t="s">
        <v>73</v>
      </c>
      <c r="N2308" t="s">
        <v>43</v>
      </c>
      <c r="O2308" t="s">
        <v>74</v>
      </c>
      <c r="P2308">
        <v>350</v>
      </c>
      <c r="Q2308">
        <v>350</v>
      </c>
      <c r="R2308">
        <v>341</v>
      </c>
      <c r="S2308" t="s">
        <v>56</v>
      </c>
      <c r="T2308">
        <v>0.34</v>
      </c>
      <c r="U2308">
        <v>57</v>
      </c>
      <c r="V2308" t="s">
        <v>55</v>
      </c>
      <c r="W2308">
        <v>5.6000000000000001E-2</v>
      </c>
      <c r="X2308">
        <v>15001</v>
      </c>
      <c r="Y2308" t="s">
        <v>47</v>
      </c>
      <c r="Z2308">
        <v>15</v>
      </c>
      <c r="AA2308">
        <v>296</v>
      </c>
      <c r="AB2308" t="s">
        <v>47</v>
      </c>
      <c r="AC2308">
        <v>0.29499999999999998</v>
      </c>
      <c r="AD2308">
        <v>571</v>
      </c>
      <c r="AE2308" t="s">
        <v>48</v>
      </c>
      <c r="AF2308">
        <v>0.56999999999999995</v>
      </c>
      <c r="AG2308">
        <v>605</v>
      </c>
      <c r="AH2308" t="s">
        <v>49</v>
      </c>
      <c r="AI2308">
        <v>0.60399999999999998</v>
      </c>
      <c r="AJ2308" t="s">
        <v>1154</v>
      </c>
    </row>
    <row r="2309" spans="1:36" x14ac:dyDescent="0.25">
      <c r="A2309" t="s">
        <v>357</v>
      </c>
      <c r="B2309">
        <v>856083347</v>
      </c>
      <c r="C2309" t="s">
        <v>358</v>
      </c>
      <c r="D2309" t="s">
        <v>358</v>
      </c>
      <c r="E2309" t="s">
        <v>37</v>
      </c>
      <c r="F2309" t="s">
        <v>71</v>
      </c>
      <c r="I2309" t="s">
        <v>39</v>
      </c>
      <c r="J2309" t="s">
        <v>40</v>
      </c>
      <c r="K2309" t="s">
        <v>41</v>
      </c>
      <c r="L2309" t="s">
        <v>137</v>
      </c>
      <c r="M2309" t="s">
        <v>73</v>
      </c>
      <c r="N2309" t="s">
        <v>43</v>
      </c>
      <c r="O2309" t="s">
        <v>74</v>
      </c>
      <c r="P2309">
        <v>350</v>
      </c>
      <c r="Q2309">
        <v>350</v>
      </c>
      <c r="S2309" t="s">
        <v>39</v>
      </c>
      <c r="V2309" t="s">
        <v>39</v>
      </c>
      <c r="X2309">
        <v>15001</v>
      </c>
      <c r="Y2309" t="s">
        <v>47</v>
      </c>
      <c r="Z2309">
        <v>15</v>
      </c>
      <c r="AA2309">
        <v>296</v>
      </c>
      <c r="AB2309" t="s">
        <v>47</v>
      </c>
      <c r="AC2309">
        <v>0.29499999999999998</v>
      </c>
      <c r="AD2309">
        <v>571</v>
      </c>
      <c r="AE2309" t="s">
        <v>48</v>
      </c>
      <c r="AF2309">
        <v>0.56999999999999995</v>
      </c>
      <c r="AG2309">
        <v>605</v>
      </c>
      <c r="AH2309" t="s">
        <v>49</v>
      </c>
      <c r="AI2309">
        <v>0.60399999999999998</v>
      </c>
      <c r="AJ2309" t="s">
        <v>1155</v>
      </c>
    </row>
    <row r="2310" spans="1:36" x14ac:dyDescent="0.25">
      <c r="A2310" t="s">
        <v>355</v>
      </c>
      <c r="B2310">
        <v>867421254</v>
      </c>
      <c r="C2310" t="s">
        <v>356</v>
      </c>
      <c r="D2310" t="s">
        <v>356</v>
      </c>
      <c r="E2310" t="s">
        <v>99</v>
      </c>
      <c r="F2310" t="s">
        <v>136</v>
      </c>
      <c r="I2310" t="s">
        <v>39</v>
      </c>
      <c r="J2310" t="s">
        <v>40</v>
      </c>
      <c r="K2310" t="s">
        <v>41</v>
      </c>
      <c r="L2310" t="s">
        <v>173</v>
      </c>
      <c r="N2310" t="s">
        <v>43</v>
      </c>
      <c r="O2310" t="s">
        <v>112</v>
      </c>
      <c r="P2310">
        <v>351</v>
      </c>
      <c r="Q2310">
        <v>351</v>
      </c>
      <c r="R2310">
        <v>81</v>
      </c>
      <c r="S2310" t="s">
        <v>56</v>
      </c>
      <c r="T2310">
        <v>0.08</v>
      </c>
      <c r="U2310">
        <v>939</v>
      </c>
      <c r="V2310" t="s">
        <v>46</v>
      </c>
      <c r="W2310">
        <v>0.93799999999999994</v>
      </c>
      <c r="X2310">
        <v>19001</v>
      </c>
      <c r="Y2310" t="s">
        <v>47</v>
      </c>
      <c r="Z2310">
        <v>19</v>
      </c>
      <c r="AA2310">
        <v>395</v>
      </c>
      <c r="AB2310" t="s">
        <v>47</v>
      </c>
      <c r="AC2310">
        <v>0.39400000000000002</v>
      </c>
      <c r="AD2310">
        <v>748</v>
      </c>
      <c r="AE2310" t="s">
        <v>48</v>
      </c>
      <c r="AF2310">
        <v>0.747</v>
      </c>
      <c r="AG2310">
        <v>809</v>
      </c>
      <c r="AH2310" t="s">
        <v>49</v>
      </c>
      <c r="AI2310">
        <v>0.80800000000000005</v>
      </c>
      <c r="AJ2310" t="s">
        <v>50</v>
      </c>
    </row>
    <row r="2311" spans="1:36" x14ac:dyDescent="0.25">
      <c r="A2311" t="s">
        <v>355</v>
      </c>
      <c r="B2311">
        <v>867421254</v>
      </c>
      <c r="C2311" t="s">
        <v>356</v>
      </c>
      <c r="D2311" t="s">
        <v>356</v>
      </c>
      <c r="E2311" t="s">
        <v>60</v>
      </c>
      <c r="F2311" t="s">
        <v>136</v>
      </c>
      <c r="I2311" t="s">
        <v>39</v>
      </c>
      <c r="J2311" t="s">
        <v>40</v>
      </c>
      <c r="K2311" t="s">
        <v>41</v>
      </c>
      <c r="L2311" t="s">
        <v>173</v>
      </c>
      <c r="N2311" t="s">
        <v>43</v>
      </c>
      <c r="O2311" t="s">
        <v>310</v>
      </c>
      <c r="P2311">
        <v>351</v>
      </c>
      <c r="Q2311">
        <v>351</v>
      </c>
      <c r="R2311">
        <v>1</v>
      </c>
      <c r="S2311" t="s">
        <v>45</v>
      </c>
      <c r="T2311">
        <v>0</v>
      </c>
      <c r="U2311">
        <v>1001</v>
      </c>
      <c r="V2311" t="s">
        <v>46</v>
      </c>
      <c r="W2311">
        <v>1</v>
      </c>
      <c r="X2311">
        <v>22001</v>
      </c>
      <c r="Y2311" t="s">
        <v>47</v>
      </c>
      <c r="Z2311">
        <v>22</v>
      </c>
      <c r="AA2311">
        <v>424</v>
      </c>
      <c r="AB2311" t="s">
        <v>47</v>
      </c>
      <c r="AC2311">
        <v>0.42299999999999999</v>
      </c>
      <c r="AD2311">
        <v>853</v>
      </c>
      <c r="AE2311" t="s">
        <v>48</v>
      </c>
      <c r="AF2311">
        <v>0.85199999999999998</v>
      </c>
      <c r="AG2311">
        <v>945</v>
      </c>
      <c r="AH2311" t="s">
        <v>80</v>
      </c>
      <c r="AI2311">
        <v>0.94399999999999995</v>
      </c>
      <c r="AJ2311" t="s">
        <v>50</v>
      </c>
    </row>
    <row r="2312" spans="1:36" x14ac:dyDescent="0.25">
      <c r="A2312" t="s">
        <v>355</v>
      </c>
      <c r="B2312">
        <v>867421254</v>
      </c>
      <c r="C2312" t="s">
        <v>356</v>
      </c>
      <c r="D2312" t="s">
        <v>356</v>
      </c>
      <c r="E2312" t="s">
        <v>99</v>
      </c>
      <c r="F2312" t="s">
        <v>136</v>
      </c>
      <c r="I2312" t="s">
        <v>39</v>
      </c>
      <c r="J2312" t="s">
        <v>40</v>
      </c>
      <c r="K2312" t="s">
        <v>41</v>
      </c>
      <c r="L2312" t="s">
        <v>173</v>
      </c>
      <c r="N2312" t="s">
        <v>43</v>
      </c>
      <c r="O2312" t="s">
        <v>112</v>
      </c>
      <c r="P2312">
        <v>351</v>
      </c>
      <c r="Q2312">
        <v>351</v>
      </c>
      <c r="R2312">
        <v>31</v>
      </c>
      <c r="S2312" t="s">
        <v>45</v>
      </c>
      <c r="T2312">
        <v>0.03</v>
      </c>
      <c r="U2312">
        <v>956</v>
      </c>
      <c r="V2312" t="s">
        <v>46</v>
      </c>
      <c r="W2312">
        <v>0.95499999999999996</v>
      </c>
      <c r="X2312">
        <v>19001</v>
      </c>
      <c r="Y2312" t="s">
        <v>47</v>
      </c>
      <c r="Z2312">
        <v>19</v>
      </c>
      <c r="AA2312">
        <v>395</v>
      </c>
      <c r="AB2312" t="s">
        <v>47</v>
      </c>
      <c r="AC2312">
        <v>0.39400000000000002</v>
      </c>
      <c r="AD2312">
        <v>748</v>
      </c>
      <c r="AE2312" t="s">
        <v>48</v>
      </c>
      <c r="AF2312">
        <v>0.747</v>
      </c>
      <c r="AG2312">
        <v>809</v>
      </c>
      <c r="AH2312" t="s">
        <v>49</v>
      </c>
      <c r="AI2312">
        <v>0.80800000000000005</v>
      </c>
      <c r="AJ2312" t="s">
        <v>1141</v>
      </c>
    </row>
    <row r="2313" spans="1:36" x14ac:dyDescent="0.25">
      <c r="A2313" t="s">
        <v>355</v>
      </c>
      <c r="B2313">
        <v>867421254</v>
      </c>
      <c r="C2313" t="s">
        <v>356</v>
      </c>
      <c r="D2313" t="s">
        <v>356</v>
      </c>
      <c r="E2313" t="s">
        <v>60</v>
      </c>
      <c r="F2313" t="s">
        <v>136</v>
      </c>
      <c r="I2313" t="s">
        <v>39</v>
      </c>
      <c r="J2313" t="s">
        <v>40</v>
      </c>
      <c r="K2313" t="s">
        <v>41</v>
      </c>
      <c r="L2313" t="s">
        <v>173</v>
      </c>
      <c r="N2313" t="s">
        <v>43</v>
      </c>
      <c r="O2313" t="s">
        <v>310</v>
      </c>
      <c r="P2313">
        <v>351</v>
      </c>
      <c r="Q2313">
        <v>351</v>
      </c>
      <c r="R2313">
        <v>1</v>
      </c>
      <c r="S2313" t="s">
        <v>45</v>
      </c>
      <c r="T2313">
        <v>0</v>
      </c>
      <c r="U2313">
        <v>1001</v>
      </c>
      <c r="V2313" t="s">
        <v>46</v>
      </c>
      <c r="W2313">
        <v>1</v>
      </c>
      <c r="X2313">
        <v>22001</v>
      </c>
      <c r="Y2313" t="s">
        <v>47</v>
      </c>
      <c r="Z2313">
        <v>22</v>
      </c>
      <c r="AA2313">
        <v>424</v>
      </c>
      <c r="AB2313" t="s">
        <v>47</v>
      </c>
      <c r="AC2313">
        <v>0.42299999999999999</v>
      </c>
      <c r="AD2313">
        <v>853</v>
      </c>
      <c r="AE2313" t="s">
        <v>48</v>
      </c>
      <c r="AF2313">
        <v>0.85199999999999998</v>
      </c>
      <c r="AG2313">
        <v>945</v>
      </c>
      <c r="AH2313" t="s">
        <v>80</v>
      </c>
      <c r="AI2313">
        <v>0.94399999999999995</v>
      </c>
      <c r="AJ2313" t="s">
        <v>1141</v>
      </c>
    </row>
    <row r="2314" spans="1:36" x14ac:dyDescent="0.25">
      <c r="A2314" t="s">
        <v>355</v>
      </c>
      <c r="B2314">
        <v>867421254</v>
      </c>
      <c r="C2314" t="s">
        <v>356</v>
      </c>
      <c r="D2314" t="s">
        <v>356</v>
      </c>
      <c r="E2314" t="s">
        <v>99</v>
      </c>
      <c r="F2314" t="s">
        <v>136</v>
      </c>
      <c r="I2314" t="s">
        <v>39</v>
      </c>
      <c r="J2314" t="s">
        <v>40</v>
      </c>
      <c r="K2314" t="s">
        <v>41</v>
      </c>
      <c r="L2314" t="s">
        <v>173</v>
      </c>
      <c r="N2314" t="s">
        <v>43</v>
      </c>
      <c r="O2314" t="s">
        <v>112</v>
      </c>
      <c r="P2314">
        <v>351</v>
      </c>
      <c r="Q2314">
        <v>351</v>
      </c>
      <c r="R2314">
        <v>81</v>
      </c>
      <c r="S2314" t="s">
        <v>56</v>
      </c>
      <c r="T2314">
        <v>0.08</v>
      </c>
      <c r="U2314">
        <v>939</v>
      </c>
      <c r="V2314" t="s">
        <v>46</v>
      </c>
      <c r="W2314">
        <v>0.93799999999999994</v>
      </c>
      <c r="X2314">
        <v>19001</v>
      </c>
      <c r="Y2314" t="s">
        <v>47</v>
      </c>
      <c r="Z2314">
        <v>19</v>
      </c>
      <c r="AA2314">
        <v>395</v>
      </c>
      <c r="AB2314" t="s">
        <v>47</v>
      </c>
      <c r="AC2314">
        <v>0.39400000000000002</v>
      </c>
      <c r="AD2314">
        <v>748</v>
      </c>
      <c r="AE2314" t="s">
        <v>48</v>
      </c>
      <c r="AF2314">
        <v>0.747</v>
      </c>
      <c r="AG2314">
        <v>809</v>
      </c>
      <c r="AH2314" t="s">
        <v>49</v>
      </c>
      <c r="AI2314">
        <v>0.80800000000000005</v>
      </c>
      <c r="AJ2314" t="s">
        <v>1153</v>
      </c>
    </row>
    <row r="2315" spans="1:36" x14ac:dyDescent="0.25">
      <c r="A2315" t="s">
        <v>355</v>
      </c>
      <c r="B2315">
        <v>867421254</v>
      </c>
      <c r="C2315" t="s">
        <v>356</v>
      </c>
      <c r="D2315" t="s">
        <v>356</v>
      </c>
      <c r="E2315" t="s">
        <v>60</v>
      </c>
      <c r="F2315" t="s">
        <v>136</v>
      </c>
      <c r="I2315" t="s">
        <v>39</v>
      </c>
      <c r="J2315" t="s">
        <v>40</v>
      </c>
      <c r="K2315" t="s">
        <v>41</v>
      </c>
      <c r="L2315" t="s">
        <v>173</v>
      </c>
      <c r="N2315" t="s">
        <v>43</v>
      </c>
      <c r="O2315" t="s">
        <v>310</v>
      </c>
      <c r="P2315">
        <v>351</v>
      </c>
      <c r="Q2315">
        <v>351</v>
      </c>
      <c r="R2315">
        <v>1</v>
      </c>
      <c r="S2315" t="s">
        <v>45</v>
      </c>
      <c r="T2315">
        <v>0</v>
      </c>
      <c r="U2315">
        <v>1001</v>
      </c>
      <c r="V2315" t="s">
        <v>46</v>
      </c>
      <c r="W2315">
        <v>1</v>
      </c>
      <c r="X2315">
        <v>22001</v>
      </c>
      <c r="Y2315" t="s">
        <v>47</v>
      </c>
      <c r="Z2315">
        <v>22</v>
      </c>
      <c r="AA2315">
        <v>424</v>
      </c>
      <c r="AB2315" t="s">
        <v>47</v>
      </c>
      <c r="AC2315">
        <v>0.42299999999999999</v>
      </c>
      <c r="AD2315">
        <v>853</v>
      </c>
      <c r="AE2315" t="s">
        <v>48</v>
      </c>
      <c r="AF2315">
        <v>0.85199999999999998</v>
      </c>
      <c r="AG2315">
        <v>945</v>
      </c>
      <c r="AH2315" t="s">
        <v>80</v>
      </c>
      <c r="AI2315">
        <v>0.94399999999999995</v>
      </c>
      <c r="AJ2315" t="s">
        <v>1153</v>
      </c>
    </row>
    <row r="2316" spans="1:36" x14ac:dyDescent="0.25">
      <c r="A2316" t="s">
        <v>355</v>
      </c>
      <c r="B2316">
        <v>867421254</v>
      </c>
      <c r="C2316" t="s">
        <v>356</v>
      </c>
      <c r="D2316" t="s">
        <v>356</v>
      </c>
      <c r="E2316" t="s">
        <v>99</v>
      </c>
      <c r="F2316" t="s">
        <v>136</v>
      </c>
      <c r="I2316" t="s">
        <v>39</v>
      </c>
      <c r="J2316" t="s">
        <v>40</v>
      </c>
      <c r="K2316" t="s">
        <v>41</v>
      </c>
      <c r="L2316" t="s">
        <v>173</v>
      </c>
      <c r="N2316" t="s">
        <v>43</v>
      </c>
      <c r="O2316" t="s">
        <v>112</v>
      </c>
      <c r="P2316">
        <v>351</v>
      </c>
      <c r="Q2316">
        <v>351</v>
      </c>
      <c r="R2316">
        <v>81</v>
      </c>
      <c r="S2316" t="s">
        <v>56</v>
      </c>
      <c r="T2316">
        <v>0.08</v>
      </c>
      <c r="U2316">
        <v>939</v>
      </c>
      <c r="V2316" t="s">
        <v>46</v>
      </c>
      <c r="W2316">
        <v>0.93799999999999994</v>
      </c>
      <c r="X2316">
        <v>19001</v>
      </c>
      <c r="Y2316" t="s">
        <v>47</v>
      </c>
      <c r="Z2316">
        <v>19</v>
      </c>
      <c r="AA2316">
        <v>395</v>
      </c>
      <c r="AB2316" t="s">
        <v>47</v>
      </c>
      <c r="AC2316">
        <v>0.39400000000000002</v>
      </c>
      <c r="AD2316">
        <v>748</v>
      </c>
      <c r="AE2316" t="s">
        <v>48</v>
      </c>
      <c r="AF2316">
        <v>0.747</v>
      </c>
      <c r="AG2316">
        <v>809</v>
      </c>
      <c r="AH2316" t="s">
        <v>49</v>
      </c>
      <c r="AI2316">
        <v>0.80800000000000005</v>
      </c>
      <c r="AJ2316" t="s">
        <v>1154</v>
      </c>
    </row>
    <row r="2317" spans="1:36" x14ac:dyDescent="0.25">
      <c r="A2317" t="s">
        <v>355</v>
      </c>
      <c r="B2317">
        <v>867421254</v>
      </c>
      <c r="C2317" t="s">
        <v>356</v>
      </c>
      <c r="D2317" t="s">
        <v>356</v>
      </c>
      <c r="E2317" t="s">
        <v>60</v>
      </c>
      <c r="F2317" t="s">
        <v>136</v>
      </c>
      <c r="I2317" t="s">
        <v>39</v>
      </c>
      <c r="J2317" t="s">
        <v>40</v>
      </c>
      <c r="K2317" t="s">
        <v>41</v>
      </c>
      <c r="L2317" t="s">
        <v>173</v>
      </c>
      <c r="N2317" t="s">
        <v>43</v>
      </c>
      <c r="O2317" t="s">
        <v>310</v>
      </c>
      <c r="P2317">
        <v>351</v>
      </c>
      <c r="Q2317">
        <v>351</v>
      </c>
      <c r="R2317">
        <v>1</v>
      </c>
      <c r="S2317" t="s">
        <v>45</v>
      </c>
      <c r="T2317">
        <v>0</v>
      </c>
      <c r="U2317">
        <v>1001</v>
      </c>
      <c r="V2317" t="s">
        <v>46</v>
      </c>
      <c r="W2317">
        <v>1</v>
      </c>
      <c r="X2317">
        <v>22001</v>
      </c>
      <c r="Y2317" t="s">
        <v>47</v>
      </c>
      <c r="Z2317">
        <v>22</v>
      </c>
      <c r="AA2317">
        <v>424</v>
      </c>
      <c r="AB2317" t="s">
        <v>47</v>
      </c>
      <c r="AC2317">
        <v>0.42299999999999999</v>
      </c>
      <c r="AD2317">
        <v>853</v>
      </c>
      <c r="AE2317" t="s">
        <v>48</v>
      </c>
      <c r="AF2317">
        <v>0.85199999999999998</v>
      </c>
      <c r="AG2317">
        <v>945</v>
      </c>
      <c r="AH2317" t="s">
        <v>80</v>
      </c>
      <c r="AI2317">
        <v>0.94399999999999995</v>
      </c>
      <c r="AJ2317" t="s">
        <v>1154</v>
      </c>
    </row>
    <row r="2318" spans="1:36" x14ac:dyDescent="0.25">
      <c r="A2318" t="s">
        <v>355</v>
      </c>
      <c r="B2318">
        <v>867421254</v>
      </c>
      <c r="C2318" t="s">
        <v>356</v>
      </c>
      <c r="D2318" t="s">
        <v>356</v>
      </c>
      <c r="E2318" t="s">
        <v>99</v>
      </c>
      <c r="F2318" t="s">
        <v>136</v>
      </c>
      <c r="I2318" t="s">
        <v>39</v>
      </c>
      <c r="J2318" t="s">
        <v>40</v>
      </c>
      <c r="K2318" t="s">
        <v>41</v>
      </c>
      <c r="L2318" t="s">
        <v>173</v>
      </c>
      <c r="N2318" t="s">
        <v>43</v>
      </c>
      <c r="O2318" t="s">
        <v>112</v>
      </c>
      <c r="P2318">
        <v>351</v>
      </c>
      <c r="Q2318">
        <v>351</v>
      </c>
      <c r="S2318" t="s">
        <v>39</v>
      </c>
      <c r="V2318" t="s">
        <v>39</v>
      </c>
      <c r="X2318">
        <v>19001</v>
      </c>
      <c r="Y2318" t="s">
        <v>47</v>
      </c>
      <c r="Z2318">
        <v>19</v>
      </c>
      <c r="AA2318">
        <v>395</v>
      </c>
      <c r="AB2318" t="s">
        <v>47</v>
      </c>
      <c r="AC2318">
        <v>0.39400000000000002</v>
      </c>
      <c r="AD2318">
        <v>748</v>
      </c>
      <c r="AE2318" t="s">
        <v>48</v>
      </c>
      <c r="AF2318">
        <v>0.747</v>
      </c>
      <c r="AG2318">
        <v>809</v>
      </c>
      <c r="AH2318" t="s">
        <v>49</v>
      </c>
      <c r="AI2318">
        <v>0.80800000000000005</v>
      </c>
      <c r="AJ2318" t="s">
        <v>1155</v>
      </c>
    </row>
    <row r="2319" spans="1:36" x14ac:dyDescent="0.25">
      <c r="A2319" t="s">
        <v>355</v>
      </c>
      <c r="B2319">
        <v>867421254</v>
      </c>
      <c r="C2319" t="s">
        <v>356</v>
      </c>
      <c r="D2319" t="s">
        <v>356</v>
      </c>
      <c r="E2319" t="s">
        <v>60</v>
      </c>
      <c r="F2319" t="s">
        <v>136</v>
      </c>
      <c r="I2319" t="s">
        <v>39</v>
      </c>
      <c r="J2319" t="s">
        <v>40</v>
      </c>
      <c r="K2319" t="s">
        <v>41</v>
      </c>
      <c r="L2319" t="s">
        <v>173</v>
      </c>
      <c r="N2319" t="s">
        <v>43</v>
      </c>
      <c r="O2319" t="s">
        <v>310</v>
      </c>
      <c r="P2319">
        <v>351</v>
      </c>
      <c r="Q2319">
        <v>351</v>
      </c>
      <c r="S2319" t="s">
        <v>39</v>
      </c>
      <c r="V2319" t="s">
        <v>39</v>
      </c>
      <c r="X2319">
        <v>22001</v>
      </c>
      <c r="Y2319" t="s">
        <v>47</v>
      </c>
      <c r="Z2319">
        <v>22</v>
      </c>
      <c r="AA2319">
        <v>424</v>
      </c>
      <c r="AB2319" t="s">
        <v>47</v>
      </c>
      <c r="AC2319">
        <v>0.42299999999999999</v>
      </c>
      <c r="AD2319">
        <v>853</v>
      </c>
      <c r="AE2319" t="s">
        <v>48</v>
      </c>
      <c r="AF2319">
        <v>0.85199999999999998</v>
      </c>
      <c r="AG2319">
        <v>945</v>
      </c>
      <c r="AH2319" t="s">
        <v>80</v>
      </c>
      <c r="AI2319">
        <v>0.94399999999999995</v>
      </c>
      <c r="AJ2319" t="s">
        <v>1155</v>
      </c>
    </row>
    <row r="2320" spans="1:36" x14ac:dyDescent="0.25">
      <c r="A2320" t="s">
        <v>353</v>
      </c>
      <c r="B2320">
        <v>870595049</v>
      </c>
      <c r="C2320" t="s">
        <v>354</v>
      </c>
      <c r="D2320" t="s">
        <v>354</v>
      </c>
      <c r="E2320" t="s">
        <v>99</v>
      </c>
      <c r="F2320" t="s">
        <v>107</v>
      </c>
      <c r="I2320" t="s">
        <v>39</v>
      </c>
      <c r="J2320" t="s">
        <v>40</v>
      </c>
      <c r="K2320" t="s">
        <v>41</v>
      </c>
      <c r="L2320" t="s">
        <v>173</v>
      </c>
      <c r="N2320" t="s">
        <v>43</v>
      </c>
      <c r="O2320" t="s">
        <v>108</v>
      </c>
      <c r="P2320">
        <v>351</v>
      </c>
      <c r="Q2320">
        <v>351</v>
      </c>
      <c r="R2320">
        <v>1</v>
      </c>
      <c r="S2320" t="s">
        <v>45</v>
      </c>
      <c r="T2320">
        <v>0</v>
      </c>
      <c r="U2320">
        <v>997</v>
      </c>
      <c r="V2320" t="s">
        <v>46</v>
      </c>
      <c r="W2320">
        <v>0.996</v>
      </c>
      <c r="X2320">
        <v>26001</v>
      </c>
      <c r="Y2320" t="s">
        <v>47</v>
      </c>
      <c r="Z2320">
        <v>26</v>
      </c>
      <c r="AA2320">
        <v>612</v>
      </c>
      <c r="AB2320" t="s">
        <v>75</v>
      </c>
      <c r="AC2320">
        <v>0.61099999999999999</v>
      </c>
      <c r="AD2320">
        <v>865</v>
      </c>
      <c r="AE2320" t="s">
        <v>48</v>
      </c>
      <c r="AF2320">
        <v>0.86399999999999999</v>
      </c>
      <c r="AG2320">
        <v>974</v>
      </c>
      <c r="AH2320" t="s">
        <v>80</v>
      </c>
      <c r="AI2320">
        <v>0.97299999999999998</v>
      </c>
      <c r="AJ2320" t="s">
        <v>50</v>
      </c>
    </row>
    <row r="2321" spans="1:36" x14ac:dyDescent="0.25">
      <c r="A2321" t="s">
        <v>353</v>
      </c>
      <c r="B2321">
        <v>870595049</v>
      </c>
      <c r="C2321" t="s">
        <v>354</v>
      </c>
      <c r="D2321" t="s">
        <v>354</v>
      </c>
      <c r="E2321" t="s">
        <v>99</v>
      </c>
      <c r="F2321" t="s">
        <v>107</v>
      </c>
      <c r="I2321" t="s">
        <v>39</v>
      </c>
      <c r="J2321" t="s">
        <v>40</v>
      </c>
      <c r="K2321" t="s">
        <v>41</v>
      </c>
      <c r="L2321" t="s">
        <v>173</v>
      </c>
      <c r="N2321" t="s">
        <v>43</v>
      </c>
      <c r="O2321" t="s">
        <v>108</v>
      </c>
      <c r="P2321">
        <v>351</v>
      </c>
      <c r="Q2321">
        <v>351</v>
      </c>
      <c r="R2321">
        <v>1</v>
      </c>
      <c r="S2321" t="s">
        <v>45</v>
      </c>
      <c r="T2321">
        <v>0</v>
      </c>
      <c r="U2321">
        <v>1000</v>
      </c>
      <c r="V2321" t="s">
        <v>46</v>
      </c>
      <c r="W2321">
        <v>0.999</v>
      </c>
      <c r="X2321">
        <v>26001</v>
      </c>
      <c r="Y2321" t="s">
        <v>47</v>
      </c>
      <c r="Z2321">
        <v>26</v>
      </c>
      <c r="AA2321">
        <v>612</v>
      </c>
      <c r="AB2321" t="s">
        <v>75</v>
      </c>
      <c r="AC2321">
        <v>0.61099999999999999</v>
      </c>
      <c r="AD2321">
        <v>865</v>
      </c>
      <c r="AE2321" t="s">
        <v>48</v>
      </c>
      <c r="AF2321">
        <v>0.86399999999999999</v>
      </c>
      <c r="AG2321">
        <v>974</v>
      </c>
      <c r="AH2321" t="s">
        <v>80</v>
      </c>
      <c r="AI2321">
        <v>0.97299999999999998</v>
      </c>
      <c r="AJ2321" t="s">
        <v>1141</v>
      </c>
    </row>
    <row r="2322" spans="1:36" x14ac:dyDescent="0.25">
      <c r="A2322" t="s">
        <v>353</v>
      </c>
      <c r="B2322">
        <v>870595049</v>
      </c>
      <c r="C2322" t="s">
        <v>354</v>
      </c>
      <c r="D2322" t="s">
        <v>354</v>
      </c>
      <c r="E2322" t="s">
        <v>99</v>
      </c>
      <c r="F2322" t="s">
        <v>107</v>
      </c>
      <c r="I2322" t="s">
        <v>39</v>
      </c>
      <c r="J2322" t="s">
        <v>40</v>
      </c>
      <c r="K2322" t="s">
        <v>41</v>
      </c>
      <c r="L2322" t="s">
        <v>173</v>
      </c>
      <c r="N2322" t="s">
        <v>43</v>
      </c>
      <c r="O2322" t="s">
        <v>108</v>
      </c>
      <c r="P2322">
        <v>351</v>
      </c>
      <c r="Q2322">
        <v>351</v>
      </c>
      <c r="R2322">
        <v>1</v>
      </c>
      <c r="S2322" t="s">
        <v>45</v>
      </c>
      <c r="T2322">
        <v>0</v>
      </c>
      <c r="U2322">
        <v>997</v>
      </c>
      <c r="V2322" t="s">
        <v>46</v>
      </c>
      <c r="W2322">
        <v>0.996</v>
      </c>
      <c r="X2322">
        <v>26001</v>
      </c>
      <c r="Y2322" t="s">
        <v>47</v>
      </c>
      <c r="Z2322">
        <v>26</v>
      </c>
      <c r="AA2322">
        <v>612</v>
      </c>
      <c r="AB2322" t="s">
        <v>75</v>
      </c>
      <c r="AC2322">
        <v>0.61099999999999999</v>
      </c>
      <c r="AD2322">
        <v>865</v>
      </c>
      <c r="AE2322" t="s">
        <v>48</v>
      </c>
      <c r="AF2322">
        <v>0.86399999999999999</v>
      </c>
      <c r="AG2322">
        <v>974</v>
      </c>
      <c r="AH2322" t="s">
        <v>80</v>
      </c>
      <c r="AI2322">
        <v>0.97299999999999998</v>
      </c>
      <c r="AJ2322" t="s">
        <v>1153</v>
      </c>
    </row>
    <row r="2323" spans="1:36" x14ac:dyDescent="0.25">
      <c r="A2323" t="s">
        <v>353</v>
      </c>
      <c r="B2323">
        <v>870595049</v>
      </c>
      <c r="C2323" t="s">
        <v>354</v>
      </c>
      <c r="D2323" t="s">
        <v>354</v>
      </c>
      <c r="E2323" t="s">
        <v>99</v>
      </c>
      <c r="F2323" t="s">
        <v>107</v>
      </c>
      <c r="I2323" t="s">
        <v>39</v>
      </c>
      <c r="J2323" t="s">
        <v>40</v>
      </c>
      <c r="K2323" t="s">
        <v>41</v>
      </c>
      <c r="L2323" t="s">
        <v>173</v>
      </c>
      <c r="N2323" t="s">
        <v>43</v>
      </c>
      <c r="O2323" t="s">
        <v>108</v>
      </c>
      <c r="P2323">
        <v>351</v>
      </c>
      <c r="Q2323">
        <v>351</v>
      </c>
      <c r="R2323">
        <v>1</v>
      </c>
      <c r="S2323" t="s">
        <v>45</v>
      </c>
      <c r="T2323">
        <v>0</v>
      </c>
      <c r="U2323">
        <v>997</v>
      </c>
      <c r="V2323" t="s">
        <v>46</v>
      </c>
      <c r="W2323">
        <v>0.996</v>
      </c>
      <c r="X2323">
        <v>26001</v>
      </c>
      <c r="Y2323" t="s">
        <v>47</v>
      </c>
      <c r="Z2323">
        <v>26</v>
      </c>
      <c r="AA2323">
        <v>612</v>
      </c>
      <c r="AB2323" t="s">
        <v>75</v>
      </c>
      <c r="AC2323">
        <v>0.61099999999999999</v>
      </c>
      <c r="AD2323">
        <v>865</v>
      </c>
      <c r="AE2323" t="s">
        <v>48</v>
      </c>
      <c r="AF2323">
        <v>0.86399999999999999</v>
      </c>
      <c r="AG2323">
        <v>974</v>
      </c>
      <c r="AH2323" t="s">
        <v>80</v>
      </c>
      <c r="AI2323">
        <v>0.97299999999999998</v>
      </c>
      <c r="AJ2323" t="s">
        <v>1154</v>
      </c>
    </row>
    <row r="2324" spans="1:36" x14ac:dyDescent="0.25">
      <c r="A2324" t="s">
        <v>353</v>
      </c>
      <c r="B2324">
        <v>870595049</v>
      </c>
      <c r="C2324" t="s">
        <v>354</v>
      </c>
      <c r="D2324" t="s">
        <v>354</v>
      </c>
      <c r="E2324" t="s">
        <v>99</v>
      </c>
      <c r="F2324" t="s">
        <v>107</v>
      </c>
      <c r="I2324" t="s">
        <v>39</v>
      </c>
      <c r="J2324" t="s">
        <v>40</v>
      </c>
      <c r="K2324" t="s">
        <v>41</v>
      </c>
      <c r="L2324" t="s">
        <v>173</v>
      </c>
      <c r="N2324" t="s">
        <v>43</v>
      </c>
      <c r="O2324" t="s">
        <v>108</v>
      </c>
      <c r="P2324">
        <v>351</v>
      </c>
      <c r="Q2324">
        <v>351</v>
      </c>
      <c r="S2324" t="s">
        <v>39</v>
      </c>
      <c r="V2324" t="s">
        <v>39</v>
      </c>
      <c r="X2324">
        <v>26001</v>
      </c>
      <c r="Y2324" t="s">
        <v>47</v>
      </c>
      <c r="Z2324">
        <v>26</v>
      </c>
      <c r="AA2324">
        <v>612</v>
      </c>
      <c r="AB2324" t="s">
        <v>75</v>
      </c>
      <c r="AC2324">
        <v>0.61099999999999999</v>
      </c>
      <c r="AD2324">
        <v>865</v>
      </c>
      <c r="AE2324" t="s">
        <v>48</v>
      </c>
      <c r="AF2324">
        <v>0.86399999999999999</v>
      </c>
      <c r="AG2324">
        <v>974</v>
      </c>
      <c r="AH2324" t="s">
        <v>80</v>
      </c>
      <c r="AI2324">
        <v>0.97299999999999998</v>
      </c>
      <c r="AJ2324" t="s">
        <v>1155</v>
      </c>
    </row>
    <row r="2325" spans="1:36" x14ac:dyDescent="0.25">
      <c r="A2325" t="s">
        <v>351</v>
      </c>
      <c r="B2325">
        <v>856522535</v>
      </c>
      <c r="C2325" t="s">
        <v>352</v>
      </c>
      <c r="D2325" t="s">
        <v>352</v>
      </c>
      <c r="E2325" t="s">
        <v>37</v>
      </c>
      <c r="F2325" t="s">
        <v>71</v>
      </c>
      <c r="I2325" t="s">
        <v>39</v>
      </c>
      <c r="J2325" t="s">
        <v>40</v>
      </c>
      <c r="K2325" t="s">
        <v>41</v>
      </c>
      <c r="N2325" t="s">
        <v>43</v>
      </c>
      <c r="O2325" t="s">
        <v>236</v>
      </c>
      <c r="P2325">
        <v>353</v>
      </c>
      <c r="Q2325">
        <v>353</v>
      </c>
      <c r="R2325">
        <v>1</v>
      </c>
      <c r="S2325" t="s">
        <v>45</v>
      </c>
      <c r="T2325">
        <v>0</v>
      </c>
      <c r="U2325">
        <v>954</v>
      </c>
      <c r="V2325" t="s">
        <v>46</v>
      </c>
      <c r="W2325">
        <v>0.95299999999999996</v>
      </c>
      <c r="X2325">
        <v>18001</v>
      </c>
      <c r="Y2325" t="s">
        <v>47</v>
      </c>
      <c r="Z2325">
        <v>18</v>
      </c>
      <c r="AA2325">
        <v>444</v>
      </c>
      <c r="AB2325" t="s">
        <v>47</v>
      </c>
      <c r="AC2325">
        <v>0.443</v>
      </c>
      <c r="AD2325">
        <v>778</v>
      </c>
      <c r="AE2325" t="s">
        <v>48</v>
      </c>
      <c r="AF2325">
        <v>0.77700000000000002</v>
      </c>
      <c r="AG2325">
        <v>914</v>
      </c>
      <c r="AH2325" t="s">
        <v>49</v>
      </c>
      <c r="AI2325">
        <v>0.91300000000000003</v>
      </c>
      <c r="AJ2325" t="s">
        <v>50</v>
      </c>
    </row>
    <row r="2326" spans="1:36" x14ac:dyDescent="0.25">
      <c r="A2326" t="s">
        <v>351</v>
      </c>
      <c r="B2326">
        <v>856522535</v>
      </c>
      <c r="C2326" t="s">
        <v>352</v>
      </c>
      <c r="D2326" t="s">
        <v>352</v>
      </c>
      <c r="E2326" t="s">
        <v>37</v>
      </c>
      <c r="F2326" t="s">
        <v>71</v>
      </c>
      <c r="I2326" t="s">
        <v>39</v>
      </c>
      <c r="J2326" t="s">
        <v>40</v>
      </c>
      <c r="K2326" t="s">
        <v>41</v>
      </c>
      <c r="N2326" t="s">
        <v>43</v>
      </c>
      <c r="O2326" t="s">
        <v>236</v>
      </c>
      <c r="P2326">
        <v>353</v>
      </c>
      <c r="Q2326">
        <v>353</v>
      </c>
      <c r="R2326">
        <v>1</v>
      </c>
      <c r="S2326" t="s">
        <v>45</v>
      </c>
      <c r="T2326">
        <v>0</v>
      </c>
      <c r="U2326">
        <v>897</v>
      </c>
      <c r="V2326" t="s">
        <v>113</v>
      </c>
      <c r="W2326">
        <v>0.89600000000000002</v>
      </c>
      <c r="X2326">
        <v>18001</v>
      </c>
      <c r="Y2326" t="s">
        <v>47</v>
      </c>
      <c r="Z2326">
        <v>18</v>
      </c>
      <c r="AA2326">
        <v>444</v>
      </c>
      <c r="AB2326" t="s">
        <v>47</v>
      </c>
      <c r="AC2326">
        <v>0.443</v>
      </c>
      <c r="AD2326">
        <v>778</v>
      </c>
      <c r="AE2326" t="s">
        <v>48</v>
      </c>
      <c r="AF2326">
        <v>0.77700000000000002</v>
      </c>
      <c r="AG2326">
        <v>914</v>
      </c>
      <c r="AH2326" t="s">
        <v>49</v>
      </c>
      <c r="AI2326">
        <v>0.91300000000000003</v>
      </c>
      <c r="AJ2326" t="s">
        <v>1141</v>
      </c>
    </row>
    <row r="2327" spans="1:36" x14ac:dyDescent="0.25">
      <c r="A2327" t="s">
        <v>351</v>
      </c>
      <c r="B2327">
        <v>856522535</v>
      </c>
      <c r="C2327" t="s">
        <v>352</v>
      </c>
      <c r="D2327" t="s">
        <v>352</v>
      </c>
      <c r="E2327" t="s">
        <v>37</v>
      </c>
      <c r="F2327" t="s">
        <v>71</v>
      </c>
      <c r="I2327" t="s">
        <v>39</v>
      </c>
      <c r="J2327" t="s">
        <v>40</v>
      </c>
      <c r="K2327" t="s">
        <v>41</v>
      </c>
      <c r="N2327" t="s">
        <v>43</v>
      </c>
      <c r="O2327" t="s">
        <v>236</v>
      </c>
      <c r="P2327">
        <v>353</v>
      </c>
      <c r="Q2327">
        <v>353</v>
      </c>
      <c r="R2327">
        <v>1</v>
      </c>
      <c r="S2327" t="s">
        <v>45</v>
      </c>
      <c r="T2327">
        <v>0</v>
      </c>
      <c r="U2327">
        <v>954</v>
      </c>
      <c r="V2327" t="s">
        <v>46</v>
      </c>
      <c r="W2327">
        <v>0.95299999999999996</v>
      </c>
      <c r="X2327">
        <v>18001</v>
      </c>
      <c r="Y2327" t="s">
        <v>47</v>
      </c>
      <c r="Z2327">
        <v>18</v>
      </c>
      <c r="AA2327">
        <v>444</v>
      </c>
      <c r="AB2327" t="s">
        <v>47</v>
      </c>
      <c r="AC2327">
        <v>0.443</v>
      </c>
      <c r="AD2327">
        <v>778</v>
      </c>
      <c r="AE2327" t="s">
        <v>48</v>
      </c>
      <c r="AF2327">
        <v>0.77700000000000002</v>
      </c>
      <c r="AG2327">
        <v>914</v>
      </c>
      <c r="AH2327" t="s">
        <v>49</v>
      </c>
      <c r="AI2327">
        <v>0.91300000000000003</v>
      </c>
      <c r="AJ2327" t="s">
        <v>1153</v>
      </c>
    </row>
    <row r="2328" spans="1:36" x14ac:dyDescent="0.25">
      <c r="A2328" t="s">
        <v>351</v>
      </c>
      <c r="B2328">
        <v>856522535</v>
      </c>
      <c r="C2328" t="s">
        <v>352</v>
      </c>
      <c r="D2328" t="s">
        <v>352</v>
      </c>
      <c r="E2328" t="s">
        <v>37</v>
      </c>
      <c r="F2328" t="s">
        <v>71</v>
      </c>
      <c r="I2328" t="s">
        <v>39</v>
      </c>
      <c r="J2328" t="s">
        <v>40</v>
      </c>
      <c r="K2328" t="s">
        <v>41</v>
      </c>
      <c r="N2328" t="s">
        <v>43</v>
      </c>
      <c r="O2328" t="s">
        <v>236</v>
      </c>
      <c r="P2328">
        <v>353</v>
      </c>
      <c r="Q2328">
        <v>353</v>
      </c>
      <c r="R2328">
        <v>1</v>
      </c>
      <c r="S2328" t="s">
        <v>45</v>
      </c>
      <c r="T2328">
        <v>0</v>
      </c>
      <c r="U2328">
        <v>954</v>
      </c>
      <c r="V2328" t="s">
        <v>46</v>
      </c>
      <c r="W2328">
        <v>0.95299999999999996</v>
      </c>
      <c r="X2328">
        <v>18001</v>
      </c>
      <c r="Y2328" t="s">
        <v>47</v>
      </c>
      <c r="Z2328">
        <v>18</v>
      </c>
      <c r="AA2328">
        <v>444</v>
      </c>
      <c r="AB2328" t="s">
        <v>47</v>
      </c>
      <c r="AC2328">
        <v>0.443</v>
      </c>
      <c r="AD2328">
        <v>778</v>
      </c>
      <c r="AE2328" t="s">
        <v>48</v>
      </c>
      <c r="AF2328">
        <v>0.77700000000000002</v>
      </c>
      <c r="AG2328">
        <v>914</v>
      </c>
      <c r="AH2328" t="s">
        <v>49</v>
      </c>
      <c r="AI2328">
        <v>0.91300000000000003</v>
      </c>
      <c r="AJ2328" t="s">
        <v>1154</v>
      </c>
    </row>
    <row r="2329" spans="1:36" x14ac:dyDescent="0.25">
      <c r="A2329" t="s">
        <v>351</v>
      </c>
      <c r="B2329">
        <v>856522535</v>
      </c>
      <c r="C2329" t="s">
        <v>352</v>
      </c>
      <c r="D2329" t="s">
        <v>352</v>
      </c>
      <c r="E2329" t="s">
        <v>37</v>
      </c>
      <c r="F2329" t="s">
        <v>71</v>
      </c>
      <c r="I2329" t="s">
        <v>39</v>
      </c>
      <c r="J2329" t="s">
        <v>40</v>
      </c>
      <c r="K2329" t="s">
        <v>41</v>
      </c>
      <c r="N2329" t="s">
        <v>43</v>
      </c>
      <c r="O2329" t="s">
        <v>236</v>
      </c>
      <c r="P2329">
        <v>353</v>
      </c>
      <c r="Q2329">
        <v>353</v>
      </c>
      <c r="S2329" t="s">
        <v>39</v>
      </c>
      <c r="V2329" t="s">
        <v>39</v>
      </c>
      <c r="X2329">
        <v>18001</v>
      </c>
      <c r="Y2329" t="s">
        <v>47</v>
      </c>
      <c r="Z2329">
        <v>18</v>
      </c>
      <c r="AA2329">
        <v>444</v>
      </c>
      <c r="AB2329" t="s">
        <v>47</v>
      </c>
      <c r="AC2329">
        <v>0.443</v>
      </c>
      <c r="AD2329">
        <v>778</v>
      </c>
      <c r="AE2329" t="s">
        <v>48</v>
      </c>
      <c r="AF2329">
        <v>0.77700000000000002</v>
      </c>
      <c r="AG2329">
        <v>914</v>
      </c>
      <c r="AH2329" t="s">
        <v>49</v>
      </c>
      <c r="AI2329">
        <v>0.91300000000000003</v>
      </c>
      <c r="AJ2329" t="s">
        <v>1155</v>
      </c>
    </row>
    <row r="2330" spans="1:36" x14ac:dyDescent="0.25">
      <c r="A2330" t="s">
        <v>348</v>
      </c>
      <c r="B2330">
        <v>853257273</v>
      </c>
      <c r="C2330" t="s">
        <v>349</v>
      </c>
      <c r="D2330" t="s">
        <v>349</v>
      </c>
      <c r="E2330" t="s">
        <v>37</v>
      </c>
      <c r="F2330" t="s">
        <v>71</v>
      </c>
      <c r="I2330" t="s">
        <v>39</v>
      </c>
      <c r="J2330" t="s">
        <v>40</v>
      </c>
      <c r="K2330" t="s">
        <v>41</v>
      </c>
      <c r="L2330" t="s">
        <v>350</v>
      </c>
      <c r="M2330" t="s">
        <v>73</v>
      </c>
      <c r="N2330" t="s">
        <v>43</v>
      </c>
      <c r="O2330" t="s">
        <v>123</v>
      </c>
      <c r="P2330">
        <v>354</v>
      </c>
      <c r="Q2330">
        <v>354</v>
      </c>
      <c r="R2330">
        <v>1</v>
      </c>
      <c r="S2330" t="s">
        <v>45</v>
      </c>
      <c r="T2330">
        <v>0</v>
      </c>
      <c r="U2330">
        <v>945</v>
      </c>
      <c r="V2330" t="s">
        <v>46</v>
      </c>
      <c r="W2330">
        <v>0.94399999999999995</v>
      </c>
      <c r="X2330">
        <v>25001</v>
      </c>
      <c r="Y2330" t="s">
        <v>47</v>
      </c>
      <c r="Z2330">
        <v>25</v>
      </c>
      <c r="AA2330">
        <v>848</v>
      </c>
      <c r="AB2330" t="s">
        <v>75</v>
      </c>
      <c r="AC2330">
        <v>0.84699999999999998</v>
      </c>
      <c r="AD2330">
        <v>903</v>
      </c>
      <c r="AE2330" t="s">
        <v>48</v>
      </c>
      <c r="AF2330">
        <v>0.90200000000000002</v>
      </c>
      <c r="AG2330">
        <v>948</v>
      </c>
      <c r="AH2330" t="s">
        <v>80</v>
      </c>
      <c r="AI2330">
        <v>0.94699999999999995</v>
      </c>
      <c r="AJ2330" t="s">
        <v>50</v>
      </c>
    </row>
    <row r="2331" spans="1:36" x14ac:dyDescent="0.25">
      <c r="A2331" t="s">
        <v>348</v>
      </c>
      <c r="B2331">
        <v>853257273</v>
      </c>
      <c r="C2331" t="s">
        <v>349</v>
      </c>
      <c r="D2331" t="s">
        <v>349</v>
      </c>
      <c r="E2331" t="s">
        <v>37</v>
      </c>
      <c r="F2331" t="s">
        <v>71</v>
      </c>
      <c r="I2331" t="s">
        <v>39</v>
      </c>
      <c r="J2331" t="s">
        <v>40</v>
      </c>
      <c r="K2331" t="s">
        <v>41</v>
      </c>
      <c r="L2331" t="s">
        <v>350</v>
      </c>
      <c r="M2331" t="s">
        <v>73</v>
      </c>
      <c r="N2331" t="s">
        <v>43</v>
      </c>
      <c r="O2331" t="s">
        <v>123</v>
      </c>
      <c r="P2331">
        <v>354</v>
      </c>
      <c r="Q2331">
        <v>354</v>
      </c>
      <c r="R2331">
        <v>1</v>
      </c>
      <c r="S2331" t="s">
        <v>45</v>
      </c>
      <c r="T2331">
        <v>0</v>
      </c>
      <c r="U2331">
        <v>997</v>
      </c>
      <c r="V2331" t="s">
        <v>46</v>
      </c>
      <c r="W2331">
        <v>0.996</v>
      </c>
      <c r="X2331">
        <v>25001</v>
      </c>
      <c r="Y2331" t="s">
        <v>47</v>
      </c>
      <c r="Z2331">
        <v>25</v>
      </c>
      <c r="AA2331">
        <v>848</v>
      </c>
      <c r="AB2331" t="s">
        <v>75</v>
      </c>
      <c r="AC2331">
        <v>0.84699999999999998</v>
      </c>
      <c r="AD2331">
        <v>903</v>
      </c>
      <c r="AE2331" t="s">
        <v>48</v>
      </c>
      <c r="AF2331">
        <v>0.90200000000000002</v>
      </c>
      <c r="AG2331">
        <v>948</v>
      </c>
      <c r="AH2331" t="s">
        <v>80</v>
      </c>
      <c r="AI2331">
        <v>0.94699999999999995</v>
      </c>
      <c r="AJ2331" t="s">
        <v>1141</v>
      </c>
    </row>
    <row r="2332" spans="1:36" x14ac:dyDescent="0.25">
      <c r="A2332" t="s">
        <v>348</v>
      </c>
      <c r="B2332">
        <v>853257273</v>
      </c>
      <c r="C2332" t="s">
        <v>349</v>
      </c>
      <c r="D2332" t="s">
        <v>349</v>
      </c>
      <c r="E2332" t="s">
        <v>37</v>
      </c>
      <c r="F2332" t="s">
        <v>71</v>
      </c>
      <c r="I2332" t="s">
        <v>39</v>
      </c>
      <c r="J2332" t="s">
        <v>40</v>
      </c>
      <c r="K2332" t="s">
        <v>41</v>
      </c>
      <c r="L2332" t="s">
        <v>350</v>
      </c>
      <c r="M2332" t="s">
        <v>73</v>
      </c>
      <c r="N2332" t="s">
        <v>43</v>
      </c>
      <c r="O2332" t="s">
        <v>123</v>
      </c>
      <c r="P2332">
        <v>354</v>
      </c>
      <c r="Q2332">
        <v>354</v>
      </c>
      <c r="R2332">
        <v>1</v>
      </c>
      <c r="S2332" t="s">
        <v>45</v>
      </c>
      <c r="T2332">
        <v>0</v>
      </c>
      <c r="U2332">
        <v>945</v>
      </c>
      <c r="V2332" t="s">
        <v>46</v>
      </c>
      <c r="W2332">
        <v>0.94399999999999995</v>
      </c>
      <c r="X2332">
        <v>25001</v>
      </c>
      <c r="Y2332" t="s">
        <v>47</v>
      </c>
      <c r="Z2332">
        <v>25</v>
      </c>
      <c r="AA2332">
        <v>848</v>
      </c>
      <c r="AB2332" t="s">
        <v>75</v>
      </c>
      <c r="AC2332">
        <v>0.84699999999999998</v>
      </c>
      <c r="AD2332">
        <v>903</v>
      </c>
      <c r="AE2332" t="s">
        <v>48</v>
      </c>
      <c r="AF2332">
        <v>0.90200000000000002</v>
      </c>
      <c r="AG2332">
        <v>948</v>
      </c>
      <c r="AH2332" t="s">
        <v>80</v>
      </c>
      <c r="AI2332">
        <v>0.94699999999999995</v>
      </c>
      <c r="AJ2332" t="s">
        <v>1153</v>
      </c>
    </row>
    <row r="2333" spans="1:36" x14ac:dyDescent="0.25">
      <c r="A2333" t="s">
        <v>348</v>
      </c>
      <c r="B2333">
        <v>853257273</v>
      </c>
      <c r="C2333" t="s">
        <v>349</v>
      </c>
      <c r="D2333" t="s">
        <v>349</v>
      </c>
      <c r="E2333" t="s">
        <v>37</v>
      </c>
      <c r="F2333" t="s">
        <v>71</v>
      </c>
      <c r="I2333" t="s">
        <v>39</v>
      </c>
      <c r="J2333" t="s">
        <v>40</v>
      </c>
      <c r="K2333" t="s">
        <v>41</v>
      </c>
      <c r="L2333" t="s">
        <v>350</v>
      </c>
      <c r="M2333" t="s">
        <v>73</v>
      </c>
      <c r="N2333" t="s">
        <v>43</v>
      </c>
      <c r="O2333" t="s">
        <v>123</v>
      </c>
      <c r="P2333">
        <v>354</v>
      </c>
      <c r="Q2333">
        <v>354</v>
      </c>
      <c r="R2333">
        <v>1</v>
      </c>
      <c r="S2333" t="s">
        <v>45</v>
      </c>
      <c r="T2333">
        <v>0</v>
      </c>
      <c r="U2333">
        <v>945</v>
      </c>
      <c r="V2333" t="s">
        <v>46</v>
      </c>
      <c r="W2333">
        <v>0.94399999999999995</v>
      </c>
      <c r="X2333">
        <v>25001</v>
      </c>
      <c r="Y2333" t="s">
        <v>47</v>
      </c>
      <c r="Z2333">
        <v>25</v>
      </c>
      <c r="AA2333">
        <v>848</v>
      </c>
      <c r="AB2333" t="s">
        <v>75</v>
      </c>
      <c r="AC2333">
        <v>0.84699999999999998</v>
      </c>
      <c r="AD2333">
        <v>903</v>
      </c>
      <c r="AE2333" t="s">
        <v>48</v>
      </c>
      <c r="AF2333">
        <v>0.90200000000000002</v>
      </c>
      <c r="AG2333">
        <v>948</v>
      </c>
      <c r="AH2333" t="s">
        <v>80</v>
      </c>
      <c r="AI2333">
        <v>0.94699999999999995</v>
      </c>
      <c r="AJ2333" t="s">
        <v>1154</v>
      </c>
    </row>
    <row r="2334" spans="1:36" x14ac:dyDescent="0.25">
      <c r="A2334" t="s">
        <v>348</v>
      </c>
      <c r="B2334">
        <v>853257273</v>
      </c>
      <c r="C2334" t="s">
        <v>349</v>
      </c>
      <c r="D2334" t="s">
        <v>349</v>
      </c>
      <c r="E2334" t="s">
        <v>37</v>
      </c>
      <c r="F2334" t="s">
        <v>71</v>
      </c>
      <c r="I2334" t="s">
        <v>39</v>
      </c>
      <c r="J2334" t="s">
        <v>40</v>
      </c>
      <c r="K2334" t="s">
        <v>41</v>
      </c>
      <c r="L2334" t="s">
        <v>350</v>
      </c>
      <c r="M2334" t="s">
        <v>73</v>
      </c>
      <c r="N2334" t="s">
        <v>43</v>
      </c>
      <c r="O2334" t="s">
        <v>123</v>
      </c>
      <c r="P2334">
        <v>354</v>
      </c>
      <c r="Q2334">
        <v>354</v>
      </c>
      <c r="S2334" t="s">
        <v>39</v>
      </c>
      <c r="V2334" t="s">
        <v>39</v>
      </c>
      <c r="X2334">
        <v>25001</v>
      </c>
      <c r="Y2334" t="s">
        <v>47</v>
      </c>
      <c r="Z2334">
        <v>25</v>
      </c>
      <c r="AA2334">
        <v>848</v>
      </c>
      <c r="AB2334" t="s">
        <v>75</v>
      </c>
      <c r="AC2334">
        <v>0.84699999999999998</v>
      </c>
      <c r="AD2334">
        <v>903</v>
      </c>
      <c r="AE2334" t="s">
        <v>48</v>
      </c>
      <c r="AF2334">
        <v>0.90200000000000002</v>
      </c>
      <c r="AG2334">
        <v>948</v>
      </c>
      <c r="AH2334" t="s">
        <v>80</v>
      </c>
      <c r="AI2334">
        <v>0.94699999999999995</v>
      </c>
      <c r="AJ2334" t="s">
        <v>1155</v>
      </c>
    </row>
    <row r="2335" spans="1:36" x14ac:dyDescent="0.25">
      <c r="A2335" t="s">
        <v>346</v>
      </c>
      <c r="B2335">
        <v>856508563</v>
      </c>
      <c r="C2335" t="s">
        <v>347</v>
      </c>
      <c r="D2335" t="s">
        <v>347</v>
      </c>
      <c r="E2335" t="s">
        <v>99</v>
      </c>
      <c r="F2335" t="s">
        <v>143</v>
      </c>
      <c r="I2335" t="s">
        <v>39</v>
      </c>
      <c r="J2335" t="s">
        <v>40</v>
      </c>
      <c r="K2335" t="s">
        <v>41</v>
      </c>
      <c r="L2335" t="s">
        <v>72</v>
      </c>
      <c r="M2335" t="s">
        <v>47</v>
      </c>
      <c r="N2335" t="s">
        <v>344</v>
      </c>
      <c r="O2335" t="s">
        <v>132</v>
      </c>
      <c r="P2335">
        <v>355</v>
      </c>
      <c r="Q2335">
        <v>355</v>
      </c>
      <c r="R2335">
        <v>81</v>
      </c>
      <c r="S2335" t="s">
        <v>56</v>
      </c>
      <c r="T2335">
        <v>0.08</v>
      </c>
      <c r="U2335">
        <v>320</v>
      </c>
      <c r="V2335" t="s">
        <v>55</v>
      </c>
      <c r="W2335">
        <v>0.31900000000000001</v>
      </c>
      <c r="X2335">
        <v>23001</v>
      </c>
      <c r="Y2335" t="s">
        <v>47</v>
      </c>
      <c r="Z2335">
        <v>23</v>
      </c>
      <c r="AA2335">
        <v>517</v>
      </c>
      <c r="AB2335" t="s">
        <v>75</v>
      </c>
      <c r="AC2335">
        <v>0.51600000000000001</v>
      </c>
      <c r="AD2335">
        <v>714</v>
      </c>
      <c r="AE2335" t="s">
        <v>48</v>
      </c>
      <c r="AF2335">
        <v>0.71299999999999997</v>
      </c>
      <c r="AG2335">
        <v>752</v>
      </c>
      <c r="AH2335" t="s">
        <v>49</v>
      </c>
      <c r="AI2335">
        <v>0.751</v>
      </c>
      <c r="AJ2335" t="s">
        <v>50</v>
      </c>
    </row>
    <row r="2336" spans="1:36" x14ac:dyDescent="0.25">
      <c r="A2336" t="s">
        <v>346</v>
      </c>
      <c r="B2336">
        <v>856508563</v>
      </c>
      <c r="C2336" t="s">
        <v>347</v>
      </c>
      <c r="D2336" t="s">
        <v>347</v>
      </c>
      <c r="E2336" t="s">
        <v>99</v>
      </c>
      <c r="F2336" t="s">
        <v>143</v>
      </c>
      <c r="I2336" t="s">
        <v>39</v>
      </c>
      <c r="J2336" t="s">
        <v>40</v>
      </c>
      <c r="K2336" t="s">
        <v>41</v>
      </c>
      <c r="L2336" t="s">
        <v>72</v>
      </c>
      <c r="M2336" t="s">
        <v>47</v>
      </c>
      <c r="N2336" t="s">
        <v>43</v>
      </c>
      <c r="O2336" t="s">
        <v>132</v>
      </c>
      <c r="P2336">
        <v>355</v>
      </c>
      <c r="Q2336">
        <v>355</v>
      </c>
      <c r="R2336">
        <v>41</v>
      </c>
      <c r="S2336" t="s">
        <v>45</v>
      </c>
      <c r="T2336">
        <v>0.04</v>
      </c>
      <c r="U2336">
        <v>334</v>
      </c>
      <c r="V2336" t="s">
        <v>55</v>
      </c>
      <c r="W2336">
        <v>0.33300000000000002</v>
      </c>
      <c r="X2336">
        <v>23001</v>
      </c>
      <c r="Y2336" t="s">
        <v>47</v>
      </c>
      <c r="Z2336">
        <v>23</v>
      </c>
      <c r="AA2336">
        <v>517</v>
      </c>
      <c r="AB2336" t="s">
        <v>75</v>
      </c>
      <c r="AC2336">
        <v>0.51600000000000001</v>
      </c>
      <c r="AD2336">
        <v>714</v>
      </c>
      <c r="AE2336" t="s">
        <v>48</v>
      </c>
      <c r="AF2336">
        <v>0.71299999999999997</v>
      </c>
      <c r="AG2336">
        <v>752</v>
      </c>
      <c r="AH2336" t="s">
        <v>49</v>
      </c>
      <c r="AI2336">
        <v>0.751</v>
      </c>
      <c r="AJ2336" t="s">
        <v>1141</v>
      </c>
    </row>
    <row r="2337" spans="1:36" x14ac:dyDescent="0.25">
      <c r="A2337" t="s">
        <v>346</v>
      </c>
      <c r="B2337">
        <v>856508563</v>
      </c>
      <c r="C2337" t="s">
        <v>347</v>
      </c>
      <c r="D2337" t="s">
        <v>347</v>
      </c>
      <c r="E2337" t="s">
        <v>99</v>
      </c>
      <c r="F2337" t="s">
        <v>143</v>
      </c>
      <c r="I2337" t="s">
        <v>39</v>
      </c>
      <c r="J2337" t="s">
        <v>40</v>
      </c>
      <c r="K2337" t="s">
        <v>41</v>
      </c>
      <c r="L2337" t="s">
        <v>72</v>
      </c>
      <c r="M2337" t="s">
        <v>47</v>
      </c>
      <c r="N2337" t="s">
        <v>344</v>
      </c>
      <c r="O2337" t="s">
        <v>132</v>
      </c>
      <c r="P2337">
        <v>355</v>
      </c>
      <c r="Q2337">
        <v>355</v>
      </c>
      <c r="R2337">
        <v>81</v>
      </c>
      <c r="S2337" t="s">
        <v>56</v>
      </c>
      <c r="T2337">
        <v>0.08</v>
      </c>
      <c r="U2337">
        <v>320</v>
      </c>
      <c r="V2337" t="s">
        <v>55</v>
      </c>
      <c r="W2337">
        <v>0.31900000000000001</v>
      </c>
      <c r="X2337">
        <v>23001</v>
      </c>
      <c r="Y2337" t="s">
        <v>47</v>
      </c>
      <c r="Z2337">
        <v>23</v>
      </c>
      <c r="AA2337">
        <v>517</v>
      </c>
      <c r="AB2337" t="s">
        <v>75</v>
      </c>
      <c r="AC2337">
        <v>0.51600000000000001</v>
      </c>
      <c r="AD2337">
        <v>714</v>
      </c>
      <c r="AE2337" t="s">
        <v>48</v>
      </c>
      <c r="AF2337">
        <v>0.71299999999999997</v>
      </c>
      <c r="AG2337">
        <v>752</v>
      </c>
      <c r="AH2337" t="s">
        <v>49</v>
      </c>
      <c r="AI2337">
        <v>0.751</v>
      </c>
      <c r="AJ2337" t="s">
        <v>1153</v>
      </c>
    </row>
    <row r="2338" spans="1:36" x14ac:dyDescent="0.25">
      <c r="A2338" t="s">
        <v>346</v>
      </c>
      <c r="B2338">
        <v>856508563</v>
      </c>
      <c r="C2338" t="s">
        <v>347</v>
      </c>
      <c r="D2338" t="s">
        <v>347</v>
      </c>
      <c r="E2338" t="s">
        <v>99</v>
      </c>
      <c r="F2338" t="s">
        <v>143</v>
      </c>
      <c r="I2338" t="s">
        <v>39</v>
      </c>
      <c r="J2338" t="s">
        <v>40</v>
      </c>
      <c r="K2338" t="s">
        <v>41</v>
      </c>
      <c r="L2338" t="s">
        <v>72</v>
      </c>
      <c r="M2338" t="s">
        <v>47</v>
      </c>
      <c r="N2338" t="s">
        <v>344</v>
      </c>
      <c r="O2338" t="s">
        <v>132</v>
      </c>
      <c r="P2338">
        <v>355</v>
      </c>
      <c r="Q2338">
        <v>355</v>
      </c>
      <c r="R2338">
        <v>81</v>
      </c>
      <c r="S2338" t="s">
        <v>56</v>
      </c>
      <c r="T2338">
        <v>0.08</v>
      </c>
      <c r="U2338">
        <v>320</v>
      </c>
      <c r="V2338" t="s">
        <v>55</v>
      </c>
      <c r="W2338">
        <v>0.31900000000000001</v>
      </c>
      <c r="X2338">
        <v>23001</v>
      </c>
      <c r="Y2338" t="s">
        <v>47</v>
      </c>
      <c r="Z2338">
        <v>23</v>
      </c>
      <c r="AA2338">
        <v>517</v>
      </c>
      <c r="AB2338" t="s">
        <v>75</v>
      </c>
      <c r="AC2338">
        <v>0.51600000000000001</v>
      </c>
      <c r="AD2338">
        <v>714</v>
      </c>
      <c r="AE2338" t="s">
        <v>48</v>
      </c>
      <c r="AF2338">
        <v>0.71299999999999997</v>
      </c>
      <c r="AG2338">
        <v>752</v>
      </c>
      <c r="AH2338" t="s">
        <v>49</v>
      </c>
      <c r="AI2338">
        <v>0.751</v>
      </c>
      <c r="AJ2338" t="s">
        <v>1154</v>
      </c>
    </row>
    <row r="2339" spans="1:36" x14ac:dyDescent="0.25">
      <c r="A2339" t="s">
        <v>346</v>
      </c>
      <c r="B2339">
        <v>856508563</v>
      </c>
      <c r="C2339" t="s">
        <v>347</v>
      </c>
      <c r="D2339" t="s">
        <v>347</v>
      </c>
      <c r="E2339" t="s">
        <v>99</v>
      </c>
      <c r="F2339" t="s">
        <v>143</v>
      </c>
      <c r="I2339" t="s">
        <v>39</v>
      </c>
      <c r="J2339" t="s">
        <v>40</v>
      </c>
      <c r="K2339" t="s">
        <v>41</v>
      </c>
      <c r="L2339" t="s">
        <v>72</v>
      </c>
      <c r="M2339" t="s">
        <v>47</v>
      </c>
      <c r="N2339" t="s">
        <v>344</v>
      </c>
      <c r="O2339" t="s">
        <v>132</v>
      </c>
      <c r="P2339">
        <v>355</v>
      </c>
      <c r="Q2339">
        <v>355</v>
      </c>
      <c r="S2339" t="s">
        <v>39</v>
      </c>
      <c r="V2339" t="s">
        <v>39</v>
      </c>
      <c r="X2339">
        <v>23001</v>
      </c>
      <c r="Y2339" t="s">
        <v>47</v>
      </c>
      <c r="Z2339">
        <v>23</v>
      </c>
      <c r="AA2339">
        <v>517</v>
      </c>
      <c r="AB2339" t="s">
        <v>75</v>
      </c>
      <c r="AC2339">
        <v>0.51600000000000001</v>
      </c>
      <c r="AD2339">
        <v>714</v>
      </c>
      <c r="AE2339" t="s">
        <v>48</v>
      </c>
      <c r="AF2339">
        <v>0.71299999999999997</v>
      </c>
      <c r="AG2339">
        <v>752</v>
      </c>
      <c r="AH2339" t="s">
        <v>49</v>
      </c>
      <c r="AI2339">
        <v>0.751</v>
      </c>
      <c r="AJ2339" t="s">
        <v>1155</v>
      </c>
    </row>
    <row r="2340" spans="1:36" x14ac:dyDescent="0.25">
      <c r="A2340" t="s">
        <v>321</v>
      </c>
      <c r="B2340">
        <v>851668049</v>
      </c>
      <c r="C2340" t="s">
        <v>322</v>
      </c>
      <c r="D2340" t="s">
        <v>322</v>
      </c>
      <c r="E2340" t="s">
        <v>37</v>
      </c>
      <c r="F2340" t="s">
        <v>291</v>
      </c>
      <c r="I2340" t="s">
        <v>39</v>
      </c>
      <c r="J2340" t="s">
        <v>40</v>
      </c>
      <c r="K2340" t="s">
        <v>41</v>
      </c>
      <c r="L2340" t="s">
        <v>131</v>
      </c>
      <c r="M2340" t="s">
        <v>323</v>
      </c>
      <c r="N2340" t="s">
        <v>344</v>
      </c>
      <c r="O2340" t="s">
        <v>324</v>
      </c>
      <c r="P2340">
        <v>356</v>
      </c>
      <c r="Q2340">
        <v>356</v>
      </c>
      <c r="S2340" t="s">
        <v>39</v>
      </c>
      <c r="V2340" t="s">
        <v>39</v>
      </c>
      <c r="X2340">
        <v>26001</v>
      </c>
      <c r="Y2340" t="s">
        <v>47</v>
      </c>
      <c r="Z2340">
        <v>26</v>
      </c>
      <c r="AA2340">
        <v>691</v>
      </c>
      <c r="AB2340" t="s">
        <v>75</v>
      </c>
      <c r="AC2340">
        <v>0.69</v>
      </c>
      <c r="AD2340">
        <v>744</v>
      </c>
      <c r="AE2340" t="s">
        <v>48</v>
      </c>
      <c r="AF2340">
        <v>0.74299999999999999</v>
      </c>
      <c r="AG2340">
        <v>521</v>
      </c>
      <c r="AH2340" t="s">
        <v>57</v>
      </c>
      <c r="AI2340">
        <v>0.52</v>
      </c>
      <c r="AJ2340" t="s">
        <v>1155</v>
      </c>
    </row>
    <row r="2341" spans="1:36" x14ac:dyDescent="0.25">
      <c r="A2341" t="s">
        <v>321</v>
      </c>
      <c r="B2341">
        <v>851668049</v>
      </c>
      <c r="C2341" t="s">
        <v>322</v>
      </c>
      <c r="D2341" t="s">
        <v>322</v>
      </c>
      <c r="E2341" t="s">
        <v>65</v>
      </c>
      <c r="F2341" t="s">
        <v>291</v>
      </c>
      <c r="I2341" t="s">
        <v>39</v>
      </c>
      <c r="J2341" t="s">
        <v>40</v>
      </c>
      <c r="K2341" t="s">
        <v>41</v>
      </c>
      <c r="L2341" t="s">
        <v>131</v>
      </c>
      <c r="M2341" t="s">
        <v>323</v>
      </c>
      <c r="N2341" t="s">
        <v>344</v>
      </c>
      <c r="O2341" t="s">
        <v>325</v>
      </c>
      <c r="P2341">
        <v>356</v>
      </c>
      <c r="Q2341">
        <v>356</v>
      </c>
      <c r="S2341" t="s">
        <v>39</v>
      </c>
      <c r="V2341" t="s">
        <v>39</v>
      </c>
      <c r="X2341">
        <v>28001</v>
      </c>
      <c r="Y2341" t="s">
        <v>47</v>
      </c>
      <c r="Z2341">
        <v>28</v>
      </c>
      <c r="AA2341">
        <v>855</v>
      </c>
      <c r="AB2341" t="s">
        <v>75</v>
      </c>
      <c r="AC2341">
        <v>0.85399999999999998</v>
      </c>
      <c r="AD2341">
        <v>883</v>
      </c>
      <c r="AE2341" t="s">
        <v>48</v>
      </c>
      <c r="AF2341">
        <v>0.88200000000000001</v>
      </c>
      <c r="AG2341">
        <v>963</v>
      </c>
      <c r="AH2341" t="s">
        <v>80</v>
      </c>
      <c r="AI2341">
        <v>0.96199999999999997</v>
      </c>
      <c r="AJ2341" t="s">
        <v>1155</v>
      </c>
    </row>
    <row r="2342" spans="1:36" x14ac:dyDescent="0.25">
      <c r="A2342" t="s">
        <v>321</v>
      </c>
      <c r="B2342">
        <v>851668049</v>
      </c>
      <c r="C2342" t="s">
        <v>322</v>
      </c>
      <c r="D2342" t="s">
        <v>322</v>
      </c>
      <c r="E2342" t="s">
        <v>60</v>
      </c>
      <c r="F2342" t="s">
        <v>291</v>
      </c>
      <c r="I2342" t="s">
        <v>39</v>
      </c>
      <c r="J2342" t="s">
        <v>40</v>
      </c>
      <c r="K2342" t="s">
        <v>41</v>
      </c>
      <c r="L2342" t="s">
        <v>131</v>
      </c>
      <c r="M2342" t="s">
        <v>323</v>
      </c>
      <c r="N2342" t="s">
        <v>344</v>
      </c>
      <c r="O2342" t="s">
        <v>229</v>
      </c>
      <c r="P2342">
        <v>356</v>
      </c>
      <c r="Q2342">
        <v>356</v>
      </c>
      <c r="S2342" t="s">
        <v>39</v>
      </c>
      <c r="V2342" t="s">
        <v>39</v>
      </c>
      <c r="X2342">
        <v>26001</v>
      </c>
      <c r="Y2342" t="s">
        <v>47</v>
      </c>
      <c r="Z2342">
        <v>26</v>
      </c>
      <c r="AA2342">
        <v>781</v>
      </c>
      <c r="AB2342" t="s">
        <v>75</v>
      </c>
      <c r="AC2342">
        <v>0.78</v>
      </c>
      <c r="AD2342">
        <v>777</v>
      </c>
      <c r="AE2342" t="s">
        <v>48</v>
      </c>
      <c r="AF2342">
        <v>0.77600000000000002</v>
      </c>
      <c r="AG2342">
        <v>773</v>
      </c>
      <c r="AH2342" t="s">
        <v>49</v>
      </c>
      <c r="AI2342">
        <v>0.77200000000000002</v>
      </c>
      <c r="AJ2342" t="s">
        <v>1155</v>
      </c>
    </row>
    <row r="2343" spans="1:36" x14ac:dyDescent="0.25">
      <c r="A2343" t="s">
        <v>342</v>
      </c>
      <c r="B2343">
        <v>881461802</v>
      </c>
      <c r="C2343" t="s">
        <v>343</v>
      </c>
      <c r="D2343" t="s">
        <v>343</v>
      </c>
      <c r="E2343" t="s">
        <v>65</v>
      </c>
      <c r="F2343" t="s">
        <v>166</v>
      </c>
      <c r="I2343" t="s">
        <v>39</v>
      </c>
      <c r="J2343" t="s">
        <v>40</v>
      </c>
      <c r="K2343" t="s">
        <v>41</v>
      </c>
      <c r="L2343" t="s">
        <v>42</v>
      </c>
      <c r="N2343" t="s">
        <v>344</v>
      </c>
      <c r="O2343" t="s">
        <v>325</v>
      </c>
      <c r="P2343">
        <v>356</v>
      </c>
      <c r="Q2343">
        <v>356</v>
      </c>
      <c r="R2343">
        <v>1</v>
      </c>
      <c r="S2343" t="s">
        <v>45</v>
      </c>
      <c r="T2343">
        <v>0</v>
      </c>
      <c r="U2343">
        <v>995</v>
      </c>
      <c r="V2343" t="s">
        <v>46</v>
      </c>
      <c r="W2343">
        <v>0.99399999999999999</v>
      </c>
      <c r="X2343">
        <v>32001</v>
      </c>
      <c r="Y2343" t="s">
        <v>345</v>
      </c>
      <c r="Z2343">
        <v>32</v>
      </c>
      <c r="AA2343">
        <v>713</v>
      </c>
      <c r="AB2343" t="s">
        <v>75</v>
      </c>
      <c r="AC2343">
        <v>0.71199999999999997</v>
      </c>
      <c r="AD2343">
        <v>789</v>
      </c>
      <c r="AE2343" t="s">
        <v>48</v>
      </c>
      <c r="AF2343">
        <v>0.78800000000000003</v>
      </c>
      <c r="AG2343">
        <v>950</v>
      </c>
      <c r="AH2343" t="s">
        <v>80</v>
      </c>
      <c r="AI2343">
        <v>0.94899999999999995</v>
      </c>
      <c r="AJ2343" t="s">
        <v>50</v>
      </c>
    </row>
    <row r="2344" spans="1:36" x14ac:dyDescent="0.25">
      <c r="A2344" t="s">
        <v>342</v>
      </c>
      <c r="B2344">
        <v>881461802</v>
      </c>
      <c r="C2344" t="s">
        <v>343</v>
      </c>
      <c r="D2344" t="s">
        <v>343</v>
      </c>
      <c r="E2344" t="s">
        <v>65</v>
      </c>
      <c r="F2344" t="s">
        <v>166</v>
      </c>
      <c r="I2344" t="s">
        <v>39</v>
      </c>
      <c r="J2344" t="s">
        <v>40</v>
      </c>
      <c r="K2344" t="s">
        <v>41</v>
      </c>
      <c r="L2344" t="s">
        <v>42</v>
      </c>
      <c r="N2344" t="s">
        <v>344</v>
      </c>
      <c r="O2344" t="s">
        <v>325</v>
      </c>
      <c r="P2344">
        <v>356</v>
      </c>
      <c r="Q2344">
        <v>356</v>
      </c>
      <c r="R2344">
        <v>1</v>
      </c>
      <c r="S2344" t="s">
        <v>45</v>
      </c>
      <c r="T2344">
        <v>0</v>
      </c>
      <c r="U2344">
        <v>995</v>
      </c>
      <c r="V2344" t="s">
        <v>46</v>
      </c>
      <c r="W2344">
        <v>0.99399999999999999</v>
      </c>
      <c r="X2344">
        <v>32001</v>
      </c>
      <c r="Y2344" t="s">
        <v>345</v>
      </c>
      <c r="Z2344">
        <v>32</v>
      </c>
      <c r="AA2344">
        <v>713</v>
      </c>
      <c r="AB2344" t="s">
        <v>75</v>
      </c>
      <c r="AC2344">
        <v>0.71199999999999997</v>
      </c>
      <c r="AD2344">
        <v>789</v>
      </c>
      <c r="AE2344" t="s">
        <v>48</v>
      </c>
      <c r="AF2344">
        <v>0.78800000000000003</v>
      </c>
      <c r="AG2344">
        <v>950</v>
      </c>
      <c r="AH2344" t="s">
        <v>80</v>
      </c>
      <c r="AI2344">
        <v>0.94899999999999995</v>
      </c>
      <c r="AJ2344" t="s">
        <v>1153</v>
      </c>
    </row>
    <row r="2345" spans="1:36" x14ac:dyDescent="0.25">
      <c r="A2345" t="s">
        <v>342</v>
      </c>
      <c r="B2345">
        <v>881461802</v>
      </c>
      <c r="C2345" t="s">
        <v>343</v>
      </c>
      <c r="D2345" t="s">
        <v>343</v>
      </c>
      <c r="E2345" t="s">
        <v>65</v>
      </c>
      <c r="F2345" t="s">
        <v>166</v>
      </c>
      <c r="I2345" t="s">
        <v>39</v>
      </c>
      <c r="J2345" t="s">
        <v>40</v>
      </c>
      <c r="K2345" t="s">
        <v>41</v>
      </c>
      <c r="L2345" t="s">
        <v>42</v>
      </c>
      <c r="N2345" t="s">
        <v>344</v>
      </c>
      <c r="O2345" t="s">
        <v>325</v>
      </c>
      <c r="P2345">
        <v>356</v>
      </c>
      <c r="Q2345">
        <v>356</v>
      </c>
      <c r="R2345">
        <v>1</v>
      </c>
      <c r="S2345" t="s">
        <v>45</v>
      </c>
      <c r="T2345">
        <v>0</v>
      </c>
      <c r="U2345">
        <v>995</v>
      </c>
      <c r="V2345" t="s">
        <v>46</v>
      </c>
      <c r="W2345">
        <v>0.99399999999999999</v>
      </c>
      <c r="X2345">
        <v>32001</v>
      </c>
      <c r="Y2345" t="s">
        <v>345</v>
      </c>
      <c r="Z2345">
        <v>32</v>
      </c>
      <c r="AA2345">
        <v>713</v>
      </c>
      <c r="AB2345" t="s">
        <v>75</v>
      </c>
      <c r="AC2345">
        <v>0.71199999999999997</v>
      </c>
      <c r="AD2345">
        <v>789</v>
      </c>
      <c r="AE2345" t="s">
        <v>48</v>
      </c>
      <c r="AF2345">
        <v>0.78800000000000003</v>
      </c>
      <c r="AG2345">
        <v>950</v>
      </c>
      <c r="AH2345" t="s">
        <v>80</v>
      </c>
      <c r="AI2345">
        <v>0.94899999999999995</v>
      </c>
      <c r="AJ2345" t="s">
        <v>1154</v>
      </c>
    </row>
    <row r="2346" spans="1:36" x14ac:dyDescent="0.25">
      <c r="A2346" t="s">
        <v>318</v>
      </c>
      <c r="B2346">
        <v>855858936</v>
      </c>
      <c r="C2346" t="s">
        <v>319</v>
      </c>
      <c r="D2346" t="s">
        <v>319</v>
      </c>
      <c r="E2346" t="s">
        <v>60</v>
      </c>
      <c r="F2346" t="s">
        <v>61</v>
      </c>
      <c r="I2346" t="s">
        <v>39</v>
      </c>
      <c r="J2346" t="s">
        <v>40</v>
      </c>
      <c r="K2346" t="s">
        <v>41</v>
      </c>
      <c r="L2346" t="s">
        <v>320</v>
      </c>
      <c r="N2346" t="s">
        <v>344</v>
      </c>
      <c r="O2346" t="s">
        <v>226</v>
      </c>
      <c r="P2346">
        <v>356</v>
      </c>
      <c r="Q2346">
        <v>356</v>
      </c>
      <c r="S2346" t="s">
        <v>39</v>
      </c>
      <c r="V2346" t="s">
        <v>39</v>
      </c>
      <c r="X2346">
        <v>28001</v>
      </c>
      <c r="Y2346" t="s">
        <v>47</v>
      </c>
      <c r="Z2346">
        <v>28</v>
      </c>
      <c r="AA2346">
        <v>789</v>
      </c>
      <c r="AB2346" t="s">
        <v>75</v>
      </c>
      <c r="AC2346">
        <v>0.78800000000000003</v>
      </c>
      <c r="AD2346">
        <v>863</v>
      </c>
      <c r="AE2346" t="s">
        <v>48</v>
      </c>
      <c r="AF2346">
        <v>0.86199999999999999</v>
      </c>
      <c r="AG2346">
        <v>989</v>
      </c>
      <c r="AH2346" t="s">
        <v>80</v>
      </c>
      <c r="AI2346">
        <v>0.98799999999999999</v>
      </c>
      <c r="AJ2346" t="s">
        <v>1155</v>
      </c>
    </row>
    <row r="2347" spans="1:36" x14ac:dyDescent="0.25">
      <c r="A2347" t="s">
        <v>1151</v>
      </c>
      <c r="B2347">
        <v>856447147</v>
      </c>
      <c r="C2347" t="s">
        <v>1152</v>
      </c>
      <c r="D2347" t="s">
        <v>1152</v>
      </c>
      <c r="E2347" t="s">
        <v>60</v>
      </c>
      <c r="F2347" t="s">
        <v>88</v>
      </c>
      <c r="I2347" t="s">
        <v>39</v>
      </c>
      <c r="J2347" t="s">
        <v>40</v>
      </c>
      <c r="K2347" t="s">
        <v>41</v>
      </c>
      <c r="L2347" t="s">
        <v>251</v>
      </c>
      <c r="N2347" t="s">
        <v>43</v>
      </c>
      <c r="O2347" t="s">
        <v>85</v>
      </c>
      <c r="P2347">
        <v>356</v>
      </c>
      <c r="Q2347">
        <v>356</v>
      </c>
      <c r="R2347">
        <v>11</v>
      </c>
      <c r="S2347" t="s">
        <v>45</v>
      </c>
      <c r="T2347">
        <v>0.01</v>
      </c>
      <c r="U2347">
        <v>928</v>
      </c>
      <c r="V2347" t="s">
        <v>46</v>
      </c>
      <c r="W2347">
        <v>0.92700000000000005</v>
      </c>
      <c r="X2347">
        <v>35001</v>
      </c>
      <c r="Y2347" t="s">
        <v>345</v>
      </c>
      <c r="Z2347">
        <v>35</v>
      </c>
      <c r="AA2347">
        <v>648</v>
      </c>
      <c r="AB2347" t="s">
        <v>75</v>
      </c>
      <c r="AC2347">
        <v>0.64700000000000002</v>
      </c>
      <c r="AD2347">
        <v>773</v>
      </c>
      <c r="AE2347" t="s">
        <v>48</v>
      </c>
      <c r="AF2347">
        <v>0.77200000000000002</v>
      </c>
      <c r="AH2347" t="s">
        <v>39</v>
      </c>
      <c r="AJ2347" t="s">
        <v>1141</v>
      </c>
    </row>
    <row r="2348" spans="1:36" x14ac:dyDescent="0.25">
      <c r="A2348" t="s">
        <v>1149</v>
      </c>
      <c r="B2348">
        <v>856622355</v>
      </c>
      <c r="C2348" t="s">
        <v>1150</v>
      </c>
      <c r="D2348" t="s">
        <v>1150</v>
      </c>
      <c r="E2348" t="s">
        <v>99</v>
      </c>
      <c r="F2348" t="s">
        <v>214</v>
      </c>
      <c r="I2348" t="s">
        <v>39</v>
      </c>
      <c r="J2348" t="s">
        <v>40</v>
      </c>
      <c r="K2348" t="s">
        <v>41</v>
      </c>
      <c r="L2348" t="s">
        <v>173</v>
      </c>
      <c r="N2348" t="s">
        <v>43</v>
      </c>
      <c r="O2348" t="s">
        <v>314</v>
      </c>
      <c r="P2348">
        <v>356</v>
      </c>
      <c r="Q2348">
        <v>356</v>
      </c>
      <c r="R2348">
        <v>1</v>
      </c>
      <c r="S2348" t="s">
        <v>45</v>
      </c>
      <c r="T2348">
        <v>0</v>
      </c>
      <c r="U2348">
        <v>701</v>
      </c>
      <c r="V2348" t="s">
        <v>113</v>
      </c>
      <c r="W2348">
        <v>0.7</v>
      </c>
      <c r="X2348">
        <v>34001</v>
      </c>
      <c r="Y2348" t="s">
        <v>345</v>
      </c>
      <c r="Z2348">
        <v>34</v>
      </c>
      <c r="AA2348">
        <v>609</v>
      </c>
      <c r="AB2348" t="s">
        <v>75</v>
      </c>
      <c r="AC2348">
        <v>0.60799999999999998</v>
      </c>
      <c r="AD2348">
        <v>711</v>
      </c>
      <c r="AE2348" t="s">
        <v>48</v>
      </c>
      <c r="AF2348">
        <v>0.71</v>
      </c>
      <c r="AH2348" t="s">
        <v>39</v>
      </c>
      <c r="AJ2348" t="s">
        <v>1141</v>
      </c>
    </row>
    <row r="2349" spans="1:36" x14ac:dyDescent="0.25">
      <c r="A2349" t="s">
        <v>1149</v>
      </c>
      <c r="B2349">
        <v>856622355</v>
      </c>
      <c r="C2349" t="s">
        <v>1150</v>
      </c>
      <c r="D2349" t="s">
        <v>1150</v>
      </c>
      <c r="E2349" t="s">
        <v>65</v>
      </c>
      <c r="F2349" t="s">
        <v>214</v>
      </c>
      <c r="I2349" t="s">
        <v>39</v>
      </c>
      <c r="J2349" t="s">
        <v>40</v>
      </c>
      <c r="K2349" t="s">
        <v>41</v>
      </c>
      <c r="L2349" t="s">
        <v>173</v>
      </c>
      <c r="N2349" t="s">
        <v>43</v>
      </c>
      <c r="O2349" t="s">
        <v>315</v>
      </c>
      <c r="P2349">
        <v>356</v>
      </c>
      <c r="Q2349">
        <v>356</v>
      </c>
      <c r="R2349">
        <v>1001</v>
      </c>
      <c r="S2349" t="s">
        <v>56</v>
      </c>
      <c r="T2349">
        <v>1</v>
      </c>
      <c r="U2349">
        <v>14</v>
      </c>
      <c r="V2349" t="s">
        <v>55</v>
      </c>
      <c r="W2349">
        <v>1.2999999999999999E-2</v>
      </c>
      <c r="X2349">
        <v>33001</v>
      </c>
      <c r="Y2349" t="s">
        <v>345</v>
      </c>
      <c r="Z2349">
        <v>33</v>
      </c>
      <c r="AA2349">
        <v>432</v>
      </c>
      <c r="AB2349" t="s">
        <v>47</v>
      </c>
      <c r="AC2349">
        <v>0.43099999999999999</v>
      </c>
      <c r="AD2349">
        <v>313</v>
      </c>
      <c r="AE2349" t="s">
        <v>56</v>
      </c>
      <c r="AF2349">
        <v>0.312</v>
      </c>
      <c r="AH2349" t="s">
        <v>39</v>
      </c>
      <c r="AJ2349" t="s">
        <v>1141</v>
      </c>
    </row>
    <row r="2350" spans="1:36" x14ac:dyDescent="0.25">
      <c r="A2350" t="s">
        <v>311</v>
      </c>
      <c r="B2350">
        <v>851651957</v>
      </c>
      <c r="C2350" t="s">
        <v>312</v>
      </c>
      <c r="D2350" t="s">
        <v>312</v>
      </c>
      <c r="E2350" t="s">
        <v>99</v>
      </c>
      <c r="F2350" t="s">
        <v>214</v>
      </c>
      <c r="I2350" t="s">
        <v>39</v>
      </c>
      <c r="J2350" t="s">
        <v>40</v>
      </c>
      <c r="K2350" t="s">
        <v>41</v>
      </c>
      <c r="L2350" t="s">
        <v>313</v>
      </c>
      <c r="N2350" t="s">
        <v>43</v>
      </c>
      <c r="O2350" t="s">
        <v>314</v>
      </c>
      <c r="P2350">
        <v>357</v>
      </c>
      <c r="Q2350">
        <v>357</v>
      </c>
      <c r="S2350" t="s">
        <v>39</v>
      </c>
      <c r="V2350" t="s">
        <v>39</v>
      </c>
      <c r="X2350">
        <v>24001</v>
      </c>
      <c r="Y2350" t="s">
        <v>47</v>
      </c>
      <c r="Z2350">
        <v>24</v>
      </c>
      <c r="AA2350">
        <v>652</v>
      </c>
      <c r="AB2350" t="s">
        <v>75</v>
      </c>
      <c r="AC2350">
        <v>0.65100000000000002</v>
      </c>
      <c r="AD2350">
        <v>801</v>
      </c>
      <c r="AE2350" t="s">
        <v>48</v>
      </c>
      <c r="AF2350">
        <v>0.8</v>
      </c>
      <c r="AG2350">
        <v>918</v>
      </c>
      <c r="AH2350" t="s">
        <v>49</v>
      </c>
      <c r="AI2350">
        <v>0.91700000000000004</v>
      </c>
      <c r="AJ2350" t="s">
        <v>1155</v>
      </c>
    </row>
    <row r="2351" spans="1:36" x14ac:dyDescent="0.25">
      <c r="A2351" t="s">
        <v>311</v>
      </c>
      <c r="B2351">
        <v>851651957</v>
      </c>
      <c r="C2351" t="s">
        <v>312</v>
      </c>
      <c r="D2351" t="s">
        <v>312</v>
      </c>
      <c r="E2351" t="s">
        <v>65</v>
      </c>
      <c r="F2351" t="s">
        <v>214</v>
      </c>
      <c r="I2351" t="s">
        <v>39</v>
      </c>
      <c r="J2351" t="s">
        <v>40</v>
      </c>
      <c r="K2351" t="s">
        <v>41</v>
      </c>
      <c r="L2351" t="s">
        <v>313</v>
      </c>
      <c r="N2351" t="s">
        <v>43</v>
      </c>
      <c r="O2351" t="s">
        <v>315</v>
      </c>
      <c r="P2351">
        <v>357</v>
      </c>
      <c r="Q2351">
        <v>357</v>
      </c>
      <c r="S2351" t="s">
        <v>39</v>
      </c>
      <c r="V2351" t="s">
        <v>39</v>
      </c>
      <c r="X2351">
        <v>21001</v>
      </c>
      <c r="Y2351" t="s">
        <v>47</v>
      </c>
      <c r="Z2351">
        <v>21</v>
      </c>
      <c r="AA2351">
        <v>427</v>
      </c>
      <c r="AB2351" t="s">
        <v>47</v>
      </c>
      <c r="AC2351">
        <v>0.42599999999999999</v>
      </c>
      <c r="AD2351">
        <v>640</v>
      </c>
      <c r="AE2351" t="s">
        <v>48</v>
      </c>
      <c r="AF2351">
        <v>0.63900000000000001</v>
      </c>
      <c r="AG2351">
        <v>455</v>
      </c>
      <c r="AH2351" t="s">
        <v>57</v>
      </c>
      <c r="AI2351">
        <v>0.45400000000000001</v>
      </c>
      <c r="AJ2351" t="s">
        <v>1155</v>
      </c>
    </row>
    <row r="2352" spans="1:36" x14ac:dyDescent="0.25">
      <c r="A2352" t="s">
        <v>316</v>
      </c>
      <c r="B2352">
        <v>871373510</v>
      </c>
      <c r="C2352" t="s">
        <v>317</v>
      </c>
      <c r="D2352" t="s">
        <v>317</v>
      </c>
      <c r="E2352" t="s">
        <v>60</v>
      </c>
      <c r="F2352" t="s">
        <v>88</v>
      </c>
      <c r="I2352" t="s">
        <v>39</v>
      </c>
      <c r="J2352" t="s">
        <v>40</v>
      </c>
      <c r="K2352" t="s">
        <v>41</v>
      </c>
      <c r="L2352" t="s">
        <v>78</v>
      </c>
      <c r="N2352" t="s">
        <v>43</v>
      </c>
      <c r="O2352" t="s">
        <v>85</v>
      </c>
      <c r="P2352">
        <v>357</v>
      </c>
      <c r="Q2352">
        <v>357</v>
      </c>
      <c r="S2352" t="s">
        <v>39</v>
      </c>
      <c r="V2352" t="s">
        <v>39</v>
      </c>
      <c r="X2352">
        <v>14001</v>
      </c>
      <c r="Y2352" t="s">
        <v>47</v>
      </c>
      <c r="Z2352">
        <v>14</v>
      </c>
      <c r="AA2352">
        <v>554</v>
      </c>
      <c r="AB2352" t="s">
        <v>75</v>
      </c>
      <c r="AC2352">
        <v>0.55300000000000005</v>
      </c>
      <c r="AD2352">
        <v>670</v>
      </c>
      <c r="AE2352" t="s">
        <v>48</v>
      </c>
      <c r="AF2352">
        <v>0.66900000000000004</v>
      </c>
      <c r="AG2352">
        <v>684</v>
      </c>
      <c r="AH2352" t="s">
        <v>49</v>
      </c>
      <c r="AI2352">
        <v>0.68300000000000005</v>
      </c>
      <c r="AJ2352" t="s">
        <v>1155</v>
      </c>
    </row>
    <row r="2353" spans="1:36" x14ac:dyDescent="0.25">
      <c r="A2353" t="s">
        <v>337</v>
      </c>
      <c r="B2353">
        <v>874097998</v>
      </c>
      <c r="C2353" t="s">
        <v>338</v>
      </c>
      <c r="D2353" t="s">
        <v>338</v>
      </c>
      <c r="E2353" t="s">
        <v>65</v>
      </c>
      <c r="F2353" t="s">
        <v>93</v>
      </c>
      <c r="I2353" t="s">
        <v>39</v>
      </c>
      <c r="J2353" t="s">
        <v>40</v>
      </c>
      <c r="K2353" t="s">
        <v>41</v>
      </c>
      <c r="L2353" t="s">
        <v>234</v>
      </c>
      <c r="M2353" t="s">
        <v>339</v>
      </c>
      <c r="N2353" t="s">
        <v>43</v>
      </c>
      <c r="O2353" t="s">
        <v>315</v>
      </c>
      <c r="P2353">
        <v>357</v>
      </c>
      <c r="Q2353">
        <v>357</v>
      </c>
      <c r="R2353">
        <v>171</v>
      </c>
      <c r="S2353" t="s">
        <v>56</v>
      </c>
      <c r="T2353">
        <v>0.17</v>
      </c>
      <c r="U2353">
        <v>949</v>
      </c>
      <c r="V2353" t="s">
        <v>46</v>
      </c>
      <c r="W2353">
        <v>0.94799999999999995</v>
      </c>
      <c r="X2353">
        <v>21001</v>
      </c>
      <c r="Y2353" t="s">
        <v>47</v>
      </c>
      <c r="Z2353">
        <v>21</v>
      </c>
      <c r="AA2353">
        <v>317</v>
      </c>
      <c r="AB2353" t="s">
        <v>47</v>
      </c>
      <c r="AC2353">
        <v>0.316</v>
      </c>
      <c r="AD2353">
        <v>665</v>
      </c>
      <c r="AE2353" t="s">
        <v>48</v>
      </c>
      <c r="AF2353">
        <v>0.66400000000000003</v>
      </c>
      <c r="AG2353">
        <v>500</v>
      </c>
      <c r="AH2353" t="s">
        <v>57</v>
      </c>
      <c r="AI2353">
        <v>0.499</v>
      </c>
      <c r="AJ2353" t="s">
        <v>50</v>
      </c>
    </row>
    <row r="2354" spans="1:36" x14ac:dyDescent="0.25">
      <c r="A2354" t="s">
        <v>337</v>
      </c>
      <c r="B2354">
        <v>874097998</v>
      </c>
      <c r="C2354" t="s">
        <v>338</v>
      </c>
      <c r="D2354" t="s">
        <v>338</v>
      </c>
      <c r="E2354" t="s">
        <v>65</v>
      </c>
      <c r="F2354" t="s">
        <v>93</v>
      </c>
      <c r="I2354" t="s">
        <v>39</v>
      </c>
      <c r="J2354" t="s">
        <v>40</v>
      </c>
      <c r="K2354" t="s">
        <v>41</v>
      </c>
      <c r="L2354" t="s">
        <v>234</v>
      </c>
      <c r="M2354" t="s">
        <v>339</v>
      </c>
      <c r="N2354" t="s">
        <v>43</v>
      </c>
      <c r="O2354" t="s">
        <v>315</v>
      </c>
      <c r="P2354">
        <v>357</v>
      </c>
      <c r="Q2354">
        <v>357</v>
      </c>
      <c r="R2354">
        <v>171</v>
      </c>
      <c r="S2354" t="s">
        <v>56</v>
      </c>
      <c r="T2354">
        <v>0.17</v>
      </c>
      <c r="U2354">
        <v>949</v>
      </c>
      <c r="V2354" t="s">
        <v>46</v>
      </c>
      <c r="W2354">
        <v>0.94799999999999995</v>
      </c>
      <c r="X2354">
        <v>21001</v>
      </c>
      <c r="Y2354" t="s">
        <v>47</v>
      </c>
      <c r="Z2354">
        <v>21</v>
      </c>
      <c r="AA2354">
        <v>317</v>
      </c>
      <c r="AB2354" t="s">
        <v>47</v>
      </c>
      <c r="AC2354">
        <v>0.316</v>
      </c>
      <c r="AD2354">
        <v>665</v>
      </c>
      <c r="AE2354" t="s">
        <v>48</v>
      </c>
      <c r="AF2354">
        <v>0.66400000000000003</v>
      </c>
      <c r="AG2354">
        <v>500</v>
      </c>
      <c r="AH2354" t="s">
        <v>57</v>
      </c>
      <c r="AI2354">
        <v>0.499</v>
      </c>
      <c r="AJ2354" t="s">
        <v>1153</v>
      </c>
    </row>
    <row r="2355" spans="1:36" x14ac:dyDescent="0.25">
      <c r="A2355" t="s">
        <v>337</v>
      </c>
      <c r="B2355">
        <v>874097998</v>
      </c>
      <c r="C2355" t="s">
        <v>338</v>
      </c>
      <c r="D2355" t="s">
        <v>338</v>
      </c>
      <c r="E2355" t="s">
        <v>65</v>
      </c>
      <c r="F2355" t="s">
        <v>93</v>
      </c>
      <c r="I2355" t="s">
        <v>39</v>
      </c>
      <c r="J2355" t="s">
        <v>40</v>
      </c>
      <c r="K2355" t="s">
        <v>41</v>
      </c>
      <c r="L2355" t="s">
        <v>234</v>
      </c>
      <c r="M2355" t="s">
        <v>339</v>
      </c>
      <c r="N2355" t="s">
        <v>43</v>
      </c>
      <c r="O2355" t="s">
        <v>315</v>
      </c>
      <c r="P2355">
        <v>357</v>
      </c>
      <c r="Q2355">
        <v>357</v>
      </c>
      <c r="R2355">
        <v>171</v>
      </c>
      <c r="S2355" t="s">
        <v>56</v>
      </c>
      <c r="T2355">
        <v>0.17</v>
      </c>
      <c r="U2355">
        <v>949</v>
      </c>
      <c r="V2355" t="s">
        <v>46</v>
      </c>
      <c r="W2355">
        <v>0.94799999999999995</v>
      </c>
      <c r="X2355">
        <v>21001</v>
      </c>
      <c r="Y2355" t="s">
        <v>47</v>
      </c>
      <c r="Z2355">
        <v>21</v>
      </c>
      <c r="AA2355">
        <v>317</v>
      </c>
      <c r="AB2355" t="s">
        <v>47</v>
      </c>
      <c r="AC2355">
        <v>0.316</v>
      </c>
      <c r="AD2355">
        <v>665</v>
      </c>
      <c r="AE2355" t="s">
        <v>48</v>
      </c>
      <c r="AF2355">
        <v>0.66400000000000003</v>
      </c>
      <c r="AG2355">
        <v>500</v>
      </c>
      <c r="AH2355" t="s">
        <v>57</v>
      </c>
      <c r="AI2355">
        <v>0.499</v>
      </c>
      <c r="AJ2355" t="s">
        <v>1154</v>
      </c>
    </row>
    <row r="2356" spans="1:36" x14ac:dyDescent="0.25">
      <c r="A2356" t="s">
        <v>340</v>
      </c>
      <c r="B2356">
        <v>853446696</v>
      </c>
      <c r="C2356" t="s">
        <v>341</v>
      </c>
      <c r="D2356" t="s">
        <v>341</v>
      </c>
      <c r="E2356" t="s">
        <v>37</v>
      </c>
      <c r="F2356" t="s">
        <v>191</v>
      </c>
      <c r="I2356" t="s">
        <v>39</v>
      </c>
      <c r="J2356" t="s">
        <v>40</v>
      </c>
      <c r="K2356" t="s">
        <v>41</v>
      </c>
      <c r="L2356" t="s">
        <v>151</v>
      </c>
      <c r="M2356" t="s">
        <v>73</v>
      </c>
      <c r="N2356" t="s">
        <v>43</v>
      </c>
      <c r="O2356" t="s">
        <v>84</v>
      </c>
      <c r="P2356">
        <v>357</v>
      </c>
      <c r="Q2356">
        <v>357</v>
      </c>
      <c r="R2356">
        <v>631</v>
      </c>
      <c r="S2356" t="s">
        <v>56</v>
      </c>
      <c r="T2356">
        <v>0.63</v>
      </c>
      <c r="U2356">
        <v>16</v>
      </c>
      <c r="V2356" t="s">
        <v>55</v>
      </c>
      <c r="W2356">
        <v>1.4999999999999999E-2</v>
      </c>
      <c r="X2356">
        <v>1</v>
      </c>
      <c r="Y2356" t="s">
        <v>47</v>
      </c>
      <c r="Z2356">
        <v>0</v>
      </c>
      <c r="AA2356">
        <v>249</v>
      </c>
      <c r="AB2356" t="s">
        <v>47</v>
      </c>
      <c r="AC2356">
        <v>0.248</v>
      </c>
      <c r="AD2356">
        <v>287</v>
      </c>
      <c r="AE2356" t="s">
        <v>56</v>
      </c>
      <c r="AF2356">
        <v>0.28599999999999998</v>
      </c>
      <c r="AG2356">
        <v>82</v>
      </c>
      <c r="AH2356" t="s">
        <v>103</v>
      </c>
      <c r="AI2356">
        <v>8.1000000000000003E-2</v>
      </c>
      <c r="AJ2356" t="s">
        <v>50</v>
      </c>
    </row>
    <row r="2357" spans="1:36" x14ac:dyDescent="0.25">
      <c r="A2357" t="s">
        <v>340</v>
      </c>
      <c r="B2357">
        <v>853446696</v>
      </c>
      <c r="C2357" t="s">
        <v>341</v>
      </c>
      <c r="D2357" t="s">
        <v>341</v>
      </c>
      <c r="E2357" t="s">
        <v>60</v>
      </c>
      <c r="F2357" t="s">
        <v>191</v>
      </c>
      <c r="I2357" t="s">
        <v>39</v>
      </c>
      <c r="J2357" t="s">
        <v>40</v>
      </c>
      <c r="K2357" t="s">
        <v>41</v>
      </c>
      <c r="L2357" t="s">
        <v>151</v>
      </c>
      <c r="M2357" t="s">
        <v>73</v>
      </c>
      <c r="N2357" t="s">
        <v>43</v>
      </c>
      <c r="O2357" t="s">
        <v>85</v>
      </c>
      <c r="P2357">
        <v>357</v>
      </c>
      <c r="Q2357">
        <v>357</v>
      </c>
      <c r="R2357">
        <v>81</v>
      </c>
      <c r="S2357" t="s">
        <v>56</v>
      </c>
      <c r="T2357">
        <v>0.08</v>
      </c>
      <c r="U2357">
        <v>469</v>
      </c>
      <c r="V2357" t="s">
        <v>113</v>
      </c>
      <c r="W2357">
        <v>0.46800000000000003</v>
      </c>
      <c r="X2357">
        <v>1</v>
      </c>
      <c r="Y2357" t="s">
        <v>47</v>
      </c>
      <c r="Z2357">
        <v>0</v>
      </c>
      <c r="AA2357">
        <v>540</v>
      </c>
      <c r="AB2357" t="s">
        <v>75</v>
      </c>
      <c r="AC2357">
        <v>0.53900000000000003</v>
      </c>
      <c r="AD2357">
        <v>602</v>
      </c>
      <c r="AE2357" t="s">
        <v>48</v>
      </c>
      <c r="AF2357">
        <v>0.60099999999999998</v>
      </c>
      <c r="AG2357">
        <v>537</v>
      </c>
      <c r="AH2357" t="s">
        <v>49</v>
      </c>
      <c r="AI2357">
        <v>0.53600000000000003</v>
      </c>
      <c r="AJ2357" t="s">
        <v>50</v>
      </c>
    </row>
    <row r="2358" spans="1:36" x14ac:dyDescent="0.25">
      <c r="A2358" t="s">
        <v>340</v>
      </c>
      <c r="B2358">
        <v>853446696</v>
      </c>
      <c r="C2358" t="s">
        <v>341</v>
      </c>
      <c r="D2358" t="s">
        <v>341</v>
      </c>
      <c r="E2358" t="s">
        <v>37</v>
      </c>
      <c r="F2358" t="s">
        <v>191</v>
      </c>
      <c r="I2358" t="s">
        <v>39</v>
      </c>
      <c r="J2358" t="s">
        <v>40</v>
      </c>
      <c r="K2358" t="s">
        <v>41</v>
      </c>
      <c r="L2358" t="s">
        <v>151</v>
      </c>
      <c r="M2358" t="s">
        <v>73</v>
      </c>
      <c r="N2358" t="s">
        <v>43</v>
      </c>
      <c r="O2358" t="s">
        <v>84</v>
      </c>
      <c r="P2358">
        <v>357</v>
      </c>
      <c r="Q2358">
        <v>357</v>
      </c>
      <c r="R2358">
        <v>631</v>
      </c>
      <c r="S2358" t="s">
        <v>56</v>
      </c>
      <c r="T2358">
        <v>0.63</v>
      </c>
      <c r="U2358">
        <v>16</v>
      </c>
      <c r="V2358" t="s">
        <v>55</v>
      </c>
      <c r="W2358">
        <v>1.4999999999999999E-2</v>
      </c>
      <c r="X2358">
        <v>1</v>
      </c>
      <c r="Y2358" t="s">
        <v>47</v>
      </c>
      <c r="Z2358">
        <v>0</v>
      </c>
      <c r="AA2358">
        <v>249</v>
      </c>
      <c r="AB2358" t="s">
        <v>47</v>
      </c>
      <c r="AC2358">
        <v>0.248</v>
      </c>
      <c r="AD2358">
        <v>287</v>
      </c>
      <c r="AE2358" t="s">
        <v>56</v>
      </c>
      <c r="AF2358">
        <v>0.28599999999999998</v>
      </c>
      <c r="AG2358">
        <v>82</v>
      </c>
      <c r="AH2358" t="s">
        <v>103</v>
      </c>
      <c r="AI2358">
        <v>8.1000000000000003E-2</v>
      </c>
      <c r="AJ2358" t="s">
        <v>1153</v>
      </c>
    </row>
    <row r="2359" spans="1:36" x14ac:dyDescent="0.25">
      <c r="A2359" t="s">
        <v>340</v>
      </c>
      <c r="B2359">
        <v>853446696</v>
      </c>
      <c r="C2359" t="s">
        <v>341</v>
      </c>
      <c r="D2359" t="s">
        <v>341</v>
      </c>
      <c r="E2359" t="s">
        <v>60</v>
      </c>
      <c r="F2359" t="s">
        <v>191</v>
      </c>
      <c r="I2359" t="s">
        <v>39</v>
      </c>
      <c r="J2359" t="s">
        <v>40</v>
      </c>
      <c r="K2359" t="s">
        <v>41</v>
      </c>
      <c r="L2359" t="s">
        <v>151</v>
      </c>
      <c r="M2359" t="s">
        <v>73</v>
      </c>
      <c r="N2359" t="s">
        <v>43</v>
      </c>
      <c r="O2359" t="s">
        <v>85</v>
      </c>
      <c r="P2359">
        <v>357</v>
      </c>
      <c r="Q2359">
        <v>357</v>
      </c>
      <c r="R2359">
        <v>81</v>
      </c>
      <c r="S2359" t="s">
        <v>56</v>
      </c>
      <c r="T2359">
        <v>0.08</v>
      </c>
      <c r="U2359">
        <v>469</v>
      </c>
      <c r="V2359" t="s">
        <v>113</v>
      </c>
      <c r="W2359">
        <v>0.46800000000000003</v>
      </c>
      <c r="X2359">
        <v>1</v>
      </c>
      <c r="Y2359" t="s">
        <v>47</v>
      </c>
      <c r="Z2359">
        <v>0</v>
      </c>
      <c r="AA2359">
        <v>540</v>
      </c>
      <c r="AB2359" t="s">
        <v>75</v>
      </c>
      <c r="AC2359">
        <v>0.53900000000000003</v>
      </c>
      <c r="AD2359">
        <v>602</v>
      </c>
      <c r="AE2359" t="s">
        <v>48</v>
      </c>
      <c r="AF2359">
        <v>0.60099999999999998</v>
      </c>
      <c r="AG2359">
        <v>537</v>
      </c>
      <c r="AH2359" t="s">
        <v>49</v>
      </c>
      <c r="AI2359">
        <v>0.53600000000000003</v>
      </c>
      <c r="AJ2359" t="s">
        <v>1153</v>
      </c>
    </row>
    <row r="2360" spans="1:36" x14ac:dyDescent="0.25">
      <c r="A2360" t="s">
        <v>340</v>
      </c>
      <c r="B2360">
        <v>853446696</v>
      </c>
      <c r="C2360" t="s">
        <v>341</v>
      </c>
      <c r="D2360" t="s">
        <v>341</v>
      </c>
      <c r="E2360" t="s">
        <v>37</v>
      </c>
      <c r="F2360" t="s">
        <v>191</v>
      </c>
      <c r="I2360" t="s">
        <v>39</v>
      </c>
      <c r="J2360" t="s">
        <v>40</v>
      </c>
      <c r="K2360" t="s">
        <v>41</v>
      </c>
      <c r="L2360" t="s">
        <v>151</v>
      </c>
      <c r="M2360" t="s">
        <v>73</v>
      </c>
      <c r="N2360" t="s">
        <v>43</v>
      </c>
      <c r="O2360" t="s">
        <v>84</v>
      </c>
      <c r="P2360">
        <v>357</v>
      </c>
      <c r="Q2360">
        <v>357</v>
      </c>
      <c r="R2360">
        <v>631</v>
      </c>
      <c r="S2360" t="s">
        <v>56</v>
      </c>
      <c r="T2360">
        <v>0.63</v>
      </c>
      <c r="U2360">
        <v>16</v>
      </c>
      <c r="V2360" t="s">
        <v>55</v>
      </c>
      <c r="W2360">
        <v>1.4999999999999999E-2</v>
      </c>
      <c r="X2360">
        <v>1</v>
      </c>
      <c r="Y2360" t="s">
        <v>47</v>
      </c>
      <c r="Z2360">
        <v>0</v>
      </c>
      <c r="AA2360">
        <v>249</v>
      </c>
      <c r="AB2360" t="s">
        <v>47</v>
      </c>
      <c r="AC2360">
        <v>0.248</v>
      </c>
      <c r="AD2360">
        <v>287</v>
      </c>
      <c r="AE2360" t="s">
        <v>56</v>
      </c>
      <c r="AF2360">
        <v>0.28599999999999998</v>
      </c>
      <c r="AG2360">
        <v>82</v>
      </c>
      <c r="AH2360" t="s">
        <v>103</v>
      </c>
      <c r="AI2360">
        <v>8.1000000000000003E-2</v>
      </c>
      <c r="AJ2360" t="s">
        <v>1154</v>
      </c>
    </row>
    <row r="2361" spans="1:36" x14ac:dyDescent="0.25">
      <c r="A2361" t="s">
        <v>340</v>
      </c>
      <c r="B2361">
        <v>853446696</v>
      </c>
      <c r="C2361" t="s">
        <v>341</v>
      </c>
      <c r="D2361" t="s">
        <v>341</v>
      </c>
      <c r="E2361" t="s">
        <v>60</v>
      </c>
      <c r="F2361" t="s">
        <v>191</v>
      </c>
      <c r="I2361" t="s">
        <v>39</v>
      </c>
      <c r="J2361" t="s">
        <v>40</v>
      </c>
      <c r="K2361" t="s">
        <v>41</v>
      </c>
      <c r="L2361" t="s">
        <v>151</v>
      </c>
      <c r="M2361" t="s">
        <v>73</v>
      </c>
      <c r="N2361" t="s">
        <v>43</v>
      </c>
      <c r="O2361" t="s">
        <v>85</v>
      </c>
      <c r="P2361">
        <v>357</v>
      </c>
      <c r="Q2361">
        <v>357</v>
      </c>
      <c r="R2361">
        <v>81</v>
      </c>
      <c r="S2361" t="s">
        <v>56</v>
      </c>
      <c r="T2361">
        <v>0.08</v>
      </c>
      <c r="U2361">
        <v>469</v>
      </c>
      <c r="V2361" t="s">
        <v>113</v>
      </c>
      <c r="W2361">
        <v>0.46800000000000003</v>
      </c>
      <c r="X2361">
        <v>1</v>
      </c>
      <c r="Y2361" t="s">
        <v>47</v>
      </c>
      <c r="Z2361">
        <v>0</v>
      </c>
      <c r="AA2361">
        <v>540</v>
      </c>
      <c r="AB2361" t="s">
        <v>75</v>
      </c>
      <c r="AC2361">
        <v>0.53900000000000003</v>
      </c>
      <c r="AD2361">
        <v>602</v>
      </c>
      <c r="AE2361" t="s">
        <v>48</v>
      </c>
      <c r="AF2361">
        <v>0.60099999999999998</v>
      </c>
      <c r="AG2361">
        <v>537</v>
      </c>
      <c r="AH2361" t="s">
        <v>49</v>
      </c>
      <c r="AI2361">
        <v>0.53600000000000003</v>
      </c>
      <c r="AJ2361" t="s">
        <v>1154</v>
      </c>
    </row>
    <row r="2362" spans="1:36" x14ac:dyDescent="0.25">
      <c r="A2362" t="s">
        <v>1147</v>
      </c>
      <c r="B2362">
        <v>852208160</v>
      </c>
      <c r="C2362" t="s">
        <v>1148</v>
      </c>
      <c r="D2362" t="s">
        <v>1148</v>
      </c>
      <c r="E2362" t="s">
        <v>37</v>
      </c>
      <c r="F2362" t="s">
        <v>220</v>
      </c>
      <c r="I2362" t="s">
        <v>39</v>
      </c>
      <c r="J2362" t="s">
        <v>40</v>
      </c>
      <c r="K2362" t="s">
        <v>41</v>
      </c>
      <c r="L2362" t="s">
        <v>248</v>
      </c>
      <c r="M2362" t="s">
        <v>282</v>
      </c>
      <c r="N2362" t="s">
        <v>43</v>
      </c>
      <c r="O2362" t="s">
        <v>470</v>
      </c>
      <c r="P2362">
        <v>357</v>
      </c>
      <c r="Q2362">
        <v>357</v>
      </c>
      <c r="R2362">
        <v>21</v>
      </c>
      <c r="S2362" t="s">
        <v>1139</v>
      </c>
      <c r="T2362">
        <v>0.02</v>
      </c>
      <c r="U2362">
        <v>6</v>
      </c>
      <c r="V2362" t="s">
        <v>55</v>
      </c>
      <c r="W2362">
        <v>5.0000000000000001E-3</v>
      </c>
      <c r="X2362">
        <v>7001</v>
      </c>
      <c r="Y2362" t="s">
        <v>47</v>
      </c>
      <c r="Z2362">
        <v>7</v>
      </c>
      <c r="AA2362">
        <v>172</v>
      </c>
      <c r="AB2362" t="s">
        <v>47</v>
      </c>
      <c r="AC2362">
        <v>0.17100000000000001</v>
      </c>
      <c r="AD2362">
        <v>374</v>
      </c>
      <c r="AE2362" t="s">
        <v>56</v>
      </c>
      <c r="AF2362">
        <v>0.373</v>
      </c>
      <c r="AH2362" t="s">
        <v>39</v>
      </c>
      <c r="AJ2362" t="s">
        <v>1141</v>
      </c>
    </row>
    <row r="2363" spans="1:36" x14ac:dyDescent="0.25">
      <c r="A2363" t="s">
        <v>308</v>
      </c>
      <c r="B2363">
        <v>851651959</v>
      </c>
      <c r="C2363" t="s">
        <v>309</v>
      </c>
      <c r="D2363" t="s">
        <v>309</v>
      </c>
      <c r="E2363" t="s">
        <v>60</v>
      </c>
      <c r="F2363" t="s">
        <v>61</v>
      </c>
      <c r="I2363" t="s">
        <v>39</v>
      </c>
      <c r="J2363" t="s">
        <v>40</v>
      </c>
      <c r="K2363" t="s">
        <v>41</v>
      </c>
      <c r="N2363" t="s">
        <v>43</v>
      </c>
      <c r="O2363" t="s">
        <v>310</v>
      </c>
      <c r="P2363">
        <v>358</v>
      </c>
      <c r="Q2363">
        <v>358</v>
      </c>
      <c r="S2363" t="s">
        <v>39</v>
      </c>
      <c r="V2363" t="s">
        <v>39</v>
      </c>
      <c r="X2363">
        <v>24001</v>
      </c>
      <c r="Y2363" t="s">
        <v>47</v>
      </c>
      <c r="Z2363">
        <v>24</v>
      </c>
      <c r="AA2363">
        <v>538</v>
      </c>
      <c r="AB2363" t="s">
        <v>75</v>
      </c>
      <c r="AC2363">
        <v>0.53700000000000003</v>
      </c>
      <c r="AD2363">
        <v>810</v>
      </c>
      <c r="AE2363" t="s">
        <v>48</v>
      </c>
      <c r="AF2363">
        <v>0.80900000000000005</v>
      </c>
      <c r="AG2363">
        <v>869</v>
      </c>
      <c r="AH2363" t="s">
        <v>49</v>
      </c>
      <c r="AI2363">
        <v>0.86799999999999999</v>
      </c>
      <c r="AJ2363" t="s">
        <v>1155</v>
      </c>
    </row>
    <row r="2364" spans="1:36" x14ac:dyDescent="0.25">
      <c r="A2364" t="s">
        <v>305</v>
      </c>
      <c r="B2364">
        <v>869155014</v>
      </c>
      <c r="C2364" t="s">
        <v>306</v>
      </c>
      <c r="D2364" t="s">
        <v>306</v>
      </c>
      <c r="E2364" t="s">
        <v>65</v>
      </c>
      <c r="F2364" t="s">
        <v>93</v>
      </c>
      <c r="I2364" t="s">
        <v>39</v>
      </c>
      <c r="J2364" t="s">
        <v>40</v>
      </c>
      <c r="K2364" t="s">
        <v>41</v>
      </c>
      <c r="L2364" t="s">
        <v>78</v>
      </c>
      <c r="N2364" t="s">
        <v>43</v>
      </c>
      <c r="O2364" t="s">
        <v>307</v>
      </c>
      <c r="P2364">
        <v>358</v>
      </c>
      <c r="Q2364">
        <v>358</v>
      </c>
      <c r="S2364" t="s">
        <v>39</v>
      </c>
      <c r="V2364" t="s">
        <v>39</v>
      </c>
      <c r="X2364">
        <v>28001</v>
      </c>
      <c r="Y2364" t="s">
        <v>47</v>
      </c>
      <c r="Z2364">
        <v>28</v>
      </c>
      <c r="AA2364">
        <v>829</v>
      </c>
      <c r="AB2364" t="s">
        <v>75</v>
      </c>
      <c r="AC2364">
        <v>0.82799999999999996</v>
      </c>
      <c r="AD2364">
        <v>907</v>
      </c>
      <c r="AE2364" t="s">
        <v>48</v>
      </c>
      <c r="AF2364">
        <v>0.90600000000000003</v>
      </c>
      <c r="AG2364">
        <v>979</v>
      </c>
      <c r="AH2364" t="s">
        <v>80</v>
      </c>
      <c r="AI2364">
        <v>0.97799999999999998</v>
      </c>
      <c r="AJ2364" t="s">
        <v>1155</v>
      </c>
    </row>
    <row r="2365" spans="1:36" x14ac:dyDescent="0.25">
      <c r="A2365" t="s">
        <v>333</v>
      </c>
      <c r="B2365">
        <v>872683073</v>
      </c>
      <c r="C2365" t="s">
        <v>334</v>
      </c>
      <c r="D2365" t="s">
        <v>334</v>
      </c>
      <c r="E2365" t="s">
        <v>99</v>
      </c>
      <c r="F2365" t="s">
        <v>143</v>
      </c>
      <c r="I2365" t="s">
        <v>39</v>
      </c>
      <c r="J2365" t="s">
        <v>40</v>
      </c>
      <c r="K2365" t="s">
        <v>41</v>
      </c>
      <c r="L2365" t="s">
        <v>72</v>
      </c>
      <c r="M2365" t="s">
        <v>335</v>
      </c>
      <c r="N2365" t="s">
        <v>43</v>
      </c>
      <c r="O2365" t="s">
        <v>336</v>
      </c>
      <c r="P2365">
        <v>358</v>
      </c>
      <c r="Q2365">
        <v>358</v>
      </c>
      <c r="R2365">
        <v>1</v>
      </c>
      <c r="S2365" t="s">
        <v>45</v>
      </c>
      <c r="T2365">
        <v>0</v>
      </c>
      <c r="U2365">
        <v>987</v>
      </c>
      <c r="V2365" t="s">
        <v>46</v>
      </c>
      <c r="W2365">
        <v>0.98599999999999999</v>
      </c>
      <c r="X2365">
        <v>26001</v>
      </c>
      <c r="Y2365" t="s">
        <v>47</v>
      </c>
      <c r="Z2365">
        <v>26</v>
      </c>
      <c r="AA2365">
        <v>826</v>
      </c>
      <c r="AB2365" t="s">
        <v>75</v>
      </c>
      <c r="AC2365">
        <v>0.82499999999999996</v>
      </c>
      <c r="AD2365">
        <v>911</v>
      </c>
      <c r="AE2365" t="s">
        <v>48</v>
      </c>
      <c r="AF2365">
        <v>0.91</v>
      </c>
      <c r="AG2365">
        <v>977</v>
      </c>
      <c r="AH2365" t="s">
        <v>80</v>
      </c>
      <c r="AI2365">
        <v>0.97599999999999998</v>
      </c>
      <c r="AJ2365" t="s">
        <v>50</v>
      </c>
    </row>
    <row r="2366" spans="1:36" x14ac:dyDescent="0.25">
      <c r="A2366" t="s">
        <v>333</v>
      </c>
      <c r="B2366">
        <v>872683073</v>
      </c>
      <c r="C2366" t="s">
        <v>334</v>
      </c>
      <c r="D2366" t="s">
        <v>334</v>
      </c>
      <c r="E2366" t="s">
        <v>99</v>
      </c>
      <c r="F2366" t="s">
        <v>143</v>
      </c>
      <c r="I2366" t="s">
        <v>39</v>
      </c>
      <c r="J2366" t="s">
        <v>40</v>
      </c>
      <c r="K2366" t="s">
        <v>41</v>
      </c>
      <c r="L2366" t="s">
        <v>72</v>
      </c>
      <c r="M2366" t="s">
        <v>335</v>
      </c>
      <c r="N2366" t="s">
        <v>43</v>
      </c>
      <c r="O2366" t="s">
        <v>336</v>
      </c>
      <c r="P2366">
        <v>358</v>
      </c>
      <c r="Q2366">
        <v>358</v>
      </c>
      <c r="R2366">
        <v>1</v>
      </c>
      <c r="S2366" t="s">
        <v>45</v>
      </c>
      <c r="T2366">
        <v>0</v>
      </c>
      <c r="U2366">
        <v>987</v>
      </c>
      <c r="V2366" t="s">
        <v>46</v>
      </c>
      <c r="W2366">
        <v>0.98599999999999999</v>
      </c>
      <c r="X2366">
        <v>26001</v>
      </c>
      <c r="Y2366" t="s">
        <v>47</v>
      </c>
      <c r="Z2366">
        <v>26</v>
      </c>
      <c r="AA2366">
        <v>826</v>
      </c>
      <c r="AB2366" t="s">
        <v>75</v>
      </c>
      <c r="AC2366">
        <v>0.82499999999999996</v>
      </c>
      <c r="AD2366">
        <v>911</v>
      </c>
      <c r="AE2366" t="s">
        <v>48</v>
      </c>
      <c r="AF2366">
        <v>0.91</v>
      </c>
      <c r="AG2366">
        <v>977</v>
      </c>
      <c r="AH2366" t="s">
        <v>80</v>
      </c>
      <c r="AI2366">
        <v>0.97599999999999998</v>
      </c>
      <c r="AJ2366" t="s">
        <v>1153</v>
      </c>
    </row>
    <row r="2367" spans="1:36" x14ac:dyDescent="0.25">
      <c r="A2367" t="s">
        <v>333</v>
      </c>
      <c r="B2367">
        <v>872683073</v>
      </c>
      <c r="C2367" t="s">
        <v>334</v>
      </c>
      <c r="D2367" t="s">
        <v>334</v>
      </c>
      <c r="E2367" t="s">
        <v>99</v>
      </c>
      <c r="F2367" t="s">
        <v>143</v>
      </c>
      <c r="I2367" t="s">
        <v>39</v>
      </c>
      <c r="J2367" t="s">
        <v>40</v>
      </c>
      <c r="K2367" t="s">
        <v>41</v>
      </c>
      <c r="L2367" t="s">
        <v>72</v>
      </c>
      <c r="M2367" t="s">
        <v>335</v>
      </c>
      <c r="N2367" t="s">
        <v>43</v>
      </c>
      <c r="O2367" t="s">
        <v>336</v>
      </c>
      <c r="P2367">
        <v>358</v>
      </c>
      <c r="Q2367">
        <v>358</v>
      </c>
      <c r="R2367">
        <v>1</v>
      </c>
      <c r="S2367" t="s">
        <v>45</v>
      </c>
      <c r="T2367">
        <v>0</v>
      </c>
      <c r="U2367">
        <v>987</v>
      </c>
      <c r="V2367" t="s">
        <v>46</v>
      </c>
      <c r="W2367">
        <v>0.98599999999999999</v>
      </c>
      <c r="X2367">
        <v>26001</v>
      </c>
      <c r="Y2367" t="s">
        <v>47</v>
      </c>
      <c r="Z2367">
        <v>26</v>
      </c>
      <c r="AA2367">
        <v>826</v>
      </c>
      <c r="AB2367" t="s">
        <v>75</v>
      </c>
      <c r="AC2367">
        <v>0.82499999999999996</v>
      </c>
      <c r="AD2367">
        <v>911</v>
      </c>
      <c r="AE2367" t="s">
        <v>48</v>
      </c>
      <c r="AF2367">
        <v>0.91</v>
      </c>
      <c r="AG2367">
        <v>977</v>
      </c>
      <c r="AH2367" t="s">
        <v>80</v>
      </c>
      <c r="AI2367">
        <v>0.97599999999999998</v>
      </c>
      <c r="AJ2367" t="s">
        <v>1154</v>
      </c>
    </row>
    <row r="2368" spans="1:36" x14ac:dyDescent="0.25">
      <c r="A2368" t="s">
        <v>1144</v>
      </c>
      <c r="B2368">
        <v>886375192</v>
      </c>
      <c r="C2368" t="s">
        <v>1145</v>
      </c>
      <c r="D2368" t="s">
        <v>1145</v>
      </c>
      <c r="E2368" t="s">
        <v>65</v>
      </c>
      <c r="F2368" t="s">
        <v>93</v>
      </c>
      <c r="I2368" t="s">
        <v>39</v>
      </c>
      <c r="J2368" t="s">
        <v>40</v>
      </c>
      <c r="K2368" t="s">
        <v>41</v>
      </c>
      <c r="L2368" t="s">
        <v>72</v>
      </c>
      <c r="M2368" t="s">
        <v>47</v>
      </c>
      <c r="N2368" t="s">
        <v>43</v>
      </c>
      <c r="O2368" t="s">
        <v>773</v>
      </c>
      <c r="P2368">
        <v>358</v>
      </c>
      <c r="Q2368">
        <v>358</v>
      </c>
      <c r="R2368">
        <v>361</v>
      </c>
      <c r="S2368" t="s">
        <v>1146</v>
      </c>
      <c r="T2368">
        <v>0.36</v>
      </c>
      <c r="U2368">
        <v>1</v>
      </c>
      <c r="V2368" t="s">
        <v>1140</v>
      </c>
      <c r="W2368">
        <v>0</v>
      </c>
      <c r="X2368">
        <v>3001</v>
      </c>
      <c r="Y2368" t="s">
        <v>47</v>
      </c>
      <c r="Z2368">
        <v>3</v>
      </c>
      <c r="AA2368">
        <v>410</v>
      </c>
      <c r="AB2368" t="s">
        <v>47</v>
      </c>
      <c r="AC2368">
        <v>0.40899999999999997</v>
      </c>
      <c r="AD2368">
        <v>385</v>
      </c>
      <c r="AE2368" t="s">
        <v>56</v>
      </c>
      <c r="AF2368">
        <v>0.38400000000000001</v>
      </c>
      <c r="AH2368" t="s">
        <v>39</v>
      </c>
      <c r="AJ2368" t="s">
        <v>1141</v>
      </c>
    </row>
    <row r="2369" spans="1:36" x14ac:dyDescent="0.25">
      <c r="A2369" t="s">
        <v>303</v>
      </c>
      <c r="B2369">
        <v>872359874</v>
      </c>
      <c r="C2369" t="s">
        <v>304</v>
      </c>
      <c r="D2369" t="s">
        <v>304</v>
      </c>
      <c r="E2369" t="s">
        <v>99</v>
      </c>
      <c r="F2369" t="s">
        <v>143</v>
      </c>
      <c r="I2369" t="s">
        <v>39</v>
      </c>
      <c r="J2369" t="s">
        <v>40</v>
      </c>
      <c r="K2369" t="s">
        <v>41</v>
      </c>
      <c r="L2369" t="s">
        <v>173</v>
      </c>
      <c r="N2369" t="s">
        <v>43</v>
      </c>
      <c r="O2369" t="s">
        <v>38</v>
      </c>
      <c r="P2369">
        <v>359</v>
      </c>
      <c r="Q2369">
        <v>359</v>
      </c>
      <c r="S2369" t="s">
        <v>39</v>
      </c>
      <c r="V2369" t="s">
        <v>39</v>
      </c>
      <c r="X2369">
        <v>19001</v>
      </c>
      <c r="Y2369" t="s">
        <v>47</v>
      </c>
      <c r="Z2369">
        <v>19</v>
      </c>
      <c r="AA2369">
        <v>329</v>
      </c>
      <c r="AB2369" t="s">
        <v>47</v>
      </c>
      <c r="AC2369">
        <v>0.32800000000000001</v>
      </c>
      <c r="AD2369">
        <v>578</v>
      </c>
      <c r="AE2369" t="s">
        <v>48</v>
      </c>
      <c r="AF2369">
        <v>0.57699999999999996</v>
      </c>
      <c r="AG2369">
        <v>663</v>
      </c>
      <c r="AH2369" t="s">
        <v>49</v>
      </c>
      <c r="AI2369">
        <v>0.66200000000000003</v>
      </c>
      <c r="AJ2369" t="s">
        <v>1155</v>
      </c>
    </row>
    <row r="2370" spans="1:36" x14ac:dyDescent="0.25">
      <c r="A2370" t="s">
        <v>1137</v>
      </c>
      <c r="B2370">
        <v>872601928</v>
      </c>
      <c r="C2370" t="s">
        <v>1138</v>
      </c>
      <c r="D2370" t="s">
        <v>1138</v>
      </c>
      <c r="E2370" t="s">
        <v>37</v>
      </c>
      <c r="F2370" t="s">
        <v>136</v>
      </c>
      <c r="I2370" t="s">
        <v>39</v>
      </c>
      <c r="J2370" t="s">
        <v>40</v>
      </c>
      <c r="K2370" t="s">
        <v>41</v>
      </c>
      <c r="L2370" t="s">
        <v>78</v>
      </c>
      <c r="N2370" t="s">
        <v>43</v>
      </c>
      <c r="O2370" t="s">
        <v>74</v>
      </c>
      <c r="P2370">
        <v>359</v>
      </c>
      <c r="Q2370">
        <v>359</v>
      </c>
      <c r="R2370">
        <v>1</v>
      </c>
      <c r="S2370" t="s">
        <v>1139</v>
      </c>
      <c r="T2370">
        <v>0</v>
      </c>
      <c r="U2370">
        <v>1</v>
      </c>
      <c r="V2370" t="s">
        <v>1140</v>
      </c>
      <c r="W2370">
        <v>0</v>
      </c>
      <c r="X2370">
        <v>12001</v>
      </c>
      <c r="Y2370" t="s">
        <v>47</v>
      </c>
      <c r="Z2370">
        <v>12</v>
      </c>
      <c r="AA2370">
        <v>277</v>
      </c>
      <c r="AB2370" t="s">
        <v>47</v>
      </c>
      <c r="AC2370">
        <v>0.27600000000000002</v>
      </c>
      <c r="AD2370">
        <v>349</v>
      </c>
      <c r="AE2370" t="s">
        <v>56</v>
      </c>
      <c r="AF2370">
        <v>0.34799999999999998</v>
      </c>
      <c r="AH2370" t="s">
        <v>39</v>
      </c>
      <c r="AJ2370" t="s">
        <v>1141</v>
      </c>
    </row>
    <row r="2371" spans="1:36" x14ac:dyDescent="0.25">
      <c r="A2371" t="s">
        <v>1137</v>
      </c>
      <c r="B2371">
        <v>872601928</v>
      </c>
      <c r="C2371" t="s">
        <v>1138</v>
      </c>
      <c r="D2371" t="s">
        <v>1138</v>
      </c>
      <c r="E2371" t="s">
        <v>99</v>
      </c>
      <c r="F2371" t="s">
        <v>136</v>
      </c>
      <c r="I2371" t="s">
        <v>39</v>
      </c>
      <c r="J2371" t="s">
        <v>40</v>
      </c>
      <c r="K2371" t="s">
        <v>41</v>
      </c>
      <c r="L2371" t="s">
        <v>78</v>
      </c>
      <c r="N2371" t="s">
        <v>43</v>
      </c>
      <c r="O2371" t="s">
        <v>179</v>
      </c>
      <c r="P2371">
        <v>359</v>
      </c>
      <c r="Q2371">
        <v>359</v>
      </c>
      <c r="R2371">
        <v>1</v>
      </c>
      <c r="S2371" t="s">
        <v>1139</v>
      </c>
      <c r="T2371">
        <v>0</v>
      </c>
      <c r="U2371">
        <v>1</v>
      </c>
      <c r="V2371" t="s">
        <v>1140</v>
      </c>
      <c r="W2371">
        <v>0</v>
      </c>
      <c r="X2371">
        <v>12001</v>
      </c>
      <c r="Y2371" t="s">
        <v>47</v>
      </c>
      <c r="Z2371">
        <v>12</v>
      </c>
      <c r="AA2371">
        <v>245</v>
      </c>
      <c r="AB2371" t="s">
        <v>47</v>
      </c>
      <c r="AC2371">
        <v>0.24399999999999999</v>
      </c>
      <c r="AD2371">
        <v>340</v>
      </c>
      <c r="AE2371" t="s">
        <v>56</v>
      </c>
      <c r="AF2371">
        <v>0.33900000000000002</v>
      </c>
      <c r="AH2371" t="s">
        <v>39</v>
      </c>
      <c r="AJ2371" t="s">
        <v>1141</v>
      </c>
    </row>
    <row r="2372" spans="1:36" x14ac:dyDescent="0.25">
      <c r="A2372" t="s">
        <v>1137</v>
      </c>
      <c r="B2372">
        <v>872601928</v>
      </c>
      <c r="C2372" t="s">
        <v>1138</v>
      </c>
      <c r="D2372" t="s">
        <v>1138</v>
      </c>
      <c r="E2372" t="s">
        <v>60</v>
      </c>
      <c r="F2372" t="s">
        <v>136</v>
      </c>
      <c r="I2372" t="s">
        <v>39</v>
      </c>
      <c r="J2372" t="s">
        <v>40</v>
      </c>
      <c r="K2372" t="s">
        <v>41</v>
      </c>
      <c r="L2372" t="s">
        <v>78</v>
      </c>
      <c r="N2372" t="s">
        <v>43</v>
      </c>
      <c r="O2372" t="s">
        <v>180</v>
      </c>
      <c r="P2372">
        <v>359</v>
      </c>
      <c r="Q2372">
        <v>359</v>
      </c>
      <c r="R2372">
        <v>1</v>
      </c>
      <c r="S2372" t="s">
        <v>1139</v>
      </c>
      <c r="T2372">
        <v>0</v>
      </c>
      <c r="U2372">
        <v>1</v>
      </c>
      <c r="V2372" t="s">
        <v>1140</v>
      </c>
      <c r="W2372">
        <v>0</v>
      </c>
      <c r="X2372">
        <v>12001</v>
      </c>
      <c r="Y2372" t="s">
        <v>47</v>
      </c>
      <c r="Z2372">
        <v>12</v>
      </c>
      <c r="AA2372">
        <v>285</v>
      </c>
      <c r="AB2372" t="s">
        <v>47</v>
      </c>
      <c r="AC2372">
        <v>0.28399999999999997</v>
      </c>
      <c r="AD2372">
        <v>516</v>
      </c>
      <c r="AE2372" t="s">
        <v>48</v>
      </c>
      <c r="AF2372">
        <v>0.51500000000000001</v>
      </c>
      <c r="AH2372" t="s">
        <v>39</v>
      </c>
      <c r="AJ2372" t="s">
        <v>1141</v>
      </c>
    </row>
    <row r="2373" spans="1:36" x14ac:dyDescent="0.25">
      <c r="A2373" t="s">
        <v>301</v>
      </c>
      <c r="B2373">
        <v>881460652</v>
      </c>
      <c r="C2373" t="s">
        <v>302</v>
      </c>
      <c r="D2373" t="s">
        <v>302</v>
      </c>
      <c r="E2373" t="s">
        <v>37</v>
      </c>
      <c r="F2373" t="s">
        <v>71</v>
      </c>
      <c r="I2373" t="s">
        <v>39</v>
      </c>
      <c r="J2373" t="s">
        <v>40</v>
      </c>
      <c r="K2373" t="s">
        <v>41</v>
      </c>
      <c r="L2373" t="s">
        <v>42</v>
      </c>
      <c r="N2373" t="s">
        <v>43</v>
      </c>
      <c r="O2373" t="s">
        <v>138</v>
      </c>
      <c r="P2373">
        <v>359</v>
      </c>
      <c r="Q2373">
        <v>359</v>
      </c>
      <c r="S2373" t="s">
        <v>39</v>
      </c>
      <c r="V2373" t="s">
        <v>39</v>
      </c>
      <c r="X2373">
        <v>16001</v>
      </c>
      <c r="Y2373" t="s">
        <v>47</v>
      </c>
      <c r="Z2373">
        <v>16</v>
      </c>
      <c r="AA2373">
        <v>499</v>
      </c>
      <c r="AB2373" t="s">
        <v>47</v>
      </c>
      <c r="AC2373">
        <v>0.498</v>
      </c>
      <c r="AD2373">
        <v>685</v>
      </c>
      <c r="AE2373" t="s">
        <v>48</v>
      </c>
      <c r="AF2373">
        <v>0.68400000000000005</v>
      </c>
      <c r="AG2373">
        <v>903</v>
      </c>
      <c r="AH2373" t="s">
        <v>49</v>
      </c>
      <c r="AI2373">
        <v>0.90200000000000002</v>
      </c>
      <c r="AJ2373" t="s">
        <v>1155</v>
      </c>
    </row>
    <row r="2374" spans="1:36" x14ac:dyDescent="0.25">
      <c r="A2374" t="s">
        <v>329</v>
      </c>
      <c r="B2374">
        <v>853233455</v>
      </c>
      <c r="C2374" t="s">
        <v>330</v>
      </c>
      <c r="D2374" t="s">
        <v>330</v>
      </c>
      <c r="E2374" t="s">
        <v>99</v>
      </c>
      <c r="F2374" t="s">
        <v>143</v>
      </c>
      <c r="I2374" t="s">
        <v>39</v>
      </c>
      <c r="J2374" t="s">
        <v>40</v>
      </c>
      <c r="K2374" t="s">
        <v>41</v>
      </c>
      <c r="L2374" t="s">
        <v>331</v>
      </c>
      <c r="M2374" t="s">
        <v>73</v>
      </c>
      <c r="N2374" t="s">
        <v>43</v>
      </c>
      <c r="O2374" t="s">
        <v>332</v>
      </c>
      <c r="P2374">
        <v>359</v>
      </c>
      <c r="Q2374">
        <v>359</v>
      </c>
      <c r="R2374">
        <v>1</v>
      </c>
      <c r="S2374" t="s">
        <v>45</v>
      </c>
      <c r="T2374">
        <v>0</v>
      </c>
      <c r="U2374">
        <v>888</v>
      </c>
      <c r="V2374" t="s">
        <v>113</v>
      </c>
      <c r="W2374">
        <v>0.88700000000000001</v>
      </c>
      <c r="X2374">
        <v>24001</v>
      </c>
      <c r="Y2374" t="s">
        <v>47</v>
      </c>
      <c r="Z2374">
        <v>24</v>
      </c>
      <c r="AA2374">
        <v>730</v>
      </c>
      <c r="AB2374" t="s">
        <v>75</v>
      </c>
      <c r="AC2374">
        <v>0.72899999999999998</v>
      </c>
      <c r="AD2374">
        <v>771</v>
      </c>
      <c r="AE2374" t="s">
        <v>48</v>
      </c>
      <c r="AF2374">
        <v>0.77</v>
      </c>
      <c r="AG2374">
        <v>924</v>
      </c>
      <c r="AH2374" t="s">
        <v>49</v>
      </c>
      <c r="AI2374">
        <v>0.92300000000000004</v>
      </c>
      <c r="AJ2374" t="s">
        <v>50</v>
      </c>
    </row>
    <row r="2375" spans="1:36" x14ac:dyDescent="0.25">
      <c r="A2375" t="s">
        <v>329</v>
      </c>
      <c r="B2375">
        <v>853233455</v>
      </c>
      <c r="C2375" t="s">
        <v>330</v>
      </c>
      <c r="D2375" t="s">
        <v>330</v>
      </c>
      <c r="E2375" t="s">
        <v>99</v>
      </c>
      <c r="F2375" t="s">
        <v>143</v>
      </c>
      <c r="I2375" t="s">
        <v>39</v>
      </c>
      <c r="J2375" t="s">
        <v>40</v>
      </c>
      <c r="K2375" t="s">
        <v>41</v>
      </c>
      <c r="L2375" t="s">
        <v>331</v>
      </c>
      <c r="M2375" t="s">
        <v>73</v>
      </c>
      <c r="N2375" t="s">
        <v>43</v>
      </c>
      <c r="O2375" t="s">
        <v>332</v>
      </c>
      <c r="P2375">
        <v>359</v>
      </c>
      <c r="Q2375">
        <v>359</v>
      </c>
      <c r="R2375">
        <v>1</v>
      </c>
      <c r="S2375" t="s">
        <v>45</v>
      </c>
      <c r="T2375">
        <v>0</v>
      </c>
      <c r="U2375">
        <v>888</v>
      </c>
      <c r="V2375" t="s">
        <v>113</v>
      </c>
      <c r="W2375">
        <v>0.88700000000000001</v>
      </c>
      <c r="X2375">
        <v>24001</v>
      </c>
      <c r="Y2375" t="s">
        <v>47</v>
      </c>
      <c r="Z2375">
        <v>24</v>
      </c>
      <c r="AA2375">
        <v>730</v>
      </c>
      <c r="AB2375" t="s">
        <v>75</v>
      </c>
      <c r="AC2375">
        <v>0.72899999999999998</v>
      </c>
      <c r="AD2375">
        <v>771</v>
      </c>
      <c r="AE2375" t="s">
        <v>48</v>
      </c>
      <c r="AF2375">
        <v>0.77</v>
      </c>
      <c r="AG2375">
        <v>924</v>
      </c>
      <c r="AH2375" t="s">
        <v>49</v>
      </c>
      <c r="AI2375">
        <v>0.92300000000000004</v>
      </c>
      <c r="AJ2375" t="s">
        <v>1153</v>
      </c>
    </row>
    <row r="2376" spans="1:36" x14ac:dyDescent="0.25">
      <c r="A2376" t="s">
        <v>329</v>
      </c>
      <c r="B2376">
        <v>853233455</v>
      </c>
      <c r="C2376" t="s">
        <v>330</v>
      </c>
      <c r="D2376" t="s">
        <v>330</v>
      </c>
      <c r="E2376" t="s">
        <v>99</v>
      </c>
      <c r="F2376" t="s">
        <v>143</v>
      </c>
      <c r="I2376" t="s">
        <v>39</v>
      </c>
      <c r="J2376" t="s">
        <v>40</v>
      </c>
      <c r="K2376" t="s">
        <v>41</v>
      </c>
      <c r="L2376" t="s">
        <v>331</v>
      </c>
      <c r="M2376" t="s">
        <v>73</v>
      </c>
      <c r="N2376" t="s">
        <v>43</v>
      </c>
      <c r="O2376" t="s">
        <v>332</v>
      </c>
      <c r="P2376">
        <v>359</v>
      </c>
      <c r="Q2376">
        <v>359</v>
      </c>
      <c r="R2376">
        <v>1</v>
      </c>
      <c r="S2376" t="s">
        <v>45</v>
      </c>
      <c r="T2376">
        <v>0</v>
      </c>
      <c r="U2376">
        <v>888</v>
      </c>
      <c r="V2376" t="s">
        <v>113</v>
      </c>
      <c r="W2376">
        <v>0.88700000000000001</v>
      </c>
      <c r="X2376">
        <v>24001</v>
      </c>
      <c r="Y2376" t="s">
        <v>47</v>
      </c>
      <c r="Z2376">
        <v>24</v>
      </c>
      <c r="AA2376">
        <v>730</v>
      </c>
      <c r="AB2376" t="s">
        <v>75</v>
      </c>
      <c r="AC2376">
        <v>0.72899999999999998</v>
      </c>
      <c r="AD2376">
        <v>771</v>
      </c>
      <c r="AE2376" t="s">
        <v>48</v>
      </c>
      <c r="AF2376">
        <v>0.77</v>
      </c>
      <c r="AG2376">
        <v>924</v>
      </c>
      <c r="AH2376" t="s">
        <v>49</v>
      </c>
      <c r="AI2376">
        <v>0.92300000000000004</v>
      </c>
      <c r="AJ2376" t="s">
        <v>1154</v>
      </c>
    </row>
    <row r="2377" spans="1:36" x14ac:dyDescent="0.25">
      <c r="A2377" t="s">
        <v>1142</v>
      </c>
      <c r="B2377">
        <v>851986797</v>
      </c>
      <c r="C2377" t="s">
        <v>1143</v>
      </c>
      <c r="D2377" t="s">
        <v>1143</v>
      </c>
      <c r="E2377" t="s">
        <v>37</v>
      </c>
      <c r="F2377" t="s">
        <v>71</v>
      </c>
      <c r="I2377" t="s">
        <v>39</v>
      </c>
      <c r="J2377" t="s">
        <v>40</v>
      </c>
      <c r="K2377" t="s">
        <v>41</v>
      </c>
      <c r="L2377" t="s">
        <v>429</v>
      </c>
      <c r="M2377" t="s">
        <v>282</v>
      </c>
      <c r="N2377" t="s">
        <v>43</v>
      </c>
      <c r="O2377" t="s">
        <v>184</v>
      </c>
      <c r="P2377">
        <v>359</v>
      </c>
      <c r="Q2377">
        <v>359</v>
      </c>
      <c r="R2377">
        <v>1</v>
      </c>
      <c r="S2377" t="s">
        <v>1139</v>
      </c>
      <c r="T2377">
        <v>0</v>
      </c>
      <c r="U2377">
        <v>1</v>
      </c>
      <c r="V2377" t="s">
        <v>1140</v>
      </c>
      <c r="W2377">
        <v>0</v>
      </c>
      <c r="X2377">
        <v>7001</v>
      </c>
      <c r="Y2377" t="s">
        <v>47</v>
      </c>
      <c r="Z2377">
        <v>7</v>
      </c>
      <c r="AA2377">
        <v>244</v>
      </c>
      <c r="AB2377" t="s">
        <v>47</v>
      </c>
      <c r="AC2377">
        <v>0.24299999999999999</v>
      </c>
      <c r="AD2377">
        <v>262</v>
      </c>
      <c r="AE2377" t="s">
        <v>56</v>
      </c>
      <c r="AF2377">
        <v>0.26100000000000001</v>
      </c>
      <c r="AH2377" t="s">
        <v>39</v>
      </c>
      <c r="AJ2377" t="s">
        <v>1141</v>
      </c>
    </row>
    <row r="2378" spans="1:36" x14ac:dyDescent="0.25">
      <c r="A2378" t="s">
        <v>326</v>
      </c>
      <c r="B2378">
        <v>856492286</v>
      </c>
      <c r="C2378" t="s">
        <v>327</v>
      </c>
      <c r="D2378" t="s">
        <v>327</v>
      </c>
      <c r="E2378" t="s">
        <v>37</v>
      </c>
      <c r="F2378" t="s">
        <v>38</v>
      </c>
      <c r="I2378" t="s">
        <v>39</v>
      </c>
      <c r="J2378" t="s">
        <v>40</v>
      </c>
      <c r="K2378" t="s">
        <v>41</v>
      </c>
      <c r="L2378" t="s">
        <v>94</v>
      </c>
      <c r="M2378" t="s">
        <v>55</v>
      </c>
      <c r="N2378" t="s">
        <v>43</v>
      </c>
      <c r="O2378" t="s">
        <v>328</v>
      </c>
      <c r="P2378">
        <v>359</v>
      </c>
      <c r="Q2378">
        <v>359</v>
      </c>
      <c r="R2378">
        <v>11</v>
      </c>
      <c r="S2378" t="s">
        <v>45</v>
      </c>
      <c r="T2378">
        <v>0.01</v>
      </c>
      <c r="U2378">
        <v>1000</v>
      </c>
      <c r="V2378" t="s">
        <v>46</v>
      </c>
      <c r="W2378">
        <v>0.999</v>
      </c>
      <c r="X2378">
        <v>24001</v>
      </c>
      <c r="Y2378" t="s">
        <v>47</v>
      </c>
      <c r="Z2378">
        <v>24</v>
      </c>
      <c r="AA2378">
        <v>418</v>
      </c>
      <c r="AB2378" t="s">
        <v>47</v>
      </c>
      <c r="AC2378">
        <v>0.41699999999999998</v>
      </c>
      <c r="AD2378">
        <v>834</v>
      </c>
      <c r="AE2378" t="s">
        <v>48</v>
      </c>
      <c r="AF2378">
        <v>0.83299999999999996</v>
      </c>
      <c r="AG2378">
        <v>982</v>
      </c>
      <c r="AH2378" t="s">
        <v>80</v>
      </c>
      <c r="AI2378">
        <v>0.98099999999999998</v>
      </c>
      <c r="AJ2378" t="s">
        <v>50</v>
      </c>
    </row>
    <row r="2379" spans="1:36" x14ac:dyDescent="0.25">
      <c r="A2379" t="s">
        <v>326</v>
      </c>
      <c r="B2379">
        <v>856492286</v>
      </c>
      <c r="C2379" t="s">
        <v>327</v>
      </c>
      <c r="D2379" t="s">
        <v>327</v>
      </c>
      <c r="E2379" t="s">
        <v>37</v>
      </c>
      <c r="F2379" t="s">
        <v>38</v>
      </c>
      <c r="I2379" t="s">
        <v>39</v>
      </c>
      <c r="J2379" t="s">
        <v>40</v>
      </c>
      <c r="K2379" t="s">
        <v>41</v>
      </c>
      <c r="L2379" t="s">
        <v>94</v>
      </c>
      <c r="M2379" t="s">
        <v>55</v>
      </c>
      <c r="N2379" t="s">
        <v>43</v>
      </c>
      <c r="O2379" t="s">
        <v>328</v>
      </c>
      <c r="P2379">
        <v>359</v>
      </c>
      <c r="Q2379">
        <v>359</v>
      </c>
      <c r="R2379">
        <v>11</v>
      </c>
      <c r="S2379" t="s">
        <v>45</v>
      </c>
      <c r="T2379">
        <v>0.01</v>
      </c>
      <c r="U2379">
        <v>1000</v>
      </c>
      <c r="V2379" t="s">
        <v>46</v>
      </c>
      <c r="W2379">
        <v>0.999</v>
      </c>
      <c r="X2379">
        <v>24001</v>
      </c>
      <c r="Y2379" t="s">
        <v>47</v>
      </c>
      <c r="Z2379">
        <v>24</v>
      </c>
      <c r="AA2379">
        <v>418</v>
      </c>
      <c r="AB2379" t="s">
        <v>47</v>
      </c>
      <c r="AC2379">
        <v>0.41699999999999998</v>
      </c>
      <c r="AD2379">
        <v>834</v>
      </c>
      <c r="AE2379" t="s">
        <v>48</v>
      </c>
      <c r="AF2379">
        <v>0.83299999999999996</v>
      </c>
      <c r="AG2379">
        <v>982</v>
      </c>
      <c r="AH2379" t="s">
        <v>80</v>
      </c>
      <c r="AI2379">
        <v>0.98099999999999998</v>
      </c>
      <c r="AJ2379" t="s">
        <v>1153</v>
      </c>
    </row>
    <row r="2380" spans="1:36" x14ac:dyDescent="0.25">
      <c r="A2380" t="s">
        <v>326</v>
      </c>
      <c r="B2380">
        <v>856492286</v>
      </c>
      <c r="C2380" t="s">
        <v>327</v>
      </c>
      <c r="D2380" t="s">
        <v>327</v>
      </c>
      <c r="E2380" t="s">
        <v>37</v>
      </c>
      <c r="F2380" t="s">
        <v>38</v>
      </c>
      <c r="I2380" t="s">
        <v>39</v>
      </c>
      <c r="J2380" t="s">
        <v>40</v>
      </c>
      <c r="K2380" t="s">
        <v>41</v>
      </c>
      <c r="L2380" t="s">
        <v>94</v>
      </c>
      <c r="M2380" t="s">
        <v>55</v>
      </c>
      <c r="N2380" t="s">
        <v>43</v>
      </c>
      <c r="O2380" t="s">
        <v>328</v>
      </c>
      <c r="P2380">
        <v>359</v>
      </c>
      <c r="Q2380">
        <v>359</v>
      </c>
      <c r="R2380">
        <v>11</v>
      </c>
      <c r="S2380" t="s">
        <v>45</v>
      </c>
      <c r="T2380">
        <v>0.01</v>
      </c>
      <c r="U2380">
        <v>1000</v>
      </c>
      <c r="V2380" t="s">
        <v>46</v>
      </c>
      <c r="W2380">
        <v>0.999</v>
      </c>
      <c r="X2380">
        <v>24001</v>
      </c>
      <c r="Y2380" t="s">
        <v>47</v>
      </c>
      <c r="Z2380">
        <v>24</v>
      </c>
      <c r="AA2380">
        <v>418</v>
      </c>
      <c r="AB2380" t="s">
        <v>47</v>
      </c>
      <c r="AC2380">
        <v>0.41699999999999998</v>
      </c>
      <c r="AD2380">
        <v>834</v>
      </c>
      <c r="AE2380" t="s">
        <v>48</v>
      </c>
      <c r="AF2380">
        <v>0.83299999999999996</v>
      </c>
      <c r="AG2380">
        <v>982</v>
      </c>
      <c r="AH2380" t="s">
        <v>80</v>
      </c>
      <c r="AI2380">
        <v>0.98099999999999998</v>
      </c>
      <c r="AJ2380" t="s">
        <v>1154</v>
      </c>
    </row>
    <row r="2381" spans="1:36" x14ac:dyDescent="0.25">
      <c r="A2381" t="s">
        <v>321</v>
      </c>
      <c r="B2381">
        <v>851668049</v>
      </c>
      <c r="C2381" t="s">
        <v>322</v>
      </c>
      <c r="D2381" t="s">
        <v>322</v>
      </c>
      <c r="E2381" t="s">
        <v>37</v>
      </c>
      <c r="F2381" t="s">
        <v>291</v>
      </c>
      <c r="I2381" t="s">
        <v>39</v>
      </c>
      <c r="J2381" t="s">
        <v>40</v>
      </c>
      <c r="K2381" t="s">
        <v>41</v>
      </c>
      <c r="L2381" t="s">
        <v>131</v>
      </c>
      <c r="M2381" t="s">
        <v>323</v>
      </c>
      <c r="N2381" t="s">
        <v>43</v>
      </c>
      <c r="O2381" t="s">
        <v>324</v>
      </c>
      <c r="P2381">
        <v>360</v>
      </c>
      <c r="Q2381">
        <v>360</v>
      </c>
      <c r="R2381">
        <v>1</v>
      </c>
      <c r="S2381" t="s">
        <v>45</v>
      </c>
      <c r="T2381">
        <v>0</v>
      </c>
      <c r="U2381">
        <v>898</v>
      </c>
      <c r="V2381" t="s">
        <v>113</v>
      </c>
      <c r="W2381">
        <v>0.89700000000000002</v>
      </c>
      <c r="X2381">
        <v>26001</v>
      </c>
      <c r="Y2381" t="s">
        <v>47</v>
      </c>
      <c r="Z2381">
        <v>26</v>
      </c>
      <c r="AA2381">
        <v>691</v>
      </c>
      <c r="AB2381" t="s">
        <v>75</v>
      </c>
      <c r="AC2381">
        <v>0.69</v>
      </c>
      <c r="AD2381">
        <v>744</v>
      </c>
      <c r="AE2381" t="s">
        <v>48</v>
      </c>
      <c r="AF2381">
        <v>0.74299999999999999</v>
      </c>
      <c r="AG2381">
        <v>521</v>
      </c>
      <c r="AH2381" t="s">
        <v>57</v>
      </c>
      <c r="AI2381">
        <v>0.52</v>
      </c>
      <c r="AJ2381" t="s">
        <v>50</v>
      </c>
    </row>
    <row r="2382" spans="1:36" x14ac:dyDescent="0.25">
      <c r="A2382" t="s">
        <v>321</v>
      </c>
      <c r="B2382">
        <v>851668049</v>
      </c>
      <c r="C2382" t="s">
        <v>322</v>
      </c>
      <c r="D2382" t="s">
        <v>322</v>
      </c>
      <c r="E2382" t="s">
        <v>65</v>
      </c>
      <c r="F2382" t="s">
        <v>291</v>
      </c>
      <c r="I2382" t="s">
        <v>39</v>
      </c>
      <c r="J2382" t="s">
        <v>40</v>
      </c>
      <c r="K2382" t="s">
        <v>41</v>
      </c>
      <c r="L2382" t="s">
        <v>131</v>
      </c>
      <c r="M2382" t="s">
        <v>323</v>
      </c>
      <c r="N2382" t="s">
        <v>43</v>
      </c>
      <c r="O2382" t="s">
        <v>325</v>
      </c>
      <c r="P2382">
        <v>360</v>
      </c>
      <c r="Q2382">
        <v>360</v>
      </c>
      <c r="R2382">
        <v>1</v>
      </c>
      <c r="S2382" t="s">
        <v>45</v>
      </c>
      <c r="T2382">
        <v>0</v>
      </c>
      <c r="U2382">
        <v>997</v>
      </c>
      <c r="V2382" t="s">
        <v>46</v>
      </c>
      <c r="W2382">
        <v>0.996</v>
      </c>
      <c r="X2382">
        <v>28001</v>
      </c>
      <c r="Y2382" t="s">
        <v>47</v>
      </c>
      <c r="Z2382">
        <v>28</v>
      </c>
      <c r="AA2382">
        <v>855</v>
      </c>
      <c r="AB2382" t="s">
        <v>75</v>
      </c>
      <c r="AC2382">
        <v>0.85399999999999998</v>
      </c>
      <c r="AD2382">
        <v>883</v>
      </c>
      <c r="AE2382" t="s">
        <v>48</v>
      </c>
      <c r="AF2382">
        <v>0.88200000000000001</v>
      </c>
      <c r="AG2382">
        <v>963</v>
      </c>
      <c r="AH2382" t="s">
        <v>80</v>
      </c>
      <c r="AI2382">
        <v>0.96199999999999997</v>
      </c>
      <c r="AJ2382" t="s">
        <v>50</v>
      </c>
    </row>
    <row r="2383" spans="1:36" x14ac:dyDescent="0.25">
      <c r="A2383" t="s">
        <v>321</v>
      </c>
      <c r="B2383">
        <v>851668049</v>
      </c>
      <c r="C2383" t="s">
        <v>322</v>
      </c>
      <c r="D2383" t="s">
        <v>322</v>
      </c>
      <c r="E2383" t="s">
        <v>60</v>
      </c>
      <c r="F2383" t="s">
        <v>291</v>
      </c>
      <c r="I2383" t="s">
        <v>39</v>
      </c>
      <c r="J2383" t="s">
        <v>40</v>
      </c>
      <c r="K2383" t="s">
        <v>41</v>
      </c>
      <c r="L2383" t="s">
        <v>131</v>
      </c>
      <c r="M2383" t="s">
        <v>323</v>
      </c>
      <c r="N2383" t="s">
        <v>43</v>
      </c>
      <c r="O2383" t="s">
        <v>229</v>
      </c>
      <c r="P2383">
        <v>360</v>
      </c>
      <c r="Q2383">
        <v>360</v>
      </c>
      <c r="R2383">
        <v>1</v>
      </c>
      <c r="S2383" t="s">
        <v>45</v>
      </c>
      <c r="T2383">
        <v>0</v>
      </c>
      <c r="U2383">
        <v>811</v>
      </c>
      <c r="V2383" t="s">
        <v>113</v>
      </c>
      <c r="W2383">
        <v>0.81</v>
      </c>
      <c r="X2383">
        <v>26001</v>
      </c>
      <c r="Y2383" t="s">
        <v>47</v>
      </c>
      <c r="Z2383">
        <v>26</v>
      </c>
      <c r="AA2383">
        <v>781</v>
      </c>
      <c r="AB2383" t="s">
        <v>75</v>
      </c>
      <c r="AC2383">
        <v>0.78</v>
      </c>
      <c r="AD2383">
        <v>777</v>
      </c>
      <c r="AE2383" t="s">
        <v>48</v>
      </c>
      <c r="AF2383">
        <v>0.77600000000000002</v>
      </c>
      <c r="AG2383">
        <v>773</v>
      </c>
      <c r="AH2383" t="s">
        <v>49</v>
      </c>
      <c r="AI2383">
        <v>0.77200000000000002</v>
      </c>
      <c r="AJ2383" t="s">
        <v>50</v>
      </c>
    </row>
    <row r="2384" spans="1:36" x14ac:dyDescent="0.25">
      <c r="A2384" t="s">
        <v>321</v>
      </c>
      <c r="B2384">
        <v>851668049</v>
      </c>
      <c r="C2384" t="s">
        <v>322</v>
      </c>
      <c r="D2384" t="s">
        <v>322</v>
      </c>
      <c r="E2384" t="s">
        <v>37</v>
      </c>
      <c r="F2384" t="s">
        <v>291</v>
      </c>
      <c r="I2384" t="s">
        <v>39</v>
      </c>
      <c r="J2384" t="s">
        <v>40</v>
      </c>
      <c r="K2384" t="s">
        <v>41</v>
      </c>
      <c r="L2384" t="s">
        <v>131</v>
      </c>
      <c r="M2384" t="s">
        <v>323</v>
      </c>
      <c r="N2384" t="s">
        <v>43</v>
      </c>
      <c r="O2384" t="s">
        <v>324</v>
      </c>
      <c r="P2384">
        <v>360</v>
      </c>
      <c r="Q2384">
        <v>360</v>
      </c>
      <c r="R2384">
        <v>1</v>
      </c>
      <c r="S2384" t="s">
        <v>45</v>
      </c>
      <c r="T2384">
        <v>0</v>
      </c>
      <c r="U2384">
        <v>898</v>
      </c>
      <c r="V2384" t="s">
        <v>113</v>
      </c>
      <c r="W2384">
        <v>0.89700000000000002</v>
      </c>
      <c r="X2384">
        <v>26001</v>
      </c>
      <c r="Y2384" t="s">
        <v>47</v>
      </c>
      <c r="Z2384">
        <v>26</v>
      </c>
      <c r="AA2384">
        <v>691</v>
      </c>
      <c r="AB2384" t="s">
        <v>75</v>
      </c>
      <c r="AC2384">
        <v>0.69</v>
      </c>
      <c r="AD2384">
        <v>744</v>
      </c>
      <c r="AE2384" t="s">
        <v>48</v>
      </c>
      <c r="AF2384">
        <v>0.74299999999999999</v>
      </c>
      <c r="AG2384">
        <v>521</v>
      </c>
      <c r="AH2384" t="s">
        <v>57</v>
      </c>
      <c r="AI2384">
        <v>0.52</v>
      </c>
      <c r="AJ2384" t="s">
        <v>1153</v>
      </c>
    </row>
    <row r="2385" spans="1:36" x14ac:dyDescent="0.25">
      <c r="A2385" t="s">
        <v>321</v>
      </c>
      <c r="B2385">
        <v>851668049</v>
      </c>
      <c r="C2385" t="s">
        <v>322</v>
      </c>
      <c r="D2385" t="s">
        <v>322</v>
      </c>
      <c r="E2385" t="s">
        <v>65</v>
      </c>
      <c r="F2385" t="s">
        <v>291</v>
      </c>
      <c r="I2385" t="s">
        <v>39</v>
      </c>
      <c r="J2385" t="s">
        <v>40</v>
      </c>
      <c r="K2385" t="s">
        <v>41</v>
      </c>
      <c r="L2385" t="s">
        <v>131</v>
      </c>
      <c r="M2385" t="s">
        <v>323</v>
      </c>
      <c r="N2385" t="s">
        <v>43</v>
      </c>
      <c r="O2385" t="s">
        <v>325</v>
      </c>
      <c r="P2385">
        <v>360</v>
      </c>
      <c r="Q2385">
        <v>360</v>
      </c>
      <c r="R2385">
        <v>1</v>
      </c>
      <c r="S2385" t="s">
        <v>45</v>
      </c>
      <c r="T2385">
        <v>0</v>
      </c>
      <c r="U2385">
        <v>997</v>
      </c>
      <c r="V2385" t="s">
        <v>46</v>
      </c>
      <c r="W2385">
        <v>0.996</v>
      </c>
      <c r="X2385">
        <v>28001</v>
      </c>
      <c r="Y2385" t="s">
        <v>47</v>
      </c>
      <c r="Z2385">
        <v>28</v>
      </c>
      <c r="AA2385">
        <v>855</v>
      </c>
      <c r="AB2385" t="s">
        <v>75</v>
      </c>
      <c r="AC2385">
        <v>0.85399999999999998</v>
      </c>
      <c r="AD2385">
        <v>883</v>
      </c>
      <c r="AE2385" t="s">
        <v>48</v>
      </c>
      <c r="AF2385">
        <v>0.88200000000000001</v>
      </c>
      <c r="AG2385">
        <v>963</v>
      </c>
      <c r="AH2385" t="s">
        <v>80</v>
      </c>
      <c r="AI2385">
        <v>0.96199999999999997</v>
      </c>
      <c r="AJ2385" t="s">
        <v>1153</v>
      </c>
    </row>
    <row r="2386" spans="1:36" x14ac:dyDescent="0.25">
      <c r="A2386" t="s">
        <v>321</v>
      </c>
      <c r="B2386">
        <v>851668049</v>
      </c>
      <c r="C2386" t="s">
        <v>322</v>
      </c>
      <c r="D2386" t="s">
        <v>322</v>
      </c>
      <c r="E2386" t="s">
        <v>60</v>
      </c>
      <c r="F2386" t="s">
        <v>291</v>
      </c>
      <c r="I2386" t="s">
        <v>39</v>
      </c>
      <c r="J2386" t="s">
        <v>40</v>
      </c>
      <c r="K2386" t="s">
        <v>41</v>
      </c>
      <c r="L2386" t="s">
        <v>131</v>
      </c>
      <c r="M2386" t="s">
        <v>323</v>
      </c>
      <c r="N2386" t="s">
        <v>43</v>
      </c>
      <c r="O2386" t="s">
        <v>229</v>
      </c>
      <c r="P2386">
        <v>360</v>
      </c>
      <c r="Q2386">
        <v>360</v>
      </c>
      <c r="R2386">
        <v>1</v>
      </c>
      <c r="S2386" t="s">
        <v>45</v>
      </c>
      <c r="T2386">
        <v>0</v>
      </c>
      <c r="U2386">
        <v>811</v>
      </c>
      <c r="V2386" t="s">
        <v>113</v>
      </c>
      <c r="W2386">
        <v>0.81</v>
      </c>
      <c r="X2386">
        <v>26001</v>
      </c>
      <c r="Y2386" t="s">
        <v>47</v>
      </c>
      <c r="Z2386">
        <v>26</v>
      </c>
      <c r="AA2386">
        <v>781</v>
      </c>
      <c r="AB2386" t="s">
        <v>75</v>
      </c>
      <c r="AC2386">
        <v>0.78</v>
      </c>
      <c r="AD2386">
        <v>777</v>
      </c>
      <c r="AE2386" t="s">
        <v>48</v>
      </c>
      <c r="AF2386">
        <v>0.77600000000000002</v>
      </c>
      <c r="AG2386">
        <v>773</v>
      </c>
      <c r="AH2386" t="s">
        <v>49</v>
      </c>
      <c r="AI2386">
        <v>0.77200000000000002</v>
      </c>
      <c r="AJ2386" t="s">
        <v>1153</v>
      </c>
    </row>
    <row r="2387" spans="1:36" x14ac:dyDescent="0.25">
      <c r="A2387" t="s">
        <v>321</v>
      </c>
      <c r="B2387">
        <v>851668049</v>
      </c>
      <c r="C2387" t="s">
        <v>322</v>
      </c>
      <c r="D2387" t="s">
        <v>322</v>
      </c>
      <c r="E2387" t="s">
        <v>37</v>
      </c>
      <c r="F2387" t="s">
        <v>291</v>
      </c>
      <c r="I2387" t="s">
        <v>39</v>
      </c>
      <c r="J2387" t="s">
        <v>40</v>
      </c>
      <c r="K2387" t="s">
        <v>41</v>
      </c>
      <c r="L2387" t="s">
        <v>131</v>
      </c>
      <c r="M2387" t="s">
        <v>323</v>
      </c>
      <c r="N2387" t="s">
        <v>43</v>
      </c>
      <c r="O2387" t="s">
        <v>324</v>
      </c>
      <c r="P2387">
        <v>360</v>
      </c>
      <c r="Q2387">
        <v>360</v>
      </c>
      <c r="R2387">
        <v>1</v>
      </c>
      <c r="S2387" t="s">
        <v>45</v>
      </c>
      <c r="T2387">
        <v>0</v>
      </c>
      <c r="U2387">
        <v>898</v>
      </c>
      <c r="V2387" t="s">
        <v>113</v>
      </c>
      <c r="W2387">
        <v>0.89700000000000002</v>
      </c>
      <c r="X2387">
        <v>26001</v>
      </c>
      <c r="Y2387" t="s">
        <v>47</v>
      </c>
      <c r="Z2387">
        <v>26</v>
      </c>
      <c r="AA2387">
        <v>691</v>
      </c>
      <c r="AB2387" t="s">
        <v>75</v>
      </c>
      <c r="AC2387">
        <v>0.69</v>
      </c>
      <c r="AD2387">
        <v>744</v>
      </c>
      <c r="AE2387" t="s">
        <v>48</v>
      </c>
      <c r="AF2387">
        <v>0.74299999999999999</v>
      </c>
      <c r="AG2387">
        <v>521</v>
      </c>
      <c r="AH2387" t="s">
        <v>57</v>
      </c>
      <c r="AI2387">
        <v>0.52</v>
      </c>
      <c r="AJ2387" t="s">
        <v>1154</v>
      </c>
    </row>
    <row r="2388" spans="1:36" x14ac:dyDescent="0.25">
      <c r="A2388" t="s">
        <v>321</v>
      </c>
      <c r="B2388">
        <v>851668049</v>
      </c>
      <c r="C2388" t="s">
        <v>322</v>
      </c>
      <c r="D2388" t="s">
        <v>322</v>
      </c>
      <c r="E2388" t="s">
        <v>65</v>
      </c>
      <c r="F2388" t="s">
        <v>291</v>
      </c>
      <c r="I2388" t="s">
        <v>39</v>
      </c>
      <c r="J2388" t="s">
        <v>40</v>
      </c>
      <c r="K2388" t="s">
        <v>41</v>
      </c>
      <c r="L2388" t="s">
        <v>131</v>
      </c>
      <c r="M2388" t="s">
        <v>323</v>
      </c>
      <c r="N2388" t="s">
        <v>43</v>
      </c>
      <c r="O2388" t="s">
        <v>325</v>
      </c>
      <c r="P2388">
        <v>360</v>
      </c>
      <c r="Q2388">
        <v>360</v>
      </c>
      <c r="R2388">
        <v>1</v>
      </c>
      <c r="S2388" t="s">
        <v>45</v>
      </c>
      <c r="T2388">
        <v>0</v>
      </c>
      <c r="U2388">
        <v>997</v>
      </c>
      <c r="V2388" t="s">
        <v>46</v>
      </c>
      <c r="W2388">
        <v>0.996</v>
      </c>
      <c r="X2388">
        <v>28001</v>
      </c>
      <c r="Y2388" t="s">
        <v>47</v>
      </c>
      <c r="Z2388">
        <v>28</v>
      </c>
      <c r="AA2388">
        <v>855</v>
      </c>
      <c r="AB2388" t="s">
        <v>75</v>
      </c>
      <c r="AC2388">
        <v>0.85399999999999998</v>
      </c>
      <c r="AD2388">
        <v>883</v>
      </c>
      <c r="AE2388" t="s">
        <v>48</v>
      </c>
      <c r="AF2388">
        <v>0.88200000000000001</v>
      </c>
      <c r="AG2388">
        <v>963</v>
      </c>
      <c r="AH2388" t="s">
        <v>80</v>
      </c>
      <c r="AI2388">
        <v>0.96199999999999997</v>
      </c>
      <c r="AJ2388" t="s">
        <v>1154</v>
      </c>
    </row>
    <row r="2389" spans="1:36" x14ac:dyDescent="0.25">
      <c r="A2389" t="s">
        <v>321</v>
      </c>
      <c r="B2389">
        <v>851668049</v>
      </c>
      <c r="C2389" t="s">
        <v>322</v>
      </c>
      <c r="D2389" t="s">
        <v>322</v>
      </c>
      <c r="E2389" t="s">
        <v>60</v>
      </c>
      <c r="F2389" t="s">
        <v>291</v>
      </c>
      <c r="I2389" t="s">
        <v>39</v>
      </c>
      <c r="J2389" t="s">
        <v>40</v>
      </c>
      <c r="K2389" t="s">
        <v>41</v>
      </c>
      <c r="L2389" t="s">
        <v>131</v>
      </c>
      <c r="M2389" t="s">
        <v>323</v>
      </c>
      <c r="N2389" t="s">
        <v>43</v>
      </c>
      <c r="O2389" t="s">
        <v>229</v>
      </c>
      <c r="P2389">
        <v>360</v>
      </c>
      <c r="Q2389">
        <v>360</v>
      </c>
      <c r="R2389">
        <v>1</v>
      </c>
      <c r="S2389" t="s">
        <v>45</v>
      </c>
      <c r="T2389">
        <v>0</v>
      </c>
      <c r="U2389">
        <v>811</v>
      </c>
      <c r="V2389" t="s">
        <v>113</v>
      </c>
      <c r="W2389">
        <v>0.81</v>
      </c>
      <c r="X2389">
        <v>26001</v>
      </c>
      <c r="Y2389" t="s">
        <v>47</v>
      </c>
      <c r="Z2389">
        <v>26</v>
      </c>
      <c r="AA2389">
        <v>781</v>
      </c>
      <c r="AB2389" t="s">
        <v>75</v>
      </c>
      <c r="AC2389">
        <v>0.78</v>
      </c>
      <c r="AD2389">
        <v>777</v>
      </c>
      <c r="AE2389" t="s">
        <v>48</v>
      </c>
      <c r="AF2389">
        <v>0.77600000000000002</v>
      </c>
      <c r="AG2389">
        <v>773</v>
      </c>
      <c r="AH2389" t="s">
        <v>49</v>
      </c>
      <c r="AI2389">
        <v>0.77200000000000002</v>
      </c>
      <c r="AJ2389" t="s">
        <v>1154</v>
      </c>
    </row>
    <row r="2390" spans="1:36" x14ac:dyDescent="0.25">
      <c r="A2390" t="s">
        <v>298</v>
      </c>
      <c r="B2390">
        <v>853243921</v>
      </c>
      <c r="C2390" t="s">
        <v>299</v>
      </c>
      <c r="D2390" t="s">
        <v>299</v>
      </c>
      <c r="E2390" t="s">
        <v>99</v>
      </c>
      <c r="F2390" t="s">
        <v>143</v>
      </c>
      <c r="I2390" t="s">
        <v>39</v>
      </c>
      <c r="J2390" t="s">
        <v>40</v>
      </c>
      <c r="K2390" t="s">
        <v>41</v>
      </c>
      <c r="L2390" t="s">
        <v>300</v>
      </c>
      <c r="N2390" t="s">
        <v>43</v>
      </c>
      <c r="O2390" t="s">
        <v>163</v>
      </c>
      <c r="P2390">
        <v>360</v>
      </c>
      <c r="Q2390">
        <v>360</v>
      </c>
      <c r="S2390" t="s">
        <v>39</v>
      </c>
      <c r="V2390" t="s">
        <v>39</v>
      </c>
      <c r="X2390">
        <v>1</v>
      </c>
      <c r="Y2390" t="s">
        <v>47</v>
      </c>
      <c r="Z2390">
        <v>0</v>
      </c>
      <c r="AA2390">
        <v>166</v>
      </c>
      <c r="AB2390" t="s">
        <v>47</v>
      </c>
      <c r="AC2390">
        <v>0.16500000000000001</v>
      </c>
      <c r="AD2390">
        <v>226</v>
      </c>
      <c r="AE2390" t="s">
        <v>56</v>
      </c>
      <c r="AF2390">
        <v>0.22500000000000001</v>
      </c>
      <c r="AG2390">
        <v>24</v>
      </c>
      <c r="AH2390" t="s">
        <v>103</v>
      </c>
      <c r="AI2390">
        <v>2.3E-2</v>
      </c>
      <c r="AJ2390" t="s">
        <v>1155</v>
      </c>
    </row>
    <row r="2391" spans="1:36" x14ac:dyDescent="0.25">
      <c r="A2391" t="s">
        <v>318</v>
      </c>
      <c r="B2391">
        <v>855858936</v>
      </c>
      <c r="C2391" t="s">
        <v>319</v>
      </c>
      <c r="D2391" t="s">
        <v>319</v>
      </c>
      <c r="E2391" t="s">
        <v>60</v>
      </c>
      <c r="F2391" t="s">
        <v>61</v>
      </c>
      <c r="I2391" t="s">
        <v>39</v>
      </c>
      <c r="J2391" t="s">
        <v>40</v>
      </c>
      <c r="K2391" t="s">
        <v>41</v>
      </c>
      <c r="L2391" t="s">
        <v>320</v>
      </c>
      <c r="N2391" t="s">
        <v>43</v>
      </c>
      <c r="O2391" t="s">
        <v>226</v>
      </c>
      <c r="P2391">
        <v>360</v>
      </c>
      <c r="Q2391">
        <v>360</v>
      </c>
      <c r="R2391">
        <v>1</v>
      </c>
      <c r="S2391" t="s">
        <v>45</v>
      </c>
      <c r="T2391">
        <v>0</v>
      </c>
      <c r="U2391">
        <v>987</v>
      </c>
      <c r="V2391" t="s">
        <v>46</v>
      </c>
      <c r="W2391">
        <v>0.98599999999999999</v>
      </c>
      <c r="X2391">
        <v>28001</v>
      </c>
      <c r="Y2391" t="s">
        <v>47</v>
      </c>
      <c r="Z2391">
        <v>28</v>
      </c>
      <c r="AA2391">
        <v>789</v>
      </c>
      <c r="AB2391" t="s">
        <v>75</v>
      </c>
      <c r="AC2391">
        <v>0.78800000000000003</v>
      </c>
      <c r="AD2391">
        <v>863</v>
      </c>
      <c r="AE2391" t="s">
        <v>48</v>
      </c>
      <c r="AF2391">
        <v>0.86199999999999999</v>
      </c>
      <c r="AG2391">
        <v>989</v>
      </c>
      <c r="AH2391" t="s">
        <v>80</v>
      </c>
      <c r="AI2391">
        <v>0.98799999999999999</v>
      </c>
      <c r="AJ2391" t="s">
        <v>50</v>
      </c>
    </row>
    <row r="2392" spans="1:36" x14ac:dyDescent="0.25">
      <c r="A2392" t="s">
        <v>318</v>
      </c>
      <c r="B2392">
        <v>855858936</v>
      </c>
      <c r="C2392" t="s">
        <v>319</v>
      </c>
      <c r="D2392" t="s">
        <v>319</v>
      </c>
      <c r="E2392" t="s">
        <v>60</v>
      </c>
      <c r="F2392" t="s">
        <v>61</v>
      </c>
      <c r="I2392" t="s">
        <v>39</v>
      </c>
      <c r="J2392" t="s">
        <v>40</v>
      </c>
      <c r="K2392" t="s">
        <v>41</v>
      </c>
      <c r="L2392" t="s">
        <v>320</v>
      </c>
      <c r="N2392" t="s">
        <v>43</v>
      </c>
      <c r="O2392" t="s">
        <v>226</v>
      </c>
      <c r="P2392">
        <v>360</v>
      </c>
      <c r="Q2392">
        <v>360</v>
      </c>
      <c r="R2392">
        <v>1</v>
      </c>
      <c r="S2392" t="s">
        <v>45</v>
      </c>
      <c r="T2392">
        <v>0</v>
      </c>
      <c r="U2392">
        <v>987</v>
      </c>
      <c r="V2392" t="s">
        <v>46</v>
      </c>
      <c r="W2392">
        <v>0.98599999999999999</v>
      </c>
      <c r="X2392">
        <v>28001</v>
      </c>
      <c r="Y2392" t="s">
        <v>47</v>
      </c>
      <c r="Z2392">
        <v>28</v>
      </c>
      <c r="AA2392">
        <v>789</v>
      </c>
      <c r="AB2392" t="s">
        <v>75</v>
      </c>
      <c r="AC2392">
        <v>0.78800000000000003</v>
      </c>
      <c r="AD2392">
        <v>863</v>
      </c>
      <c r="AE2392" t="s">
        <v>48</v>
      </c>
      <c r="AF2392">
        <v>0.86199999999999999</v>
      </c>
      <c r="AG2392">
        <v>989</v>
      </c>
      <c r="AH2392" t="s">
        <v>80</v>
      </c>
      <c r="AI2392">
        <v>0.98799999999999999</v>
      </c>
      <c r="AJ2392" t="s">
        <v>1153</v>
      </c>
    </row>
    <row r="2393" spans="1:36" x14ac:dyDescent="0.25">
      <c r="A2393" t="s">
        <v>318</v>
      </c>
      <c r="B2393">
        <v>855858936</v>
      </c>
      <c r="C2393" t="s">
        <v>319</v>
      </c>
      <c r="D2393" t="s">
        <v>319</v>
      </c>
      <c r="E2393" t="s">
        <v>60</v>
      </c>
      <c r="F2393" t="s">
        <v>61</v>
      </c>
      <c r="I2393" t="s">
        <v>39</v>
      </c>
      <c r="J2393" t="s">
        <v>40</v>
      </c>
      <c r="K2393" t="s">
        <v>41</v>
      </c>
      <c r="L2393" t="s">
        <v>320</v>
      </c>
      <c r="N2393" t="s">
        <v>43</v>
      </c>
      <c r="O2393" t="s">
        <v>226</v>
      </c>
      <c r="P2393">
        <v>360</v>
      </c>
      <c r="Q2393">
        <v>360</v>
      </c>
      <c r="R2393">
        <v>1</v>
      </c>
      <c r="S2393" t="s">
        <v>45</v>
      </c>
      <c r="T2393">
        <v>0</v>
      </c>
      <c r="U2393">
        <v>987</v>
      </c>
      <c r="V2393" t="s">
        <v>46</v>
      </c>
      <c r="W2393">
        <v>0.98599999999999999</v>
      </c>
      <c r="X2393">
        <v>28001</v>
      </c>
      <c r="Y2393" t="s">
        <v>47</v>
      </c>
      <c r="Z2393">
        <v>28</v>
      </c>
      <c r="AA2393">
        <v>789</v>
      </c>
      <c r="AB2393" t="s">
        <v>75</v>
      </c>
      <c r="AC2393">
        <v>0.78800000000000003</v>
      </c>
      <c r="AD2393">
        <v>863</v>
      </c>
      <c r="AE2393" t="s">
        <v>48</v>
      </c>
      <c r="AF2393">
        <v>0.86199999999999999</v>
      </c>
      <c r="AG2393">
        <v>989</v>
      </c>
      <c r="AH2393" t="s">
        <v>80</v>
      </c>
      <c r="AI2393">
        <v>0.98799999999999999</v>
      </c>
      <c r="AJ2393" t="s">
        <v>1154</v>
      </c>
    </row>
    <row r="2394" spans="1:36" x14ac:dyDescent="0.25">
      <c r="A2394" t="s">
        <v>296</v>
      </c>
      <c r="B2394">
        <v>856154763</v>
      </c>
      <c r="C2394" t="s">
        <v>297</v>
      </c>
      <c r="D2394" t="s">
        <v>297</v>
      </c>
      <c r="E2394" t="s">
        <v>99</v>
      </c>
      <c r="F2394" t="s">
        <v>136</v>
      </c>
      <c r="I2394" t="s">
        <v>39</v>
      </c>
      <c r="J2394" t="s">
        <v>40</v>
      </c>
      <c r="K2394" t="s">
        <v>41</v>
      </c>
      <c r="L2394" t="s">
        <v>137</v>
      </c>
      <c r="M2394" t="s">
        <v>47</v>
      </c>
      <c r="N2394" t="s">
        <v>43</v>
      </c>
      <c r="O2394" t="s">
        <v>205</v>
      </c>
      <c r="P2394">
        <v>360</v>
      </c>
      <c r="Q2394">
        <v>360</v>
      </c>
      <c r="S2394" t="s">
        <v>39</v>
      </c>
      <c r="V2394" t="s">
        <v>39</v>
      </c>
      <c r="X2394">
        <v>1</v>
      </c>
      <c r="Y2394" t="s">
        <v>47</v>
      </c>
      <c r="Z2394">
        <v>0</v>
      </c>
      <c r="AA2394">
        <v>368</v>
      </c>
      <c r="AB2394" t="s">
        <v>47</v>
      </c>
      <c r="AC2394">
        <v>0.36699999999999999</v>
      </c>
      <c r="AD2394">
        <v>538</v>
      </c>
      <c r="AE2394" t="s">
        <v>48</v>
      </c>
      <c r="AF2394">
        <v>0.53700000000000003</v>
      </c>
      <c r="AG2394">
        <v>326</v>
      </c>
      <c r="AH2394" t="s">
        <v>57</v>
      </c>
      <c r="AI2394">
        <v>0.32500000000000001</v>
      </c>
      <c r="AJ2394" t="s">
        <v>1155</v>
      </c>
    </row>
    <row r="2395" spans="1:36" x14ac:dyDescent="0.25">
      <c r="A2395" t="s">
        <v>311</v>
      </c>
      <c r="B2395">
        <v>851651957</v>
      </c>
      <c r="C2395" t="s">
        <v>312</v>
      </c>
      <c r="D2395" t="s">
        <v>312</v>
      </c>
      <c r="E2395" t="s">
        <v>99</v>
      </c>
      <c r="F2395" t="s">
        <v>214</v>
      </c>
      <c r="I2395" t="s">
        <v>39</v>
      </c>
      <c r="J2395" t="s">
        <v>40</v>
      </c>
      <c r="K2395" t="s">
        <v>41</v>
      </c>
      <c r="L2395" t="s">
        <v>313</v>
      </c>
      <c r="N2395" t="s">
        <v>43</v>
      </c>
      <c r="O2395" t="s">
        <v>314</v>
      </c>
      <c r="P2395">
        <v>361</v>
      </c>
      <c r="Q2395">
        <v>361</v>
      </c>
      <c r="R2395">
        <v>11</v>
      </c>
      <c r="S2395" t="s">
        <v>45</v>
      </c>
      <c r="T2395">
        <v>0.01</v>
      </c>
      <c r="U2395">
        <v>929</v>
      </c>
      <c r="V2395" t="s">
        <v>46</v>
      </c>
      <c r="W2395">
        <v>0.92800000000000005</v>
      </c>
      <c r="X2395">
        <v>24001</v>
      </c>
      <c r="Y2395" t="s">
        <v>47</v>
      </c>
      <c r="Z2395">
        <v>24</v>
      </c>
      <c r="AA2395">
        <v>652</v>
      </c>
      <c r="AB2395" t="s">
        <v>75</v>
      </c>
      <c r="AC2395">
        <v>0.65100000000000002</v>
      </c>
      <c r="AD2395">
        <v>801</v>
      </c>
      <c r="AE2395" t="s">
        <v>48</v>
      </c>
      <c r="AF2395">
        <v>0.8</v>
      </c>
      <c r="AG2395">
        <v>918</v>
      </c>
      <c r="AH2395" t="s">
        <v>49</v>
      </c>
      <c r="AI2395">
        <v>0.91700000000000004</v>
      </c>
      <c r="AJ2395" t="s">
        <v>50</v>
      </c>
    </row>
    <row r="2396" spans="1:36" x14ac:dyDescent="0.25">
      <c r="A2396" t="s">
        <v>311</v>
      </c>
      <c r="B2396">
        <v>851651957</v>
      </c>
      <c r="C2396" t="s">
        <v>312</v>
      </c>
      <c r="D2396" t="s">
        <v>312</v>
      </c>
      <c r="E2396" t="s">
        <v>65</v>
      </c>
      <c r="F2396" t="s">
        <v>214</v>
      </c>
      <c r="I2396" t="s">
        <v>39</v>
      </c>
      <c r="J2396" t="s">
        <v>40</v>
      </c>
      <c r="K2396" t="s">
        <v>41</v>
      </c>
      <c r="L2396" t="s">
        <v>313</v>
      </c>
      <c r="N2396" t="s">
        <v>43</v>
      </c>
      <c r="O2396" t="s">
        <v>315</v>
      </c>
      <c r="P2396">
        <v>361</v>
      </c>
      <c r="Q2396">
        <v>361</v>
      </c>
      <c r="R2396">
        <v>91</v>
      </c>
      <c r="S2396" t="s">
        <v>56</v>
      </c>
      <c r="T2396">
        <v>0.09</v>
      </c>
      <c r="U2396">
        <v>895</v>
      </c>
      <c r="V2396" t="s">
        <v>113</v>
      </c>
      <c r="W2396">
        <v>0.89400000000000002</v>
      </c>
      <c r="X2396">
        <v>21001</v>
      </c>
      <c r="Y2396" t="s">
        <v>47</v>
      </c>
      <c r="Z2396">
        <v>21</v>
      </c>
      <c r="AA2396">
        <v>427</v>
      </c>
      <c r="AB2396" t="s">
        <v>47</v>
      </c>
      <c r="AC2396">
        <v>0.42599999999999999</v>
      </c>
      <c r="AD2396">
        <v>640</v>
      </c>
      <c r="AE2396" t="s">
        <v>48</v>
      </c>
      <c r="AF2396">
        <v>0.63900000000000001</v>
      </c>
      <c r="AG2396">
        <v>455</v>
      </c>
      <c r="AH2396" t="s">
        <v>57</v>
      </c>
      <c r="AI2396">
        <v>0.45400000000000001</v>
      </c>
      <c r="AJ2396" t="s">
        <v>50</v>
      </c>
    </row>
    <row r="2397" spans="1:36" x14ac:dyDescent="0.25">
      <c r="A2397" t="s">
        <v>311</v>
      </c>
      <c r="B2397">
        <v>851651957</v>
      </c>
      <c r="C2397" t="s">
        <v>312</v>
      </c>
      <c r="D2397" t="s">
        <v>312</v>
      </c>
      <c r="E2397" t="s">
        <v>99</v>
      </c>
      <c r="F2397" t="s">
        <v>214</v>
      </c>
      <c r="I2397" t="s">
        <v>39</v>
      </c>
      <c r="J2397" t="s">
        <v>40</v>
      </c>
      <c r="K2397" t="s">
        <v>41</v>
      </c>
      <c r="L2397" t="s">
        <v>313</v>
      </c>
      <c r="N2397" t="s">
        <v>43</v>
      </c>
      <c r="O2397" t="s">
        <v>314</v>
      </c>
      <c r="P2397">
        <v>361</v>
      </c>
      <c r="Q2397">
        <v>361</v>
      </c>
      <c r="R2397">
        <v>11</v>
      </c>
      <c r="S2397" t="s">
        <v>45</v>
      </c>
      <c r="T2397">
        <v>0.01</v>
      </c>
      <c r="U2397">
        <v>929</v>
      </c>
      <c r="V2397" t="s">
        <v>46</v>
      </c>
      <c r="W2397">
        <v>0.92800000000000005</v>
      </c>
      <c r="X2397">
        <v>24001</v>
      </c>
      <c r="Y2397" t="s">
        <v>47</v>
      </c>
      <c r="Z2397">
        <v>24</v>
      </c>
      <c r="AA2397">
        <v>652</v>
      </c>
      <c r="AB2397" t="s">
        <v>75</v>
      </c>
      <c r="AC2397">
        <v>0.65100000000000002</v>
      </c>
      <c r="AD2397">
        <v>801</v>
      </c>
      <c r="AE2397" t="s">
        <v>48</v>
      </c>
      <c r="AF2397">
        <v>0.8</v>
      </c>
      <c r="AG2397">
        <v>918</v>
      </c>
      <c r="AH2397" t="s">
        <v>49</v>
      </c>
      <c r="AI2397">
        <v>0.91700000000000004</v>
      </c>
      <c r="AJ2397" t="s">
        <v>1153</v>
      </c>
    </row>
    <row r="2398" spans="1:36" x14ac:dyDescent="0.25">
      <c r="A2398" t="s">
        <v>311</v>
      </c>
      <c r="B2398">
        <v>851651957</v>
      </c>
      <c r="C2398" t="s">
        <v>312</v>
      </c>
      <c r="D2398" t="s">
        <v>312</v>
      </c>
      <c r="E2398" t="s">
        <v>65</v>
      </c>
      <c r="F2398" t="s">
        <v>214</v>
      </c>
      <c r="I2398" t="s">
        <v>39</v>
      </c>
      <c r="J2398" t="s">
        <v>40</v>
      </c>
      <c r="K2398" t="s">
        <v>41</v>
      </c>
      <c r="L2398" t="s">
        <v>313</v>
      </c>
      <c r="N2398" t="s">
        <v>43</v>
      </c>
      <c r="O2398" t="s">
        <v>315</v>
      </c>
      <c r="P2398">
        <v>361</v>
      </c>
      <c r="Q2398">
        <v>361</v>
      </c>
      <c r="R2398">
        <v>91</v>
      </c>
      <c r="S2398" t="s">
        <v>56</v>
      </c>
      <c r="T2398">
        <v>0.09</v>
      </c>
      <c r="U2398">
        <v>895</v>
      </c>
      <c r="V2398" t="s">
        <v>113</v>
      </c>
      <c r="W2398">
        <v>0.89400000000000002</v>
      </c>
      <c r="X2398">
        <v>21001</v>
      </c>
      <c r="Y2398" t="s">
        <v>47</v>
      </c>
      <c r="Z2398">
        <v>21</v>
      </c>
      <c r="AA2398">
        <v>427</v>
      </c>
      <c r="AB2398" t="s">
        <v>47</v>
      </c>
      <c r="AC2398">
        <v>0.42599999999999999</v>
      </c>
      <c r="AD2398">
        <v>640</v>
      </c>
      <c r="AE2398" t="s">
        <v>48</v>
      </c>
      <c r="AF2398">
        <v>0.63900000000000001</v>
      </c>
      <c r="AG2398">
        <v>455</v>
      </c>
      <c r="AH2398" t="s">
        <v>57</v>
      </c>
      <c r="AI2398">
        <v>0.45400000000000001</v>
      </c>
      <c r="AJ2398" t="s">
        <v>1153</v>
      </c>
    </row>
    <row r="2399" spans="1:36" x14ac:dyDescent="0.25">
      <c r="A2399" t="s">
        <v>311</v>
      </c>
      <c r="B2399">
        <v>851651957</v>
      </c>
      <c r="C2399" t="s">
        <v>312</v>
      </c>
      <c r="D2399" t="s">
        <v>312</v>
      </c>
      <c r="E2399" t="s">
        <v>99</v>
      </c>
      <c r="F2399" t="s">
        <v>214</v>
      </c>
      <c r="I2399" t="s">
        <v>39</v>
      </c>
      <c r="J2399" t="s">
        <v>40</v>
      </c>
      <c r="K2399" t="s">
        <v>41</v>
      </c>
      <c r="L2399" t="s">
        <v>313</v>
      </c>
      <c r="N2399" t="s">
        <v>43</v>
      </c>
      <c r="O2399" t="s">
        <v>314</v>
      </c>
      <c r="P2399">
        <v>361</v>
      </c>
      <c r="Q2399">
        <v>361</v>
      </c>
      <c r="R2399">
        <v>11</v>
      </c>
      <c r="S2399" t="s">
        <v>45</v>
      </c>
      <c r="T2399">
        <v>0.01</v>
      </c>
      <c r="U2399">
        <v>929</v>
      </c>
      <c r="V2399" t="s">
        <v>46</v>
      </c>
      <c r="W2399">
        <v>0.92800000000000005</v>
      </c>
      <c r="X2399">
        <v>24001</v>
      </c>
      <c r="Y2399" t="s">
        <v>47</v>
      </c>
      <c r="Z2399">
        <v>24</v>
      </c>
      <c r="AA2399">
        <v>652</v>
      </c>
      <c r="AB2399" t="s">
        <v>75</v>
      </c>
      <c r="AC2399">
        <v>0.65100000000000002</v>
      </c>
      <c r="AD2399">
        <v>801</v>
      </c>
      <c r="AE2399" t="s">
        <v>48</v>
      </c>
      <c r="AF2399">
        <v>0.8</v>
      </c>
      <c r="AG2399">
        <v>918</v>
      </c>
      <c r="AH2399" t="s">
        <v>49</v>
      </c>
      <c r="AI2399">
        <v>0.91700000000000004</v>
      </c>
      <c r="AJ2399" t="s">
        <v>1154</v>
      </c>
    </row>
    <row r="2400" spans="1:36" x14ac:dyDescent="0.25">
      <c r="A2400" t="s">
        <v>311</v>
      </c>
      <c r="B2400">
        <v>851651957</v>
      </c>
      <c r="C2400" t="s">
        <v>312</v>
      </c>
      <c r="D2400" t="s">
        <v>312</v>
      </c>
      <c r="E2400" t="s">
        <v>65</v>
      </c>
      <c r="F2400" t="s">
        <v>214</v>
      </c>
      <c r="I2400" t="s">
        <v>39</v>
      </c>
      <c r="J2400" t="s">
        <v>40</v>
      </c>
      <c r="K2400" t="s">
        <v>41</v>
      </c>
      <c r="L2400" t="s">
        <v>313</v>
      </c>
      <c r="N2400" t="s">
        <v>43</v>
      </c>
      <c r="O2400" t="s">
        <v>315</v>
      </c>
      <c r="P2400">
        <v>361</v>
      </c>
      <c r="Q2400">
        <v>361</v>
      </c>
      <c r="R2400">
        <v>91</v>
      </c>
      <c r="S2400" t="s">
        <v>56</v>
      </c>
      <c r="T2400">
        <v>0.09</v>
      </c>
      <c r="U2400">
        <v>895</v>
      </c>
      <c r="V2400" t="s">
        <v>113</v>
      </c>
      <c r="W2400">
        <v>0.89400000000000002</v>
      </c>
      <c r="X2400">
        <v>21001</v>
      </c>
      <c r="Y2400" t="s">
        <v>47</v>
      </c>
      <c r="Z2400">
        <v>21</v>
      </c>
      <c r="AA2400">
        <v>427</v>
      </c>
      <c r="AB2400" t="s">
        <v>47</v>
      </c>
      <c r="AC2400">
        <v>0.42599999999999999</v>
      </c>
      <c r="AD2400">
        <v>640</v>
      </c>
      <c r="AE2400" t="s">
        <v>48</v>
      </c>
      <c r="AF2400">
        <v>0.63900000000000001</v>
      </c>
      <c r="AG2400">
        <v>455</v>
      </c>
      <c r="AH2400" t="s">
        <v>57</v>
      </c>
      <c r="AI2400">
        <v>0.45400000000000001</v>
      </c>
      <c r="AJ2400" t="s">
        <v>1154</v>
      </c>
    </row>
    <row r="2401" spans="1:36" x14ac:dyDescent="0.25">
      <c r="A2401" t="s">
        <v>289</v>
      </c>
      <c r="B2401">
        <v>852573101</v>
      </c>
      <c r="C2401" t="s">
        <v>290</v>
      </c>
      <c r="D2401" t="s">
        <v>290</v>
      </c>
      <c r="E2401" t="s">
        <v>37</v>
      </c>
      <c r="F2401" t="s">
        <v>291</v>
      </c>
      <c r="I2401" t="s">
        <v>39</v>
      </c>
      <c r="J2401" t="s">
        <v>40</v>
      </c>
      <c r="K2401" t="s">
        <v>41</v>
      </c>
      <c r="L2401" t="s">
        <v>151</v>
      </c>
      <c r="M2401" t="s">
        <v>292</v>
      </c>
      <c r="N2401" t="s">
        <v>43</v>
      </c>
      <c r="O2401" t="s">
        <v>293</v>
      </c>
      <c r="P2401">
        <v>361</v>
      </c>
      <c r="Q2401">
        <v>361</v>
      </c>
      <c r="S2401" t="s">
        <v>39</v>
      </c>
      <c r="V2401" t="s">
        <v>39</v>
      </c>
      <c r="X2401">
        <v>22001</v>
      </c>
      <c r="Y2401" t="s">
        <v>47</v>
      </c>
      <c r="Z2401">
        <v>22</v>
      </c>
      <c r="AA2401">
        <v>649</v>
      </c>
      <c r="AB2401" t="s">
        <v>75</v>
      </c>
      <c r="AC2401">
        <v>0.64800000000000002</v>
      </c>
      <c r="AD2401">
        <v>835</v>
      </c>
      <c r="AE2401" t="s">
        <v>48</v>
      </c>
      <c r="AF2401">
        <v>0.83399999999999996</v>
      </c>
      <c r="AG2401">
        <v>928</v>
      </c>
      <c r="AH2401" t="s">
        <v>49</v>
      </c>
      <c r="AI2401">
        <v>0.92700000000000005</v>
      </c>
      <c r="AJ2401" t="s">
        <v>1155</v>
      </c>
    </row>
    <row r="2402" spans="1:36" x14ac:dyDescent="0.25">
      <c r="A2402" t="s">
        <v>289</v>
      </c>
      <c r="B2402">
        <v>852573101</v>
      </c>
      <c r="C2402" t="s">
        <v>290</v>
      </c>
      <c r="D2402" t="s">
        <v>290</v>
      </c>
      <c r="E2402" t="s">
        <v>65</v>
      </c>
      <c r="F2402" t="s">
        <v>291</v>
      </c>
      <c r="I2402" t="s">
        <v>39</v>
      </c>
      <c r="J2402" t="s">
        <v>40</v>
      </c>
      <c r="K2402" t="s">
        <v>41</v>
      </c>
      <c r="L2402" t="s">
        <v>151</v>
      </c>
      <c r="M2402" t="s">
        <v>292</v>
      </c>
      <c r="N2402" t="s">
        <v>43</v>
      </c>
      <c r="O2402" t="s">
        <v>294</v>
      </c>
      <c r="P2402">
        <v>361</v>
      </c>
      <c r="Q2402">
        <v>361</v>
      </c>
      <c r="S2402" t="s">
        <v>39</v>
      </c>
      <c r="V2402" t="s">
        <v>39</v>
      </c>
      <c r="X2402">
        <v>16001</v>
      </c>
      <c r="Y2402" t="s">
        <v>47</v>
      </c>
      <c r="Z2402">
        <v>16</v>
      </c>
      <c r="AA2402">
        <v>645</v>
      </c>
      <c r="AB2402" t="s">
        <v>75</v>
      </c>
      <c r="AC2402">
        <v>0.64400000000000002</v>
      </c>
      <c r="AD2402">
        <v>757</v>
      </c>
      <c r="AE2402" t="s">
        <v>48</v>
      </c>
      <c r="AF2402">
        <v>0.75600000000000001</v>
      </c>
      <c r="AG2402">
        <v>861</v>
      </c>
      <c r="AH2402" t="s">
        <v>49</v>
      </c>
      <c r="AI2402">
        <v>0.86</v>
      </c>
      <c r="AJ2402" t="s">
        <v>1155</v>
      </c>
    </row>
    <row r="2403" spans="1:36" x14ac:dyDescent="0.25">
      <c r="A2403" t="s">
        <v>289</v>
      </c>
      <c r="B2403">
        <v>852573101</v>
      </c>
      <c r="C2403" t="s">
        <v>290</v>
      </c>
      <c r="D2403" t="s">
        <v>290</v>
      </c>
      <c r="E2403" t="s">
        <v>60</v>
      </c>
      <c r="F2403" t="s">
        <v>291</v>
      </c>
      <c r="I2403" t="s">
        <v>39</v>
      </c>
      <c r="J2403" t="s">
        <v>40</v>
      </c>
      <c r="K2403" t="s">
        <v>41</v>
      </c>
      <c r="L2403" t="s">
        <v>151</v>
      </c>
      <c r="M2403" t="s">
        <v>292</v>
      </c>
      <c r="N2403" t="s">
        <v>43</v>
      </c>
      <c r="O2403" t="s">
        <v>295</v>
      </c>
      <c r="P2403">
        <v>361</v>
      </c>
      <c r="Q2403">
        <v>361</v>
      </c>
      <c r="S2403" t="s">
        <v>39</v>
      </c>
      <c r="V2403" t="s">
        <v>39</v>
      </c>
      <c r="X2403">
        <v>17001</v>
      </c>
      <c r="Y2403" t="s">
        <v>47</v>
      </c>
      <c r="Z2403">
        <v>17</v>
      </c>
      <c r="AA2403">
        <v>399</v>
      </c>
      <c r="AB2403" t="s">
        <v>47</v>
      </c>
      <c r="AC2403">
        <v>0.39800000000000002</v>
      </c>
      <c r="AD2403">
        <v>537</v>
      </c>
      <c r="AE2403" t="s">
        <v>48</v>
      </c>
      <c r="AF2403">
        <v>0.53600000000000003</v>
      </c>
      <c r="AG2403">
        <v>192</v>
      </c>
      <c r="AH2403" t="s">
        <v>103</v>
      </c>
      <c r="AI2403">
        <v>0.191</v>
      </c>
      <c r="AJ2403" t="s">
        <v>1155</v>
      </c>
    </row>
    <row r="2404" spans="1:36" x14ac:dyDescent="0.25">
      <c r="A2404" t="s">
        <v>316</v>
      </c>
      <c r="B2404">
        <v>871373510</v>
      </c>
      <c r="C2404" t="s">
        <v>317</v>
      </c>
      <c r="D2404" t="s">
        <v>317</v>
      </c>
      <c r="E2404" t="s">
        <v>60</v>
      </c>
      <c r="F2404" t="s">
        <v>88</v>
      </c>
      <c r="I2404" t="s">
        <v>39</v>
      </c>
      <c r="J2404" t="s">
        <v>40</v>
      </c>
      <c r="K2404" t="s">
        <v>41</v>
      </c>
      <c r="L2404" t="s">
        <v>78</v>
      </c>
      <c r="N2404" t="s">
        <v>43</v>
      </c>
      <c r="O2404" t="s">
        <v>85</v>
      </c>
      <c r="P2404">
        <v>361</v>
      </c>
      <c r="Q2404">
        <v>361</v>
      </c>
      <c r="R2404">
        <v>251</v>
      </c>
      <c r="S2404" t="s">
        <v>56</v>
      </c>
      <c r="T2404">
        <v>0.25</v>
      </c>
      <c r="U2404">
        <v>439</v>
      </c>
      <c r="V2404" t="s">
        <v>55</v>
      </c>
      <c r="W2404">
        <v>0.438</v>
      </c>
      <c r="X2404">
        <v>14001</v>
      </c>
      <c r="Y2404" t="s">
        <v>47</v>
      </c>
      <c r="Z2404">
        <v>14</v>
      </c>
      <c r="AA2404">
        <v>554</v>
      </c>
      <c r="AB2404" t="s">
        <v>75</v>
      </c>
      <c r="AC2404">
        <v>0.55300000000000005</v>
      </c>
      <c r="AD2404">
        <v>670</v>
      </c>
      <c r="AE2404" t="s">
        <v>48</v>
      </c>
      <c r="AF2404">
        <v>0.66900000000000004</v>
      </c>
      <c r="AG2404">
        <v>684</v>
      </c>
      <c r="AH2404" t="s">
        <v>49</v>
      </c>
      <c r="AI2404">
        <v>0.68300000000000005</v>
      </c>
      <c r="AJ2404" t="s">
        <v>50</v>
      </c>
    </row>
    <row r="2405" spans="1:36" x14ac:dyDescent="0.25">
      <c r="A2405" t="s">
        <v>316</v>
      </c>
      <c r="B2405">
        <v>871373510</v>
      </c>
      <c r="C2405" t="s">
        <v>317</v>
      </c>
      <c r="D2405" t="s">
        <v>317</v>
      </c>
      <c r="E2405" t="s">
        <v>60</v>
      </c>
      <c r="F2405" t="s">
        <v>88</v>
      </c>
      <c r="I2405" t="s">
        <v>39</v>
      </c>
      <c r="J2405" t="s">
        <v>40</v>
      </c>
      <c r="K2405" t="s">
        <v>41</v>
      </c>
      <c r="L2405" t="s">
        <v>78</v>
      </c>
      <c r="N2405" t="s">
        <v>43</v>
      </c>
      <c r="O2405" t="s">
        <v>85</v>
      </c>
      <c r="P2405">
        <v>361</v>
      </c>
      <c r="Q2405">
        <v>361</v>
      </c>
      <c r="R2405">
        <v>251</v>
      </c>
      <c r="S2405" t="s">
        <v>56</v>
      </c>
      <c r="T2405">
        <v>0.25</v>
      </c>
      <c r="U2405">
        <v>439</v>
      </c>
      <c r="V2405" t="s">
        <v>55</v>
      </c>
      <c r="W2405">
        <v>0.438</v>
      </c>
      <c r="X2405">
        <v>14001</v>
      </c>
      <c r="Y2405" t="s">
        <v>47</v>
      </c>
      <c r="Z2405">
        <v>14</v>
      </c>
      <c r="AA2405">
        <v>554</v>
      </c>
      <c r="AB2405" t="s">
        <v>75</v>
      </c>
      <c r="AC2405">
        <v>0.55300000000000005</v>
      </c>
      <c r="AD2405">
        <v>670</v>
      </c>
      <c r="AE2405" t="s">
        <v>48</v>
      </c>
      <c r="AF2405">
        <v>0.66900000000000004</v>
      </c>
      <c r="AG2405">
        <v>684</v>
      </c>
      <c r="AH2405" t="s">
        <v>49</v>
      </c>
      <c r="AI2405">
        <v>0.68300000000000005</v>
      </c>
      <c r="AJ2405" t="s">
        <v>1153</v>
      </c>
    </row>
    <row r="2406" spans="1:36" x14ac:dyDescent="0.25">
      <c r="A2406" t="s">
        <v>316</v>
      </c>
      <c r="B2406">
        <v>871373510</v>
      </c>
      <c r="C2406" t="s">
        <v>317</v>
      </c>
      <c r="D2406" t="s">
        <v>317</v>
      </c>
      <c r="E2406" t="s">
        <v>60</v>
      </c>
      <c r="F2406" t="s">
        <v>88</v>
      </c>
      <c r="I2406" t="s">
        <v>39</v>
      </c>
      <c r="J2406" t="s">
        <v>40</v>
      </c>
      <c r="K2406" t="s">
        <v>41</v>
      </c>
      <c r="L2406" t="s">
        <v>78</v>
      </c>
      <c r="N2406" t="s">
        <v>43</v>
      </c>
      <c r="O2406" t="s">
        <v>85</v>
      </c>
      <c r="P2406">
        <v>361</v>
      </c>
      <c r="Q2406">
        <v>361</v>
      </c>
      <c r="R2406">
        <v>251</v>
      </c>
      <c r="S2406" t="s">
        <v>56</v>
      </c>
      <c r="T2406">
        <v>0.25</v>
      </c>
      <c r="U2406">
        <v>439</v>
      </c>
      <c r="V2406" t="s">
        <v>55</v>
      </c>
      <c r="W2406">
        <v>0.438</v>
      </c>
      <c r="X2406">
        <v>14001</v>
      </c>
      <c r="Y2406" t="s">
        <v>47</v>
      </c>
      <c r="Z2406">
        <v>14</v>
      </c>
      <c r="AA2406">
        <v>554</v>
      </c>
      <c r="AB2406" t="s">
        <v>75</v>
      </c>
      <c r="AC2406">
        <v>0.55300000000000005</v>
      </c>
      <c r="AD2406">
        <v>670</v>
      </c>
      <c r="AE2406" t="s">
        <v>48</v>
      </c>
      <c r="AF2406">
        <v>0.66900000000000004</v>
      </c>
      <c r="AG2406">
        <v>684</v>
      </c>
      <c r="AH2406" t="s">
        <v>49</v>
      </c>
      <c r="AI2406">
        <v>0.68300000000000005</v>
      </c>
      <c r="AJ2406" t="s">
        <v>1154</v>
      </c>
    </row>
    <row r="2407" spans="1:36" x14ac:dyDescent="0.25">
      <c r="A2407" t="s">
        <v>278</v>
      </c>
      <c r="B2407">
        <v>853256835</v>
      </c>
      <c r="C2407" t="s">
        <v>279</v>
      </c>
      <c r="D2407" t="s">
        <v>279</v>
      </c>
      <c r="E2407" t="s">
        <v>99</v>
      </c>
      <c r="F2407" t="s">
        <v>280</v>
      </c>
      <c r="I2407" t="s">
        <v>39</v>
      </c>
      <c r="J2407" t="s">
        <v>40</v>
      </c>
      <c r="K2407" t="s">
        <v>41</v>
      </c>
      <c r="L2407" t="s">
        <v>281</v>
      </c>
      <c r="M2407" t="s">
        <v>282</v>
      </c>
      <c r="N2407" t="s">
        <v>43</v>
      </c>
      <c r="O2407" t="s">
        <v>283</v>
      </c>
      <c r="P2407">
        <v>361</v>
      </c>
      <c r="Q2407">
        <v>361</v>
      </c>
      <c r="S2407" t="s">
        <v>39</v>
      </c>
      <c r="V2407" t="s">
        <v>39</v>
      </c>
      <c r="X2407">
        <v>1</v>
      </c>
      <c r="Y2407" t="s">
        <v>47</v>
      </c>
      <c r="Z2407">
        <v>0</v>
      </c>
      <c r="AA2407">
        <v>519</v>
      </c>
      <c r="AB2407" t="s">
        <v>75</v>
      </c>
      <c r="AC2407">
        <v>0.51800000000000002</v>
      </c>
      <c r="AD2407">
        <v>757</v>
      </c>
      <c r="AE2407" t="s">
        <v>48</v>
      </c>
      <c r="AF2407">
        <v>0.75600000000000001</v>
      </c>
      <c r="AG2407">
        <v>947</v>
      </c>
      <c r="AH2407" t="s">
        <v>80</v>
      </c>
      <c r="AI2407">
        <v>0.94599999999999995</v>
      </c>
      <c r="AJ2407" t="s">
        <v>1155</v>
      </c>
    </row>
    <row r="2408" spans="1:36" x14ac:dyDescent="0.25">
      <c r="A2408" t="s">
        <v>284</v>
      </c>
      <c r="B2408">
        <v>856508545</v>
      </c>
      <c r="C2408" t="s">
        <v>285</v>
      </c>
      <c r="D2408" t="s">
        <v>285</v>
      </c>
      <c r="E2408" t="s">
        <v>37</v>
      </c>
      <c r="F2408" t="s">
        <v>220</v>
      </c>
      <c r="I2408" t="s">
        <v>39</v>
      </c>
      <c r="J2408" t="s">
        <v>40</v>
      </c>
      <c r="K2408" t="s">
        <v>41</v>
      </c>
      <c r="L2408" t="s">
        <v>286</v>
      </c>
      <c r="M2408" t="s">
        <v>282</v>
      </c>
      <c r="N2408" t="s">
        <v>43</v>
      </c>
      <c r="O2408" t="s">
        <v>287</v>
      </c>
      <c r="P2408">
        <v>361</v>
      </c>
      <c r="Q2408">
        <v>361</v>
      </c>
      <c r="S2408" t="s">
        <v>39</v>
      </c>
      <c r="V2408" t="s">
        <v>39</v>
      </c>
      <c r="X2408">
        <v>22001</v>
      </c>
      <c r="Y2408" t="s">
        <v>47</v>
      </c>
      <c r="Z2408">
        <v>22</v>
      </c>
      <c r="AA2408">
        <v>600</v>
      </c>
      <c r="AB2408" t="s">
        <v>75</v>
      </c>
      <c r="AC2408">
        <v>0.59899999999999998</v>
      </c>
      <c r="AD2408">
        <v>863</v>
      </c>
      <c r="AE2408" t="s">
        <v>48</v>
      </c>
      <c r="AF2408">
        <v>0.86199999999999999</v>
      </c>
      <c r="AG2408">
        <v>971</v>
      </c>
      <c r="AH2408" t="s">
        <v>80</v>
      </c>
      <c r="AI2408">
        <v>0.97</v>
      </c>
      <c r="AJ2408" t="s">
        <v>1155</v>
      </c>
    </row>
    <row r="2409" spans="1:36" x14ac:dyDescent="0.25">
      <c r="A2409" t="s">
        <v>284</v>
      </c>
      <c r="B2409">
        <v>856508545</v>
      </c>
      <c r="C2409" t="s">
        <v>285</v>
      </c>
      <c r="D2409" t="s">
        <v>285</v>
      </c>
      <c r="E2409" t="s">
        <v>99</v>
      </c>
      <c r="F2409" t="s">
        <v>220</v>
      </c>
      <c r="I2409" t="s">
        <v>39</v>
      </c>
      <c r="J2409" t="s">
        <v>40</v>
      </c>
      <c r="K2409" t="s">
        <v>41</v>
      </c>
      <c r="L2409" t="s">
        <v>286</v>
      </c>
      <c r="M2409" t="s">
        <v>282</v>
      </c>
      <c r="N2409" t="s">
        <v>43</v>
      </c>
      <c r="O2409" t="s">
        <v>288</v>
      </c>
      <c r="P2409">
        <v>361</v>
      </c>
      <c r="Q2409">
        <v>361</v>
      </c>
      <c r="S2409" t="s">
        <v>39</v>
      </c>
      <c r="V2409" t="s">
        <v>39</v>
      </c>
      <c r="X2409">
        <v>22001</v>
      </c>
      <c r="Y2409" t="s">
        <v>47</v>
      </c>
      <c r="Z2409">
        <v>22</v>
      </c>
      <c r="AA2409">
        <v>676</v>
      </c>
      <c r="AB2409" t="s">
        <v>75</v>
      </c>
      <c r="AC2409">
        <v>0.67500000000000004</v>
      </c>
      <c r="AD2409">
        <v>735</v>
      </c>
      <c r="AE2409" t="s">
        <v>48</v>
      </c>
      <c r="AF2409">
        <v>0.73399999999999999</v>
      </c>
      <c r="AG2409">
        <v>583</v>
      </c>
      <c r="AH2409" t="s">
        <v>49</v>
      </c>
      <c r="AI2409">
        <v>0.58199999999999996</v>
      </c>
      <c r="AJ2409" t="s">
        <v>1155</v>
      </c>
    </row>
    <row r="2410" spans="1:36" x14ac:dyDescent="0.25">
      <c r="A2410" t="s">
        <v>308</v>
      </c>
      <c r="B2410">
        <v>851651959</v>
      </c>
      <c r="C2410" t="s">
        <v>309</v>
      </c>
      <c r="D2410" t="s">
        <v>309</v>
      </c>
      <c r="E2410" t="s">
        <v>60</v>
      </c>
      <c r="F2410" t="s">
        <v>61</v>
      </c>
      <c r="I2410" t="s">
        <v>39</v>
      </c>
      <c r="J2410" t="s">
        <v>40</v>
      </c>
      <c r="K2410" t="s">
        <v>41</v>
      </c>
      <c r="N2410" t="s">
        <v>43</v>
      </c>
      <c r="O2410" t="s">
        <v>310</v>
      </c>
      <c r="P2410">
        <v>362</v>
      </c>
      <c r="Q2410">
        <v>362</v>
      </c>
      <c r="R2410">
        <v>1</v>
      </c>
      <c r="S2410" t="s">
        <v>45</v>
      </c>
      <c r="T2410">
        <v>0</v>
      </c>
      <c r="U2410">
        <v>1000</v>
      </c>
      <c r="V2410" t="s">
        <v>46</v>
      </c>
      <c r="W2410">
        <v>0.999</v>
      </c>
      <c r="X2410">
        <v>24001</v>
      </c>
      <c r="Y2410" t="s">
        <v>47</v>
      </c>
      <c r="Z2410">
        <v>24</v>
      </c>
      <c r="AA2410">
        <v>538</v>
      </c>
      <c r="AB2410" t="s">
        <v>75</v>
      </c>
      <c r="AC2410">
        <v>0.53700000000000003</v>
      </c>
      <c r="AD2410">
        <v>810</v>
      </c>
      <c r="AE2410" t="s">
        <v>48</v>
      </c>
      <c r="AF2410">
        <v>0.80900000000000005</v>
      </c>
      <c r="AG2410">
        <v>869</v>
      </c>
      <c r="AH2410" t="s">
        <v>49</v>
      </c>
      <c r="AI2410">
        <v>0.86799999999999999</v>
      </c>
      <c r="AJ2410" t="s">
        <v>50</v>
      </c>
    </row>
    <row r="2411" spans="1:36" x14ac:dyDescent="0.25">
      <c r="A2411" t="s">
        <v>308</v>
      </c>
      <c r="B2411">
        <v>851651959</v>
      </c>
      <c r="C2411" t="s">
        <v>309</v>
      </c>
      <c r="D2411" t="s">
        <v>309</v>
      </c>
      <c r="E2411" t="s">
        <v>60</v>
      </c>
      <c r="F2411" t="s">
        <v>61</v>
      </c>
      <c r="I2411" t="s">
        <v>39</v>
      </c>
      <c r="J2411" t="s">
        <v>40</v>
      </c>
      <c r="K2411" t="s">
        <v>41</v>
      </c>
      <c r="N2411" t="s">
        <v>43</v>
      </c>
      <c r="O2411" t="s">
        <v>310</v>
      </c>
      <c r="P2411">
        <v>362</v>
      </c>
      <c r="Q2411">
        <v>362</v>
      </c>
      <c r="R2411">
        <v>1</v>
      </c>
      <c r="S2411" t="s">
        <v>45</v>
      </c>
      <c r="T2411">
        <v>0</v>
      </c>
      <c r="U2411">
        <v>1000</v>
      </c>
      <c r="V2411" t="s">
        <v>46</v>
      </c>
      <c r="W2411">
        <v>0.999</v>
      </c>
      <c r="X2411">
        <v>24001</v>
      </c>
      <c r="Y2411" t="s">
        <v>47</v>
      </c>
      <c r="Z2411">
        <v>24</v>
      </c>
      <c r="AA2411">
        <v>538</v>
      </c>
      <c r="AB2411" t="s">
        <v>75</v>
      </c>
      <c r="AC2411">
        <v>0.53700000000000003</v>
      </c>
      <c r="AD2411">
        <v>810</v>
      </c>
      <c r="AE2411" t="s">
        <v>48</v>
      </c>
      <c r="AF2411">
        <v>0.80900000000000005</v>
      </c>
      <c r="AG2411">
        <v>869</v>
      </c>
      <c r="AH2411" t="s">
        <v>49</v>
      </c>
      <c r="AI2411">
        <v>0.86799999999999999</v>
      </c>
      <c r="AJ2411" t="s">
        <v>1153</v>
      </c>
    </row>
    <row r="2412" spans="1:36" x14ac:dyDescent="0.25">
      <c r="A2412" t="s">
        <v>308</v>
      </c>
      <c r="B2412">
        <v>851651959</v>
      </c>
      <c r="C2412" t="s">
        <v>309</v>
      </c>
      <c r="D2412" t="s">
        <v>309</v>
      </c>
      <c r="E2412" t="s">
        <v>60</v>
      </c>
      <c r="F2412" t="s">
        <v>61</v>
      </c>
      <c r="I2412" t="s">
        <v>39</v>
      </c>
      <c r="J2412" t="s">
        <v>40</v>
      </c>
      <c r="K2412" t="s">
        <v>41</v>
      </c>
      <c r="N2412" t="s">
        <v>43</v>
      </c>
      <c r="O2412" t="s">
        <v>310</v>
      </c>
      <c r="P2412">
        <v>362</v>
      </c>
      <c r="Q2412">
        <v>362</v>
      </c>
      <c r="R2412">
        <v>1</v>
      </c>
      <c r="S2412" t="s">
        <v>45</v>
      </c>
      <c r="T2412">
        <v>0</v>
      </c>
      <c r="U2412">
        <v>1000</v>
      </c>
      <c r="V2412" t="s">
        <v>46</v>
      </c>
      <c r="W2412">
        <v>0.999</v>
      </c>
      <c r="X2412">
        <v>24001</v>
      </c>
      <c r="Y2412" t="s">
        <v>47</v>
      </c>
      <c r="Z2412">
        <v>24</v>
      </c>
      <c r="AA2412">
        <v>538</v>
      </c>
      <c r="AB2412" t="s">
        <v>75</v>
      </c>
      <c r="AC2412">
        <v>0.53700000000000003</v>
      </c>
      <c r="AD2412">
        <v>810</v>
      </c>
      <c r="AE2412" t="s">
        <v>48</v>
      </c>
      <c r="AF2412">
        <v>0.80900000000000005</v>
      </c>
      <c r="AG2412">
        <v>869</v>
      </c>
      <c r="AH2412" t="s">
        <v>49</v>
      </c>
      <c r="AI2412">
        <v>0.86799999999999999</v>
      </c>
      <c r="AJ2412" t="s">
        <v>1154</v>
      </c>
    </row>
    <row r="2413" spans="1:36" x14ac:dyDescent="0.25">
      <c r="A2413" t="s">
        <v>305</v>
      </c>
      <c r="B2413">
        <v>869155014</v>
      </c>
      <c r="C2413" t="s">
        <v>306</v>
      </c>
      <c r="D2413" t="s">
        <v>306</v>
      </c>
      <c r="E2413" t="s">
        <v>65</v>
      </c>
      <c r="F2413" t="s">
        <v>93</v>
      </c>
      <c r="I2413" t="s">
        <v>39</v>
      </c>
      <c r="J2413" t="s">
        <v>40</v>
      </c>
      <c r="K2413" t="s">
        <v>41</v>
      </c>
      <c r="L2413" t="s">
        <v>78</v>
      </c>
      <c r="N2413" t="s">
        <v>43</v>
      </c>
      <c r="O2413" t="s">
        <v>307</v>
      </c>
      <c r="P2413">
        <v>362</v>
      </c>
      <c r="Q2413">
        <v>362</v>
      </c>
      <c r="R2413">
        <v>1</v>
      </c>
      <c r="S2413" t="s">
        <v>45</v>
      </c>
      <c r="T2413">
        <v>0</v>
      </c>
      <c r="U2413">
        <v>1001</v>
      </c>
      <c r="V2413" t="s">
        <v>46</v>
      </c>
      <c r="W2413">
        <v>1</v>
      </c>
      <c r="X2413">
        <v>28001</v>
      </c>
      <c r="Y2413" t="s">
        <v>47</v>
      </c>
      <c r="Z2413">
        <v>28</v>
      </c>
      <c r="AA2413">
        <v>829</v>
      </c>
      <c r="AB2413" t="s">
        <v>75</v>
      </c>
      <c r="AC2413">
        <v>0.82799999999999996</v>
      </c>
      <c r="AD2413">
        <v>907</v>
      </c>
      <c r="AE2413" t="s">
        <v>48</v>
      </c>
      <c r="AF2413">
        <v>0.90600000000000003</v>
      </c>
      <c r="AG2413">
        <v>979</v>
      </c>
      <c r="AH2413" t="s">
        <v>80</v>
      </c>
      <c r="AI2413">
        <v>0.97799999999999998</v>
      </c>
      <c r="AJ2413" t="s">
        <v>50</v>
      </c>
    </row>
    <row r="2414" spans="1:36" x14ac:dyDescent="0.25">
      <c r="A2414" t="s">
        <v>305</v>
      </c>
      <c r="B2414">
        <v>869155014</v>
      </c>
      <c r="C2414" t="s">
        <v>306</v>
      </c>
      <c r="D2414" t="s">
        <v>306</v>
      </c>
      <c r="E2414" t="s">
        <v>65</v>
      </c>
      <c r="F2414" t="s">
        <v>93</v>
      </c>
      <c r="I2414" t="s">
        <v>39</v>
      </c>
      <c r="J2414" t="s">
        <v>40</v>
      </c>
      <c r="K2414" t="s">
        <v>41</v>
      </c>
      <c r="L2414" t="s">
        <v>78</v>
      </c>
      <c r="N2414" t="s">
        <v>43</v>
      </c>
      <c r="O2414" t="s">
        <v>307</v>
      </c>
      <c r="P2414">
        <v>362</v>
      </c>
      <c r="Q2414">
        <v>362</v>
      </c>
      <c r="R2414">
        <v>1</v>
      </c>
      <c r="S2414" t="s">
        <v>45</v>
      </c>
      <c r="T2414">
        <v>0</v>
      </c>
      <c r="U2414">
        <v>1001</v>
      </c>
      <c r="V2414" t="s">
        <v>46</v>
      </c>
      <c r="W2414">
        <v>1</v>
      </c>
      <c r="X2414">
        <v>28001</v>
      </c>
      <c r="Y2414" t="s">
        <v>47</v>
      </c>
      <c r="Z2414">
        <v>28</v>
      </c>
      <c r="AA2414">
        <v>829</v>
      </c>
      <c r="AB2414" t="s">
        <v>75</v>
      </c>
      <c r="AC2414">
        <v>0.82799999999999996</v>
      </c>
      <c r="AD2414">
        <v>907</v>
      </c>
      <c r="AE2414" t="s">
        <v>48</v>
      </c>
      <c r="AF2414">
        <v>0.90600000000000003</v>
      </c>
      <c r="AG2414">
        <v>979</v>
      </c>
      <c r="AH2414" t="s">
        <v>80</v>
      </c>
      <c r="AI2414">
        <v>0.97799999999999998</v>
      </c>
      <c r="AJ2414" t="s">
        <v>1153</v>
      </c>
    </row>
    <row r="2415" spans="1:36" x14ac:dyDescent="0.25">
      <c r="A2415" t="s">
        <v>305</v>
      </c>
      <c r="B2415">
        <v>869155014</v>
      </c>
      <c r="C2415" t="s">
        <v>306</v>
      </c>
      <c r="D2415" t="s">
        <v>306</v>
      </c>
      <c r="E2415" t="s">
        <v>65</v>
      </c>
      <c r="F2415" t="s">
        <v>93</v>
      </c>
      <c r="I2415" t="s">
        <v>39</v>
      </c>
      <c r="J2415" t="s">
        <v>40</v>
      </c>
      <c r="K2415" t="s">
        <v>41</v>
      </c>
      <c r="L2415" t="s">
        <v>78</v>
      </c>
      <c r="N2415" t="s">
        <v>43</v>
      </c>
      <c r="O2415" t="s">
        <v>307</v>
      </c>
      <c r="P2415">
        <v>362</v>
      </c>
      <c r="Q2415">
        <v>362</v>
      </c>
      <c r="R2415">
        <v>1</v>
      </c>
      <c r="S2415" t="s">
        <v>45</v>
      </c>
      <c r="T2415">
        <v>0</v>
      </c>
      <c r="U2415">
        <v>1001</v>
      </c>
      <c r="V2415" t="s">
        <v>46</v>
      </c>
      <c r="W2415">
        <v>1</v>
      </c>
      <c r="X2415">
        <v>28001</v>
      </c>
      <c r="Y2415" t="s">
        <v>47</v>
      </c>
      <c r="Z2415">
        <v>28</v>
      </c>
      <c r="AA2415">
        <v>829</v>
      </c>
      <c r="AB2415" t="s">
        <v>75</v>
      </c>
      <c r="AC2415">
        <v>0.82799999999999996</v>
      </c>
      <c r="AD2415">
        <v>907</v>
      </c>
      <c r="AE2415" t="s">
        <v>48</v>
      </c>
      <c r="AF2415">
        <v>0.90600000000000003</v>
      </c>
      <c r="AG2415">
        <v>979</v>
      </c>
      <c r="AH2415" t="s">
        <v>80</v>
      </c>
      <c r="AI2415">
        <v>0.97799999999999998</v>
      </c>
      <c r="AJ2415" t="s">
        <v>1154</v>
      </c>
    </row>
    <row r="2416" spans="1:36" x14ac:dyDescent="0.25">
      <c r="A2416" t="s">
        <v>272</v>
      </c>
      <c r="B2416">
        <v>881460146</v>
      </c>
      <c r="C2416" t="s">
        <v>273</v>
      </c>
      <c r="D2416" t="s">
        <v>273</v>
      </c>
      <c r="E2416" t="s">
        <v>65</v>
      </c>
      <c r="F2416" t="s">
        <v>166</v>
      </c>
      <c r="I2416" t="s">
        <v>39</v>
      </c>
      <c r="J2416" t="s">
        <v>40</v>
      </c>
      <c r="K2416" t="s">
        <v>41</v>
      </c>
      <c r="L2416" t="s">
        <v>42</v>
      </c>
      <c r="N2416" t="s">
        <v>43</v>
      </c>
      <c r="O2416" t="s">
        <v>153</v>
      </c>
      <c r="P2416">
        <v>362</v>
      </c>
      <c r="Q2416">
        <v>362</v>
      </c>
      <c r="S2416" t="s">
        <v>39</v>
      </c>
      <c r="V2416" t="s">
        <v>39</v>
      </c>
      <c r="X2416">
        <v>23001</v>
      </c>
      <c r="Y2416" t="s">
        <v>47</v>
      </c>
      <c r="Z2416">
        <v>23</v>
      </c>
      <c r="AA2416">
        <v>677</v>
      </c>
      <c r="AB2416" t="s">
        <v>75</v>
      </c>
      <c r="AC2416">
        <v>0.67600000000000005</v>
      </c>
      <c r="AD2416">
        <v>877</v>
      </c>
      <c r="AE2416" t="s">
        <v>48</v>
      </c>
      <c r="AF2416">
        <v>0.876</v>
      </c>
      <c r="AG2416">
        <v>962</v>
      </c>
      <c r="AH2416" t="s">
        <v>80</v>
      </c>
      <c r="AI2416">
        <v>0.96099999999999997</v>
      </c>
      <c r="AJ2416" t="s">
        <v>1155</v>
      </c>
    </row>
    <row r="2417" spans="1:36" x14ac:dyDescent="0.25">
      <c r="A2417" t="s">
        <v>274</v>
      </c>
      <c r="B2417">
        <v>851914898</v>
      </c>
      <c r="C2417" t="s">
        <v>275</v>
      </c>
      <c r="D2417" t="s">
        <v>275</v>
      </c>
      <c r="E2417" t="s">
        <v>65</v>
      </c>
      <c r="F2417" t="s">
        <v>83</v>
      </c>
      <c r="I2417" t="s">
        <v>39</v>
      </c>
      <c r="J2417" t="s">
        <v>40</v>
      </c>
      <c r="K2417" t="s">
        <v>41</v>
      </c>
      <c r="L2417" t="s">
        <v>151</v>
      </c>
      <c r="M2417" t="s">
        <v>276</v>
      </c>
      <c r="N2417" t="s">
        <v>43</v>
      </c>
      <c r="O2417" t="s">
        <v>277</v>
      </c>
      <c r="P2417">
        <v>362</v>
      </c>
      <c r="Q2417">
        <v>362</v>
      </c>
      <c r="S2417" t="s">
        <v>39</v>
      </c>
      <c r="V2417" t="s">
        <v>39</v>
      </c>
      <c r="X2417">
        <v>24001</v>
      </c>
      <c r="Y2417" t="s">
        <v>47</v>
      </c>
      <c r="Z2417">
        <v>24</v>
      </c>
      <c r="AA2417">
        <v>645</v>
      </c>
      <c r="AB2417" t="s">
        <v>75</v>
      </c>
      <c r="AC2417">
        <v>0.64400000000000002</v>
      </c>
      <c r="AD2417">
        <v>919</v>
      </c>
      <c r="AE2417" t="s">
        <v>48</v>
      </c>
      <c r="AF2417">
        <v>0.91800000000000004</v>
      </c>
      <c r="AG2417">
        <v>955</v>
      </c>
      <c r="AH2417" t="s">
        <v>80</v>
      </c>
      <c r="AI2417">
        <v>0.95399999999999996</v>
      </c>
      <c r="AJ2417" t="s">
        <v>1155</v>
      </c>
    </row>
    <row r="2418" spans="1:36" x14ac:dyDescent="0.25">
      <c r="A2418" t="s">
        <v>274</v>
      </c>
      <c r="B2418">
        <v>851914898</v>
      </c>
      <c r="C2418" t="s">
        <v>275</v>
      </c>
      <c r="D2418" t="s">
        <v>275</v>
      </c>
      <c r="E2418" t="s">
        <v>60</v>
      </c>
      <c r="F2418" t="s">
        <v>83</v>
      </c>
      <c r="I2418" t="s">
        <v>39</v>
      </c>
      <c r="J2418" t="s">
        <v>40</v>
      </c>
      <c r="K2418" t="s">
        <v>41</v>
      </c>
      <c r="L2418" t="s">
        <v>151</v>
      </c>
      <c r="M2418" t="s">
        <v>276</v>
      </c>
      <c r="N2418" t="s">
        <v>43</v>
      </c>
      <c r="O2418" t="s">
        <v>194</v>
      </c>
      <c r="P2418">
        <v>362</v>
      </c>
      <c r="Q2418">
        <v>362</v>
      </c>
      <c r="S2418" t="s">
        <v>39</v>
      </c>
      <c r="V2418" t="s">
        <v>39</v>
      </c>
      <c r="X2418">
        <v>25001</v>
      </c>
      <c r="Y2418" t="s">
        <v>47</v>
      </c>
      <c r="Z2418">
        <v>25</v>
      </c>
      <c r="AA2418">
        <v>687</v>
      </c>
      <c r="AB2418" t="s">
        <v>75</v>
      </c>
      <c r="AC2418">
        <v>0.68600000000000005</v>
      </c>
      <c r="AD2418">
        <v>821</v>
      </c>
      <c r="AE2418" t="s">
        <v>48</v>
      </c>
      <c r="AF2418">
        <v>0.82</v>
      </c>
      <c r="AG2418">
        <v>955</v>
      </c>
      <c r="AH2418" t="s">
        <v>80</v>
      </c>
      <c r="AI2418">
        <v>0.95399999999999996</v>
      </c>
      <c r="AJ2418" t="s">
        <v>1155</v>
      </c>
    </row>
    <row r="2419" spans="1:36" x14ac:dyDescent="0.25">
      <c r="A2419" t="s">
        <v>303</v>
      </c>
      <c r="B2419">
        <v>872359874</v>
      </c>
      <c r="C2419" t="s">
        <v>304</v>
      </c>
      <c r="D2419" t="s">
        <v>304</v>
      </c>
      <c r="E2419" t="s">
        <v>99</v>
      </c>
      <c r="F2419" t="s">
        <v>143</v>
      </c>
      <c r="I2419" t="s">
        <v>39</v>
      </c>
      <c r="J2419" t="s">
        <v>40</v>
      </c>
      <c r="K2419" t="s">
        <v>41</v>
      </c>
      <c r="L2419" t="s">
        <v>173</v>
      </c>
      <c r="N2419" t="s">
        <v>43</v>
      </c>
      <c r="O2419" t="s">
        <v>38</v>
      </c>
      <c r="P2419">
        <v>363</v>
      </c>
      <c r="Q2419">
        <v>363</v>
      </c>
      <c r="R2419">
        <v>121</v>
      </c>
      <c r="S2419" t="s">
        <v>56</v>
      </c>
      <c r="T2419">
        <v>0.12</v>
      </c>
      <c r="U2419">
        <v>160</v>
      </c>
      <c r="V2419" t="s">
        <v>55</v>
      </c>
      <c r="W2419">
        <v>0.159</v>
      </c>
      <c r="X2419">
        <v>19001</v>
      </c>
      <c r="Y2419" t="s">
        <v>47</v>
      </c>
      <c r="Z2419">
        <v>19</v>
      </c>
      <c r="AA2419">
        <v>329</v>
      </c>
      <c r="AB2419" t="s">
        <v>47</v>
      </c>
      <c r="AC2419">
        <v>0.32800000000000001</v>
      </c>
      <c r="AD2419">
        <v>578</v>
      </c>
      <c r="AE2419" t="s">
        <v>48</v>
      </c>
      <c r="AF2419">
        <v>0.57699999999999996</v>
      </c>
      <c r="AG2419">
        <v>663</v>
      </c>
      <c r="AH2419" t="s">
        <v>49</v>
      </c>
      <c r="AI2419">
        <v>0.66200000000000003</v>
      </c>
      <c r="AJ2419" t="s">
        <v>50</v>
      </c>
    </row>
    <row r="2420" spans="1:36" x14ac:dyDescent="0.25">
      <c r="A2420" t="s">
        <v>303</v>
      </c>
      <c r="B2420">
        <v>872359874</v>
      </c>
      <c r="C2420" t="s">
        <v>304</v>
      </c>
      <c r="D2420" t="s">
        <v>304</v>
      </c>
      <c r="E2420" t="s">
        <v>99</v>
      </c>
      <c r="F2420" t="s">
        <v>143</v>
      </c>
      <c r="I2420" t="s">
        <v>39</v>
      </c>
      <c r="J2420" t="s">
        <v>40</v>
      </c>
      <c r="K2420" t="s">
        <v>41</v>
      </c>
      <c r="L2420" t="s">
        <v>173</v>
      </c>
      <c r="N2420" t="s">
        <v>43</v>
      </c>
      <c r="O2420" t="s">
        <v>38</v>
      </c>
      <c r="P2420">
        <v>363</v>
      </c>
      <c r="Q2420">
        <v>363</v>
      </c>
      <c r="R2420">
        <v>121</v>
      </c>
      <c r="S2420" t="s">
        <v>56</v>
      </c>
      <c r="T2420">
        <v>0.12</v>
      </c>
      <c r="U2420">
        <v>160</v>
      </c>
      <c r="V2420" t="s">
        <v>55</v>
      </c>
      <c r="W2420">
        <v>0.159</v>
      </c>
      <c r="X2420">
        <v>19001</v>
      </c>
      <c r="Y2420" t="s">
        <v>47</v>
      </c>
      <c r="Z2420">
        <v>19</v>
      </c>
      <c r="AA2420">
        <v>329</v>
      </c>
      <c r="AB2420" t="s">
        <v>47</v>
      </c>
      <c r="AC2420">
        <v>0.32800000000000001</v>
      </c>
      <c r="AD2420">
        <v>578</v>
      </c>
      <c r="AE2420" t="s">
        <v>48</v>
      </c>
      <c r="AF2420">
        <v>0.57699999999999996</v>
      </c>
      <c r="AG2420">
        <v>663</v>
      </c>
      <c r="AH2420" t="s">
        <v>49</v>
      </c>
      <c r="AI2420">
        <v>0.66200000000000003</v>
      </c>
      <c r="AJ2420" t="s">
        <v>1153</v>
      </c>
    </row>
    <row r="2421" spans="1:36" x14ac:dyDescent="0.25">
      <c r="A2421" t="s">
        <v>303</v>
      </c>
      <c r="B2421">
        <v>872359874</v>
      </c>
      <c r="C2421" t="s">
        <v>304</v>
      </c>
      <c r="D2421" t="s">
        <v>304</v>
      </c>
      <c r="E2421" t="s">
        <v>99</v>
      </c>
      <c r="F2421" t="s">
        <v>143</v>
      </c>
      <c r="I2421" t="s">
        <v>39</v>
      </c>
      <c r="J2421" t="s">
        <v>40</v>
      </c>
      <c r="K2421" t="s">
        <v>41</v>
      </c>
      <c r="L2421" t="s">
        <v>173</v>
      </c>
      <c r="N2421" t="s">
        <v>43</v>
      </c>
      <c r="O2421" t="s">
        <v>38</v>
      </c>
      <c r="P2421">
        <v>363</v>
      </c>
      <c r="Q2421">
        <v>363</v>
      </c>
      <c r="R2421">
        <v>121</v>
      </c>
      <c r="S2421" t="s">
        <v>56</v>
      </c>
      <c r="T2421">
        <v>0.12</v>
      </c>
      <c r="U2421">
        <v>160</v>
      </c>
      <c r="V2421" t="s">
        <v>55</v>
      </c>
      <c r="W2421">
        <v>0.159</v>
      </c>
      <c r="X2421">
        <v>19001</v>
      </c>
      <c r="Y2421" t="s">
        <v>47</v>
      </c>
      <c r="Z2421">
        <v>19</v>
      </c>
      <c r="AA2421">
        <v>329</v>
      </c>
      <c r="AB2421" t="s">
        <v>47</v>
      </c>
      <c r="AC2421">
        <v>0.32800000000000001</v>
      </c>
      <c r="AD2421">
        <v>578</v>
      </c>
      <c r="AE2421" t="s">
        <v>48</v>
      </c>
      <c r="AF2421">
        <v>0.57699999999999996</v>
      </c>
      <c r="AG2421">
        <v>663</v>
      </c>
      <c r="AH2421" t="s">
        <v>49</v>
      </c>
      <c r="AI2421">
        <v>0.66200000000000003</v>
      </c>
      <c r="AJ2421" t="s">
        <v>1154</v>
      </c>
    </row>
    <row r="2422" spans="1:36" x14ac:dyDescent="0.25">
      <c r="A2422" t="s">
        <v>301</v>
      </c>
      <c r="B2422">
        <v>881460652</v>
      </c>
      <c r="C2422" t="s">
        <v>302</v>
      </c>
      <c r="D2422" t="s">
        <v>302</v>
      </c>
      <c r="E2422" t="s">
        <v>37</v>
      </c>
      <c r="F2422" t="s">
        <v>71</v>
      </c>
      <c r="I2422" t="s">
        <v>39</v>
      </c>
      <c r="J2422" t="s">
        <v>40</v>
      </c>
      <c r="K2422" t="s">
        <v>41</v>
      </c>
      <c r="L2422" t="s">
        <v>42</v>
      </c>
      <c r="N2422" t="s">
        <v>43</v>
      </c>
      <c r="O2422" t="s">
        <v>138</v>
      </c>
      <c r="P2422">
        <v>363</v>
      </c>
      <c r="Q2422">
        <v>363</v>
      </c>
      <c r="R2422">
        <v>61</v>
      </c>
      <c r="S2422" t="s">
        <v>56</v>
      </c>
      <c r="T2422">
        <v>0.06</v>
      </c>
      <c r="U2422">
        <v>252</v>
      </c>
      <c r="V2422" t="s">
        <v>55</v>
      </c>
      <c r="W2422">
        <v>0.251</v>
      </c>
      <c r="X2422">
        <v>16001</v>
      </c>
      <c r="Y2422" t="s">
        <v>47</v>
      </c>
      <c r="Z2422">
        <v>16</v>
      </c>
      <c r="AA2422">
        <v>499</v>
      </c>
      <c r="AB2422" t="s">
        <v>47</v>
      </c>
      <c r="AC2422">
        <v>0.498</v>
      </c>
      <c r="AD2422">
        <v>685</v>
      </c>
      <c r="AE2422" t="s">
        <v>48</v>
      </c>
      <c r="AF2422">
        <v>0.68400000000000005</v>
      </c>
      <c r="AG2422">
        <v>903</v>
      </c>
      <c r="AH2422" t="s">
        <v>49</v>
      </c>
      <c r="AI2422">
        <v>0.90200000000000002</v>
      </c>
      <c r="AJ2422" t="s">
        <v>50</v>
      </c>
    </row>
    <row r="2423" spans="1:36" x14ac:dyDescent="0.25">
      <c r="A2423" t="s">
        <v>301</v>
      </c>
      <c r="B2423">
        <v>881460652</v>
      </c>
      <c r="C2423" t="s">
        <v>302</v>
      </c>
      <c r="D2423" t="s">
        <v>302</v>
      </c>
      <c r="E2423" t="s">
        <v>37</v>
      </c>
      <c r="F2423" t="s">
        <v>71</v>
      </c>
      <c r="I2423" t="s">
        <v>39</v>
      </c>
      <c r="J2423" t="s">
        <v>40</v>
      </c>
      <c r="K2423" t="s">
        <v>41</v>
      </c>
      <c r="L2423" t="s">
        <v>42</v>
      </c>
      <c r="N2423" t="s">
        <v>43</v>
      </c>
      <c r="O2423" t="s">
        <v>138</v>
      </c>
      <c r="P2423">
        <v>363</v>
      </c>
      <c r="Q2423">
        <v>363</v>
      </c>
      <c r="R2423">
        <v>61</v>
      </c>
      <c r="S2423" t="s">
        <v>56</v>
      </c>
      <c r="T2423">
        <v>0.06</v>
      </c>
      <c r="U2423">
        <v>252</v>
      </c>
      <c r="V2423" t="s">
        <v>55</v>
      </c>
      <c r="W2423">
        <v>0.251</v>
      </c>
      <c r="X2423">
        <v>16001</v>
      </c>
      <c r="Y2423" t="s">
        <v>47</v>
      </c>
      <c r="Z2423">
        <v>16</v>
      </c>
      <c r="AA2423">
        <v>499</v>
      </c>
      <c r="AB2423" t="s">
        <v>47</v>
      </c>
      <c r="AC2423">
        <v>0.498</v>
      </c>
      <c r="AD2423">
        <v>685</v>
      </c>
      <c r="AE2423" t="s">
        <v>48</v>
      </c>
      <c r="AF2423">
        <v>0.68400000000000005</v>
      </c>
      <c r="AG2423">
        <v>903</v>
      </c>
      <c r="AH2423" t="s">
        <v>49</v>
      </c>
      <c r="AI2423">
        <v>0.90200000000000002</v>
      </c>
      <c r="AJ2423" t="s">
        <v>1153</v>
      </c>
    </row>
    <row r="2424" spans="1:36" x14ac:dyDescent="0.25">
      <c r="A2424" t="s">
        <v>301</v>
      </c>
      <c r="B2424">
        <v>881460652</v>
      </c>
      <c r="C2424" t="s">
        <v>302</v>
      </c>
      <c r="D2424" t="s">
        <v>302</v>
      </c>
      <c r="E2424" t="s">
        <v>37</v>
      </c>
      <c r="F2424" t="s">
        <v>71</v>
      </c>
      <c r="I2424" t="s">
        <v>39</v>
      </c>
      <c r="J2424" t="s">
        <v>40</v>
      </c>
      <c r="K2424" t="s">
        <v>41</v>
      </c>
      <c r="L2424" t="s">
        <v>42</v>
      </c>
      <c r="N2424" t="s">
        <v>43</v>
      </c>
      <c r="O2424" t="s">
        <v>138</v>
      </c>
      <c r="P2424">
        <v>363</v>
      </c>
      <c r="Q2424">
        <v>363</v>
      </c>
      <c r="R2424">
        <v>61</v>
      </c>
      <c r="S2424" t="s">
        <v>56</v>
      </c>
      <c r="T2424">
        <v>0.06</v>
      </c>
      <c r="U2424">
        <v>252</v>
      </c>
      <c r="V2424" t="s">
        <v>55</v>
      </c>
      <c r="W2424">
        <v>0.251</v>
      </c>
      <c r="X2424">
        <v>16001</v>
      </c>
      <c r="Y2424" t="s">
        <v>47</v>
      </c>
      <c r="Z2424">
        <v>16</v>
      </c>
      <c r="AA2424">
        <v>499</v>
      </c>
      <c r="AB2424" t="s">
        <v>47</v>
      </c>
      <c r="AC2424">
        <v>0.498</v>
      </c>
      <c r="AD2424">
        <v>685</v>
      </c>
      <c r="AE2424" t="s">
        <v>48</v>
      </c>
      <c r="AF2424">
        <v>0.68400000000000005</v>
      </c>
      <c r="AG2424">
        <v>903</v>
      </c>
      <c r="AH2424" t="s">
        <v>49</v>
      </c>
      <c r="AI2424">
        <v>0.90200000000000002</v>
      </c>
      <c r="AJ2424" t="s">
        <v>1154</v>
      </c>
    </row>
    <row r="2425" spans="1:36" x14ac:dyDescent="0.25">
      <c r="A2425" t="s">
        <v>270</v>
      </c>
      <c r="B2425">
        <v>855627943</v>
      </c>
      <c r="C2425" t="s">
        <v>271</v>
      </c>
      <c r="D2425" t="s">
        <v>271</v>
      </c>
      <c r="E2425" t="s">
        <v>65</v>
      </c>
      <c r="F2425" t="s">
        <v>66</v>
      </c>
      <c r="I2425" t="s">
        <v>39</v>
      </c>
      <c r="J2425" t="s">
        <v>40</v>
      </c>
      <c r="K2425" t="s">
        <v>41</v>
      </c>
      <c r="L2425" t="s">
        <v>53</v>
      </c>
      <c r="N2425" t="s">
        <v>43</v>
      </c>
      <c r="O2425" t="s">
        <v>133</v>
      </c>
      <c r="P2425">
        <v>363</v>
      </c>
      <c r="Q2425">
        <v>363</v>
      </c>
      <c r="S2425" t="s">
        <v>39</v>
      </c>
      <c r="V2425" t="s">
        <v>39</v>
      </c>
      <c r="X2425">
        <v>16001</v>
      </c>
      <c r="Y2425" t="s">
        <v>47</v>
      </c>
      <c r="Z2425">
        <v>16</v>
      </c>
      <c r="AA2425">
        <v>162</v>
      </c>
      <c r="AB2425" t="s">
        <v>47</v>
      </c>
      <c r="AC2425">
        <v>0.161</v>
      </c>
      <c r="AD2425">
        <v>403</v>
      </c>
      <c r="AE2425" t="s">
        <v>56</v>
      </c>
      <c r="AF2425">
        <v>0.40200000000000002</v>
      </c>
      <c r="AG2425">
        <v>333</v>
      </c>
      <c r="AH2425" t="s">
        <v>57</v>
      </c>
      <c r="AI2425">
        <v>0.33200000000000002</v>
      </c>
      <c r="AJ2425" t="s">
        <v>1155</v>
      </c>
    </row>
    <row r="2426" spans="1:36" x14ac:dyDescent="0.25">
      <c r="A2426" t="s">
        <v>298</v>
      </c>
      <c r="B2426">
        <v>853243921</v>
      </c>
      <c r="C2426" t="s">
        <v>299</v>
      </c>
      <c r="D2426" t="s">
        <v>299</v>
      </c>
      <c r="E2426" t="s">
        <v>99</v>
      </c>
      <c r="F2426" t="s">
        <v>143</v>
      </c>
      <c r="I2426" t="s">
        <v>39</v>
      </c>
      <c r="J2426" t="s">
        <v>40</v>
      </c>
      <c r="K2426" t="s">
        <v>41</v>
      </c>
      <c r="L2426" t="s">
        <v>300</v>
      </c>
      <c r="N2426" t="s">
        <v>43</v>
      </c>
      <c r="O2426" t="s">
        <v>163</v>
      </c>
      <c r="P2426">
        <v>364</v>
      </c>
      <c r="Q2426">
        <v>364</v>
      </c>
      <c r="R2426">
        <v>931</v>
      </c>
      <c r="S2426" t="s">
        <v>56</v>
      </c>
      <c r="T2426">
        <v>0.93</v>
      </c>
      <c r="U2426">
        <v>43</v>
      </c>
      <c r="V2426" t="s">
        <v>55</v>
      </c>
      <c r="W2426">
        <v>4.2000000000000003E-2</v>
      </c>
      <c r="X2426">
        <v>1</v>
      </c>
      <c r="Y2426" t="s">
        <v>47</v>
      </c>
      <c r="Z2426">
        <v>0</v>
      </c>
      <c r="AA2426">
        <v>166</v>
      </c>
      <c r="AB2426" t="s">
        <v>47</v>
      </c>
      <c r="AC2426">
        <v>0.16500000000000001</v>
      </c>
      <c r="AD2426">
        <v>226</v>
      </c>
      <c r="AE2426" t="s">
        <v>56</v>
      </c>
      <c r="AF2426">
        <v>0.22500000000000001</v>
      </c>
      <c r="AG2426">
        <v>24</v>
      </c>
      <c r="AH2426" t="s">
        <v>103</v>
      </c>
      <c r="AI2426">
        <v>2.3E-2</v>
      </c>
      <c r="AJ2426" t="s">
        <v>50</v>
      </c>
    </row>
    <row r="2427" spans="1:36" x14ac:dyDescent="0.25">
      <c r="A2427" t="s">
        <v>298</v>
      </c>
      <c r="B2427">
        <v>853243921</v>
      </c>
      <c r="C2427" t="s">
        <v>299</v>
      </c>
      <c r="D2427" t="s">
        <v>299</v>
      </c>
      <c r="E2427" t="s">
        <v>99</v>
      </c>
      <c r="F2427" t="s">
        <v>143</v>
      </c>
      <c r="I2427" t="s">
        <v>39</v>
      </c>
      <c r="J2427" t="s">
        <v>40</v>
      </c>
      <c r="K2427" t="s">
        <v>41</v>
      </c>
      <c r="L2427" t="s">
        <v>300</v>
      </c>
      <c r="N2427" t="s">
        <v>43</v>
      </c>
      <c r="O2427" t="s">
        <v>163</v>
      </c>
      <c r="P2427">
        <v>364</v>
      </c>
      <c r="Q2427">
        <v>364</v>
      </c>
      <c r="R2427">
        <v>931</v>
      </c>
      <c r="S2427" t="s">
        <v>56</v>
      </c>
      <c r="T2427">
        <v>0.93</v>
      </c>
      <c r="U2427">
        <v>43</v>
      </c>
      <c r="V2427" t="s">
        <v>55</v>
      </c>
      <c r="W2427">
        <v>4.2000000000000003E-2</v>
      </c>
      <c r="X2427">
        <v>1</v>
      </c>
      <c r="Y2427" t="s">
        <v>47</v>
      </c>
      <c r="Z2427">
        <v>0</v>
      </c>
      <c r="AA2427">
        <v>166</v>
      </c>
      <c r="AB2427" t="s">
        <v>47</v>
      </c>
      <c r="AC2427">
        <v>0.16500000000000001</v>
      </c>
      <c r="AD2427">
        <v>226</v>
      </c>
      <c r="AE2427" t="s">
        <v>56</v>
      </c>
      <c r="AF2427">
        <v>0.22500000000000001</v>
      </c>
      <c r="AG2427">
        <v>24</v>
      </c>
      <c r="AH2427" t="s">
        <v>103</v>
      </c>
      <c r="AI2427">
        <v>2.3E-2</v>
      </c>
      <c r="AJ2427" t="s">
        <v>1153</v>
      </c>
    </row>
    <row r="2428" spans="1:36" x14ac:dyDescent="0.25">
      <c r="A2428" t="s">
        <v>298</v>
      </c>
      <c r="B2428">
        <v>853243921</v>
      </c>
      <c r="C2428" t="s">
        <v>299</v>
      </c>
      <c r="D2428" t="s">
        <v>299</v>
      </c>
      <c r="E2428" t="s">
        <v>99</v>
      </c>
      <c r="F2428" t="s">
        <v>143</v>
      </c>
      <c r="I2428" t="s">
        <v>39</v>
      </c>
      <c r="J2428" t="s">
        <v>40</v>
      </c>
      <c r="K2428" t="s">
        <v>41</v>
      </c>
      <c r="L2428" t="s">
        <v>300</v>
      </c>
      <c r="N2428" t="s">
        <v>43</v>
      </c>
      <c r="O2428" t="s">
        <v>163</v>
      </c>
      <c r="P2428">
        <v>364</v>
      </c>
      <c r="Q2428">
        <v>364</v>
      </c>
      <c r="R2428">
        <v>931</v>
      </c>
      <c r="S2428" t="s">
        <v>56</v>
      </c>
      <c r="T2428">
        <v>0.93</v>
      </c>
      <c r="U2428">
        <v>43</v>
      </c>
      <c r="V2428" t="s">
        <v>55</v>
      </c>
      <c r="W2428">
        <v>4.2000000000000003E-2</v>
      </c>
      <c r="X2428">
        <v>1</v>
      </c>
      <c r="Y2428" t="s">
        <v>47</v>
      </c>
      <c r="Z2428">
        <v>0</v>
      </c>
      <c r="AA2428">
        <v>166</v>
      </c>
      <c r="AB2428" t="s">
        <v>47</v>
      </c>
      <c r="AC2428">
        <v>0.16500000000000001</v>
      </c>
      <c r="AD2428">
        <v>226</v>
      </c>
      <c r="AE2428" t="s">
        <v>56</v>
      </c>
      <c r="AF2428">
        <v>0.22500000000000001</v>
      </c>
      <c r="AG2428">
        <v>24</v>
      </c>
      <c r="AH2428" t="s">
        <v>103</v>
      </c>
      <c r="AI2428">
        <v>2.3E-2</v>
      </c>
      <c r="AJ2428" t="s">
        <v>1154</v>
      </c>
    </row>
    <row r="2429" spans="1:36" x14ac:dyDescent="0.25">
      <c r="A2429" t="s">
        <v>266</v>
      </c>
      <c r="B2429">
        <v>854388103</v>
      </c>
      <c r="C2429" t="s">
        <v>267</v>
      </c>
      <c r="D2429" t="s">
        <v>267</v>
      </c>
      <c r="E2429" t="s">
        <v>60</v>
      </c>
      <c r="F2429" t="s">
        <v>88</v>
      </c>
      <c r="G2429" t="s">
        <v>60</v>
      </c>
      <c r="H2429">
        <v>1.9623199999999999E-4</v>
      </c>
      <c r="I2429" t="s">
        <v>268</v>
      </c>
      <c r="J2429" t="s">
        <v>40</v>
      </c>
      <c r="K2429" t="s">
        <v>41</v>
      </c>
      <c r="L2429" t="s">
        <v>269</v>
      </c>
      <c r="N2429" t="s">
        <v>43</v>
      </c>
      <c r="O2429" t="s">
        <v>90</v>
      </c>
      <c r="P2429">
        <v>364</v>
      </c>
      <c r="Q2429">
        <v>364</v>
      </c>
      <c r="S2429" t="s">
        <v>39</v>
      </c>
      <c r="V2429" t="s">
        <v>39</v>
      </c>
      <c r="X2429">
        <v>25001</v>
      </c>
      <c r="Y2429" t="s">
        <v>47</v>
      </c>
      <c r="Z2429">
        <v>25</v>
      </c>
      <c r="AA2429">
        <v>692</v>
      </c>
      <c r="AB2429" t="s">
        <v>75</v>
      </c>
      <c r="AC2429">
        <v>0.69099999999999995</v>
      </c>
      <c r="AD2429">
        <v>913</v>
      </c>
      <c r="AE2429" t="s">
        <v>48</v>
      </c>
      <c r="AF2429">
        <v>0.91200000000000003</v>
      </c>
      <c r="AG2429">
        <v>955</v>
      </c>
      <c r="AH2429" t="s">
        <v>80</v>
      </c>
      <c r="AI2429">
        <v>0.95399999999999996</v>
      </c>
      <c r="AJ2429" t="s">
        <v>1155</v>
      </c>
    </row>
    <row r="2430" spans="1:36" x14ac:dyDescent="0.25">
      <c r="A2430" t="s">
        <v>296</v>
      </c>
      <c r="B2430">
        <v>856154763</v>
      </c>
      <c r="C2430" t="s">
        <v>297</v>
      </c>
      <c r="D2430" t="s">
        <v>297</v>
      </c>
      <c r="E2430" t="s">
        <v>99</v>
      </c>
      <c r="F2430" t="s">
        <v>136</v>
      </c>
      <c r="I2430" t="s">
        <v>39</v>
      </c>
      <c r="J2430" t="s">
        <v>40</v>
      </c>
      <c r="K2430" t="s">
        <v>41</v>
      </c>
      <c r="L2430" t="s">
        <v>137</v>
      </c>
      <c r="M2430" t="s">
        <v>47</v>
      </c>
      <c r="N2430" t="s">
        <v>43</v>
      </c>
      <c r="O2430" t="s">
        <v>205</v>
      </c>
      <c r="P2430">
        <v>364</v>
      </c>
      <c r="Q2430">
        <v>364</v>
      </c>
      <c r="R2430">
        <v>81</v>
      </c>
      <c r="S2430" t="s">
        <v>56</v>
      </c>
      <c r="T2430">
        <v>0.08</v>
      </c>
      <c r="U2430">
        <v>719</v>
      </c>
      <c r="V2430" t="s">
        <v>113</v>
      </c>
      <c r="W2430">
        <v>0.71799999999999997</v>
      </c>
      <c r="X2430">
        <v>1</v>
      </c>
      <c r="Y2430" t="s">
        <v>47</v>
      </c>
      <c r="Z2430">
        <v>0</v>
      </c>
      <c r="AA2430">
        <v>368</v>
      </c>
      <c r="AB2430" t="s">
        <v>47</v>
      </c>
      <c r="AC2430">
        <v>0.36699999999999999</v>
      </c>
      <c r="AD2430">
        <v>538</v>
      </c>
      <c r="AE2430" t="s">
        <v>48</v>
      </c>
      <c r="AF2430">
        <v>0.53700000000000003</v>
      </c>
      <c r="AG2430">
        <v>326</v>
      </c>
      <c r="AH2430" t="s">
        <v>57</v>
      </c>
      <c r="AI2430">
        <v>0.32500000000000001</v>
      </c>
      <c r="AJ2430" t="s">
        <v>50</v>
      </c>
    </row>
    <row r="2431" spans="1:36" x14ac:dyDescent="0.25">
      <c r="A2431" t="s">
        <v>296</v>
      </c>
      <c r="B2431">
        <v>856154763</v>
      </c>
      <c r="C2431" t="s">
        <v>297</v>
      </c>
      <c r="D2431" t="s">
        <v>297</v>
      </c>
      <c r="E2431" t="s">
        <v>99</v>
      </c>
      <c r="F2431" t="s">
        <v>136</v>
      </c>
      <c r="I2431" t="s">
        <v>39</v>
      </c>
      <c r="J2431" t="s">
        <v>40</v>
      </c>
      <c r="K2431" t="s">
        <v>41</v>
      </c>
      <c r="L2431" t="s">
        <v>137</v>
      </c>
      <c r="M2431" t="s">
        <v>47</v>
      </c>
      <c r="N2431" t="s">
        <v>43</v>
      </c>
      <c r="O2431" t="s">
        <v>205</v>
      </c>
      <c r="P2431">
        <v>364</v>
      </c>
      <c r="Q2431">
        <v>364</v>
      </c>
      <c r="R2431">
        <v>81</v>
      </c>
      <c r="S2431" t="s">
        <v>56</v>
      </c>
      <c r="T2431">
        <v>0.08</v>
      </c>
      <c r="U2431">
        <v>719</v>
      </c>
      <c r="V2431" t="s">
        <v>113</v>
      </c>
      <c r="W2431">
        <v>0.71799999999999997</v>
      </c>
      <c r="X2431">
        <v>1</v>
      </c>
      <c r="Y2431" t="s">
        <v>47</v>
      </c>
      <c r="Z2431">
        <v>0</v>
      </c>
      <c r="AA2431">
        <v>368</v>
      </c>
      <c r="AB2431" t="s">
        <v>47</v>
      </c>
      <c r="AC2431">
        <v>0.36699999999999999</v>
      </c>
      <c r="AD2431">
        <v>538</v>
      </c>
      <c r="AE2431" t="s">
        <v>48</v>
      </c>
      <c r="AF2431">
        <v>0.53700000000000003</v>
      </c>
      <c r="AG2431">
        <v>326</v>
      </c>
      <c r="AH2431" t="s">
        <v>57</v>
      </c>
      <c r="AI2431">
        <v>0.32500000000000001</v>
      </c>
      <c r="AJ2431" t="s">
        <v>1153</v>
      </c>
    </row>
    <row r="2432" spans="1:36" x14ac:dyDescent="0.25">
      <c r="A2432" t="s">
        <v>296</v>
      </c>
      <c r="B2432">
        <v>856154763</v>
      </c>
      <c r="C2432" t="s">
        <v>297</v>
      </c>
      <c r="D2432" t="s">
        <v>297</v>
      </c>
      <c r="E2432" t="s">
        <v>99</v>
      </c>
      <c r="F2432" t="s">
        <v>136</v>
      </c>
      <c r="I2432" t="s">
        <v>39</v>
      </c>
      <c r="J2432" t="s">
        <v>40</v>
      </c>
      <c r="K2432" t="s">
        <v>41</v>
      </c>
      <c r="L2432" t="s">
        <v>137</v>
      </c>
      <c r="M2432" t="s">
        <v>47</v>
      </c>
      <c r="N2432" t="s">
        <v>43</v>
      </c>
      <c r="O2432" t="s">
        <v>205</v>
      </c>
      <c r="P2432">
        <v>364</v>
      </c>
      <c r="Q2432">
        <v>364</v>
      </c>
      <c r="R2432">
        <v>81</v>
      </c>
      <c r="S2432" t="s">
        <v>56</v>
      </c>
      <c r="T2432">
        <v>0.08</v>
      </c>
      <c r="U2432">
        <v>719</v>
      </c>
      <c r="V2432" t="s">
        <v>113</v>
      </c>
      <c r="W2432">
        <v>0.71799999999999997</v>
      </c>
      <c r="X2432">
        <v>1</v>
      </c>
      <c r="Y2432" t="s">
        <v>47</v>
      </c>
      <c r="Z2432">
        <v>0</v>
      </c>
      <c r="AA2432">
        <v>368</v>
      </c>
      <c r="AB2432" t="s">
        <v>47</v>
      </c>
      <c r="AC2432">
        <v>0.36699999999999999</v>
      </c>
      <c r="AD2432">
        <v>538</v>
      </c>
      <c r="AE2432" t="s">
        <v>48</v>
      </c>
      <c r="AF2432">
        <v>0.53700000000000003</v>
      </c>
      <c r="AG2432">
        <v>326</v>
      </c>
      <c r="AH2432" t="s">
        <v>57</v>
      </c>
      <c r="AI2432">
        <v>0.32500000000000001</v>
      </c>
      <c r="AJ2432" t="s">
        <v>1154</v>
      </c>
    </row>
    <row r="2433" spans="1:36" x14ac:dyDescent="0.25">
      <c r="A2433" t="s">
        <v>289</v>
      </c>
      <c r="B2433">
        <v>852573101</v>
      </c>
      <c r="C2433" t="s">
        <v>290</v>
      </c>
      <c r="D2433" t="s">
        <v>290</v>
      </c>
      <c r="E2433" t="s">
        <v>37</v>
      </c>
      <c r="F2433" t="s">
        <v>291</v>
      </c>
      <c r="I2433" t="s">
        <v>39</v>
      </c>
      <c r="J2433" t="s">
        <v>40</v>
      </c>
      <c r="K2433" t="s">
        <v>41</v>
      </c>
      <c r="L2433" t="s">
        <v>151</v>
      </c>
      <c r="M2433" t="s">
        <v>292</v>
      </c>
      <c r="N2433" t="s">
        <v>43</v>
      </c>
      <c r="O2433" t="s">
        <v>293</v>
      </c>
      <c r="P2433">
        <v>365</v>
      </c>
      <c r="Q2433">
        <v>365</v>
      </c>
      <c r="R2433">
        <v>21</v>
      </c>
      <c r="S2433" t="s">
        <v>45</v>
      </c>
      <c r="T2433">
        <v>0.02</v>
      </c>
      <c r="U2433">
        <v>978</v>
      </c>
      <c r="V2433" t="s">
        <v>46</v>
      </c>
      <c r="W2433">
        <v>0.97699999999999998</v>
      </c>
      <c r="X2433">
        <v>22001</v>
      </c>
      <c r="Y2433" t="s">
        <v>47</v>
      </c>
      <c r="Z2433">
        <v>22</v>
      </c>
      <c r="AA2433">
        <v>649</v>
      </c>
      <c r="AB2433" t="s">
        <v>75</v>
      </c>
      <c r="AC2433">
        <v>0.64800000000000002</v>
      </c>
      <c r="AD2433">
        <v>835</v>
      </c>
      <c r="AE2433" t="s">
        <v>48</v>
      </c>
      <c r="AF2433">
        <v>0.83399999999999996</v>
      </c>
      <c r="AG2433">
        <v>928</v>
      </c>
      <c r="AH2433" t="s">
        <v>49</v>
      </c>
      <c r="AI2433">
        <v>0.92700000000000005</v>
      </c>
      <c r="AJ2433" t="s">
        <v>50</v>
      </c>
    </row>
    <row r="2434" spans="1:36" x14ac:dyDescent="0.25">
      <c r="A2434" t="s">
        <v>289</v>
      </c>
      <c r="B2434">
        <v>852573101</v>
      </c>
      <c r="C2434" t="s">
        <v>290</v>
      </c>
      <c r="D2434" t="s">
        <v>290</v>
      </c>
      <c r="E2434" t="s">
        <v>65</v>
      </c>
      <c r="F2434" t="s">
        <v>291</v>
      </c>
      <c r="I2434" t="s">
        <v>39</v>
      </c>
      <c r="J2434" t="s">
        <v>40</v>
      </c>
      <c r="K2434" t="s">
        <v>41</v>
      </c>
      <c r="L2434" t="s">
        <v>151</v>
      </c>
      <c r="M2434" t="s">
        <v>292</v>
      </c>
      <c r="N2434" t="s">
        <v>43</v>
      </c>
      <c r="O2434" t="s">
        <v>294</v>
      </c>
      <c r="P2434">
        <v>365</v>
      </c>
      <c r="Q2434">
        <v>365</v>
      </c>
      <c r="R2434">
        <v>331</v>
      </c>
      <c r="S2434" t="s">
        <v>56</v>
      </c>
      <c r="T2434">
        <v>0.33</v>
      </c>
      <c r="U2434">
        <v>403</v>
      </c>
      <c r="V2434" t="s">
        <v>55</v>
      </c>
      <c r="W2434">
        <v>0.40200000000000002</v>
      </c>
      <c r="X2434">
        <v>16001</v>
      </c>
      <c r="Y2434" t="s">
        <v>47</v>
      </c>
      <c r="Z2434">
        <v>16</v>
      </c>
      <c r="AA2434">
        <v>645</v>
      </c>
      <c r="AB2434" t="s">
        <v>75</v>
      </c>
      <c r="AC2434">
        <v>0.64400000000000002</v>
      </c>
      <c r="AD2434">
        <v>757</v>
      </c>
      <c r="AE2434" t="s">
        <v>48</v>
      </c>
      <c r="AF2434">
        <v>0.75600000000000001</v>
      </c>
      <c r="AG2434">
        <v>861</v>
      </c>
      <c r="AH2434" t="s">
        <v>49</v>
      </c>
      <c r="AI2434">
        <v>0.86</v>
      </c>
      <c r="AJ2434" t="s">
        <v>50</v>
      </c>
    </row>
    <row r="2435" spans="1:36" x14ac:dyDescent="0.25">
      <c r="A2435" t="s">
        <v>289</v>
      </c>
      <c r="B2435">
        <v>852573101</v>
      </c>
      <c r="C2435" t="s">
        <v>290</v>
      </c>
      <c r="D2435" t="s">
        <v>290</v>
      </c>
      <c r="E2435" t="s">
        <v>60</v>
      </c>
      <c r="F2435" t="s">
        <v>291</v>
      </c>
      <c r="I2435" t="s">
        <v>39</v>
      </c>
      <c r="J2435" t="s">
        <v>40</v>
      </c>
      <c r="K2435" t="s">
        <v>41</v>
      </c>
      <c r="L2435" t="s">
        <v>151</v>
      </c>
      <c r="M2435" t="s">
        <v>292</v>
      </c>
      <c r="N2435" t="s">
        <v>43</v>
      </c>
      <c r="O2435" t="s">
        <v>295</v>
      </c>
      <c r="P2435">
        <v>365</v>
      </c>
      <c r="Q2435">
        <v>365</v>
      </c>
      <c r="R2435">
        <v>121</v>
      </c>
      <c r="S2435" t="s">
        <v>56</v>
      </c>
      <c r="T2435">
        <v>0.12</v>
      </c>
      <c r="U2435">
        <v>317</v>
      </c>
      <c r="V2435" t="s">
        <v>55</v>
      </c>
      <c r="W2435">
        <v>0.316</v>
      </c>
      <c r="X2435">
        <v>17001</v>
      </c>
      <c r="Y2435" t="s">
        <v>47</v>
      </c>
      <c r="Z2435">
        <v>17</v>
      </c>
      <c r="AA2435">
        <v>399</v>
      </c>
      <c r="AB2435" t="s">
        <v>47</v>
      </c>
      <c r="AC2435">
        <v>0.39800000000000002</v>
      </c>
      <c r="AD2435">
        <v>537</v>
      </c>
      <c r="AE2435" t="s">
        <v>48</v>
      </c>
      <c r="AF2435">
        <v>0.53600000000000003</v>
      </c>
      <c r="AG2435">
        <v>192</v>
      </c>
      <c r="AH2435" t="s">
        <v>103</v>
      </c>
      <c r="AI2435">
        <v>0.191</v>
      </c>
      <c r="AJ2435" t="s">
        <v>50</v>
      </c>
    </row>
    <row r="2436" spans="1:36" x14ac:dyDescent="0.25">
      <c r="A2436" t="s">
        <v>289</v>
      </c>
      <c r="B2436">
        <v>852573101</v>
      </c>
      <c r="C2436" t="s">
        <v>290</v>
      </c>
      <c r="D2436" t="s">
        <v>290</v>
      </c>
      <c r="E2436" t="s">
        <v>37</v>
      </c>
      <c r="F2436" t="s">
        <v>291</v>
      </c>
      <c r="I2436" t="s">
        <v>39</v>
      </c>
      <c r="J2436" t="s">
        <v>40</v>
      </c>
      <c r="K2436" t="s">
        <v>41</v>
      </c>
      <c r="L2436" t="s">
        <v>151</v>
      </c>
      <c r="M2436" t="s">
        <v>292</v>
      </c>
      <c r="N2436" t="s">
        <v>43</v>
      </c>
      <c r="O2436" t="s">
        <v>293</v>
      </c>
      <c r="P2436">
        <v>365</v>
      </c>
      <c r="Q2436">
        <v>365</v>
      </c>
      <c r="R2436">
        <v>21</v>
      </c>
      <c r="S2436" t="s">
        <v>45</v>
      </c>
      <c r="T2436">
        <v>0.02</v>
      </c>
      <c r="U2436">
        <v>978</v>
      </c>
      <c r="V2436" t="s">
        <v>46</v>
      </c>
      <c r="W2436">
        <v>0.97699999999999998</v>
      </c>
      <c r="X2436">
        <v>22001</v>
      </c>
      <c r="Y2436" t="s">
        <v>47</v>
      </c>
      <c r="Z2436">
        <v>22</v>
      </c>
      <c r="AA2436">
        <v>649</v>
      </c>
      <c r="AB2436" t="s">
        <v>75</v>
      </c>
      <c r="AC2436">
        <v>0.64800000000000002</v>
      </c>
      <c r="AD2436">
        <v>835</v>
      </c>
      <c r="AE2436" t="s">
        <v>48</v>
      </c>
      <c r="AF2436">
        <v>0.83399999999999996</v>
      </c>
      <c r="AG2436">
        <v>928</v>
      </c>
      <c r="AH2436" t="s">
        <v>49</v>
      </c>
      <c r="AI2436">
        <v>0.92700000000000005</v>
      </c>
      <c r="AJ2436" t="s">
        <v>1153</v>
      </c>
    </row>
    <row r="2437" spans="1:36" x14ac:dyDescent="0.25">
      <c r="A2437" t="s">
        <v>289</v>
      </c>
      <c r="B2437">
        <v>852573101</v>
      </c>
      <c r="C2437" t="s">
        <v>290</v>
      </c>
      <c r="D2437" t="s">
        <v>290</v>
      </c>
      <c r="E2437" t="s">
        <v>65</v>
      </c>
      <c r="F2437" t="s">
        <v>291</v>
      </c>
      <c r="I2437" t="s">
        <v>39</v>
      </c>
      <c r="J2437" t="s">
        <v>40</v>
      </c>
      <c r="K2437" t="s">
        <v>41</v>
      </c>
      <c r="L2437" t="s">
        <v>151</v>
      </c>
      <c r="M2437" t="s">
        <v>292</v>
      </c>
      <c r="N2437" t="s">
        <v>43</v>
      </c>
      <c r="O2437" t="s">
        <v>294</v>
      </c>
      <c r="P2437">
        <v>365</v>
      </c>
      <c r="Q2437">
        <v>365</v>
      </c>
      <c r="R2437">
        <v>331</v>
      </c>
      <c r="S2437" t="s">
        <v>56</v>
      </c>
      <c r="T2437">
        <v>0.33</v>
      </c>
      <c r="U2437">
        <v>403</v>
      </c>
      <c r="V2437" t="s">
        <v>55</v>
      </c>
      <c r="W2437">
        <v>0.40200000000000002</v>
      </c>
      <c r="X2437">
        <v>16001</v>
      </c>
      <c r="Y2437" t="s">
        <v>47</v>
      </c>
      <c r="Z2437">
        <v>16</v>
      </c>
      <c r="AA2437">
        <v>645</v>
      </c>
      <c r="AB2437" t="s">
        <v>75</v>
      </c>
      <c r="AC2437">
        <v>0.64400000000000002</v>
      </c>
      <c r="AD2437">
        <v>757</v>
      </c>
      <c r="AE2437" t="s">
        <v>48</v>
      </c>
      <c r="AF2437">
        <v>0.75600000000000001</v>
      </c>
      <c r="AG2437">
        <v>861</v>
      </c>
      <c r="AH2437" t="s">
        <v>49</v>
      </c>
      <c r="AI2437">
        <v>0.86</v>
      </c>
      <c r="AJ2437" t="s">
        <v>1153</v>
      </c>
    </row>
    <row r="2438" spans="1:36" x14ac:dyDescent="0.25">
      <c r="A2438" t="s">
        <v>289</v>
      </c>
      <c r="B2438">
        <v>852573101</v>
      </c>
      <c r="C2438" t="s">
        <v>290</v>
      </c>
      <c r="D2438" t="s">
        <v>290</v>
      </c>
      <c r="E2438" t="s">
        <v>60</v>
      </c>
      <c r="F2438" t="s">
        <v>291</v>
      </c>
      <c r="I2438" t="s">
        <v>39</v>
      </c>
      <c r="J2438" t="s">
        <v>40</v>
      </c>
      <c r="K2438" t="s">
        <v>41</v>
      </c>
      <c r="L2438" t="s">
        <v>151</v>
      </c>
      <c r="M2438" t="s">
        <v>292</v>
      </c>
      <c r="N2438" t="s">
        <v>43</v>
      </c>
      <c r="O2438" t="s">
        <v>295</v>
      </c>
      <c r="P2438">
        <v>365</v>
      </c>
      <c r="Q2438">
        <v>365</v>
      </c>
      <c r="R2438">
        <v>121</v>
      </c>
      <c r="S2438" t="s">
        <v>56</v>
      </c>
      <c r="T2438">
        <v>0.12</v>
      </c>
      <c r="U2438">
        <v>317</v>
      </c>
      <c r="V2438" t="s">
        <v>55</v>
      </c>
      <c r="W2438">
        <v>0.316</v>
      </c>
      <c r="X2438">
        <v>17001</v>
      </c>
      <c r="Y2438" t="s">
        <v>47</v>
      </c>
      <c r="Z2438">
        <v>17</v>
      </c>
      <c r="AA2438">
        <v>399</v>
      </c>
      <c r="AB2438" t="s">
        <v>47</v>
      </c>
      <c r="AC2438">
        <v>0.39800000000000002</v>
      </c>
      <c r="AD2438">
        <v>537</v>
      </c>
      <c r="AE2438" t="s">
        <v>48</v>
      </c>
      <c r="AF2438">
        <v>0.53600000000000003</v>
      </c>
      <c r="AG2438">
        <v>192</v>
      </c>
      <c r="AH2438" t="s">
        <v>103</v>
      </c>
      <c r="AI2438">
        <v>0.191</v>
      </c>
      <c r="AJ2438" t="s">
        <v>1153</v>
      </c>
    </row>
    <row r="2439" spans="1:36" x14ac:dyDescent="0.25">
      <c r="A2439" t="s">
        <v>289</v>
      </c>
      <c r="B2439">
        <v>852573101</v>
      </c>
      <c r="C2439" t="s">
        <v>290</v>
      </c>
      <c r="D2439" t="s">
        <v>290</v>
      </c>
      <c r="E2439" t="s">
        <v>37</v>
      </c>
      <c r="F2439" t="s">
        <v>291</v>
      </c>
      <c r="I2439" t="s">
        <v>39</v>
      </c>
      <c r="J2439" t="s">
        <v>40</v>
      </c>
      <c r="K2439" t="s">
        <v>41</v>
      </c>
      <c r="L2439" t="s">
        <v>151</v>
      </c>
      <c r="M2439" t="s">
        <v>292</v>
      </c>
      <c r="N2439" t="s">
        <v>43</v>
      </c>
      <c r="O2439" t="s">
        <v>293</v>
      </c>
      <c r="P2439">
        <v>365</v>
      </c>
      <c r="Q2439">
        <v>365</v>
      </c>
      <c r="R2439">
        <v>21</v>
      </c>
      <c r="S2439" t="s">
        <v>45</v>
      </c>
      <c r="T2439">
        <v>0.02</v>
      </c>
      <c r="U2439">
        <v>978</v>
      </c>
      <c r="V2439" t="s">
        <v>46</v>
      </c>
      <c r="W2439">
        <v>0.97699999999999998</v>
      </c>
      <c r="X2439">
        <v>22001</v>
      </c>
      <c r="Y2439" t="s">
        <v>47</v>
      </c>
      <c r="Z2439">
        <v>22</v>
      </c>
      <c r="AA2439">
        <v>649</v>
      </c>
      <c r="AB2439" t="s">
        <v>75</v>
      </c>
      <c r="AC2439">
        <v>0.64800000000000002</v>
      </c>
      <c r="AD2439">
        <v>835</v>
      </c>
      <c r="AE2439" t="s">
        <v>48</v>
      </c>
      <c r="AF2439">
        <v>0.83399999999999996</v>
      </c>
      <c r="AG2439">
        <v>928</v>
      </c>
      <c r="AH2439" t="s">
        <v>49</v>
      </c>
      <c r="AI2439">
        <v>0.92700000000000005</v>
      </c>
      <c r="AJ2439" t="s">
        <v>1154</v>
      </c>
    </row>
    <row r="2440" spans="1:36" x14ac:dyDescent="0.25">
      <c r="A2440" t="s">
        <v>289</v>
      </c>
      <c r="B2440">
        <v>852573101</v>
      </c>
      <c r="C2440" t="s">
        <v>290</v>
      </c>
      <c r="D2440" t="s">
        <v>290</v>
      </c>
      <c r="E2440" t="s">
        <v>65</v>
      </c>
      <c r="F2440" t="s">
        <v>291</v>
      </c>
      <c r="I2440" t="s">
        <v>39</v>
      </c>
      <c r="J2440" t="s">
        <v>40</v>
      </c>
      <c r="K2440" t="s">
        <v>41</v>
      </c>
      <c r="L2440" t="s">
        <v>151</v>
      </c>
      <c r="M2440" t="s">
        <v>292</v>
      </c>
      <c r="N2440" t="s">
        <v>43</v>
      </c>
      <c r="O2440" t="s">
        <v>294</v>
      </c>
      <c r="P2440">
        <v>365</v>
      </c>
      <c r="Q2440">
        <v>365</v>
      </c>
      <c r="R2440">
        <v>331</v>
      </c>
      <c r="S2440" t="s">
        <v>56</v>
      </c>
      <c r="T2440">
        <v>0.33</v>
      </c>
      <c r="U2440">
        <v>403</v>
      </c>
      <c r="V2440" t="s">
        <v>55</v>
      </c>
      <c r="W2440">
        <v>0.40200000000000002</v>
      </c>
      <c r="X2440">
        <v>16001</v>
      </c>
      <c r="Y2440" t="s">
        <v>47</v>
      </c>
      <c r="Z2440">
        <v>16</v>
      </c>
      <c r="AA2440">
        <v>645</v>
      </c>
      <c r="AB2440" t="s">
        <v>75</v>
      </c>
      <c r="AC2440">
        <v>0.64400000000000002</v>
      </c>
      <c r="AD2440">
        <v>757</v>
      </c>
      <c r="AE2440" t="s">
        <v>48</v>
      </c>
      <c r="AF2440">
        <v>0.75600000000000001</v>
      </c>
      <c r="AG2440">
        <v>861</v>
      </c>
      <c r="AH2440" t="s">
        <v>49</v>
      </c>
      <c r="AI2440">
        <v>0.86</v>
      </c>
      <c r="AJ2440" t="s">
        <v>1154</v>
      </c>
    </row>
    <row r="2441" spans="1:36" x14ac:dyDescent="0.25">
      <c r="A2441" t="s">
        <v>289</v>
      </c>
      <c r="B2441">
        <v>852573101</v>
      </c>
      <c r="C2441" t="s">
        <v>290</v>
      </c>
      <c r="D2441" t="s">
        <v>290</v>
      </c>
      <c r="E2441" t="s">
        <v>60</v>
      </c>
      <c r="F2441" t="s">
        <v>291</v>
      </c>
      <c r="I2441" t="s">
        <v>39</v>
      </c>
      <c r="J2441" t="s">
        <v>40</v>
      </c>
      <c r="K2441" t="s">
        <v>41</v>
      </c>
      <c r="L2441" t="s">
        <v>151</v>
      </c>
      <c r="M2441" t="s">
        <v>292</v>
      </c>
      <c r="N2441" t="s">
        <v>43</v>
      </c>
      <c r="O2441" t="s">
        <v>295</v>
      </c>
      <c r="P2441">
        <v>365</v>
      </c>
      <c r="Q2441">
        <v>365</v>
      </c>
      <c r="R2441">
        <v>121</v>
      </c>
      <c r="S2441" t="s">
        <v>56</v>
      </c>
      <c r="T2441">
        <v>0.12</v>
      </c>
      <c r="U2441">
        <v>317</v>
      </c>
      <c r="V2441" t="s">
        <v>55</v>
      </c>
      <c r="W2441">
        <v>0.316</v>
      </c>
      <c r="X2441">
        <v>17001</v>
      </c>
      <c r="Y2441" t="s">
        <v>47</v>
      </c>
      <c r="Z2441">
        <v>17</v>
      </c>
      <c r="AA2441">
        <v>399</v>
      </c>
      <c r="AB2441" t="s">
        <v>47</v>
      </c>
      <c r="AC2441">
        <v>0.39800000000000002</v>
      </c>
      <c r="AD2441">
        <v>537</v>
      </c>
      <c r="AE2441" t="s">
        <v>48</v>
      </c>
      <c r="AF2441">
        <v>0.53600000000000003</v>
      </c>
      <c r="AG2441">
        <v>192</v>
      </c>
      <c r="AH2441" t="s">
        <v>103</v>
      </c>
      <c r="AI2441">
        <v>0.191</v>
      </c>
      <c r="AJ2441" t="s">
        <v>1154</v>
      </c>
    </row>
    <row r="2442" spans="1:36" x14ac:dyDescent="0.25">
      <c r="A2442" t="s">
        <v>278</v>
      </c>
      <c r="B2442">
        <v>853256835</v>
      </c>
      <c r="C2442" t="s">
        <v>279</v>
      </c>
      <c r="D2442" t="s">
        <v>279</v>
      </c>
      <c r="E2442" t="s">
        <v>99</v>
      </c>
      <c r="F2442" t="s">
        <v>280</v>
      </c>
      <c r="I2442" t="s">
        <v>39</v>
      </c>
      <c r="J2442" t="s">
        <v>40</v>
      </c>
      <c r="K2442" t="s">
        <v>41</v>
      </c>
      <c r="L2442" t="s">
        <v>281</v>
      </c>
      <c r="M2442" t="s">
        <v>282</v>
      </c>
      <c r="N2442" t="s">
        <v>43</v>
      </c>
      <c r="O2442" t="s">
        <v>283</v>
      </c>
      <c r="P2442">
        <v>365</v>
      </c>
      <c r="Q2442">
        <v>365</v>
      </c>
      <c r="R2442">
        <v>11</v>
      </c>
      <c r="S2442" t="s">
        <v>45</v>
      </c>
      <c r="T2442">
        <v>0.01</v>
      </c>
      <c r="U2442">
        <v>322</v>
      </c>
      <c r="V2442" t="s">
        <v>55</v>
      </c>
      <c r="W2442">
        <v>0.32100000000000001</v>
      </c>
      <c r="X2442">
        <v>1</v>
      </c>
      <c r="Y2442" t="s">
        <v>47</v>
      </c>
      <c r="Z2442">
        <v>0</v>
      </c>
      <c r="AA2442">
        <v>519</v>
      </c>
      <c r="AB2442" t="s">
        <v>75</v>
      </c>
      <c r="AC2442">
        <v>0.51800000000000002</v>
      </c>
      <c r="AD2442">
        <v>757</v>
      </c>
      <c r="AE2442" t="s">
        <v>48</v>
      </c>
      <c r="AF2442">
        <v>0.75600000000000001</v>
      </c>
      <c r="AG2442">
        <v>947</v>
      </c>
      <c r="AH2442" t="s">
        <v>80</v>
      </c>
      <c r="AI2442">
        <v>0.94599999999999995</v>
      </c>
      <c r="AJ2442" t="s">
        <v>50</v>
      </c>
    </row>
    <row r="2443" spans="1:36" x14ac:dyDescent="0.25">
      <c r="A2443" t="s">
        <v>278</v>
      </c>
      <c r="B2443">
        <v>853256835</v>
      </c>
      <c r="C2443" t="s">
        <v>279</v>
      </c>
      <c r="D2443" t="s">
        <v>279</v>
      </c>
      <c r="E2443" t="s">
        <v>99</v>
      </c>
      <c r="F2443" t="s">
        <v>280</v>
      </c>
      <c r="I2443" t="s">
        <v>39</v>
      </c>
      <c r="J2443" t="s">
        <v>40</v>
      </c>
      <c r="K2443" t="s">
        <v>41</v>
      </c>
      <c r="L2443" t="s">
        <v>281</v>
      </c>
      <c r="M2443" t="s">
        <v>282</v>
      </c>
      <c r="N2443" t="s">
        <v>43</v>
      </c>
      <c r="O2443" t="s">
        <v>283</v>
      </c>
      <c r="P2443">
        <v>365</v>
      </c>
      <c r="Q2443">
        <v>365</v>
      </c>
      <c r="R2443">
        <v>11</v>
      </c>
      <c r="S2443" t="s">
        <v>45</v>
      </c>
      <c r="T2443">
        <v>0.01</v>
      </c>
      <c r="U2443">
        <v>322</v>
      </c>
      <c r="V2443" t="s">
        <v>55</v>
      </c>
      <c r="W2443">
        <v>0.32100000000000001</v>
      </c>
      <c r="X2443">
        <v>1</v>
      </c>
      <c r="Y2443" t="s">
        <v>47</v>
      </c>
      <c r="Z2443">
        <v>0</v>
      </c>
      <c r="AA2443">
        <v>519</v>
      </c>
      <c r="AB2443" t="s">
        <v>75</v>
      </c>
      <c r="AC2443">
        <v>0.51800000000000002</v>
      </c>
      <c r="AD2443">
        <v>757</v>
      </c>
      <c r="AE2443" t="s">
        <v>48</v>
      </c>
      <c r="AF2443">
        <v>0.75600000000000001</v>
      </c>
      <c r="AG2443">
        <v>947</v>
      </c>
      <c r="AH2443" t="s">
        <v>80</v>
      </c>
      <c r="AI2443">
        <v>0.94599999999999995</v>
      </c>
      <c r="AJ2443" t="s">
        <v>1153</v>
      </c>
    </row>
    <row r="2444" spans="1:36" x14ac:dyDescent="0.25">
      <c r="A2444" t="s">
        <v>278</v>
      </c>
      <c r="B2444">
        <v>853256835</v>
      </c>
      <c r="C2444" t="s">
        <v>279</v>
      </c>
      <c r="D2444" t="s">
        <v>279</v>
      </c>
      <c r="E2444" t="s">
        <v>99</v>
      </c>
      <c r="F2444" t="s">
        <v>280</v>
      </c>
      <c r="I2444" t="s">
        <v>39</v>
      </c>
      <c r="J2444" t="s">
        <v>40</v>
      </c>
      <c r="K2444" t="s">
        <v>41</v>
      </c>
      <c r="L2444" t="s">
        <v>281</v>
      </c>
      <c r="M2444" t="s">
        <v>282</v>
      </c>
      <c r="N2444" t="s">
        <v>43</v>
      </c>
      <c r="O2444" t="s">
        <v>283</v>
      </c>
      <c r="P2444">
        <v>365</v>
      </c>
      <c r="Q2444">
        <v>365</v>
      </c>
      <c r="R2444">
        <v>11</v>
      </c>
      <c r="S2444" t="s">
        <v>45</v>
      </c>
      <c r="T2444">
        <v>0.01</v>
      </c>
      <c r="U2444">
        <v>322</v>
      </c>
      <c r="V2444" t="s">
        <v>55</v>
      </c>
      <c r="W2444">
        <v>0.32100000000000001</v>
      </c>
      <c r="X2444">
        <v>1</v>
      </c>
      <c r="Y2444" t="s">
        <v>47</v>
      </c>
      <c r="Z2444">
        <v>0</v>
      </c>
      <c r="AA2444">
        <v>519</v>
      </c>
      <c r="AB2444" t="s">
        <v>75</v>
      </c>
      <c r="AC2444">
        <v>0.51800000000000002</v>
      </c>
      <c r="AD2444">
        <v>757</v>
      </c>
      <c r="AE2444" t="s">
        <v>48</v>
      </c>
      <c r="AF2444">
        <v>0.75600000000000001</v>
      </c>
      <c r="AG2444">
        <v>947</v>
      </c>
      <c r="AH2444" t="s">
        <v>80</v>
      </c>
      <c r="AI2444">
        <v>0.94599999999999995</v>
      </c>
      <c r="AJ2444" t="s">
        <v>1154</v>
      </c>
    </row>
    <row r="2445" spans="1:36" x14ac:dyDescent="0.25">
      <c r="A2445" t="s">
        <v>284</v>
      </c>
      <c r="B2445">
        <v>856508545</v>
      </c>
      <c r="C2445" t="s">
        <v>285</v>
      </c>
      <c r="D2445" t="s">
        <v>285</v>
      </c>
      <c r="E2445" t="s">
        <v>37</v>
      </c>
      <c r="F2445" t="s">
        <v>220</v>
      </c>
      <c r="I2445" t="s">
        <v>39</v>
      </c>
      <c r="J2445" t="s">
        <v>40</v>
      </c>
      <c r="K2445" t="s">
        <v>41</v>
      </c>
      <c r="L2445" t="s">
        <v>286</v>
      </c>
      <c r="M2445" t="s">
        <v>282</v>
      </c>
      <c r="N2445" t="s">
        <v>43</v>
      </c>
      <c r="O2445" t="s">
        <v>287</v>
      </c>
      <c r="P2445">
        <v>365</v>
      </c>
      <c r="Q2445">
        <v>365</v>
      </c>
      <c r="R2445">
        <v>1</v>
      </c>
      <c r="S2445" t="s">
        <v>45</v>
      </c>
      <c r="T2445">
        <v>0</v>
      </c>
      <c r="U2445">
        <v>987</v>
      </c>
      <c r="V2445" t="s">
        <v>46</v>
      </c>
      <c r="W2445">
        <v>0.98599999999999999</v>
      </c>
      <c r="X2445">
        <v>22001</v>
      </c>
      <c r="Y2445" t="s">
        <v>47</v>
      </c>
      <c r="Z2445">
        <v>22</v>
      </c>
      <c r="AA2445">
        <v>600</v>
      </c>
      <c r="AB2445" t="s">
        <v>75</v>
      </c>
      <c r="AC2445">
        <v>0.59899999999999998</v>
      </c>
      <c r="AD2445">
        <v>863</v>
      </c>
      <c r="AE2445" t="s">
        <v>48</v>
      </c>
      <c r="AF2445">
        <v>0.86199999999999999</v>
      </c>
      <c r="AG2445">
        <v>971</v>
      </c>
      <c r="AH2445" t="s">
        <v>80</v>
      </c>
      <c r="AI2445">
        <v>0.97</v>
      </c>
      <c r="AJ2445" t="s">
        <v>50</v>
      </c>
    </row>
    <row r="2446" spans="1:36" x14ac:dyDescent="0.25">
      <c r="A2446" t="s">
        <v>284</v>
      </c>
      <c r="B2446">
        <v>856508545</v>
      </c>
      <c r="C2446" t="s">
        <v>285</v>
      </c>
      <c r="D2446" t="s">
        <v>285</v>
      </c>
      <c r="E2446" t="s">
        <v>99</v>
      </c>
      <c r="F2446" t="s">
        <v>220</v>
      </c>
      <c r="I2446" t="s">
        <v>39</v>
      </c>
      <c r="J2446" t="s">
        <v>40</v>
      </c>
      <c r="K2446" t="s">
        <v>41</v>
      </c>
      <c r="L2446" t="s">
        <v>286</v>
      </c>
      <c r="M2446" t="s">
        <v>282</v>
      </c>
      <c r="N2446" t="s">
        <v>43</v>
      </c>
      <c r="O2446" t="s">
        <v>288</v>
      </c>
      <c r="P2446">
        <v>365</v>
      </c>
      <c r="Q2446">
        <v>365</v>
      </c>
      <c r="R2446">
        <v>21</v>
      </c>
      <c r="S2446" t="s">
        <v>45</v>
      </c>
      <c r="T2446">
        <v>0.02</v>
      </c>
      <c r="U2446">
        <v>853</v>
      </c>
      <c r="V2446" t="s">
        <v>113</v>
      </c>
      <c r="W2446">
        <v>0.85199999999999998</v>
      </c>
      <c r="X2446">
        <v>22001</v>
      </c>
      <c r="Y2446" t="s">
        <v>47</v>
      </c>
      <c r="Z2446">
        <v>22</v>
      </c>
      <c r="AA2446">
        <v>676</v>
      </c>
      <c r="AB2446" t="s">
        <v>75</v>
      </c>
      <c r="AC2446">
        <v>0.67500000000000004</v>
      </c>
      <c r="AD2446">
        <v>735</v>
      </c>
      <c r="AE2446" t="s">
        <v>48</v>
      </c>
      <c r="AF2446">
        <v>0.73399999999999999</v>
      </c>
      <c r="AG2446">
        <v>583</v>
      </c>
      <c r="AH2446" t="s">
        <v>49</v>
      </c>
      <c r="AI2446">
        <v>0.58199999999999996</v>
      </c>
      <c r="AJ2446" t="s">
        <v>50</v>
      </c>
    </row>
    <row r="2447" spans="1:36" x14ac:dyDescent="0.25">
      <c r="A2447" t="s">
        <v>284</v>
      </c>
      <c r="B2447">
        <v>856508545</v>
      </c>
      <c r="C2447" t="s">
        <v>285</v>
      </c>
      <c r="D2447" t="s">
        <v>285</v>
      </c>
      <c r="E2447" t="s">
        <v>37</v>
      </c>
      <c r="F2447" t="s">
        <v>220</v>
      </c>
      <c r="I2447" t="s">
        <v>39</v>
      </c>
      <c r="J2447" t="s">
        <v>40</v>
      </c>
      <c r="K2447" t="s">
        <v>41</v>
      </c>
      <c r="L2447" t="s">
        <v>286</v>
      </c>
      <c r="M2447" t="s">
        <v>282</v>
      </c>
      <c r="N2447" t="s">
        <v>43</v>
      </c>
      <c r="O2447" t="s">
        <v>287</v>
      </c>
      <c r="P2447">
        <v>365</v>
      </c>
      <c r="Q2447">
        <v>365</v>
      </c>
      <c r="R2447">
        <v>1</v>
      </c>
      <c r="S2447" t="s">
        <v>45</v>
      </c>
      <c r="T2447">
        <v>0</v>
      </c>
      <c r="U2447">
        <v>987</v>
      </c>
      <c r="V2447" t="s">
        <v>46</v>
      </c>
      <c r="W2447">
        <v>0.98599999999999999</v>
      </c>
      <c r="X2447">
        <v>22001</v>
      </c>
      <c r="Y2447" t="s">
        <v>47</v>
      </c>
      <c r="Z2447">
        <v>22</v>
      </c>
      <c r="AA2447">
        <v>600</v>
      </c>
      <c r="AB2447" t="s">
        <v>75</v>
      </c>
      <c r="AC2447">
        <v>0.59899999999999998</v>
      </c>
      <c r="AD2447">
        <v>863</v>
      </c>
      <c r="AE2447" t="s">
        <v>48</v>
      </c>
      <c r="AF2447">
        <v>0.86199999999999999</v>
      </c>
      <c r="AG2447">
        <v>971</v>
      </c>
      <c r="AH2447" t="s">
        <v>80</v>
      </c>
      <c r="AI2447">
        <v>0.97</v>
      </c>
      <c r="AJ2447" t="s">
        <v>1153</v>
      </c>
    </row>
    <row r="2448" spans="1:36" x14ac:dyDescent="0.25">
      <c r="A2448" t="s">
        <v>284</v>
      </c>
      <c r="B2448">
        <v>856508545</v>
      </c>
      <c r="C2448" t="s">
        <v>285</v>
      </c>
      <c r="D2448" t="s">
        <v>285</v>
      </c>
      <c r="E2448" t="s">
        <v>99</v>
      </c>
      <c r="F2448" t="s">
        <v>220</v>
      </c>
      <c r="I2448" t="s">
        <v>39</v>
      </c>
      <c r="J2448" t="s">
        <v>40</v>
      </c>
      <c r="K2448" t="s">
        <v>41</v>
      </c>
      <c r="L2448" t="s">
        <v>286</v>
      </c>
      <c r="M2448" t="s">
        <v>282</v>
      </c>
      <c r="N2448" t="s">
        <v>43</v>
      </c>
      <c r="O2448" t="s">
        <v>288</v>
      </c>
      <c r="P2448">
        <v>365</v>
      </c>
      <c r="Q2448">
        <v>365</v>
      </c>
      <c r="R2448">
        <v>21</v>
      </c>
      <c r="S2448" t="s">
        <v>45</v>
      </c>
      <c r="T2448">
        <v>0.02</v>
      </c>
      <c r="U2448">
        <v>853</v>
      </c>
      <c r="V2448" t="s">
        <v>113</v>
      </c>
      <c r="W2448">
        <v>0.85199999999999998</v>
      </c>
      <c r="X2448">
        <v>22001</v>
      </c>
      <c r="Y2448" t="s">
        <v>47</v>
      </c>
      <c r="Z2448">
        <v>22</v>
      </c>
      <c r="AA2448">
        <v>676</v>
      </c>
      <c r="AB2448" t="s">
        <v>75</v>
      </c>
      <c r="AC2448">
        <v>0.67500000000000004</v>
      </c>
      <c r="AD2448">
        <v>735</v>
      </c>
      <c r="AE2448" t="s">
        <v>48</v>
      </c>
      <c r="AF2448">
        <v>0.73399999999999999</v>
      </c>
      <c r="AG2448">
        <v>583</v>
      </c>
      <c r="AH2448" t="s">
        <v>49</v>
      </c>
      <c r="AI2448">
        <v>0.58199999999999996</v>
      </c>
      <c r="AJ2448" t="s">
        <v>1153</v>
      </c>
    </row>
    <row r="2449" spans="1:36" x14ac:dyDescent="0.25">
      <c r="A2449" t="s">
        <v>284</v>
      </c>
      <c r="B2449">
        <v>856508545</v>
      </c>
      <c r="C2449" t="s">
        <v>285</v>
      </c>
      <c r="D2449" t="s">
        <v>285</v>
      </c>
      <c r="E2449" t="s">
        <v>37</v>
      </c>
      <c r="F2449" t="s">
        <v>220</v>
      </c>
      <c r="I2449" t="s">
        <v>39</v>
      </c>
      <c r="J2449" t="s">
        <v>40</v>
      </c>
      <c r="K2449" t="s">
        <v>41</v>
      </c>
      <c r="L2449" t="s">
        <v>286</v>
      </c>
      <c r="M2449" t="s">
        <v>282</v>
      </c>
      <c r="N2449" t="s">
        <v>43</v>
      </c>
      <c r="O2449" t="s">
        <v>287</v>
      </c>
      <c r="P2449">
        <v>365</v>
      </c>
      <c r="Q2449">
        <v>365</v>
      </c>
      <c r="R2449">
        <v>1</v>
      </c>
      <c r="S2449" t="s">
        <v>45</v>
      </c>
      <c r="T2449">
        <v>0</v>
      </c>
      <c r="U2449">
        <v>987</v>
      </c>
      <c r="V2449" t="s">
        <v>46</v>
      </c>
      <c r="W2449">
        <v>0.98599999999999999</v>
      </c>
      <c r="X2449">
        <v>22001</v>
      </c>
      <c r="Y2449" t="s">
        <v>47</v>
      </c>
      <c r="Z2449">
        <v>22</v>
      </c>
      <c r="AA2449">
        <v>600</v>
      </c>
      <c r="AB2449" t="s">
        <v>75</v>
      </c>
      <c r="AC2449">
        <v>0.59899999999999998</v>
      </c>
      <c r="AD2449">
        <v>863</v>
      </c>
      <c r="AE2449" t="s">
        <v>48</v>
      </c>
      <c r="AF2449">
        <v>0.86199999999999999</v>
      </c>
      <c r="AG2449">
        <v>971</v>
      </c>
      <c r="AH2449" t="s">
        <v>80</v>
      </c>
      <c r="AI2449">
        <v>0.97</v>
      </c>
      <c r="AJ2449" t="s">
        <v>1154</v>
      </c>
    </row>
    <row r="2450" spans="1:36" x14ac:dyDescent="0.25">
      <c r="A2450" t="s">
        <v>284</v>
      </c>
      <c r="B2450">
        <v>856508545</v>
      </c>
      <c r="C2450" t="s">
        <v>285</v>
      </c>
      <c r="D2450" t="s">
        <v>285</v>
      </c>
      <c r="E2450" t="s">
        <v>99</v>
      </c>
      <c r="F2450" t="s">
        <v>220</v>
      </c>
      <c r="I2450" t="s">
        <v>39</v>
      </c>
      <c r="J2450" t="s">
        <v>40</v>
      </c>
      <c r="K2450" t="s">
        <v>41</v>
      </c>
      <c r="L2450" t="s">
        <v>286</v>
      </c>
      <c r="M2450" t="s">
        <v>282</v>
      </c>
      <c r="N2450" t="s">
        <v>43</v>
      </c>
      <c r="O2450" t="s">
        <v>288</v>
      </c>
      <c r="P2450">
        <v>365</v>
      </c>
      <c r="Q2450">
        <v>365</v>
      </c>
      <c r="R2450">
        <v>21</v>
      </c>
      <c r="S2450" t="s">
        <v>45</v>
      </c>
      <c r="T2450">
        <v>0.02</v>
      </c>
      <c r="U2450">
        <v>853</v>
      </c>
      <c r="V2450" t="s">
        <v>113</v>
      </c>
      <c r="W2450">
        <v>0.85199999999999998</v>
      </c>
      <c r="X2450">
        <v>22001</v>
      </c>
      <c r="Y2450" t="s">
        <v>47</v>
      </c>
      <c r="Z2450">
        <v>22</v>
      </c>
      <c r="AA2450">
        <v>676</v>
      </c>
      <c r="AB2450" t="s">
        <v>75</v>
      </c>
      <c r="AC2450">
        <v>0.67500000000000004</v>
      </c>
      <c r="AD2450">
        <v>735</v>
      </c>
      <c r="AE2450" t="s">
        <v>48</v>
      </c>
      <c r="AF2450">
        <v>0.73399999999999999</v>
      </c>
      <c r="AG2450">
        <v>583</v>
      </c>
      <c r="AH2450" t="s">
        <v>49</v>
      </c>
      <c r="AI2450">
        <v>0.58199999999999996</v>
      </c>
      <c r="AJ2450" t="s">
        <v>1154</v>
      </c>
    </row>
    <row r="2451" spans="1:36" x14ac:dyDescent="0.25">
      <c r="A2451" t="s">
        <v>262</v>
      </c>
      <c r="B2451">
        <v>871151650</v>
      </c>
      <c r="C2451" t="s">
        <v>263</v>
      </c>
      <c r="D2451" t="s">
        <v>263</v>
      </c>
      <c r="E2451" t="s">
        <v>99</v>
      </c>
      <c r="F2451" t="s">
        <v>143</v>
      </c>
      <c r="I2451" t="s">
        <v>39</v>
      </c>
      <c r="J2451" t="s">
        <v>40</v>
      </c>
      <c r="K2451" t="s">
        <v>41</v>
      </c>
      <c r="L2451" t="s">
        <v>173</v>
      </c>
      <c r="N2451" t="s">
        <v>43</v>
      </c>
      <c r="O2451" t="s">
        <v>156</v>
      </c>
      <c r="P2451">
        <v>366</v>
      </c>
      <c r="Q2451">
        <v>366</v>
      </c>
      <c r="S2451" t="s">
        <v>39</v>
      </c>
      <c r="V2451" t="s">
        <v>39</v>
      </c>
      <c r="X2451">
        <v>25001</v>
      </c>
      <c r="Y2451" t="s">
        <v>47</v>
      </c>
      <c r="Z2451">
        <v>25</v>
      </c>
      <c r="AA2451">
        <v>645</v>
      </c>
      <c r="AB2451" t="s">
        <v>75</v>
      </c>
      <c r="AC2451">
        <v>0.64400000000000002</v>
      </c>
      <c r="AD2451">
        <v>878</v>
      </c>
      <c r="AE2451" t="s">
        <v>48</v>
      </c>
      <c r="AF2451">
        <v>0.877</v>
      </c>
      <c r="AG2451">
        <v>962</v>
      </c>
      <c r="AH2451" t="s">
        <v>80</v>
      </c>
      <c r="AI2451">
        <v>0.96099999999999997</v>
      </c>
      <c r="AJ2451" t="s">
        <v>1155</v>
      </c>
    </row>
    <row r="2452" spans="1:36" x14ac:dyDescent="0.25">
      <c r="A2452" t="s">
        <v>272</v>
      </c>
      <c r="B2452">
        <v>881460146</v>
      </c>
      <c r="C2452" t="s">
        <v>273</v>
      </c>
      <c r="D2452" t="s">
        <v>273</v>
      </c>
      <c r="E2452" t="s">
        <v>65</v>
      </c>
      <c r="F2452" t="s">
        <v>166</v>
      </c>
      <c r="I2452" t="s">
        <v>39</v>
      </c>
      <c r="J2452" t="s">
        <v>40</v>
      </c>
      <c r="K2452" t="s">
        <v>41</v>
      </c>
      <c r="L2452" t="s">
        <v>42</v>
      </c>
      <c r="N2452" t="s">
        <v>43</v>
      </c>
      <c r="O2452" t="s">
        <v>153</v>
      </c>
      <c r="P2452">
        <v>366</v>
      </c>
      <c r="Q2452">
        <v>366</v>
      </c>
      <c r="R2452">
        <v>11</v>
      </c>
      <c r="S2452" t="s">
        <v>45</v>
      </c>
      <c r="T2452">
        <v>0.01</v>
      </c>
      <c r="U2452">
        <v>743</v>
      </c>
      <c r="V2452" t="s">
        <v>113</v>
      </c>
      <c r="W2452">
        <v>0.74199999999999999</v>
      </c>
      <c r="X2452">
        <v>23001</v>
      </c>
      <c r="Y2452" t="s">
        <v>47</v>
      </c>
      <c r="Z2452">
        <v>23</v>
      </c>
      <c r="AA2452">
        <v>677</v>
      </c>
      <c r="AB2452" t="s">
        <v>75</v>
      </c>
      <c r="AC2452">
        <v>0.67600000000000005</v>
      </c>
      <c r="AD2452">
        <v>877</v>
      </c>
      <c r="AE2452" t="s">
        <v>48</v>
      </c>
      <c r="AF2452">
        <v>0.876</v>
      </c>
      <c r="AG2452">
        <v>962</v>
      </c>
      <c r="AH2452" t="s">
        <v>80</v>
      </c>
      <c r="AI2452">
        <v>0.96099999999999997</v>
      </c>
      <c r="AJ2452" t="s">
        <v>50</v>
      </c>
    </row>
    <row r="2453" spans="1:36" x14ac:dyDescent="0.25">
      <c r="A2453" t="s">
        <v>272</v>
      </c>
      <c r="B2453">
        <v>881460146</v>
      </c>
      <c r="C2453" t="s">
        <v>273</v>
      </c>
      <c r="D2453" t="s">
        <v>273</v>
      </c>
      <c r="E2453" t="s">
        <v>65</v>
      </c>
      <c r="F2453" t="s">
        <v>166</v>
      </c>
      <c r="I2453" t="s">
        <v>39</v>
      </c>
      <c r="J2453" t="s">
        <v>40</v>
      </c>
      <c r="K2453" t="s">
        <v>41</v>
      </c>
      <c r="L2453" t="s">
        <v>42</v>
      </c>
      <c r="N2453" t="s">
        <v>43</v>
      </c>
      <c r="O2453" t="s">
        <v>153</v>
      </c>
      <c r="P2453">
        <v>366</v>
      </c>
      <c r="Q2453">
        <v>366</v>
      </c>
      <c r="R2453">
        <v>11</v>
      </c>
      <c r="S2453" t="s">
        <v>45</v>
      </c>
      <c r="T2453">
        <v>0.01</v>
      </c>
      <c r="U2453">
        <v>743</v>
      </c>
      <c r="V2453" t="s">
        <v>113</v>
      </c>
      <c r="W2453">
        <v>0.74199999999999999</v>
      </c>
      <c r="X2453">
        <v>23001</v>
      </c>
      <c r="Y2453" t="s">
        <v>47</v>
      </c>
      <c r="Z2453">
        <v>23</v>
      </c>
      <c r="AA2453">
        <v>677</v>
      </c>
      <c r="AB2453" t="s">
        <v>75</v>
      </c>
      <c r="AC2453">
        <v>0.67600000000000005</v>
      </c>
      <c r="AD2453">
        <v>877</v>
      </c>
      <c r="AE2453" t="s">
        <v>48</v>
      </c>
      <c r="AF2453">
        <v>0.876</v>
      </c>
      <c r="AG2453">
        <v>962</v>
      </c>
      <c r="AH2453" t="s">
        <v>80</v>
      </c>
      <c r="AI2453">
        <v>0.96099999999999997</v>
      </c>
      <c r="AJ2453" t="s">
        <v>1153</v>
      </c>
    </row>
    <row r="2454" spans="1:36" x14ac:dyDescent="0.25">
      <c r="A2454" t="s">
        <v>272</v>
      </c>
      <c r="B2454">
        <v>881460146</v>
      </c>
      <c r="C2454" t="s">
        <v>273</v>
      </c>
      <c r="D2454" t="s">
        <v>273</v>
      </c>
      <c r="E2454" t="s">
        <v>65</v>
      </c>
      <c r="F2454" t="s">
        <v>166</v>
      </c>
      <c r="I2454" t="s">
        <v>39</v>
      </c>
      <c r="J2454" t="s">
        <v>40</v>
      </c>
      <c r="K2454" t="s">
        <v>41</v>
      </c>
      <c r="L2454" t="s">
        <v>42</v>
      </c>
      <c r="N2454" t="s">
        <v>43</v>
      </c>
      <c r="O2454" t="s">
        <v>153</v>
      </c>
      <c r="P2454">
        <v>366</v>
      </c>
      <c r="Q2454">
        <v>366</v>
      </c>
      <c r="R2454">
        <v>11</v>
      </c>
      <c r="S2454" t="s">
        <v>45</v>
      </c>
      <c r="T2454">
        <v>0.01</v>
      </c>
      <c r="U2454">
        <v>743</v>
      </c>
      <c r="V2454" t="s">
        <v>113</v>
      </c>
      <c r="W2454">
        <v>0.74199999999999999</v>
      </c>
      <c r="X2454">
        <v>23001</v>
      </c>
      <c r="Y2454" t="s">
        <v>47</v>
      </c>
      <c r="Z2454">
        <v>23</v>
      </c>
      <c r="AA2454">
        <v>677</v>
      </c>
      <c r="AB2454" t="s">
        <v>75</v>
      </c>
      <c r="AC2454">
        <v>0.67600000000000005</v>
      </c>
      <c r="AD2454">
        <v>877</v>
      </c>
      <c r="AE2454" t="s">
        <v>48</v>
      </c>
      <c r="AF2454">
        <v>0.876</v>
      </c>
      <c r="AG2454">
        <v>962</v>
      </c>
      <c r="AH2454" t="s">
        <v>80</v>
      </c>
      <c r="AI2454">
        <v>0.96099999999999997</v>
      </c>
      <c r="AJ2454" t="s">
        <v>1154</v>
      </c>
    </row>
    <row r="2455" spans="1:36" x14ac:dyDescent="0.25">
      <c r="A2455" t="s">
        <v>274</v>
      </c>
      <c r="B2455">
        <v>851914898</v>
      </c>
      <c r="C2455" t="s">
        <v>275</v>
      </c>
      <c r="D2455" t="s">
        <v>275</v>
      </c>
      <c r="E2455" t="s">
        <v>65</v>
      </c>
      <c r="F2455" t="s">
        <v>83</v>
      </c>
      <c r="I2455" t="s">
        <v>39</v>
      </c>
      <c r="J2455" t="s">
        <v>40</v>
      </c>
      <c r="K2455" t="s">
        <v>41</v>
      </c>
      <c r="L2455" t="s">
        <v>151</v>
      </c>
      <c r="M2455" t="s">
        <v>276</v>
      </c>
      <c r="N2455" t="s">
        <v>43</v>
      </c>
      <c r="O2455" t="s">
        <v>277</v>
      </c>
      <c r="P2455">
        <v>366</v>
      </c>
      <c r="Q2455">
        <v>366</v>
      </c>
      <c r="R2455">
        <v>1</v>
      </c>
      <c r="S2455" t="s">
        <v>45</v>
      </c>
      <c r="T2455">
        <v>0</v>
      </c>
      <c r="U2455">
        <v>975</v>
      </c>
      <c r="V2455" t="s">
        <v>46</v>
      </c>
      <c r="W2455">
        <v>0.97399999999999998</v>
      </c>
      <c r="X2455">
        <v>24001</v>
      </c>
      <c r="Y2455" t="s">
        <v>47</v>
      </c>
      <c r="Z2455">
        <v>24</v>
      </c>
      <c r="AA2455">
        <v>645</v>
      </c>
      <c r="AB2455" t="s">
        <v>75</v>
      </c>
      <c r="AC2455">
        <v>0.64400000000000002</v>
      </c>
      <c r="AD2455">
        <v>919</v>
      </c>
      <c r="AE2455" t="s">
        <v>48</v>
      </c>
      <c r="AF2455">
        <v>0.91800000000000004</v>
      </c>
      <c r="AG2455">
        <v>955</v>
      </c>
      <c r="AH2455" t="s">
        <v>80</v>
      </c>
      <c r="AI2455">
        <v>0.95399999999999996</v>
      </c>
      <c r="AJ2455" t="s">
        <v>50</v>
      </c>
    </row>
    <row r="2456" spans="1:36" x14ac:dyDescent="0.25">
      <c r="A2456" t="s">
        <v>274</v>
      </c>
      <c r="B2456">
        <v>851914898</v>
      </c>
      <c r="C2456" t="s">
        <v>275</v>
      </c>
      <c r="D2456" t="s">
        <v>275</v>
      </c>
      <c r="E2456" t="s">
        <v>60</v>
      </c>
      <c r="F2456" t="s">
        <v>83</v>
      </c>
      <c r="I2456" t="s">
        <v>39</v>
      </c>
      <c r="J2456" t="s">
        <v>40</v>
      </c>
      <c r="K2456" t="s">
        <v>41</v>
      </c>
      <c r="L2456" t="s">
        <v>151</v>
      </c>
      <c r="M2456" t="s">
        <v>276</v>
      </c>
      <c r="N2456" t="s">
        <v>43</v>
      </c>
      <c r="O2456" t="s">
        <v>194</v>
      </c>
      <c r="P2456">
        <v>366</v>
      </c>
      <c r="Q2456">
        <v>366</v>
      </c>
      <c r="R2456">
        <v>11</v>
      </c>
      <c r="S2456" t="s">
        <v>45</v>
      </c>
      <c r="T2456">
        <v>0.01</v>
      </c>
      <c r="U2456">
        <v>994</v>
      </c>
      <c r="V2456" t="s">
        <v>46</v>
      </c>
      <c r="W2456">
        <v>0.99299999999999999</v>
      </c>
      <c r="X2456">
        <v>25001</v>
      </c>
      <c r="Y2456" t="s">
        <v>47</v>
      </c>
      <c r="Z2456">
        <v>25</v>
      </c>
      <c r="AA2456">
        <v>687</v>
      </c>
      <c r="AB2456" t="s">
        <v>75</v>
      </c>
      <c r="AC2456">
        <v>0.68600000000000005</v>
      </c>
      <c r="AD2456">
        <v>821</v>
      </c>
      <c r="AE2456" t="s">
        <v>48</v>
      </c>
      <c r="AF2456">
        <v>0.82</v>
      </c>
      <c r="AG2456">
        <v>955</v>
      </c>
      <c r="AH2456" t="s">
        <v>80</v>
      </c>
      <c r="AI2456">
        <v>0.95399999999999996</v>
      </c>
      <c r="AJ2456" t="s">
        <v>50</v>
      </c>
    </row>
    <row r="2457" spans="1:36" x14ac:dyDescent="0.25">
      <c r="A2457" t="s">
        <v>274</v>
      </c>
      <c r="B2457">
        <v>851914898</v>
      </c>
      <c r="C2457" t="s">
        <v>275</v>
      </c>
      <c r="D2457" t="s">
        <v>275</v>
      </c>
      <c r="E2457" t="s">
        <v>65</v>
      </c>
      <c r="F2457" t="s">
        <v>83</v>
      </c>
      <c r="I2457" t="s">
        <v>39</v>
      </c>
      <c r="J2457" t="s">
        <v>40</v>
      </c>
      <c r="K2457" t="s">
        <v>41</v>
      </c>
      <c r="L2457" t="s">
        <v>151</v>
      </c>
      <c r="M2457" t="s">
        <v>276</v>
      </c>
      <c r="N2457" t="s">
        <v>43</v>
      </c>
      <c r="O2457" t="s">
        <v>277</v>
      </c>
      <c r="P2457">
        <v>366</v>
      </c>
      <c r="Q2457">
        <v>366</v>
      </c>
      <c r="R2457">
        <v>1</v>
      </c>
      <c r="S2457" t="s">
        <v>45</v>
      </c>
      <c r="T2457">
        <v>0</v>
      </c>
      <c r="U2457">
        <v>975</v>
      </c>
      <c r="V2457" t="s">
        <v>46</v>
      </c>
      <c r="W2457">
        <v>0.97399999999999998</v>
      </c>
      <c r="X2457">
        <v>24001</v>
      </c>
      <c r="Y2457" t="s">
        <v>47</v>
      </c>
      <c r="Z2457">
        <v>24</v>
      </c>
      <c r="AA2457">
        <v>645</v>
      </c>
      <c r="AB2457" t="s">
        <v>75</v>
      </c>
      <c r="AC2457">
        <v>0.64400000000000002</v>
      </c>
      <c r="AD2457">
        <v>919</v>
      </c>
      <c r="AE2457" t="s">
        <v>48</v>
      </c>
      <c r="AF2457">
        <v>0.91800000000000004</v>
      </c>
      <c r="AG2457">
        <v>955</v>
      </c>
      <c r="AH2457" t="s">
        <v>80</v>
      </c>
      <c r="AI2457">
        <v>0.95399999999999996</v>
      </c>
      <c r="AJ2457" t="s">
        <v>1153</v>
      </c>
    </row>
    <row r="2458" spans="1:36" x14ac:dyDescent="0.25">
      <c r="A2458" t="s">
        <v>274</v>
      </c>
      <c r="B2458">
        <v>851914898</v>
      </c>
      <c r="C2458" t="s">
        <v>275</v>
      </c>
      <c r="D2458" t="s">
        <v>275</v>
      </c>
      <c r="E2458" t="s">
        <v>60</v>
      </c>
      <c r="F2458" t="s">
        <v>83</v>
      </c>
      <c r="I2458" t="s">
        <v>39</v>
      </c>
      <c r="J2458" t="s">
        <v>40</v>
      </c>
      <c r="K2458" t="s">
        <v>41</v>
      </c>
      <c r="L2458" t="s">
        <v>151</v>
      </c>
      <c r="M2458" t="s">
        <v>276</v>
      </c>
      <c r="N2458" t="s">
        <v>43</v>
      </c>
      <c r="O2458" t="s">
        <v>194</v>
      </c>
      <c r="P2458">
        <v>366</v>
      </c>
      <c r="Q2458">
        <v>366</v>
      </c>
      <c r="R2458">
        <v>11</v>
      </c>
      <c r="S2458" t="s">
        <v>45</v>
      </c>
      <c r="T2458">
        <v>0.01</v>
      </c>
      <c r="U2458">
        <v>994</v>
      </c>
      <c r="V2458" t="s">
        <v>46</v>
      </c>
      <c r="W2458">
        <v>0.99299999999999999</v>
      </c>
      <c r="X2458">
        <v>25001</v>
      </c>
      <c r="Y2458" t="s">
        <v>47</v>
      </c>
      <c r="Z2458">
        <v>25</v>
      </c>
      <c r="AA2458">
        <v>687</v>
      </c>
      <c r="AB2458" t="s">
        <v>75</v>
      </c>
      <c r="AC2458">
        <v>0.68600000000000005</v>
      </c>
      <c r="AD2458">
        <v>821</v>
      </c>
      <c r="AE2458" t="s">
        <v>48</v>
      </c>
      <c r="AF2458">
        <v>0.82</v>
      </c>
      <c r="AG2458">
        <v>955</v>
      </c>
      <c r="AH2458" t="s">
        <v>80</v>
      </c>
      <c r="AI2458">
        <v>0.95399999999999996</v>
      </c>
      <c r="AJ2458" t="s">
        <v>1153</v>
      </c>
    </row>
    <row r="2459" spans="1:36" x14ac:dyDescent="0.25">
      <c r="A2459" t="s">
        <v>274</v>
      </c>
      <c r="B2459">
        <v>851914898</v>
      </c>
      <c r="C2459" t="s">
        <v>275</v>
      </c>
      <c r="D2459" t="s">
        <v>275</v>
      </c>
      <c r="E2459" t="s">
        <v>65</v>
      </c>
      <c r="F2459" t="s">
        <v>83</v>
      </c>
      <c r="I2459" t="s">
        <v>39</v>
      </c>
      <c r="J2459" t="s">
        <v>40</v>
      </c>
      <c r="K2459" t="s">
        <v>41</v>
      </c>
      <c r="L2459" t="s">
        <v>151</v>
      </c>
      <c r="M2459" t="s">
        <v>276</v>
      </c>
      <c r="N2459" t="s">
        <v>43</v>
      </c>
      <c r="O2459" t="s">
        <v>277</v>
      </c>
      <c r="P2459">
        <v>366</v>
      </c>
      <c r="Q2459">
        <v>366</v>
      </c>
      <c r="R2459">
        <v>1</v>
      </c>
      <c r="S2459" t="s">
        <v>45</v>
      </c>
      <c r="T2459">
        <v>0</v>
      </c>
      <c r="U2459">
        <v>975</v>
      </c>
      <c r="V2459" t="s">
        <v>46</v>
      </c>
      <c r="W2459">
        <v>0.97399999999999998</v>
      </c>
      <c r="X2459">
        <v>24001</v>
      </c>
      <c r="Y2459" t="s">
        <v>47</v>
      </c>
      <c r="Z2459">
        <v>24</v>
      </c>
      <c r="AA2459">
        <v>645</v>
      </c>
      <c r="AB2459" t="s">
        <v>75</v>
      </c>
      <c r="AC2459">
        <v>0.64400000000000002</v>
      </c>
      <c r="AD2459">
        <v>919</v>
      </c>
      <c r="AE2459" t="s">
        <v>48</v>
      </c>
      <c r="AF2459">
        <v>0.91800000000000004</v>
      </c>
      <c r="AG2459">
        <v>955</v>
      </c>
      <c r="AH2459" t="s">
        <v>80</v>
      </c>
      <c r="AI2459">
        <v>0.95399999999999996</v>
      </c>
      <c r="AJ2459" t="s">
        <v>1154</v>
      </c>
    </row>
    <row r="2460" spans="1:36" x14ac:dyDescent="0.25">
      <c r="A2460" t="s">
        <v>274</v>
      </c>
      <c r="B2460">
        <v>851914898</v>
      </c>
      <c r="C2460" t="s">
        <v>275</v>
      </c>
      <c r="D2460" t="s">
        <v>275</v>
      </c>
      <c r="E2460" t="s">
        <v>60</v>
      </c>
      <c r="F2460" t="s">
        <v>83</v>
      </c>
      <c r="I2460" t="s">
        <v>39</v>
      </c>
      <c r="J2460" t="s">
        <v>40</v>
      </c>
      <c r="K2460" t="s">
        <v>41</v>
      </c>
      <c r="L2460" t="s">
        <v>151</v>
      </c>
      <c r="M2460" t="s">
        <v>276</v>
      </c>
      <c r="N2460" t="s">
        <v>43</v>
      </c>
      <c r="O2460" t="s">
        <v>194</v>
      </c>
      <c r="P2460">
        <v>366</v>
      </c>
      <c r="Q2460">
        <v>366</v>
      </c>
      <c r="R2460">
        <v>11</v>
      </c>
      <c r="S2460" t="s">
        <v>45</v>
      </c>
      <c r="T2460">
        <v>0.01</v>
      </c>
      <c r="U2460">
        <v>994</v>
      </c>
      <c r="V2460" t="s">
        <v>46</v>
      </c>
      <c r="W2460">
        <v>0.99299999999999999</v>
      </c>
      <c r="X2460">
        <v>25001</v>
      </c>
      <c r="Y2460" t="s">
        <v>47</v>
      </c>
      <c r="Z2460">
        <v>25</v>
      </c>
      <c r="AA2460">
        <v>687</v>
      </c>
      <c r="AB2460" t="s">
        <v>75</v>
      </c>
      <c r="AC2460">
        <v>0.68600000000000005</v>
      </c>
      <c r="AD2460">
        <v>821</v>
      </c>
      <c r="AE2460" t="s">
        <v>48</v>
      </c>
      <c r="AF2460">
        <v>0.82</v>
      </c>
      <c r="AG2460">
        <v>955</v>
      </c>
      <c r="AH2460" t="s">
        <v>80</v>
      </c>
      <c r="AI2460">
        <v>0.95399999999999996</v>
      </c>
      <c r="AJ2460" t="s">
        <v>1154</v>
      </c>
    </row>
    <row r="2461" spans="1:36" x14ac:dyDescent="0.25">
      <c r="A2461" t="s">
        <v>264</v>
      </c>
      <c r="B2461">
        <v>855667430</v>
      </c>
      <c r="C2461" t="s">
        <v>265</v>
      </c>
      <c r="D2461" t="s">
        <v>265</v>
      </c>
      <c r="E2461" t="s">
        <v>60</v>
      </c>
      <c r="F2461" t="s">
        <v>88</v>
      </c>
      <c r="I2461" t="s">
        <v>39</v>
      </c>
      <c r="J2461" t="s">
        <v>40</v>
      </c>
      <c r="K2461" t="s">
        <v>41</v>
      </c>
      <c r="L2461" t="s">
        <v>118</v>
      </c>
      <c r="N2461" t="s">
        <v>43</v>
      </c>
      <c r="O2461" t="s">
        <v>194</v>
      </c>
      <c r="P2461">
        <v>366</v>
      </c>
      <c r="Q2461">
        <v>366</v>
      </c>
      <c r="S2461" t="s">
        <v>39</v>
      </c>
      <c r="V2461" t="s">
        <v>39</v>
      </c>
      <c r="X2461">
        <v>24001</v>
      </c>
      <c r="Y2461" t="s">
        <v>47</v>
      </c>
      <c r="Z2461">
        <v>24</v>
      </c>
      <c r="AA2461">
        <v>590</v>
      </c>
      <c r="AB2461" t="s">
        <v>75</v>
      </c>
      <c r="AC2461">
        <v>0.58899999999999997</v>
      </c>
      <c r="AD2461">
        <v>787</v>
      </c>
      <c r="AE2461" t="s">
        <v>48</v>
      </c>
      <c r="AF2461">
        <v>0.78600000000000003</v>
      </c>
      <c r="AG2461">
        <v>786</v>
      </c>
      <c r="AH2461" t="s">
        <v>49</v>
      </c>
      <c r="AI2461">
        <v>0.78500000000000003</v>
      </c>
      <c r="AJ2461" t="s">
        <v>1155</v>
      </c>
    </row>
    <row r="2462" spans="1:36" x14ac:dyDescent="0.25">
      <c r="A2462" t="s">
        <v>258</v>
      </c>
      <c r="B2462">
        <v>881459771</v>
      </c>
      <c r="C2462" t="s">
        <v>259</v>
      </c>
      <c r="D2462" t="s">
        <v>259</v>
      </c>
      <c r="E2462" t="s">
        <v>60</v>
      </c>
      <c r="F2462" t="s">
        <v>61</v>
      </c>
      <c r="I2462" t="s">
        <v>39</v>
      </c>
      <c r="J2462" t="s">
        <v>40</v>
      </c>
      <c r="K2462" t="s">
        <v>41</v>
      </c>
      <c r="L2462" t="s">
        <v>89</v>
      </c>
      <c r="N2462" t="s">
        <v>43</v>
      </c>
      <c r="O2462" t="s">
        <v>226</v>
      </c>
      <c r="P2462">
        <v>367</v>
      </c>
      <c r="Q2462">
        <v>367</v>
      </c>
      <c r="S2462" t="s">
        <v>39</v>
      </c>
      <c r="V2462" t="s">
        <v>39</v>
      </c>
      <c r="X2462">
        <v>24001</v>
      </c>
      <c r="Y2462" t="s">
        <v>47</v>
      </c>
      <c r="Z2462">
        <v>24</v>
      </c>
      <c r="AA2462">
        <v>543</v>
      </c>
      <c r="AB2462" t="s">
        <v>75</v>
      </c>
      <c r="AC2462">
        <v>0.54200000000000004</v>
      </c>
      <c r="AD2462">
        <v>861</v>
      </c>
      <c r="AE2462" t="s">
        <v>48</v>
      </c>
      <c r="AF2462">
        <v>0.86</v>
      </c>
      <c r="AG2462">
        <v>958</v>
      </c>
      <c r="AH2462" t="s">
        <v>80</v>
      </c>
      <c r="AI2462">
        <v>0.95699999999999996</v>
      </c>
      <c r="AJ2462" t="s">
        <v>1155</v>
      </c>
    </row>
    <row r="2463" spans="1:36" x14ac:dyDescent="0.25">
      <c r="A2463" t="s">
        <v>260</v>
      </c>
      <c r="B2463">
        <v>881459807</v>
      </c>
      <c r="C2463" t="s">
        <v>261</v>
      </c>
      <c r="D2463" t="s">
        <v>261</v>
      </c>
      <c r="E2463" t="s">
        <v>60</v>
      </c>
      <c r="F2463" t="s">
        <v>88</v>
      </c>
      <c r="I2463" t="s">
        <v>39</v>
      </c>
      <c r="J2463" t="s">
        <v>40</v>
      </c>
      <c r="K2463" t="s">
        <v>41</v>
      </c>
      <c r="L2463" t="s">
        <v>89</v>
      </c>
      <c r="N2463" t="s">
        <v>43</v>
      </c>
      <c r="O2463" t="s">
        <v>229</v>
      </c>
      <c r="P2463">
        <v>367</v>
      </c>
      <c r="Q2463">
        <v>367</v>
      </c>
      <c r="S2463" t="s">
        <v>39</v>
      </c>
      <c r="V2463" t="s">
        <v>39</v>
      </c>
      <c r="X2463">
        <v>22001</v>
      </c>
      <c r="Y2463" t="s">
        <v>47</v>
      </c>
      <c r="Z2463">
        <v>22</v>
      </c>
      <c r="AA2463">
        <v>593</v>
      </c>
      <c r="AB2463" t="s">
        <v>75</v>
      </c>
      <c r="AC2463">
        <v>0.59199999999999997</v>
      </c>
      <c r="AD2463">
        <v>790</v>
      </c>
      <c r="AE2463" t="s">
        <v>48</v>
      </c>
      <c r="AF2463">
        <v>0.78900000000000003</v>
      </c>
      <c r="AG2463">
        <v>939</v>
      </c>
      <c r="AH2463" t="s">
        <v>80</v>
      </c>
      <c r="AI2463">
        <v>0.93799999999999994</v>
      </c>
      <c r="AJ2463" t="s">
        <v>1155</v>
      </c>
    </row>
    <row r="2464" spans="1:36" x14ac:dyDescent="0.25">
      <c r="A2464" t="s">
        <v>270</v>
      </c>
      <c r="B2464">
        <v>855627943</v>
      </c>
      <c r="C2464" t="s">
        <v>271</v>
      </c>
      <c r="D2464" t="s">
        <v>271</v>
      </c>
      <c r="E2464" t="s">
        <v>65</v>
      </c>
      <c r="F2464" t="s">
        <v>66</v>
      </c>
      <c r="I2464" t="s">
        <v>39</v>
      </c>
      <c r="J2464" t="s">
        <v>40</v>
      </c>
      <c r="K2464" t="s">
        <v>41</v>
      </c>
      <c r="L2464" t="s">
        <v>53</v>
      </c>
      <c r="N2464" t="s">
        <v>43</v>
      </c>
      <c r="O2464" t="s">
        <v>133</v>
      </c>
      <c r="P2464">
        <v>367</v>
      </c>
      <c r="Q2464">
        <v>367</v>
      </c>
      <c r="R2464">
        <v>111</v>
      </c>
      <c r="S2464" t="s">
        <v>56</v>
      </c>
      <c r="T2464">
        <v>0.11</v>
      </c>
      <c r="U2464">
        <v>624</v>
      </c>
      <c r="V2464" t="s">
        <v>113</v>
      </c>
      <c r="W2464">
        <v>0.623</v>
      </c>
      <c r="X2464">
        <v>16001</v>
      </c>
      <c r="Y2464" t="s">
        <v>47</v>
      </c>
      <c r="Z2464">
        <v>16</v>
      </c>
      <c r="AA2464">
        <v>162</v>
      </c>
      <c r="AB2464" t="s">
        <v>47</v>
      </c>
      <c r="AC2464">
        <v>0.161</v>
      </c>
      <c r="AD2464">
        <v>403</v>
      </c>
      <c r="AE2464" t="s">
        <v>56</v>
      </c>
      <c r="AF2464">
        <v>0.40200000000000002</v>
      </c>
      <c r="AG2464">
        <v>333</v>
      </c>
      <c r="AH2464" t="s">
        <v>57</v>
      </c>
      <c r="AI2464">
        <v>0.33200000000000002</v>
      </c>
      <c r="AJ2464" t="s">
        <v>50</v>
      </c>
    </row>
    <row r="2465" spans="1:36" x14ac:dyDescent="0.25">
      <c r="A2465" t="s">
        <v>270</v>
      </c>
      <c r="B2465">
        <v>855627943</v>
      </c>
      <c r="C2465" t="s">
        <v>271</v>
      </c>
      <c r="D2465" t="s">
        <v>271</v>
      </c>
      <c r="E2465" t="s">
        <v>65</v>
      </c>
      <c r="F2465" t="s">
        <v>66</v>
      </c>
      <c r="I2465" t="s">
        <v>39</v>
      </c>
      <c r="J2465" t="s">
        <v>40</v>
      </c>
      <c r="K2465" t="s">
        <v>41</v>
      </c>
      <c r="L2465" t="s">
        <v>53</v>
      </c>
      <c r="N2465" t="s">
        <v>43</v>
      </c>
      <c r="O2465" t="s">
        <v>133</v>
      </c>
      <c r="P2465">
        <v>367</v>
      </c>
      <c r="Q2465">
        <v>367</v>
      </c>
      <c r="R2465">
        <v>111</v>
      </c>
      <c r="S2465" t="s">
        <v>56</v>
      </c>
      <c r="T2465">
        <v>0.11</v>
      </c>
      <c r="U2465">
        <v>624</v>
      </c>
      <c r="V2465" t="s">
        <v>113</v>
      </c>
      <c r="W2465">
        <v>0.623</v>
      </c>
      <c r="X2465">
        <v>16001</v>
      </c>
      <c r="Y2465" t="s">
        <v>47</v>
      </c>
      <c r="Z2465">
        <v>16</v>
      </c>
      <c r="AA2465">
        <v>162</v>
      </c>
      <c r="AB2465" t="s">
        <v>47</v>
      </c>
      <c r="AC2465">
        <v>0.161</v>
      </c>
      <c r="AD2465">
        <v>403</v>
      </c>
      <c r="AE2465" t="s">
        <v>56</v>
      </c>
      <c r="AF2465">
        <v>0.40200000000000002</v>
      </c>
      <c r="AG2465">
        <v>333</v>
      </c>
      <c r="AH2465" t="s">
        <v>57</v>
      </c>
      <c r="AI2465">
        <v>0.33200000000000002</v>
      </c>
      <c r="AJ2465" t="s">
        <v>1153</v>
      </c>
    </row>
    <row r="2466" spans="1:36" x14ac:dyDescent="0.25">
      <c r="A2466" t="s">
        <v>270</v>
      </c>
      <c r="B2466">
        <v>855627943</v>
      </c>
      <c r="C2466" t="s">
        <v>271</v>
      </c>
      <c r="D2466" t="s">
        <v>271</v>
      </c>
      <c r="E2466" t="s">
        <v>65</v>
      </c>
      <c r="F2466" t="s">
        <v>66</v>
      </c>
      <c r="I2466" t="s">
        <v>39</v>
      </c>
      <c r="J2466" t="s">
        <v>40</v>
      </c>
      <c r="K2466" t="s">
        <v>41</v>
      </c>
      <c r="L2466" t="s">
        <v>53</v>
      </c>
      <c r="N2466" t="s">
        <v>43</v>
      </c>
      <c r="O2466" t="s">
        <v>133</v>
      </c>
      <c r="P2466">
        <v>367</v>
      </c>
      <c r="Q2466">
        <v>367</v>
      </c>
      <c r="R2466">
        <v>111</v>
      </c>
      <c r="S2466" t="s">
        <v>56</v>
      </c>
      <c r="T2466">
        <v>0.11</v>
      </c>
      <c r="U2466">
        <v>624</v>
      </c>
      <c r="V2466" t="s">
        <v>113</v>
      </c>
      <c r="W2466">
        <v>0.623</v>
      </c>
      <c r="X2466">
        <v>16001</v>
      </c>
      <c r="Y2466" t="s">
        <v>47</v>
      </c>
      <c r="Z2466">
        <v>16</v>
      </c>
      <c r="AA2466">
        <v>162</v>
      </c>
      <c r="AB2466" t="s">
        <v>47</v>
      </c>
      <c r="AC2466">
        <v>0.161</v>
      </c>
      <c r="AD2466">
        <v>403</v>
      </c>
      <c r="AE2466" t="s">
        <v>56</v>
      </c>
      <c r="AF2466">
        <v>0.40200000000000002</v>
      </c>
      <c r="AG2466">
        <v>333</v>
      </c>
      <c r="AH2466" t="s">
        <v>57</v>
      </c>
      <c r="AI2466">
        <v>0.33200000000000002</v>
      </c>
      <c r="AJ2466" t="s">
        <v>1154</v>
      </c>
    </row>
    <row r="2467" spans="1:36" x14ac:dyDescent="0.25">
      <c r="A2467" t="s">
        <v>256</v>
      </c>
      <c r="B2467">
        <v>862923275</v>
      </c>
      <c r="C2467" t="s">
        <v>257</v>
      </c>
      <c r="D2467" t="s">
        <v>257</v>
      </c>
      <c r="E2467" t="s">
        <v>60</v>
      </c>
      <c r="F2467" t="s">
        <v>88</v>
      </c>
      <c r="I2467" t="s">
        <v>39</v>
      </c>
      <c r="J2467" t="s">
        <v>40</v>
      </c>
      <c r="K2467" t="s">
        <v>41</v>
      </c>
      <c r="L2467" t="s">
        <v>173</v>
      </c>
      <c r="N2467" t="s">
        <v>43</v>
      </c>
      <c r="O2467" t="s">
        <v>229</v>
      </c>
      <c r="P2467">
        <v>368</v>
      </c>
      <c r="Q2467">
        <v>368</v>
      </c>
      <c r="S2467" t="s">
        <v>39</v>
      </c>
      <c r="V2467" t="s">
        <v>39</v>
      </c>
      <c r="X2467">
        <v>8001</v>
      </c>
      <c r="Y2467" t="s">
        <v>47</v>
      </c>
      <c r="Z2467">
        <v>8</v>
      </c>
      <c r="AA2467">
        <v>271</v>
      </c>
      <c r="AB2467" t="s">
        <v>47</v>
      </c>
      <c r="AC2467">
        <v>0.27</v>
      </c>
      <c r="AD2467">
        <v>534</v>
      </c>
      <c r="AE2467" t="s">
        <v>48</v>
      </c>
      <c r="AF2467">
        <v>0.53300000000000003</v>
      </c>
      <c r="AG2467">
        <v>790</v>
      </c>
      <c r="AH2467" t="s">
        <v>49</v>
      </c>
      <c r="AI2467">
        <v>0.78900000000000003</v>
      </c>
      <c r="AJ2467" t="s">
        <v>1155</v>
      </c>
    </row>
    <row r="2468" spans="1:36" x14ac:dyDescent="0.25">
      <c r="A2468" t="s">
        <v>254</v>
      </c>
      <c r="B2468">
        <v>886369367</v>
      </c>
      <c r="C2468" t="s">
        <v>255</v>
      </c>
      <c r="D2468" t="s">
        <v>255</v>
      </c>
      <c r="E2468" t="s">
        <v>60</v>
      </c>
      <c r="F2468" t="s">
        <v>61</v>
      </c>
      <c r="I2468" t="s">
        <v>39</v>
      </c>
      <c r="J2468" t="s">
        <v>40</v>
      </c>
      <c r="K2468" t="s">
        <v>41</v>
      </c>
      <c r="N2468" t="s">
        <v>43</v>
      </c>
      <c r="O2468" t="s">
        <v>226</v>
      </c>
      <c r="P2468">
        <v>368</v>
      </c>
      <c r="Q2468">
        <v>368</v>
      </c>
      <c r="S2468" t="s">
        <v>39</v>
      </c>
      <c r="V2468" t="s">
        <v>39</v>
      </c>
      <c r="X2468">
        <v>19001</v>
      </c>
      <c r="Y2468" t="s">
        <v>47</v>
      </c>
      <c r="Z2468">
        <v>19</v>
      </c>
      <c r="AA2468">
        <v>345</v>
      </c>
      <c r="AB2468" t="s">
        <v>47</v>
      </c>
      <c r="AC2468">
        <v>0.34399999999999997</v>
      </c>
      <c r="AD2468">
        <v>628</v>
      </c>
      <c r="AE2468" t="s">
        <v>48</v>
      </c>
      <c r="AF2468">
        <v>0.627</v>
      </c>
      <c r="AG2468">
        <v>886</v>
      </c>
      <c r="AH2468" t="s">
        <v>49</v>
      </c>
      <c r="AI2468">
        <v>0.88500000000000001</v>
      </c>
      <c r="AJ2468" t="s">
        <v>1155</v>
      </c>
    </row>
    <row r="2469" spans="1:36" x14ac:dyDescent="0.25">
      <c r="A2469" t="s">
        <v>266</v>
      </c>
      <c r="B2469">
        <v>854388103</v>
      </c>
      <c r="C2469" t="s">
        <v>267</v>
      </c>
      <c r="D2469" t="s">
        <v>267</v>
      </c>
      <c r="E2469" t="s">
        <v>60</v>
      </c>
      <c r="F2469" t="s">
        <v>88</v>
      </c>
      <c r="G2469" t="s">
        <v>60</v>
      </c>
      <c r="H2469">
        <v>1.9623199999999999E-4</v>
      </c>
      <c r="I2469" t="s">
        <v>268</v>
      </c>
      <c r="J2469" t="s">
        <v>40</v>
      </c>
      <c r="K2469" t="s">
        <v>41</v>
      </c>
      <c r="L2469" t="s">
        <v>269</v>
      </c>
      <c r="N2469" t="s">
        <v>43</v>
      </c>
      <c r="O2469" t="s">
        <v>90</v>
      </c>
      <c r="P2469">
        <v>368</v>
      </c>
      <c r="Q2469">
        <v>368</v>
      </c>
      <c r="R2469">
        <v>31</v>
      </c>
      <c r="S2469" t="s">
        <v>45</v>
      </c>
      <c r="T2469">
        <v>0.03</v>
      </c>
      <c r="U2469">
        <v>980</v>
      </c>
      <c r="V2469" t="s">
        <v>46</v>
      </c>
      <c r="W2469">
        <v>0.97899999999999998</v>
      </c>
      <c r="X2469">
        <v>25001</v>
      </c>
      <c r="Y2469" t="s">
        <v>47</v>
      </c>
      <c r="Z2469">
        <v>25</v>
      </c>
      <c r="AA2469">
        <v>692</v>
      </c>
      <c r="AB2469" t="s">
        <v>75</v>
      </c>
      <c r="AC2469">
        <v>0.69099999999999995</v>
      </c>
      <c r="AD2469">
        <v>913</v>
      </c>
      <c r="AE2469" t="s">
        <v>48</v>
      </c>
      <c r="AF2469">
        <v>0.91200000000000003</v>
      </c>
      <c r="AG2469">
        <v>955</v>
      </c>
      <c r="AH2469" t="s">
        <v>80</v>
      </c>
      <c r="AI2469">
        <v>0.95399999999999996</v>
      </c>
      <c r="AJ2469" t="s">
        <v>50</v>
      </c>
    </row>
    <row r="2470" spans="1:36" x14ac:dyDescent="0.25">
      <c r="A2470" t="s">
        <v>266</v>
      </c>
      <c r="B2470">
        <v>854388103</v>
      </c>
      <c r="C2470" t="s">
        <v>267</v>
      </c>
      <c r="D2470" t="s">
        <v>267</v>
      </c>
      <c r="E2470" t="s">
        <v>60</v>
      </c>
      <c r="F2470" t="s">
        <v>88</v>
      </c>
      <c r="G2470" t="s">
        <v>60</v>
      </c>
      <c r="H2470">
        <v>1.9623199999999999E-4</v>
      </c>
      <c r="I2470" t="s">
        <v>268</v>
      </c>
      <c r="J2470" t="s">
        <v>40</v>
      </c>
      <c r="K2470" t="s">
        <v>41</v>
      </c>
      <c r="L2470" t="s">
        <v>269</v>
      </c>
      <c r="N2470" t="s">
        <v>43</v>
      </c>
      <c r="O2470" t="s">
        <v>90</v>
      </c>
      <c r="P2470">
        <v>368</v>
      </c>
      <c r="Q2470">
        <v>368</v>
      </c>
      <c r="R2470">
        <v>31</v>
      </c>
      <c r="S2470" t="s">
        <v>45</v>
      </c>
      <c r="T2470">
        <v>0.03</v>
      </c>
      <c r="U2470">
        <v>980</v>
      </c>
      <c r="V2470" t="s">
        <v>46</v>
      </c>
      <c r="W2470">
        <v>0.97899999999999998</v>
      </c>
      <c r="X2470">
        <v>25001</v>
      </c>
      <c r="Y2470" t="s">
        <v>47</v>
      </c>
      <c r="Z2470">
        <v>25</v>
      </c>
      <c r="AA2470">
        <v>692</v>
      </c>
      <c r="AB2470" t="s">
        <v>75</v>
      </c>
      <c r="AC2470">
        <v>0.69099999999999995</v>
      </c>
      <c r="AD2470">
        <v>913</v>
      </c>
      <c r="AE2470" t="s">
        <v>48</v>
      </c>
      <c r="AF2470">
        <v>0.91200000000000003</v>
      </c>
      <c r="AG2470">
        <v>955</v>
      </c>
      <c r="AH2470" t="s">
        <v>80</v>
      </c>
      <c r="AI2470">
        <v>0.95399999999999996</v>
      </c>
      <c r="AJ2470" t="s">
        <v>1153</v>
      </c>
    </row>
    <row r="2471" spans="1:36" x14ac:dyDescent="0.25">
      <c r="A2471" t="s">
        <v>266</v>
      </c>
      <c r="B2471">
        <v>854388103</v>
      </c>
      <c r="C2471" t="s">
        <v>267</v>
      </c>
      <c r="D2471" t="s">
        <v>267</v>
      </c>
      <c r="E2471" t="s">
        <v>60</v>
      </c>
      <c r="F2471" t="s">
        <v>88</v>
      </c>
      <c r="G2471" t="s">
        <v>60</v>
      </c>
      <c r="H2471">
        <v>1.9623199999999999E-4</v>
      </c>
      <c r="I2471" t="s">
        <v>268</v>
      </c>
      <c r="J2471" t="s">
        <v>40</v>
      </c>
      <c r="K2471" t="s">
        <v>41</v>
      </c>
      <c r="L2471" t="s">
        <v>269</v>
      </c>
      <c r="N2471" t="s">
        <v>43</v>
      </c>
      <c r="O2471" t="s">
        <v>90</v>
      </c>
      <c r="P2471">
        <v>368</v>
      </c>
      <c r="Q2471">
        <v>368</v>
      </c>
      <c r="R2471">
        <v>31</v>
      </c>
      <c r="S2471" t="s">
        <v>45</v>
      </c>
      <c r="T2471">
        <v>0.03</v>
      </c>
      <c r="U2471">
        <v>980</v>
      </c>
      <c r="V2471" t="s">
        <v>46</v>
      </c>
      <c r="W2471">
        <v>0.97899999999999998</v>
      </c>
      <c r="X2471">
        <v>25001</v>
      </c>
      <c r="Y2471" t="s">
        <v>47</v>
      </c>
      <c r="Z2471">
        <v>25</v>
      </c>
      <c r="AA2471">
        <v>692</v>
      </c>
      <c r="AB2471" t="s">
        <v>75</v>
      </c>
      <c r="AC2471">
        <v>0.69099999999999995</v>
      </c>
      <c r="AD2471">
        <v>913</v>
      </c>
      <c r="AE2471" t="s">
        <v>48</v>
      </c>
      <c r="AF2471">
        <v>0.91200000000000003</v>
      </c>
      <c r="AG2471">
        <v>955</v>
      </c>
      <c r="AH2471" t="s">
        <v>80</v>
      </c>
      <c r="AI2471">
        <v>0.95399999999999996</v>
      </c>
      <c r="AJ2471" t="s">
        <v>1154</v>
      </c>
    </row>
    <row r="2472" spans="1:36" x14ac:dyDescent="0.25">
      <c r="A2472" t="s">
        <v>249</v>
      </c>
      <c r="B2472">
        <v>851632452</v>
      </c>
      <c r="C2472" t="s">
        <v>250</v>
      </c>
      <c r="D2472" t="s">
        <v>250</v>
      </c>
      <c r="E2472" t="s">
        <v>37</v>
      </c>
      <c r="F2472" t="s">
        <v>191</v>
      </c>
      <c r="I2472" t="s">
        <v>39</v>
      </c>
      <c r="J2472" t="s">
        <v>40</v>
      </c>
      <c r="K2472" t="s">
        <v>41</v>
      </c>
      <c r="L2472" t="s">
        <v>251</v>
      </c>
      <c r="N2472" t="s">
        <v>43</v>
      </c>
      <c r="O2472" t="s">
        <v>252</v>
      </c>
      <c r="P2472">
        <v>369</v>
      </c>
      <c r="Q2472">
        <v>369</v>
      </c>
      <c r="S2472" t="s">
        <v>39</v>
      </c>
      <c r="V2472" t="s">
        <v>39</v>
      </c>
      <c r="X2472">
        <v>23001</v>
      </c>
      <c r="Y2472" t="s">
        <v>47</v>
      </c>
      <c r="Z2472">
        <v>23</v>
      </c>
      <c r="AA2472">
        <v>441</v>
      </c>
      <c r="AB2472" t="s">
        <v>47</v>
      </c>
      <c r="AC2472">
        <v>0.44</v>
      </c>
      <c r="AD2472">
        <v>780</v>
      </c>
      <c r="AE2472" t="s">
        <v>48</v>
      </c>
      <c r="AF2472">
        <v>0.77900000000000003</v>
      </c>
      <c r="AG2472">
        <v>789</v>
      </c>
      <c r="AH2472" t="s">
        <v>49</v>
      </c>
      <c r="AI2472">
        <v>0.78800000000000003</v>
      </c>
      <c r="AJ2472" t="s">
        <v>1155</v>
      </c>
    </row>
    <row r="2473" spans="1:36" x14ac:dyDescent="0.25">
      <c r="A2473" t="s">
        <v>249</v>
      </c>
      <c r="B2473">
        <v>851632452</v>
      </c>
      <c r="C2473" t="s">
        <v>250</v>
      </c>
      <c r="D2473" t="s">
        <v>250</v>
      </c>
      <c r="E2473" t="s">
        <v>60</v>
      </c>
      <c r="F2473" t="s">
        <v>191</v>
      </c>
      <c r="I2473" t="s">
        <v>39</v>
      </c>
      <c r="J2473" t="s">
        <v>40</v>
      </c>
      <c r="K2473" t="s">
        <v>41</v>
      </c>
      <c r="L2473" t="s">
        <v>251</v>
      </c>
      <c r="N2473" t="s">
        <v>43</v>
      </c>
      <c r="O2473" t="s">
        <v>253</v>
      </c>
      <c r="P2473">
        <v>369</v>
      </c>
      <c r="Q2473">
        <v>369</v>
      </c>
      <c r="S2473" t="s">
        <v>39</v>
      </c>
      <c r="V2473" t="s">
        <v>39</v>
      </c>
      <c r="X2473">
        <v>21001</v>
      </c>
      <c r="Y2473" t="s">
        <v>47</v>
      </c>
      <c r="Z2473">
        <v>21</v>
      </c>
      <c r="AA2473">
        <v>449</v>
      </c>
      <c r="AB2473" t="s">
        <v>47</v>
      </c>
      <c r="AC2473">
        <v>0.44800000000000001</v>
      </c>
      <c r="AD2473">
        <v>670</v>
      </c>
      <c r="AE2473" t="s">
        <v>48</v>
      </c>
      <c r="AF2473">
        <v>0.66900000000000004</v>
      </c>
      <c r="AG2473">
        <v>725</v>
      </c>
      <c r="AH2473" t="s">
        <v>49</v>
      </c>
      <c r="AI2473">
        <v>0.72399999999999998</v>
      </c>
      <c r="AJ2473" t="s">
        <v>1155</v>
      </c>
    </row>
    <row r="2474" spans="1:36" x14ac:dyDescent="0.25">
      <c r="A2474" t="s">
        <v>262</v>
      </c>
      <c r="B2474">
        <v>871151650</v>
      </c>
      <c r="C2474" t="s">
        <v>263</v>
      </c>
      <c r="D2474" t="s">
        <v>263</v>
      </c>
      <c r="E2474" t="s">
        <v>99</v>
      </c>
      <c r="F2474" t="s">
        <v>143</v>
      </c>
      <c r="I2474" t="s">
        <v>39</v>
      </c>
      <c r="J2474" t="s">
        <v>40</v>
      </c>
      <c r="K2474" t="s">
        <v>41</v>
      </c>
      <c r="L2474" t="s">
        <v>173</v>
      </c>
      <c r="N2474" t="s">
        <v>43</v>
      </c>
      <c r="O2474" t="s">
        <v>156</v>
      </c>
      <c r="P2474">
        <v>370</v>
      </c>
      <c r="Q2474">
        <v>370</v>
      </c>
      <c r="R2474">
        <v>11</v>
      </c>
      <c r="S2474" t="s">
        <v>45</v>
      </c>
      <c r="T2474">
        <v>0.01</v>
      </c>
      <c r="U2474">
        <v>991</v>
      </c>
      <c r="V2474" t="s">
        <v>46</v>
      </c>
      <c r="W2474">
        <v>0.99</v>
      </c>
      <c r="X2474">
        <v>25001</v>
      </c>
      <c r="Y2474" t="s">
        <v>47</v>
      </c>
      <c r="Z2474">
        <v>25</v>
      </c>
      <c r="AA2474">
        <v>645</v>
      </c>
      <c r="AB2474" t="s">
        <v>75</v>
      </c>
      <c r="AC2474">
        <v>0.64400000000000002</v>
      </c>
      <c r="AD2474">
        <v>878</v>
      </c>
      <c r="AE2474" t="s">
        <v>48</v>
      </c>
      <c r="AF2474">
        <v>0.877</v>
      </c>
      <c r="AG2474">
        <v>962</v>
      </c>
      <c r="AH2474" t="s">
        <v>80</v>
      </c>
      <c r="AI2474">
        <v>0.96099999999999997</v>
      </c>
      <c r="AJ2474" t="s">
        <v>50</v>
      </c>
    </row>
    <row r="2475" spans="1:36" x14ac:dyDescent="0.25">
      <c r="A2475" t="s">
        <v>262</v>
      </c>
      <c r="B2475">
        <v>871151650</v>
      </c>
      <c r="C2475" t="s">
        <v>263</v>
      </c>
      <c r="D2475" t="s">
        <v>263</v>
      </c>
      <c r="E2475" t="s">
        <v>99</v>
      </c>
      <c r="F2475" t="s">
        <v>143</v>
      </c>
      <c r="I2475" t="s">
        <v>39</v>
      </c>
      <c r="J2475" t="s">
        <v>40</v>
      </c>
      <c r="K2475" t="s">
        <v>41</v>
      </c>
      <c r="L2475" t="s">
        <v>173</v>
      </c>
      <c r="N2475" t="s">
        <v>43</v>
      </c>
      <c r="O2475" t="s">
        <v>156</v>
      </c>
      <c r="P2475">
        <v>370</v>
      </c>
      <c r="Q2475">
        <v>370</v>
      </c>
      <c r="R2475">
        <v>11</v>
      </c>
      <c r="S2475" t="s">
        <v>45</v>
      </c>
      <c r="T2475">
        <v>0.01</v>
      </c>
      <c r="U2475">
        <v>991</v>
      </c>
      <c r="V2475" t="s">
        <v>46</v>
      </c>
      <c r="W2475">
        <v>0.99</v>
      </c>
      <c r="X2475">
        <v>25001</v>
      </c>
      <c r="Y2475" t="s">
        <v>47</v>
      </c>
      <c r="Z2475">
        <v>25</v>
      </c>
      <c r="AA2475">
        <v>645</v>
      </c>
      <c r="AB2475" t="s">
        <v>75</v>
      </c>
      <c r="AC2475">
        <v>0.64400000000000002</v>
      </c>
      <c r="AD2475">
        <v>878</v>
      </c>
      <c r="AE2475" t="s">
        <v>48</v>
      </c>
      <c r="AF2475">
        <v>0.877</v>
      </c>
      <c r="AG2475">
        <v>962</v>
      </c>
      <c r="AH2475" t="s">
        <v>80</v>
      </c>
      <c r="AI2475">
        <v>0.96099999999999997</v>
      </c>
      <c r="AJ2475" t="s">
        <v>1153</v>
      </c>
    </row>
    <row r="2476" spans="1:36" x14ac:dyDescent="0.25">
      <c r="A2476" t="s">
        <v>262</v>
      </c>
      <c r="B2476">
        <v>871151650</v>
      </c>
      <c r="C2476" t="s">
        <v>263</v>
      </c>
      <c r="D2476" t="s">
        <v>263</v>
      </c>
      <c r="E2476" t="s">
        <v>99</v>
      </c>
      <c r="F2476" t="s">
        <v>143</v>
      </c>
      <c r="I2476" t="s">
        <v>39</v>
      </c>
      <c r="J2476" t="s">
        <v>40</v>
      </c>
      <c r="K2476" t="s">
        <v>41</v>
      </c>
      <c r="L2476" t="s">
        <v>173</v>
      </c>
      <c r="N2476" t="s">
        <v>43</v>
      </c>
      <c r="O2476" t="s">
        <v>156</v>
      </c>
      <c r="P2476">
        <v>370</v>
      </c>
      <c r="Q2476">
        <v>370</v>
      </c>
      <c r="R2476">
        <v>11</v>
      </c>
      <c r="S2476" t="s">
        <v>45</v>
      </c>
      <c r="T2476">
        <v>0.01</v>
      </c>
      <c r="U2476">
        <v>991</v>
      </c>
      <c r="V2476" t="s">
        <v>46</v>
      </c>
      <c r="W2476">
        <v>0.99</v>
      </c>
      <c r="X2476">
        <v>25001</v>
      </c>
      <c r="Y2476" t="s">
        <v>47</v>
      </c>
      <c r="Z2476">
        <v>25</v>
      </c>
      <c r="AA2476">
        <v>645</v>
      </c>
      <c r="AB2476" t="s">
        <v>75</v>
      </c>
      <c r="AC2476">
        <v>0.64400000000000002</v>
      </c>
      <c r="AD2476">
        <v>878</v>
      </c>
      <c r="AE2476" t="s">
        <v>48</v>
      </c>
      <c r="AF2476">
        <v>0.877</v>
      </c>
      <c r="AG2476">
        <v>962</v>
      </c>
      <c r="AH2476" t="s">
        <v>80</v>
      </c>
      <c r="AI2476">
        <v>0.96099999999999997</v>
      </c>
      <c r="AJ2476" t="s">
        <v>1154</v>
      </c>
    </row>
    <row r="2477" spans="1:36" x14ac:dyDescent="0.25">
      <c r="A2477" t="s">
        <v>244</v>
      </c>
      <c r="B2477">
        <v>873000347</v>
      </c>
      <c r="C2477" t="s">
        <v>245</v>
      </c>
      <c r="D2477" t="s">
        <v>245</v>
      </c>
      <c r="E2477" t="s">
        <v>60</v>
      </c>
      <c r="F2477" t="s">
        <v>61</v>
      </c>
      <c r="I2477" t="s">
        <v>39</v>
      </c>
      <c r="J2477" t="s">
        <v>40</v>
      </c>
      <c r="K2477" t="s">
        <v>41</v>
      </c>
      <c r="L2477" t="s">
        <v>72</v>
      </c>
      <c r="M2477" t="s">
        <v>47</v>
      </c>
      <c r="N2477" t="s">
        <v>43</v>
      </c>
      <c r="O2477" t="s">
        <v>226</v>
      </c>
      <c r="P2477">
        <v>370</v>
      </c>
      <c r="Q2477">
        <v>370</v>
      </c>
      <c r="S2477" t="s">
        <v>39</v>
      </c>
      <c r="V2477" t="s">
        <v>39</v>
      </c>
      <c r="X2477">
        <v>13001</v>
      </c>
      <c r="Y2477" t="s">
        <v>47</v>
      </c>
      <c r="Z2477">
        <v>13</v>
      </c>
      <c r="AA2477">
        <v>286</v>
      </c>
      <c r="AB2477" t="s">
        <v>47</v>
      </c>
      <c r="AC2477">
        <v>0.28499999999999998</v>
      </c>
      <c r="AD2477">
        <v>684</v>
      </c>
      <c r="AE2477" t="s">
        <v>48</v>
      </c>
      <c r="AF2477">
        <v>0.68300000000000005</v>
      </c>
      <c r="AG2477">
        <v>937</v>
      </c>
      <c r="AH2477" t="s">
        <v>80</v>
      </c>
      <c r="AI2477">
        <v>0.93600000000000005</v>
      </c>
      <c r="AJ2477" t="s">
        <v>1155</v>
      </c>
    </row>
    <row r="2478" spans="1:36" x14ac:dyDescent="0.25">
      <c r="A2478" t="s">
        <v>246</v>
      </c>
      <c r="B2478">
        <v>855536195</v>
      </c>
      <c r="C2478" t="s">
        <v>247</v>
      </c>
      <c r="D2478" t="s">
        <v>247</v>
      </c>
      <c r="E2478" t="s">
        <v>60</v>
      </c>
      <c r="F2478" t="s">
        <v>88</v>
      </c>
      <c r="I2478" t="s">
        <v>39</v>
      </c>
      <c r="J2478" t="s">
        <v>40</v>
      </c>
      <c r="K2478" t="s">
        <v>41</v>
      </c>
      <c r="L2478" t="s">
        <v>248</v>
      </c>
      <c r="M2478" t="s">
        <v>73</v>
      </c>
      <c r="N2478" t="s">
        <v>43</v>
      </c>
      <c r="O2478" t="s">
        <v>229</v>
      </c>
      <c r="P2478">
        <v>370</v>
      </c>
      <c r="Q2478">
        <v>370</v>
      </c>
      <c r="S2478" t="s">
        <v>39</v>
      </c>
      <c r="V2478" t="s">
        <v>39</v>
      </c>
      <c r="X2478">
        <v>3001</v>
      </c>
      <c r="Y2478" t="s">
        <v>47</v>
      </c>
      <c r="Z2478">
        <v>3</v>
      </c>
      <c r="AA2478">
        <v>238</v>
      </c>
      <c r="AB2478" t="s">
        <v>47</v>
      </c>
      <c r="AC2478">
        <v>0.23699999999999999</v>
      </c>
      <c r="AD2478">
        <v>529</v>
      </c>
      <c r="AE2478" t="s">
        <v>48</v>
      </c>
      <c r="AF2478">
        <v>0.52800000000000002</v>
      </c>
      <c r="AG2478">
        <v>580</v>
      </c>
      <c r="AH2478" t="s">
        <v>49</v>
      </c>
      <c r="AI2478">
        <v>0.57899999999999996</v>
      </c>
      <c r="AJ2478" t="s">
        <v>1155</v>
      </c>
    </row>
    <row r="2479" spans="1:36" x14ac:dyDescent="0.25">
      <c r="A2479" t="s">
        <v>264</v>
      </c>
      <c r="B2479">
        <v>855667430</v>
      </c>
      <c r="C2479" t="s">
        <v>265</v>
      </c>
      <c r="D2479" t="s">
        <v>265</v>
      </c>
      <c r="E2479" t="s">
        <v>60</v>
      </c>
      <c r="F2479" t="s">
        <v>88</v>
      </c>
      <c r="I2479" t="s">
        <v>39</v>
      </c>
      <c r="J2479" t="s">
        <v>40</v>
      </c>
      <c r="K2479" t="s">
        <v>41</v>
      </c>
      <c r="L2479" t="s">
        <v>118</v>
      </c>
      <c r="N2479" t="s">
        <v>43</v>
      </c>
      <c r="O2479" t="s">
        <v>194</v>
      </c>
      <c r="P2479">
        <v>370</v>
      </c>
      <c r="Q2479">
        <v>370</v>
      </c>
      <c r="R2479">
        <v>21</v>
      </c>
      <c r="S2479" t="s">
        <v>45</v>
      </c>
      <c r="T2479">
        <v>0.02</v>
      </c>
      <c r="U2479">
        <v>580</v>
      </c>
      <c r="V2479" t="s">
        <v>113</v>
      </c>
      <c r="W2479">
        <v>0.57899999999999996</v>
      </c>
      <c r="X2479">
        <v>24001</v>
      </c>
      <c r="Y2479" t="s">
        <v>47</v>
      </c>
      <c r="Z2479">
        <v>24</v>
      </c>
      <c r="AA2479">
        <v>590</v>
      </c>
      <c r="AB2479" t="s">
        <v>75</v>
      </c>
      <c r="AC2479">
        <v>0.58899999999999997</v>
      </c>
      <c r="AD2479">
        <v>787</v>
      </c>
      <c r="AE2479" t="s">
        <v>48</v>
      </c>
      <c r="AF2479">
        <v>0.78600000000000003</v>
      </c>
      <c r="AG2479">
        <v>786</v>
      </c>
      <c r="AH2479" t="s">
        <v>49</v>
      </c>
      <c r="AI2479">
        <v>0.78500000000000003</v>
      </c>
      <c r="AJ2479" t="s">
        <v>50</v>
      </c>
    </row>
    <row r="2480" spans="1:36" x14ac:dyDescent="0.25">
      <c r="A2480" t="s">
        <v>264</v>
      </c>
      <c r="B2480">
        <v>855667430</v>
      </c>
      <c r="C2480" t="s">
        <v>265</v>
      </c>
      <c r="D2480" t="s">
        <v>265</v>
      </c>
      <c r="E2480" t="s">
        <v>60</v>
      </c>
      <c r="F2480" t="s">
        <v>88</v>
      </c>
      <c r="I2480" t="s">
        <v>39</v>
      </c>
      <c r="J2480" t="s">
        <v>40</v>
      </c>
      <c r="K2480" t="s">
        <v>41</v>
      </c>
      <c r="L2480" t="s">
        <v>118</v>
      </c>
      <c r="N2480" t="s">
        <v>43</v>
      </c>
      <c r="O2480" t="s">
        <v>194</v>
      </c>
      <c r="P2480">
        <v>370</v>
      </c>
      <c r="Q2480">
        <v>370</v>
      </c>
      <c r="R2480">
        <v>21</v>
      </c>
      <c r="S2480" t="s">
        <v>45</v>
      </c>
      <c r="T2480">
        <v>0.02</v>
      </c>
      <c r="U2480">
        <v>580</v>
      </c>
      <c r="V2480" t="s">
        <v>113</v>
      </c>
      <c r="W2480">
        <v>0.57899999999999996</v>
      </c>
      <c r="X2480">
        <v>24001</v>
      </c>
      <c r="Y2480" t="s">
        <v>47</v>
      </c>
      <c r="Z2480">
        <v>24</v>
      </c>
      <c r="AA2480">
        <v>590</v>
      </c>
      <c r="AB2480" t="s">
        <v>75</v>
      </c>
      <c r="AC2480">
        <v>0.58899999999999997</v>
      </c>
      <c r="AD2480">
        <v>787</v>
      </c>
      <c r="AE2480" t="s">
        <v>48</v>
      </c>
      <c r="AF2480">
        <v>0.78600000000000003</v>
      </c>
      <c r="AG2480">
        <v>786</v>
      </c>
      <c r="AH2480" t="s">
        <v>49</v>
      </c>
      <c r="AI2480">
        <v>0.78500000000000003</v>
      </c>
      <c r="AJ2480" t="s">
        <v>1153</v>
      </c>
    </row>
    <row r="2481" spans="1:36" x14ac:dyDescent="0.25">
      <c r="A2481" t="s">
        <v>264</v>
      </c>
      <c r="B2481">
        <v>855667430</v>
      </c>
      <c r="C2481" t="s">
        <v>265</v>
      </c>
      <c r="D2481" t="s">
        <v>265</v>
      </c>
      <c r="E2481" t="s">
        <v>60</v>
      </c>
      <c r="F2481" t="s">
        <v>88</v>
      </c>
      <c r="I2481" t="s">
        <v>39</v>
      </c>
      <c r="J2481" t="s">
        <v>40</v>
      </c>
      <c r="K2481" t="s">
        <v>41</v>
      </c>
      <c r="L2481" t="s">
        <v>118</v>
      </c>
      <c r="N2481" t="s">
        <v>43</v>
      </c>
      <c r="O2481" t="s">
        <v>194</v>
      </c>
      <c r="P2481">
        <v>370</v>
      </c>
      <c r="Q2481">
        <v>370</v>
      </c>
      <c r="R2481">
        <v>21</v>
      </c>
      <c r="S2481" t="s">
        <v>45</v>
      </c>
      <c r="T2481">
        <v>0.02</v>
      </c>
      <c r="U2481">
        <v>580</v>
      </c>
      <c r="V2481" t="s">
        <v>113</v>
      </c>
      <c r="W2481">
        <v>0.57899999999999996</v>
      </c>
      <c r="X2481">
        <v>24001</v>
      </c>
      <c r="Y2481" t="s">
        <v>47</v>
      </c>
      <c r="Z2481">
        <v>24</v>
      </c>
      <c r="AA2481">
        <v>590</v>
      </c>
      <c r="AB2481" t="s">
        <v>75</v>
      </c>
      <c r="AC2481">
        <v>0.58899999999999997</v>
      </c>
      <c r="AD2481">
        <v>787</v>
      </c>
      <c r="AE2481" t="s">
        <v>48</v>
      </c>
      <c r="AF2481">
        <v>0.78600000000000003</v>
      </c>
      <c r="AG2481">
        <v>786</v>
      </c>
      <c r="AH2481" t="s">
        <v>49</v>
      </c>
      <c r="AI2481">
        <v>0.78500000000000003</v>
      </c>
      <c r="AJ2481" t="s">
        <v>1154</v>
      </c>
    </row>
    <row r="2482" spans="1:36" x14ac:dyDescent="0.25">
      <c r="A2482" t="s">
        <v>240</v>
      </c>
      <c r="B2482">
        <v>870484111</v>
      </c>
      <c r="C2482" t="s">
        <v>241</v>
      </c>
      <c r="D2482" t="s">
        <v>241</v>
      </c>
      <c r="E2482" t="s">
        <v>65</v>
      </c>
      <c r="F2482" t="s">
        <v>93</v>
      </c>
      <c r="I2482" t="s">
        <v>39</v>
      </c>
      <c r="J2482" t="s">
        <v>40</v>
      </c>
      <c r="K2482" t="s">
        <v>41</v>
      </c>
      <c r="L2482" t="s">
        <v>197</v>
      </c>
      <c r="M2482" t="s">
        <v>47</v>
      </c>
      <c r="N2482" t="s">
        <v>43</v>
      </c>
      <c r="O2482" t="s">
        <v>96</v>
      </c>
      <c r="P2482">
        <v>371</v>
      </c>
      <c r="Q2482">
        <v>371</v>
      </c>
      <c r="S2482" t="s">
        <v>39</v>
      </c>
      <c r="V2482" t="s">
        <v>39</v>
      </c>
      <c r="X2482">
        <v>1001</v>
      </c>
      <c r="Y2482" t="s">
        <v>47</v>
      </c>
      <c r="Z2482">
        <v>1</v>
      </c>
      <c r="AA2482">
        <v>197</v>
      </c>
      <c r="AB2482" t="s">
        <v>47</v>
      </c>
      <c r="AC2482">
        <v>0.19600000000000001</v>
      </c>
      <c r="AD2482">
        <v>76</v>
      </c>
      <c r="AE2482" t="s">
        <v>56</v>
      </c>
      <c r="AF2482">
        <v>7.4999999999999997E-2</v>
      </c>
      <c r="AG2482">
        <v>1</v>
      </c>
      <c r="AH2482" t="s">
        <v>103</v>
      </c>
      <c r="AI2482">
        <v>0</v>
      </c>
      <c r="AJ2482" t="s">
        <v>1155</v>
      </c>
    </row>
    <row r="2483" spans="1:36" x14ac:dyDescent="0.25">
      <c r="A2483" t="s">
        <v>258</v>
      </c>
      <c r="B2483">
        <v>881459771</v>
      </c>
      <c r="C2483" t="s">
        <v>259</v>
      </c>
      <c r="D2483" t="s">
        <v>259</v>
      </c>
      <c r="E2483" t="s">
        <v>60</v>
      </c>
      <c r="F2483" t="s">
        <v>61</v>
      </c>
      <c r="I2483" t="s">
        <v>39</v>
      </c>
      <c r="J2483" t="s">
        <v>40</v>
      </c>
      <c r="K2483" t="s">
        <v>41</v>
      </c>
      <c r="L2483" t="s">
        <v>89</v>
      </c>
      <c r="N2483" t="s">
        <v>43</v>
      </c>
      <c r="O2483" t="s">
        <v>226</v>
      </c>
      <c r="P2483">
        <v>371</v>
      </c>
      <c r="Q2483">
        <v>371</v>
      </c>
      <c r="R2483">
        <v>1</v>
      </c>
      <c r="S2483" t="s">
        <v>45</v>
      </c>
      <c r="T2483">
        <v>0</v>
      </c>
      <c r="U2483">
        <v>908</v>
      </c>
      <c r="V2483" t="s">
        <v>113</v>
      </c>
      <c r="W2483">
        <v>0.90700000000000003</v>
      </c>
      <c r="X2483">
        <v>24001</v>
      </c>
      <c r="Y2483" t="s">
        <v>47</v>
      </c>
      <c r="Z2483">
        <v>24</v>
      </c>
      <c r="AA2483">
        <v>543</v>
      </c>
      <c r="AB2483" t="s">
        <v>75</v>
      </c>
      <c r="AC2483">
        <v>0.54200000000000004</v>
      </c>
      <c r="AD2483">
        <v>861</v>
      </c>
      <c r="AE2483" t="s">
        <v>48</v>
      </c>
      <c r="AF2483">
        <v>0.86</v>
      </c>
      <c r="AG2483">
        <v>958</v>
      </c>
      <c r="AH2483" t="s">
        <v>80</v>
      </c>
      <c r="AI2483">
        <v>0.95699999999999996</v>
      </c>
      <c r="AJ2483" t="s">
        <v>50</v>
      </c>
    </row>
    <row r="2484" spans="1:36" x14ac:dyDescent="0.25">
      <c r="A2484" t="s">
        <v>258</v>
      </c>
      <c r="B2484">
        <v>881459771</v>
      </c>
      <c r="C2484" t="s">
        <v>259</v>
      </c>
      <c r="D2484" t="s">
        <v>259</v>
      </c>
      <c r="E2484" t="s">
        <v>60</v>
      </c>
      <c r="F2484" t="s">
        <v>61</v>
      </c>
      <c r="I2484" t="s">
        <v>39</v>
      </c>
      <c r="J2484" t="s">
        <v>40</v>
      </c>
      <c r="K2484" t="s">
        <v>41</v>
      </c>
      <c r="L2484" t="s">
        <v>89</v>
      </c>
      <c r="N2484" t="s">
        <v>43</v>
      </c>
      <c r="O2484" t="s">
        <v>226</v>
      </c>
      <c r="P2484">
        <v>371</v>
      </c>
      <c r="Q2484">
        <v>371</v>
      </c>
      <c r="R2484">
        <v>1</v>
      </c>
      <c r="S2484" t="s">
        <v>45</v>
      </c>
      <c r="T2484">
        <v>0</v>
      </c>
      <c r="U2484">
        <v>908</v>
      </c>
      <c r="V2484" t="s">
        <v>113</v>
      </c>
      <c r="W2484">
        <v>0.90700000000000003</v>
      </c>
      <c r="X2484">
        <v>24001</v>
      </c>
      <c r="Y2484" t="s">
        <v>47</v>
      </c>
      <c r="Z2484">
        <v>24</v>
      </c>
      <c r="AA2484">
        <v>543</v>
      </c>
      <c r="AB2484" t="s">
        <v>75</v>
      </c>
      <c r="AC2484">
        <v>0.54200000000000004</v>
      </c>
      <c r="AD2484">
        <v>861</v>
      </c>
      <c r="AE2484" t="s">
        <v>48</v>
      </c>
      <c r="AF2484">
        <v>0.86</v>
      </c>
      <c r="AG2484">
        <v>958</v>
      </c>
      <c r="AH2484" t="s">
        <v>80</v>
      </c>
      <c r="AI2484">
        <v>0.95699999999999996</v>
      </c>
      <c r="AJ2484" t="s">
        <v>1153</v>
      </c>
    </row>
    <row r="2485" spans="1:36" x14ac:dyDescent="0.25">
      <c r="A2485" t="s">
        <v>258</v>
      </c>
      <c r="B2485">
        <v>881459771</v>
      </c>
      <c r="C2485" t="s">
        <v>259</v>
      </c>
      <c r="D2485" t="s">
        <v>259</v>
      </c>
      <c r="E2485" t="s">
        <v>60</v>
      </c>
      <c r="F2485" t="s">
        <v>61</v>
      </c>
      <c r="I2485" t="s">
        <v>39</v>
      </c>
      <c r="J2485" t="s">
        <v>40</v>
      </c>
      <c r="K2485" t="s">
        <v>41</v>
      </c>
      <c r="L2485" t="s">
        <v>89</v>
      </c>
      <c r="N2485" t="s">
        <v>43</v>
      </c>
      <c r="O2485" t="s">
        <v>226</v>
      </c>
      <c r="P2485">
        <v>371</v>
      </c>
      <c r="Q2485">
        <v>371</v>
      </c>
      <c r="R2485">
        <v>1</v>
      </c>
      <c r="S2485" t="s">
        <v>45</v>
      </c>
      <c r="T2485">
        <v>0</v>
      </c>
      <c r="U2485">
        <v>908</v>
      </c>
      <c r="V2485" t="s">
        <v>113</v>
      </c>
      <c r="W2485">
        <v>0.90700000000000003</v>
      </c>
      <c r="X2485">
        <v>24001</v>
      </c>
      <c r="Y2485" t="s">
        <v>47</v>
      </c>
      <c r="Z2485">
        <v>24</v>
      </c>
      <c r="AA2485">
        <v>543</v>
      </c>
      <c r="AB2485" t="s">
        <v>75</v>
      </c>
      <c r="AC2485">
        <v>0.54200000000000004</v>
      </c>
      <c r="AD2485">
        <v>861</v>
      </c>
      <c r="AE2485" t="s">
        <v>48</v>
      </c>
      <c r="AF2485">
        <v>0.86</v>
      </c>
      <c r="AG2485">
        <v>958</v>
      </c>
      <c r="AH2485" t="s">
        <v>80</v>
      </c>
      <c r="AI2485">
        <v>0.95699999999999996</v>
      </c>
      <c r="AJ2485" t="s">
        <v>1154</v>
      </c>
    </row>
    <row r="2486" spans="1:36" x14ac:dyDescent="0.25">
      <c r="A2486" t="s">
        <v>260</v>
      </c>
      <c r="B2486">
        <v>881459807</v>
      </c>
      <c r="C2486" t="s">
        <v>261</v>
      </c>
      <c r="D2486" t="s">
        <v>261</v>
      </c>
      <c r="E2486" t="s">
        <v>60</v>
      </c>
      <c r="F2486" t="s">
        <v>88</v>
      </c>
      <c r="I2486" t="s">
        <v>39</v>
      </c>
      <c r="J2486" t="s">
        <v>40</v>
      </c>
      <c r="K2486" t="s">
        <v>41</v>
      </c>
      <c r="L2486" t="s">
        <v>89</v>
      </c>
      <c r="N2486" t="s">
        <v>43</v>
      </c>
      <c r="O2486" t="s">
        <v>229</v>
      </c>
      <c r="P2486">
        <v>371</v>
      </c>
      <c r="Q2486">
        <v>371</v>
      </c>
      <c r="R2486">
        <v>31</v>
      </c>
      <c r="S2486" t="s">
        <v>45</v>
      </c>
      <c r="T2486">
        <v>0.03</v>
      </c>
      <c r="U2486">
        <v>366</v>
      </c>
      <c r="V2486" t="s">
        <v>55</v>
      </c>
      <c r="W2486">
        <v>0.36499999999999999</v>
      </c>
      <c r="X2486">
        <v>22001</v>
      </c>
      <c r="Y2486" t="s">
        <v>47</v>
      </c>
      <c r="Z2486">
        <v>22</v>
      </c>
      <c r="AA2486">
        <v>593</v>
      </c>
      <c r="AB2486" t="s">
        <v>75</v>
      </c>
      <c r="AC2486">
        <v>0.59199999999999997</v>
      </c>
      <c r="AD2486">
        <v>790</v>
      </c>
      <c r="AE2486" t="s">
        <v>48</v>
      </c>
      <c r="AF2486">
        <v>0.78900000000000003</v>
      </c>
      <c r="AG2486">
        <v>939</v>
      </c>
      <c r="AH2486" t="s">
        <v>80</v>
      </c>
      <c r="AI2486">
        <v>0.93799999999999994</v>
      </c>
      <c r="AJ2486" t="s">
        <v>50</v>
      </c>
    </row>
    <row r="2487" spans="1:36" x14ac:dyDescent="0.25">
      <c r="A2487" t="s">
        <v>260</v>
      </c>
      <c r="B2487">
        <v>881459807</v>
      </c>
      <c r="C2487" t="s">
        <v>261</v>
      </c>
      <c r="D2487" t="s">
        <v>261</v>
      </c>
      <c r="E2487" t="s">
        <v>60</v>
      </c>
      <c r="F2487" t="s">
        <v>88</v>
      </c>
      <c r="I2487" t="s">
        <v>39</v>
      </c>
      <c r="J2487" t="s">
        <v>40</v>
      </c>
      <c r="K2487" t="s">
        <v>41</v>
      </c>
      <c r="L2487" t="s">
        <v>89</v>
      </c>
      <c r="N2487" t="s">
        <v>43</v>
      </c>
      <c r="O2487" t="s">
        <v>229</v>
      </c>
      <c r="P2487">
        <v>371</v>
      </c>
      <c r="Q2487">
        <v>371</v>
      </c>
      <c r="R2487">
        <v>31</v>
      </c>
      <c r="S2487" t="s">
        <v>45</v>
      </c>
      <c r="T2487">
        <v>0.03</v>
      </c>
      <c r="U2487">
        <v>366</v>
      </c>
      <c r="V2487" t="s">
        <v>55</v>
      </c>
      <c r="W2487">
        <v>0.36499999999999999</v>
      </c>
      <c r="X2487">
        <v>22001</v>
      </c>
      <c r="Y2487" t="s">
        <v>47</v>
      </c>
      <c r="Z2487">
        <v>22</v>
      </c>
      <c r="AA2487">
        <v>593</v>
      </c>
      <c r="AB2487" t="s">
        <v>75</v>
      </c>
      <c r="AC2487">
        <v>0.59199999999999997</v>
      </c>
      <c r="AD2487">
        <v>790</v>
      </c>
      <c r="AE2487" t="s">
        <v>48</v>
      </c>
      <c r="AF2487">
        <v>0.78900000000000003</v>
      </c>
      <c r="AG2487">
        <v>939</v>
      </c>
      <c r="AH2487" t="s">
        <v>80</v>
      </c>
      <c r="AI2487">
        <v>0.93799999999999994</v>
      </c>
      <c r="AJ2487" t="s">
        <v>1153</v>
      </c>
    </row>
    <row r="2488" spans="1:36" x14ac:dyDescent="0.25">
      <c r="A2488" t="s">
        <v>260</v>
      </c>
      <c r="B2488">
        <v>881459807</v>
      </c>
      <c r="C2488" t="s">
        <v>261</v>
      </c>
      <c r="D2488" t="s">
        <v>261</v>
      </c>
      <c r="E2488" t="s">
        <v>60</v>
      </c>
      <c r="F2488" t="s">
        <v>88</v>
      </c>
      <c r="I2488" t="s">
        <v>39</v>
      </c>
      <c r="J2488" t="s">
        <v>40</v>
      </c>
      <c r="K2488" t="s">
        <v>41</v>
      </c>
      <c r="L2488" t="s">
        <v>89</v>
      </c>
      <c r="N2488" t="s">
        <v>43</v>
      </c>
      <c r="O2488" t="s">
        <v>229</v>
      </c>
      <c r="P2488">
        <v>371</v>
      </c>
      <c r="Q2488">
        <v>371</v>
      </c>
      <c r="R2488">
        <v>31</v>
      </c>
      <c r="S2488" t="s">
        <v>45</v>
      </c>
      <c r="T2488">
        <v>0.03</v>
      </c>
      <c r="U2488">
        <v>366</v>
      </c>
      <c r="V2488" t="s">
        <v>55</v>
      </c>
      <c r="W2488">
        <v>0.36499999999999999</v>
      </c>
      <c r="X2488">
        <v>22001</v>
      </c>
      <c r="Y2488" t="s">
        <v>47</v>
      </c>
      <c r="Z2488">
        <v>22</v>
      </c>
      <c r="AA2488">
        <v>593</v>
      </c>
      <c r="AB2488" t="s">
        <v>75</v>
      </c>
      <c r="AC2488">
        <v>0.59199999999999997</v>
      </c>
      <c r="AD2488">
        <v>790</v>
      </c>
      <c r="AE2488" t="s">
        <v>48</v>
      </c>
      <c r="AF2488">
        <v>0.78900000000000003</v>
      </c>
      <c r="AG2488">
        <v>939</v>
      </c>
      <c r="AH2488" t="s">
        <v>80</v>
      </c>
      <c r="AI2488">
        <v>0.93799999999999994</v>
      </c>
      <c r="AJ2488" t="s">
        <v>1154</v>
      </c>
    </row>
    <row r="2489" spans="1:36" x14ac:dyDescent="0.25">
      <c r="A2489" t="s">
        <v>242</v>
      </c>
      <c r="B2489">
        <v>855930636</v>
      </c>
      <c r="C2489" t="s">
        <v>243</v>
      </c>
      <c r="D2489" t="s">
        <v>243</v>
      </c>
      <c r="E2489" t="s">
        <v>65</v>
      </c>
      <c r="F2489" t="s">
        <v>66</v>
      </c>
      <c r="I2489" t="s">
        <v>39</v>
      </c>
      <c r="J2489" t="s">
        <v>40</v>
      </c>
      <c r="K2489" t="s">
        <v>41</v>
      </c>
      <c r="L2489" t="s">
        <v>118</v>
      </c>
      <c r="N2489" t="s">
        <v>43</v>
      </c>
      <c r="O2489" t="s">
        <v>104</v>
      </c>
      <c r="P2489">
        <v>371</v>
      </c>
      <c r="Q2489">
        <v>371</v>
      </c>
      <c r="S2489" t="s">
        <v>39</v>
      </c>
      <c r="V2489" t="s">
        <v>39</v>
      </c>
      <c r="X2489">
        <v>14001</v>
      </c>
      <c r="Y2489" t="s">
        <v>47</v>
      </c>
      <c r="Z2489">
        <v>14</v>
      </c>
      <c r="AA2489">
        <v>240</v>
      </c>
      <c r="AB2489" t="s">
        <v>47</v>
      </c>
      <c r="AC2489">
        <v>0.23899999999999999</v>
      </c>
      <c r="AD2489">
        <v>426</v>
      </c>
      <c r="AE2489" t="s">
        <v>56</v>
      </c>
      <c r="AF2489">
        <v>0.42499999999999999</v>
      </c>
      <c r="AG2489">
        <v>202</v>
      </c>
      <c r="AH2489" t="s">
        <v>57</v>
      </c>
      <c r="AI2489">
        <v>0.20100000000000001</v>
      </c>
      <c r="AJ2489" t="s">
        <v>1155</v>
      </c>
    </row>
    <row r="2490" spans="1:36" x14ac:dyDescent="0.25">
      <c r="A2490" t="s">
        <v>256</v>
      </c>
      <c r="B2490">
        <v>862923275</v>
      </c>
      <c r="C2490" t="s">
        <v>257</v>
      </c>
      <c r="D2490" t="s">
        <v>257</v>
      </c>
      <c r="E2490" t="s">
        <v>60</v>
      </c>
      <c r="F2490" t="s">
        <v>88</v>
      </c>
      <c r="I2490" t="s">
        <v>39</v>
      </c>
      <c r="J2490" t="s">
        <v>40</v>
      </c>
      <c r="K2490" t="s">
        <v>41</v>
      </c>
      <c r="L2490" t="s">
        <v>173</v>
      </c>
      <c r="N2490" t="s">
        <v>43</v>
      </c>
      <c r="O2490" t="s">
        <v>229</v>
      </c>
      <c r="P2490">
        <v>372</v>
      </c>
      <c r="Q2490">
        <v>372</v>
      </c>
      <c r="R2490">
        <v>91</v>
      </c>
      <c r="S2490" t="s">
        <v>56</v>
      </c>
      <c r="T2490">
        <v>0.09</v>
      </c>
      <c r="U2490">
        <v>61</v>
      </c>
      <c r="V2490" t="s">
        <v>55</v>
      </c>
      <c r="W2490">
        <v>0.06</v>
      </c>
      <c r="X2490">
        <v>8001</v>
      </c>
      <c r="Y2490" t="s">
        <v>47</v>
      </c>
      <c r="Z2490">
        <v>8</v>
      </c>
      <c r="AA2490">
        <v>271</v>
      </c>
      <c r="AB2490" t="s">
        <v>47</v>
      </c>
      <c r="AC2490">
        <v>0.27</v>
      </c>
      <c r="AD2490">
        <v>534</v>
      </c>
      <c r="AE2490" t="s">
        <v>48</v>
      </c>
      <c r="AF2490">
        <v>0.53300000000000003</v>
      </c>
      <c r="AG2490">
        <v>790</v>
      </c>
      <c r="AH2490" t="s">
        <v>49</v>
      </c>
      <c r="AI2490">
        <v>0.78900000000000003</v>
      </c>
      <c r="AJ2490" t="s">
        <v>50</v>
      </c>
    </row>
    <row r="2491" spans="1:36" x14ac:dyDescent="0.25">
      <c r="A2491" t="s">
        <v>256</v>
      </c>
      <c r="B2491">
        <v>862923275</v>
      </c>
      <c r="C2491" t="s">
        <v>257</v>
      </c>
      <c r="D2491" t="s">
        <v>257</v>
      </c>
      <c r="E2491" t="s">
        <v>60</v>
      </c>
      <c r="F2491" t="s">
        <v>88</v>
      </c>
      <c r="I2491" t="s">
        <v>39</v>
      </c>
      <c r="J2491" t="s">
        <v>40</v>
      </c>
      <c r="K2491" t="s">
        <v>41</v>
      </c>
      <c r="L2491" t="s">
        <v>173</v>
      </c>
      <c r="N2491" t="s">
        <v>43</v>
      </c>
      <c r="O2491" t="s">
        <v>229</v>
      </c>
      <c r="P2491">
        <v>372</v>
      </c>
      <c r="Q2491">
        <v>372</v>
      </c>
      <c r="R2491">
        <v>91</v>
      </c>
      <c r="S2491" t="s">
        <v>56</v>
      </c>
      <c r="T2491">
        <v>0.09</v>
      </c>
      <c r="U2491">
        <v>61</v>
      </c>
      <c r="V2491" t="s">
        <v>55</v>
      </c>
      <c r="W2491">
        <v>0.06</v>
      </c>
      <c r="X2491">
        <v>8001</v>
      </c>
      <c r="Y2491" t="s">
        <v>47</v>
      </c>
      <c r="Z2491">
        <v>8</v>
      </c>
      <c r="AA2491">
        <v>271</v>
      </c>
      <c r="AB2491" t="s">
        <v>47</v>
      </c>
      <c r="AC2491">
        <v>0.27</v>
      </c>
      <c r="AD2491">
        <v>534</v>
      </c>
      <c r="AE2491" t="s">
        <v>48</v>
      </c>
      <c r="AF2491">
        <v>0.53300000000000003</v>
      </c>
      <c r="AG2491">
        <v>790</v>
      </c>
      <c r="AH2491" t="s">
        <v>49</v>
      </c>
      <c r="AI2491">
        <v>0.78900000000000003</v>
      </c>
      <c r="AJ2491" t="s">
        <v>1153</v>
      </c>
    </row>
    <row r="2492" spans="1:36" x14ac:dyDescent="0.25">
      <c r="A2492" t="s">
        <v>256</v>
      </c>
      <c r="B2492">
        <v>862923275</v>
      </c>
      <c r="C2492" t="s">
        <v>257</v>
      </c>
      <c r="D2492" t="s">
        <v>257</v>
      </c>
      <c r="E2492" t="s">
        <v>60</v>
      </c>
      <c r="F2492" t="s">
        <v>88</v>
      </c>
      <c r="I2492" t="s">
        <v>39</v>
      </c>
      <c r="J2492" t="s">
        <v>40</v>
      </c>
      <c r="K2492" t="s">
        <v>41</v>
      </c>
      <c r="L2492" t="s">
        <v>173</v>
      </c>
      <c r="N2492" t="s">
        <v>43</v>
      </c>
      <c r="O2492" t="s">
        <v>229</v>
      </c>
      <c r="P2492">
        <v>372</v>
      </c>
      <c r="Q2492">
        <v>372</v>
      </c>
      <c r="R2492">
        <v>91</v>
      </c>
      <c r="S2492" t="s">
        <v>56</v>
      </c>
      <c r="T2492">
        <v>0.09</v>
      </c>
      <c r="U2492">
        <v>61</v>
      </c>
      <c r="V2492" t="s">
        <v>55</v>
      </c>
      <c r="W2492">
        <v>0.06</v>
      </c>
      <c r="X2492">
        <v>8001</v>
      </c>
      <c r="Y2492" t="s">
        <v>47</v>
      </c>
      <c r="Z2492">
        <v>8</v>
      </c>
      <c r="AA2492">
        <v>271</v>
      </c>
      <c r="AB2492" t="s">
        <v>47</v>
      </c>
      <c r="AC2492">
        <v>0.27</v>
      </c>
      <c r="AD2492">
        <v>534</v>
      </c>
      <c r="AE2492" t="s">
        <v>48</v>
      </c>
      <c r="AF2492">
        <v>0.53300000000000003</v>
      </c>
      <c r="AG2492">
        <v>790</v>
      </c>
      <c r="AH2492" t="s">
        <v>49</v>
      </c>
      <c r="AI2492">
        <v>0.78900000000000003</v>
      </c>
      <c r="AJ2492" t="s">
        <v>1154</v>
      </c>
    </row>
    <row r="2493" spans="1:36" x14ac:dyDescent="0.25">
      <c r="A2493" t="s">
        <v>254</v>
      </c>
      <c r="B2493">
        <v>886369367</v>
      </c>
      <c r="C2493" t="s">
        <v>255</v>
      </c>
      <c r="D2493" t="s">
        <v>255</v>
      </c>
      <c r="E2493" t="s">
        <v>60</v>
      </c>
      <c r="F2493" t="s">
        <v>61</v>
      </c>
      <c r="I2493" t="s">
        <v>39</v>
      </c>
      <c r="J2493" t="s">
        <v>40</v>
      </c>
      <c r="K2493" t="s">
        <v>41</v>
      </c>
      <c r="N2493" t="s">
        <v>43</v>
      </c>
      <c r="O2493" t="s">
        <v>226</v>
      </c>
      <c r="P2493">
        <v>372</v>
      </c>
      <c r="Q2493">
        <v>372</v>
      </c>
      <c r="R2493">
        <v>1</v>
      </c>
      <c r="S2493" t="s">
        <v>45</v>
      </c>
      <c r="T2493">
        <v>0</v>
      </c>
      <c r="U2493">
        <v>116</v>
      </c>
      <c r="V2493" t="s">
        <v>55</v>
      </c>
      <c r="W2493">
        <v>0.115</v>
      </c>
      <c r="X2493">
        <v>19001</v>
      </c>
      <c r="Y2493" t="s">
        <v>47</v>
      </c>
      <c r="Z2493">
        <v>19</v>
      </c>
      <c r="AA2493">
        <v>345</v>
      </c>
      <c r="AB2493" t="s">
        <v>47</v>
      </c>
      <c r="AC2493">
        <v>0.34399999999999997</v>
      </c>
      <c r="AD2493">
        <v>628</v>
      </c>
      <c r="AE2493" t="s">
        <v>48</v>
      </c>
      <c r="AF2493">
        <v>0.627</v>
      </c>
      <c r="AG2493">
        <v>886</v>
      </c>
      <c r="AH2493" t="s">
        <v>49</v>
      </c>
      <c r="AI2493">
        <v>0.88500000000000001</v>
      </c>
      <c r="AJ2493" t="s">
        <v>50</v>
      </c>
    </row>
    <row r="2494" spans="1:36" x14ac:dyDescent="0.25">
      <c r="A2494" t="s">
        <v>254</v>
      </c>
      <c r="B2494">
        <v>886369367</v>
      </c>
      <c r="C2494" t="s">
        <v>255</v>
      </c>
      <c r="D2494" t="s">
        <v>255</v>
      </c>
      <c r="E2494" t="s">
        <v>60</v>
      </c>
      <c r="F2494" t="s">
        <v>61</v>
      </c>
      <c r="I2494" t="s">
        <v>39</v>
      </c>
      <c r="J2494" t="s">
        <v>40</v>
      </c>
      <c r="K2494" t="s">
        <v>41</v>
      </c>
      <c r="N2494" t="s">
        <v>43</v>
      </c>
      <c r="O2494" t="s">
        <v>226</v>
      </c>
      <c r="P2494">
        <v>372</v>
      </c>
      <c r="Q2494">
        <v>372</v>
      </c>
      <c r="R2494">
        <v>1</v>
      </c>
      <c r="S2494" t="s">
        <v>45</v>
      </c>
      <c r="T2494">
        <v>0</v>
      </c>
      <c r="U2494">
        <v>116</v>
      </c>
      <c r="V2494" t="s">
        <v>55</v>
      </c>
      <c r="W2494">
        <v>0.115</v>
      </c>
      <c r="X2494">
        <v>19001</v>
      </c>
      <c r="Y2494" t="s">
        <v>47</v>
      </c>
      <c r="Z2494">
        <v>19</v>
      </c>
      <c r="AA2494">
        <v>345</v>
      </c>
      <c r="AB2494" t="s">
        <v>47</v>
      </c>
      <c r="AC2494">
        <v>0.34399999999999997</v>
      </c>
      <c r="AD2494">
        <v>628</v>
      </c>
      <c r="AE2494" t="s">
        <v>48</v>
      </c>
      <c r="AF2494">
        <v>0.627</v>
      </c>
      <c r="AG2494">
        <v>886</v>
      </c>
      <c r="AH2494" t="s">
        <v>49</v>
      </c>
      <c r="AI2494">
        <v>0.88500000000000001</v>
      </c>
      <c r="AJ2494" t="s">
        <v>1153</v>
      </c>
    </row>
    <row r="2495" spans="1:36" x14ac:dyDescent="0.25">
      <c r="A2495" t="s">
        <v>254</v>
      </c>
      <c r="B2495">
        <v>886369367</v>
      </c>
      <c r="C2495" t="s">
        <v>255</v>
      </c>
      <c r="D2495" t="s">
        <v>255</v>
      </c>
      <c r="E2495" t="s">
        <v>60</v>
      </c>
      <c r="F2495" t="s">
        <v>61</v>
      </c>
      <c r="I2495" t="s">
        <v>39</v>
      </c>
      <c r="J2495" t="s">
        <v>40</v>
      </c>
      <c r="K2495" t="s">
        <v>41</v>
      </c>
      <c r="N2495" t="s">
        <v>43</v>
      </c>
      <c r="O2495" t="s">
        <v>226</v>
      </c>
      <c r="P2495">
        <v>372</v>
      </c>
      <c r="Q2495">
        <v>372</v>
      </c>
      <c r="R2495">
        <v>1</v>
      </c>
      <c r="S2495" t="s">
        <v>45</v>
      </c>
      <c r="T2495">
        <v>0</v>
      </c>
      <c r="U2495">
        <v>116</v>
      </c>
      <c r="V2495" t="s">
        <v>55</v>
      </c>
      <c r="W2495">
        <v>0.115</v>
      </c>
      <c r="X2495">
        <v>19001</v>
      </c>
      <c r="Y2495" t="s">
        <v>47</v>
      </c>
      <c r="Z2495">
        <v>19</v>
      </c>
      <c r="AA2495">
        <v>345</v>
      </c>
      <c r="AB2495" t="s">
        <v>47</v>
      </c>
      <c r="AC2495">
        <v>0.34399999999999997</v>
      </c>
      <c r="AD2495">
        <v>628</v>
      </c>
      <c r="AE2495" t="s">
        <v>48</v>
      </c>
      <c r="AF2495">
        <v>0.627</v>
      </c>
      <c r="AG2495">
        <v>886</v>
      </c>
      <c r="AH2495" t="s">
        <v>49</v>
      </c>
      <c r="AI2495">
        <v>0.88500000000000001</v>
      </c>
      <c r="AJ2495" t="s">
        <v>1154</v>
      </c>
    </row>
    <row r="2496" spans="1:36" x14ac:dyDescent="0.25">
      <c r="A2496" t="s">
        <v>237</v>
      </c>
      <c r="B2496">
        <v>855503763</v>
      </c>
      <c r="C2496" t="s">
        <v>238</v>
      </c>
      <c r="D2496" t="s">
        <v>238</v>
      </c>
      <c r="E2496" t="s">
        <v>60</v>
      </c>
      <c r="F2496" t="s">
        <v>229</v>
      </c>
      <c r="I2496" t="s">
        <v>39</v>
      </c>
      <c r="J2496" t="s">
        <v>40</v>
      </c>
      <c r="K2496" t="s">
        <v>41</v>
      </c>
      <c r="L2496" t="s">
        <v>78</v>
      </c>
      <c r="N2496" t="s">
        <v>43</v>
      </c>
      <c r="O2496" t="s">
        <v>239</v>
      </c>
      <c r="P2496">
        <v>372</v>
      </c>
      <c r="Q2496">
        <v>372</v>
      </c>
      <c r="S2496" t="s">
        <v>39</v>
      </c>
      <c r="V2496" t="s">
        <v>39</v>
      </c>
      <c r="X2496">
        <v>1</v>
      </c>
      <c r="Y2496" t="s">
        <v>47</v>
      </c>
      <c r="Z2496">
        <v>0</v>
      </c>
      <c r="AA2496">
        <v>252</v>
      </c>
      <c r="AB2496" t="s">
        <v>47</v>
      </c>
      <c r="AC2496">
        <v>0.251</v>
      </c>
      <c r="AD2496">
        <v>299</v>
      </c>
      <c r="AE2496" t="s">
        <v>56</v>
      </c>
      <c r="AF2496">
        <v>0.29799999999999999</v>
      </c>
      <c r="AG2496">
        <v>97</v>
      </c>
      <c r="AH2496" t="s">
        <v>103</v>
      </c>
      <c r="AI2496">
        <v>9.6000000000000002E-2</v>
      </c>
      <c r="AJ2496" t="s">
        <v>1155</v>
      </c>
    </row>
    <row r="2497" spans="1:36" x14ac:dyDescent="0.25">
      <c r="A2497" t="s">
        <v>249</v>
      </c>
      <c r="B2497">
        <v>851632452</v>
      </c>
      <c r="C2497" t="s">
        <v>250</v>
      </c>
      <c r="D2497" t="s">
        <v>250</v>
      </c>
      <c r="E2497" t="s">
        <v>37</v>
      </c>
      <c r="F2497" t="s">
        <v>191</v>
      </c>
      <c r="I2497" t="s">
        <v>39</v>
      </c>
      <c r="J2497" t="s">
        <v>40</v>
      </c>
      <c r="K2497" t="s">
        <v>41</v>
      </c>
      <c r="L2497" t="s">
        <v>251</v>
      </c>
      <c r="N2497" t="s">
        <v>43</v>
      </c>
      <c r="O2497" t="s">
        <v>252</v>
      </c>
      <c r="P2497">
        <v>373</v>
      </c>
      <c r="Q2497">
        <v>373</v>
      </c>
      <c r="R2497">
        <v>1</v>
      </c>
      <c r="S2497" t="s">
        <v>45</v>
      </c>
      <c r="T2497">
        <v>0</v>
      </c>
      <c r="U2497">
        <v>210</v>
      </c>
      <c r="V2497" t="s">
        <v>55</v>
      </c>
      <c r="W2497">
        <v>0.20899999999999999</v>
      </c>
      <c r="X2497">
        <v>23001</v>
      </c>
      <c r="Y2497" t="s">
        <v>47</v>
      </c>
      <c r="Z2497">
        <v>23</v>
      </c>
      <c r="AA2497">
        <v>441</v>
      </c>
      <c r="AB2497" t="s">
        <v>47</v>
      </c>
      <c r="AC2497">
        <v>0.44</v>
      </c>
      <c r="AD2497">
        <v>780</v>
      </c>
      <c r="AE2497" t="s">
        <v>48</v>
      </c>
      <c r="AF2497">
        <v>0.77900000000000003</v>
      </c>
      <c r="AG2497">
        <v>789</v>
      </c>
      <c r="AH2497" t="s">
        <v>49</v>
      </c>
      <c r="AI2497">
        <v>0.78800000000000003</v>
      </c>
      <c r="AJ2497" t="s">
        <v>50</v>
      </c>
    </row>
    <row r="2498" spans="1:36" x14ac:dyDescent="0.25">
      <c r="A2498" t="s">
        <v>249</v>
      </c>
      <c r="B2498">
        <v>851632452</v>
      </c>
      <c r="C2498" t="s">
        <v>250</v>
      </c>
      <c r="D2498" t="s">
        <v>250</v>
      </c>
      <c r="E2498" t="s">
        <v>60</v>
      </c>
      <c r="F2498" t="s">
        <v>191</v>
      </c>
      <c r="I2498" t="s">
        <v>39</v>
      </c>
      <c r="J2498" t="s">
        <v>40</v>
      </c>
      <c r="K2498" t="s">
        <v>41</v>
      </c>
      <c r="L2498" t="s">
        <v>251</v>
      </c>
      <c r="N2498" t="s">
        <v>43</v>
      </c>
      <c r="O2498" t="s">
        <v>253</v>
      </c>
      <c r="P2498">
        <v>373</v>
      </c>
      <c r="Q2498">
        <v>373</v>
      </c>
      <c r="R2498">
        <v>81</v>
      </c>
      <c r="S2498" t="s">
        <v>56</v>
      </c>
      <c r="T2498">
        <v>0.08</v>
      </c>
      <c r="U2498">
        <v>149</v>
      </c>
      <c r="V2498" t="s">
        <v>55</v>
      </c>
      <c r="W2498">
        <v>0.14799999999999999</v>
      </c>
      <c r="X2498">
        <v>21001</v>
      </c>
      <c r="Y2498" t="s">
        <v>47</v>
      </c>
      <c r="Z2498">
        <v>21</v>
      </c>
      <c r="AA2498">
        <v>449</v>
      </c>
      <c r="AB2498" t="s">
        <v>47</v>
      </c>
      <c r="AC2498">
        <v>0.44800000000000001</v>
      </c>
      <c r="AD2498">
        <v>670</v>
      </c>
      <c r="AE2498" t="s">
        <v>48</v>
      </c>
      <c r="AF2498">
        <v>0.66900000000000004</v>
      </c>
      <c r="AG2498">
        <v>725</v>
      </c>
      <c r="AH2498" t="s">
        <v>49</v>
      </c>
      <c r="AI2498">
        <v>0.72399999999999998</v>
      </c>
      <c r="AJ2498" t="s">
        <v>50</v>
      </c>
    </row>
    <row r="2499" spans="1:36" x14ac:dyDescent="0.25">
      <c r="A2499" t="s">
        <v>249</v>
      </c>
      <c r="B2499">
        <v>851632452</v>
      </c>
      <c r="C2499" t="s">
        <v>250</v>
      </c>
      <c r="D2499" t="s">
        <v>250</v>
      </c>
      <c r="E2499" t="s">
        <v>37</v>
      </c>
      <c r="F2499" t="s">
        <v>191</v>
      </c>
      <c r="I2499" t="s">
        <v>39</v>
      </c>
      <c r="J2499" t="s">
        <v>40</v>
      </c>
      <c r="K2499" t="s">
        <v>41</v>
      </c>
      <c r="L2499" t="s">
        <v>251</v>
      </c>
      <c r="N2499" t="s">
        <v>43</v>
      </c>
      <c r="O2499" t="s">
        <v>252</v>
      </c>
      <c r="P2499">
        <v>373</v>
      </c>
      <c r="Q2499">
        <v>373</v>
      </c>
      <c r="R2499">
        <v>1</v>
      </c>
      <c r="S2499" t="s">
        <v>45</v>
      </c>
      <c r="T2499">
        <v>0</v>
      </c>
      <c r="U2499">
        <v>210</v>
      </c>
      <c r="V2499" t="s">
        <v>55</v>
      </c>
      <c r="W2499">
        <v>0.20899999999999999</v>
      </c>
      <c r="X2499">
        <v>23001</v>
      </c>
      <c r="Y2499" t="s">
        <v>47</v>
      </c>
      <c r="Z2499">
        <v>23</v>
      </c>
      <c r="AA2499">
        <v>441</v>
      </c>
      <c r="AB2499" t="s">
        <v>47</v>
      </c>
      <c r="AC2499">
        <v>0.44</v>
      </c>
      <c r="AD2499">
        <v>780</v>
      </c>
      <c r="AE2499" t="s">
        <v>48</v>
      </c>
      <c r="AF2499">
        <v>0.77900000000000003</v>
      </c>
      <c r="AG2499">
        <v>789</v>
      </c>
      <c r="AH2499" t="s">
        <v>49</v>
      </c>
      <c r="AI2499">
        <v>0.78800000000000003</v>
      </c>
      <c r="AJ2499" t="s">
        <v>1153</v>
      </c>
    </row>
    <row r="2500" spans="1:36" x14ac:dyDescent="0.25">
      <c r="A2500" t="s">
        <v>249</v>
      </c>
      <c r="B2500">
        <v>851632452</v>
      </c>
      <c r="C2500" t="s">
        <v>250</v>
      </c>
      <c r="D2500" t="s">
        <v>250</v>
      </c>
      <c r="E2500" t="s">
        <v>60</v>
      </c>
      <c r="F2500" t="s">
        <v>191</v>
      </c>
      <c r="I2500" t="s">
        <v>39</v>
      </c>
      <c r="J2500" t="s">
        <v>40</v>
      </c>
      <c r="K2500" t="s">
        <v>41</v>
      </c>
      <c r="L2500" t="s">
        <v>251</v>
      </c>
      <c r="N2500" t="s">
        <v>43</v>
      </c>
      <c r="O2500" t="s">
        <v>253</v>
      </c>
      <c r="P2500">
        <v>373</v>
      </c>
      <c r="Q2500">
        <v>373</v>
      </c>
      <c r="R2500">
        <v>81</v>
      </c>
      <c r="S2500" t="s">
        <v>56</v>
      </c>
      <c r="T2500">
        <v>0.08</v>
      </c>
      <c r="U2500">
        <v>149</v>
      </c>
      <c r="V2500" t="s">
        <v>55</v>
      </c>
      <c r="W2500">
        <v>0.14799999999999999</v>
      </c>
      <c r="X2500">
        <v>21001</v>
      </c>
      <c r="Y2500" t="s">
        <v>47</v>
      </c>
      <c r="Z2500">
        <v>21</v>
      </c>
      <c r="AA2500">
        <v>449</v>
      </c>
      <c r="AB2500" t="s">
        <v>47</v>
      </c>
      <c r="AC2500">
        <v>0.44800000000000001</v>
      </c>
      <c r="AD2500">
        <v>670</v>
      </c>
      <c r="AE2500" t="s">
        <v>48</v>
      </c>
      <c r="AF2500">
        <v>0.66900000000000004</v>
      </c>
      <c r="AG2500">
        <v>725</v>
      </c>
      <c r="AH2500" t="s">
        <v>49</v>
      </c>
      <c r="AI2500">
        <v>0.72399999999999998</v>
      </c>
      <c r="AJ2500" t="s">
        <v>1153</v>
      </c>
    </row>
    <row r="2501" spans="1:36" x14ac:dyDescent="0.25">
      <c r="A2501" t="s">
        <v>249</v>
      </c>
      <c r="B2501">
        <v>851632452</v>
      </c>
      <c r="C2501" t="s">
        <v>250</v>
      </c>
      <c r="D2501" t="s">
        <v>250</v>
      </c>
      <c r="E2501" t="s">
        <v>37</v>
      </c>
      <c r="F2501" t="s">
        <v>191</v>
      </c>
      <c r="I2501" t="s">
        <v>39</v>
      </c>
      <c r="J2501" t="s">
        <v>40</v>
      </c>
      <c r="K2501" t="s">
        <v>41</v>
      </c>
      <c r="L2501" t="s">
        <v>251</v>
      </c>
      <c r="N2501" t="s">
        <v>43</v>
      </c>
      <c r="O2501" t="s">
        <v>252</v>
      </c>
      <c r="P2501">
        <v>373</v>
      </c>
      <c r="Q2501">
        <v>373</v>
      </c>
      <c r="R2501">
        <v>1</v>
      </c>
      <c r="S2501" t="s">
        <v>45</v>
      </c>
      <c r="T2501">
        <v>0</v>
      </c>
      <c r="U2501">
        <v>210</v>
      </c>
      <c r="V2501" t="s">
        <v>55</v>
      </c>
      <c r="W2501">
        <v>0.20899999999999999</v>
      </c>
      <c r="X2501">
        <v>23001</v>
      </c>
      <c r="Y2501" t="s">
        <v>47</v>
      </c>
      <c r="Z2501">
        <v>23</v>
      </c>
      <c r="AA2501">
        <v>441</v>
      </c>
      <c r="AB2501" t="s">
        <v>47</v>
      </c>
      <c r="AC2501">
        <v>0.44</v>
      </c>
      <c r="AD2501">
        <v>780</v>
      </c>
      <c r="AE2501" t="s">
        <v>48</v>
      </c>
      <c r="AF2501">
        <v>0.77900000000000003</v>
      </c>
      <c r="AG2501">
        <v>789</v>
      </c>
      <c r="AH2501" t="s">
        <v>49</v>
      </c>
      <c r="AI2501">
        <v>0.78800000000000003</v>
      </c>
      <c r="AJ2501" t="s">
        <v>1154</v>
      </c>
    </row>
    <row r="2502" spans="1:36" x14ac:dyDescent="0.25">
      <c r="A2502" t="s">
        <v>249</v>
      </c>
      <c r="B2502">
        <v>851632452</v>
      </c>
      <c r="C2502" t="s">
        <v>250</v>
      </c>
      <c r="D2502" t="s">
        <v>250</v>
      </c>
      <c r="E2502" t="s">
        <v>60</v>
      </c>
      <c r="F2502" t="s">
        <v>191</v>
      </c>
      <c r="I2502" t="s">
        <v>39</v>
      </c>
      <c r="J2502" t="s">
        <v>40</v>
      </c>
      <c r="K2502" t="s">
        <v>41</v>
      </c>
      <c r="L2502" t="s">
        <v>251</v>
      </c>
      <c r="N2502" t="s">
        <v>43</v>
      </c>
      <c r="O2502" t="s">
        <v>253</v>
      </c>
      <c r="P2502">
        <v>373</v>
      </c>
      <c r="Q2502">
        <v>373</v>
      </c>
      <c r="R2502">
        <v>81</v>
      </c>
      <c r="S2502" t="s">
        <v>56</v>
      </c>
      <c r="T2502">
        <v>0.08</v>
      </c>
      <c r="U2502">
        <v>149</v>
      </c>
      <c r="V2502" t="s">
        <v>55</v>
      </c>
      <c r="W2502">
        <v>0.14799999999999999</v>
      </c>
      <c r="X2502">
        <v>21001</v>
      </c>
      <c r="Y2502" t="s">
        <v>47</v>
      </c>
      <c r="Z2502">
        <v>21</v>
      </c>
      <c r="AA2502">
        <v>449</v>
      </c>
      <c r="AB2502" t="s">
        <v>47</v>
      </c>
      <c r="AC2502">
        <v>0.44800000000000001</v>
      </c>
      <c r="AD2502">
        <v>670</v>
      </c>
      <c r="AE2502" t="s">
        <v>48</v>
      </c>
      <c r="AF2502">
        <v>0.66900000000000004</v>
      </c>
      <c r="AG2502">
        <v>725</v>
      </c>
      <c r="AH2502" t="s">
        <v>49</v>
      </c>
      <c r="AI2502">
        <v>0.72399999999999998</v>
      </c>
      <c r="AJ2502" t="s">
        <v>1154</v>
      </c>
    </row>
    <row r="2503" spans="1:36" x14ac:dyDescent="0.25">
      <c r="A2503" t="s">
        <v>232</v>
      </c>
      <c r="B2503">
        <v>851914896</v>
      </c>
      <c r="C2503" t="s">
        <v>233</v>
      </c>
      <c r="D2503" t="s">
        <v>233</v>
      </c>
      <c r="E2503" t="s">
        <v>37</v>
      </c>
      <c r="F2503" t="s">
        <v>38</v>
      </c>
      <c r="I2503" t="s">
        <v>39</v>
      </c>
      <c r="J2503" t="s">
        <v>40</v>
      </c>
      <c r="K2503" t="s">
        <v>41</v>
      </c>
      <c r="L2503" t="s">
        <v>234</v>
      </c>
      <c r="M2503" t="s">
        <v>235</v>
      </c>
      <c r="N2503" t="s">
        <v>43</v>
      </c>
      <c r="O2503" t="s">
        <v>236</v>
      </c>
      <c r="P2503">
        <v>373</v>
      </c>
      <c r="Q2503">
        <v>373</v>
      </c>
      <c r="S2503" t="s">
        <v>39</v>
      </c>
      <c r="V2503" t="s">
        <v>39</v>
      </c>
      <c r="X2503">
        <v>1</v>
      </c>
      <c r="Y2503" t="s">
        <v>47</v>
      </c>
      <c r="Z2503">
        <v>0</v>
      </c>
      <c r="AA2503">
        <v>168</v>
      </c>
      <c r="AB2503" t="s">
        <v>47</v>
      </c>
      <c r="AC2503">
        <v>0.16700000000000001</v>
      </c>
      <c r="AD2503">
        <v>468</v>
      </c>
      <c r="AE2503" t="s">
        <v>56</v>
      </c>
      <c r="AF2503">
        <v>0.46700000000000003</v>
      </c>
      <c r="AG2503">
        <v>357</v>
      </c>
      <c r="AH2503" t="s">
        <v>57</v>
      </c>
      <c r="AI2503">
        <v>0.35599999999999998</v>
      </c>
      <c r="AJ2503" t="s">
        <v>1155</v>
      </c>
    </row>
    <row r="2504" spans="1:36" x14ac:dyDescent="0.25">
      <c r="A2504" t="s">
        <v>230</v>
      </c>
      <c r="B2504">
        <v>873000279</v>
      </c>
      <c r="C2504" t="s">
        <v>231</v>
      </c>
      <c r="D2504" t="s">
        <v>231</v>
      </c>
      <c r="E2504" t="s">
        <v>60</v>
      </c>
      <c r="F2504" t="s">
        <v>88</v>
      </c>
      <c r="I2504" t="s">
        <v>39</v>
      </c>
      <c r="J2504" t="s">
        <v>40</v>
      </c>
      <c r="K2504" t="s">
        <v>41</v>
      </c>
      <c r="L2504" t="s">
        <v>72</v>
      </c>
      <c r="M2504" t="s">
        <v>47</v>
      </c>
      <c r="N2504" t="s">
        <v>43</v>
      </c>
      <c r="O2504" t="s">
        <v>194</v>
      </c>
      <c r="P2504">
        <v>374</v>
      </c>
      <c r="Q2504">
        <v>374</v>
      </c>
      <c r="S2504" t="s">
        <v>39</v>
      </c>
      <c r="V2504" t="s">
        <v>39</v>
      </c>
      <c r="X2504">
        <v>19001</v>
      </c>
      <c r="Y2504" t="s">
        <v>47</v>
      </c>
      <c r="Z2504">
        <v>19</v>
      </c>
      <c r="AA2504">
        <v>262</v>
      </c>
      <c r="AB2504" t="s">
        <v>47</v>
      </c>
      <c r="AC2504">
        <v>0.26100000000000001</v>
      </c>
      <c r="AD2504">
        <v>554</v>
      </c>
      <c r="AE2504" t="s">
        <v>48</v>
      </c>
      <c r="AF2504">
        <v>0.55300000000000005</v>
      </c>
      <c r="AG2504">
        <v>390</v>
      </c>
      <c r="AH2504" t="s">
        <v>57</v>
      </c>
      <c r="AI2504">
        <v>0.38900000000000001</v>
      </c>
      <c r="AJ2504" t="s">
        <v>1155</v>
      </c>
    </row>
    <row r="2505" spans="1:36" x14ac:dyDescent="0.25">
      <c r="A2505" t="s">
        <v>244</v>
      </c>
      <c r="B2505">
        <v>873000347</v>
      </c>
      <c r="C2505" t="s">
        <v>245</v>
      </c>
      <c r="D2505" t="s">
        <v>245</v>
      </c>
      <c r="E2505" t="s">
        <v>60</v>
      </c>
      <c r="F2505" t="s">
        <v>61</v>
      </c>
      <c r="I2505" t="s">
        <v>39</v>
      </c>
      <c r="J2505" t="s">
        <v>40</v>
      </c>
      <c r="K2505" t="s">
        <v>41</v>
      </c>
      <c r="L2505" t="s">
        <v>72</v>
      </c>
      <c r="M2505" t="s">
        <v>47</v>
      </c>
      <c r="N2505" t="s">
        <v>43</v>
      </c>
      <c r="O2505" t="s">
        <v>226</v>
      </c>
      <c r="P2505">
        <v>374</v>
      </c>
      <c r="Q2505">
        <v>374</v>
      </c>
      <c r="R2505">
        <v>31</v>
      </c>
      <c r="S2505" t="s">
        <v>45</v>
      </c>
      <c r="T2505">
        <v>0.03</v>
      </c>
      <c r="U2505">
        <v>28</v>
      </c>
      <c r="V2505" t="s">
        <v>55</v>
      </c>
      <c r="W2505">
        <v>2.7E-2</v>
      </c>
      <c r="X2505">
        <v>13001</v>
      </c>
      <c r="Y2505" t="s">
        <v>47</v>
      </c>
      <c r="Z2505">
        <v>13</v>
      </c>
      <c r="AA2505">
        <v>286</v>
      </c>
      <c r="AB2505" t="s">
        <v>47</v>
      </c>
      <c r="AC2505">
        <v>0.28499999999999998</v>
      </c>
      <c r="AD2505">
        <v>684</v>
      </c>
      <c r="AE2505" t="s">
        <v>48</v>
      </c>
      <c r="AF2505">
        <v>0.68300000000000005</v>
      </c>
      <c r="AG2505">
        <v>937</v>
      </c>
      <c r="AH2505" t="s">
        <v>80</v>
      </c>
      <c r="AI2505">
        <v>0.93600000000000005</v>
      </c>
      <c r="AJ2505" t="s">
        <v>50</v>
      </c>
    </row>
    <row r="2506" spans="1:36" x14ac:dyDescent="0.25">
      <c r="A2506" t="s">
        <v>244</v>
      </c>
      <c r="B2506">
        <v>873000347</v>
      </c>
      <c r="C2506" t="s">
        <v>245</v>
      </c>
      <c r="D2506" t="s">
        <v>245</v>
      </c>
      <c r="E2506" t="s">
        <v>60</v>
      </c>
      <c r="F2506" t="s">
        <v>61</v>
      </c>
      <c r="I2506" t="s">
        <v>39</v>
      </c>
      <c r="J2506" t="s">
        <v>40</v>
      </c>
      <c r="K2506" t="s">
        <v>41</v>
      </c>
      <c r="L2506" t="s">
        <v>72</v>
      </c>
      <c r="M2506" t="s">
        <v>47</v>
      </c>
      <c r="N2506" t="s">
        <v>43</v>
      </c>
      <c r="O2506" t="s">
        <v>226</v>
      </c>
      <c r="P2506">
        <v>374</v>
      </c>
      <c r="Q2506">
        <v>374</v>
      </c>
      <c r="R2506">
        <v>31</v>
      </c>
      <c r="S2506" t="s">
        <v>45</v>
      </c>
      <c r="T2506">
        <v>0.03</v>
      </c>
      <c r="U2506">
        <v>28</v>
      </c>
      <c r="V2506" t="s">
        <v>55</v>
      </c>
      <c r="W2506">
        <v>2.7E-2</v>
      </c>
      <c r="X2506">
        <v>13001</v>
      </c>
      <c r="Y2506" t="s">
        <v>47</v>
      </c>
      <c r="Z2506">
        <v>13</v>
      </c>
      <c r="AA2506">
        <v>286</v>
      </c>
      <c r="AB2506" t="s">
        <v>47</v>
      </c>
      <c r="AC2506">
        <v>0.28499999999999998</v>
      </c>
      <c r="AD2506">
        <v>684</v>
      </c>
      <c r="AE2506" t="s">
        <v>48</v>
      </c>
      <c r="AF2506">
        <v>0.68300000000000005</v>
      </c>
      <c r="AG2506">
        <v>937</v>
      </c>
      <c r="AH2506" t="s">
        <v>80</v>
      </c>
      <c r="AI2506">
        <v>0.93600000000000005</v>
      </c>
      <c r="AJ2506" t="s">
        <v>1153</v>
      </c>
    </row>
    <row r="2507" spans="1:36" x14ac:dyDescent="0.25">
      <c r="A2507" t="s">
        <v>244</v>
      </c>
      <c r="B2507">
        <v>873000347</v>
      </c>
      <c r="C2507" t="s">
        <v>245</v>
      </c>
      <c r="D2507" t="s">
        <v>245</v>
      </c>
      <c r="E2507" t="s">
        <v>60</v>
      </c>
      <c r="F2507" t="s">
        <v>61</v>
      </c>
      <c r="I2507" t="s">
        <v>39</v>
      </c>
      <c r="J2507" t="s">
        <v>40</v>
      </c>
      <c r="K2507" t="s">
        <v>41</v>
      </c>
      <c r="L2507" t="s">
        <v>72</v>
      </c>
      <c r="M2507" t="s">
        <v>47</v>
      </c>
      <c r="N2507" t="s">
        <v>43</v>
      </c>
      <c r="O2507" t="s">
        <v>226</v>
      </c>
      <c r="P2507">
        <v>374</v>
      </c>
      <c r="Q2507">
        <v>374</v>
      </c>
      <c r="R2507">
        <v>31</v>
      </c>
      <c r="S2507" t="s">
        <v>45</v>
      </c>
      <c r="T2507">
        <v>0.03</v>
      </c>
      <c r="U2507">
        <v>28</v>
      </c>
      <c r="V2507" t="s">
        <v>55</v>
      </c>
      <c r="W2507">
        <v>2.7E-2</v>
      </c>
      <c r="X2507">
        <v>13001</v>
      </c>
      <c r="Y2507" t="s">
        <v>47</v>
      </c>
      <c r="Z2507">
        <v>13</v>
      </c>
      <c r="AA2507">
        <v>286</v>
      </c>
      <c r="AB2507" t="s">
        <v>47</v>
      </c>
      <c r="AC2507">
        <v>0.28499999999999998</v>
      </c>
      <c r="AD2507">
        <v>684</v>
      </c>
      <c r="AE2507" t="s">
        <v>48</v>
      </c>
      <c r="AF2507">
        <v>0.68300000000000005</v>
      </c>
      <c r="AG2507">
        <v>937</v>
      </c>
      <c r="AH2507" t="s">
        <v>80</v>
      </c>
      <c r="AI2507">
        <v>0.93600000000000005</v>
      </c>
      <c r="AJ2507" t="s">
        <v>1154</v>
      </c>
    </row>
    <row r="2508" spans="1:36" x14ac:dyDescent="0.25">
      <c r="A2508" t="s">
        <v>246</v>
      </c>
      <c r="B2508">
        <v>855536195</v>
      </c>
      <c r="C2508" t="s">
        <v>247</v>
      </c>
      <c r="D2508" t="s">
        <v>247</v>
      </c>
      <c r="E2508" t="s">
        <v>60</v>
      </c>
      <c r="F2508" t="s">
        <v>88</v>
      </c>
      <c r="I2508" t="s">
        <v>39</v>
      </c>
      <c r="J2508" t="s">
        <v>40</v>
      </c>
      <c r="K2508" t="s">
        <v>41</v>
      </c>
      <c r="L2508" t="s">
        <v>248</v>
      </c>
      <c r="M2508" t="s">
        <v>73</v>
      </c>
      <c r="N2508" t="s">
        <v>43</v>
      </c>
      <c r="O2508" t="s">
        <v>229</v>
      </c>
      <c r="P2508">
        <v>374</v>
      </c>
      <c r="Q2508">
        <v>374</v>
      </c>
      <c r="R2508">
        <v>191</v>
      </c>
      <c r="S2508" t="s">
        <v>56</v>
      </c>
      <c r="T2508">
        <v>0.19</v>
      </c>
      <c r="U2508">
        <v>6</v>
      </c>
      <c r="V2508" t="s">
        <v>55</v>
      </c>
      <c r="W2508">
        <v>5.0000000000000001E-3</v>
      </c>
      <c r="X2508">
        <v>3001</v>
      </c>
      <c r="Y2508" t="s">
        <v>47</v>
      </c>
      <c r="Z2508">
        <v>3</v>
      </c>
      <c r="AA2508">
        <v>238</v>
      </c>
      <c r="AB2508" t="s">
        <v>47</v>
      </c>
      <c r="AC2508">
        <v>0.23699999999999999</v>
      </c>
      <c r="AD2508">
        <v>529</v>
      </c>
      <c r="AE2508" t="s">
        <v>48</v>
      </c>
      <c r="AF2508">
        <v>0.52800000000000002</v>
      </c>
      <c r="AG2508">
        <v>580</v>
      </c>
      <c r="AH2508" t="s">
        <v>49</v>
      </c>
      <c r="AI2508">
        <v>0.57899999999999996</v>
      </c>
      <c r="AJ2508" t="s">
        <v>50</v>
      </c>
    </row>
    <row r="2509" spans="1:36" x14ac:dyDescent="0.25">
      <c r="A2509" t="s">
        <v>246</v>
      </c>
      <c r="B2509">
        <v>855536195</v>
      </c>
      <c r="C2509" t="s">
        <v>247</v>
      </c>
      <c r="D2509" t="s">
        <v>247</v>
      </c>
      <c r="E2509" t="s">
        <v>60</v>
      </c>
      <c r="F2509" t="s">
        <v>88</v>
      </c>
      <c r="I2509" t="s">
        <v>39</v>
      </c>
      <c r="J2509" t="s">
        <v>40</v>
      </c>
      <c r="K2509" t="s">
        <v>41</v>
      </c>
      <c r="L2509" t="s">
        <v>248</v>
      </c>
      <c r="M2509" t="s">
        <v>73</v>
      </c>
      <c r="N2509" t="s">
        <v>43</v>
      </c>
      <c r="O2509" t="s">
        <v>229</v>
      </c>
      <c r="P2509">
        <v>374</v>
      </c>
      <c r="Q2509">
        <v>374</v>
      </c>
      <c r="R2509">
        <v>191</v>
      </c>
      <c r="S2509" t="s">
        <v>56</v>
      </c>
      <c r="T2509">
        <v>0.19</v>
      </c>
      <c r="U2509">
        <v>6</v>
      </c>
      <c r="V2509" t="s">
        <v>55</v>
      </c>
      <c r="W2509">
        <v>5.0000000000000001E-3</v>
      </c>
      <c r="X2509">
        <v>3001</v>
      </c>
      <c r="Y2509" t="s">
        <v>47</v>
      </c>
      <c r="Z2509">
        <v>3</v>
      </c>
      <c r="AA2509">
        <v>238</v>
      </c>
      <c r="AB2509" t="s">
        <v>47</v>
      </c>
      <c r="AC2509">
        <v>0.23699999999999999</v>
      </c>
      <c r="AD2509">
        <v>529</v>
      </c>
      <c r="AE2509" t="s">
        <v>48</v>
      </c>
      <c r="AF2509">
        <v>0.52800000000000002</v>
      </c>
      <c r="AG2509">
        <v>580</v>
      </c>
      <c r="AH2509" t="s">
        <v>49</v>
      </c>
      <c r="AI2509">
        <v>0.57899999999999996</v>
      </c>
      <c r="AJ2509" t="s">
        <v>1153</v>
      </c>
    </row>
    <row r="2510" spans="1:36" x14ac:dyDescent="0.25">
      <c r="A2510" t="s">
        <v>246</v>
      </c>
      <c r="B2510">
        <v>855536195</v>
      </c>
      <c r="C2510" t="s">
        <v>247</v>
      </c>
      <c r="D2510" t="s">
        <v>247</v>
      </c>
      <c r="E2510" t="s">
        <v>60</v>
      </c>
      <c r="F2510" t="s">
        <v>88</v>
      </c>
      <c r="I2510" t="s">
        <v>39</v>
      </c>
      <c r="J2510" t="s">
        <v>40</v>
      </c>
      <c r="K2510" t="s">
        <v>41</v>
      </c>
      <c r="L2510" t="s">
        <v>248</v>
      </c>
      <c r="M2510" t="s">
        <v>73</v>
      </c>
      <c r="N2510" t="s">
        <v>43</v>
      </c>
      <c r="O2510" t="s">
        <v>229</v>
      </c>
      <c r="P2510">
        <v>374</v>
      </c>
      <c r="Q2510">
        <v>374</v>
      </c>
      <c r="R2510">
        <v>191</v>
      </c>
      <c r="S2510" t="s">
        <v>56</v>
      </c>
      <c r="T2510">
        <v>0.19</v>
      </c>
      <c r="U2510">
        <v>6</v>
      </c>
      <c r="V2510" t="s">
        <v>55</v>
      </c>
      <c r="W2510">
        <v>5.0000000000000001E-3</v>
      </c>
      <c r="X2510">
        <v>3001</v>
      </c>
      <c r="Y2510" t="s">
        <v>47</v>
      </c>
      <c r="Z2510">
        <v>3</v>
      </c>
      <c r="AA2510">
        <v>238</v>
      </c>
      <c r="AB2510" t="s">
        <v>47</v>
      </c>
      <c r="AC2510">
        <v>0.23699999999999999</v>
      </c>
      <c r="AD2510">
        <v>529</v>
      </c>
      <c r="AE2510" t="s">
        <v>48</v>
      </c>
      <c r="AF2510">
        <v>0.52800000000000002</v>
      </c>
      <c r="AG2510">
        <v>580</v>
      </c>
      <c r="AH2510" t="s">
        <v>49</v>
      </c>
      <c r="AI2510">
        <v>0.57899999999999996</v>
      </c>
      <c r="AJ2510" t="s">
        <v>1154</v>
      </c>
    </row>
    <row r="2511" spans="1:36" x14ac:dyDescent="0.25">
      <c r="A2511" t="s">
        <v>223</v>
      </c>
      <c r="B2511">
        <v>866436305</v>
      </c>
      <c r="C2511" t="s">
        <v>224</v>
      </c>
      <c r="D2511" t="s">
        <v>224</v>
      </c>
      <c r="E2511" t="s">
        <v>37</v>
      </c>
      <c r="F2511" t="s">
        <v>122</v>
      </c>
      <c r="I2511" t="s">
        <v>39</v>
      </c>
      <c r="J2511" t="s">
        <v>40</v>
      </c>
      <c r="K2511" t="s">
        <v>41</v>
      </c>
      <c r="L2511" t="s">
        <v>94</v>
      </c>
      <c r="M2511" t="s">
        <v>47</v>
      </c>
      <c r="N2511" t="s">
        <v>43</v>
      </c>
      <c r="O2511" t="s">
        <v>225</v>
      </c>
      <c r="P2511">
        <v>375</v>
      </c>
      <c r="Q2511">
        <v>375</v>
      </c>
      <c r="S2511" t="s">
        <v>39</v>
      </c>
      <c r="V2511" t="s">
        <v>39</v>
      </c>
      <c r="X2511">
        <v>1001</v>
      </c>
      <c r="Y2511" t="s">
        <v>47</v>
      </c>
      <c r="Z2511">
        <v>1</v>
      </c>
      <c r="AA2511">
        <v>181</v>
      </c>
      <c r="AB2511" t="s">
        <v>47</v>
      </c>
      <c r="AC2511">
        <v>0.18</v>
      </c>
      <c r="AD2511">
        <v>334</v>
      </c>
      <c r="AE2511" t="s">
        <v>56</v>
      </c>
      <c r="AF2511">
        <v>0.33300000000000002</v>
      </c>
      <c r="AG2511">
        <v>251</v>
      </c>
      <c r="AH2511" t="s">
        <v>57</v>
      </c>
      <c r="AI2511">
        <v>0.25</v>
      </c>
      <c r="AJ2511" t="s">
        <v>1155</v>
      </c>
    </row>
    <row r="2512" spans="1:36" x14ac:dyDescent="0.25">
      <c r="A2512" t="s">
        <v>223</v>
      </c>
      <c r="B2512">
        <v>866436305</v>
      </c>
      <c r="C2512" t="s">
        <v>224</v>
      </c>
      <c r="D2512" t="s">
        <v>224</v>
      </c>
      <c r="E2512" t="s">
        <v>60</v>
      </c>
      <c r="F2512" t="s">
        <v>122</v>
      </c>
      <c r="I2512" t="s">
        <v>39</v>
      </c>
      <c r="J2512" t="s">
        <v>40</v>
      </c>
      <c r="K2512" t="s">
        <v>41</v>
      </c>
      <c r="L2512" t="s">
        <v>94</v>
      </c>
      <c r="M2512" t="s">
        <v>47</v>
      </c>
      <c r="N2512" t="s">
        <v>43</v>
      </c>
      <c r="O2512" t="s">
        <v>226</v>
      </c>
      <c r="P2512">
        <v>375</v>
      </c>
      <c r="Q2512">
        <v>375</v>
      </c>
      <c r="S2512" t="s">
        <v>39</v>
      </c>
      <c r="V2512" t="s">
        <v>39</v>
      </c>
      <c r="X2512">
        <v>3001</v>
      </c>
      <c r="Y2512" t="s">
        <v>47</v>
      </c>
      <c r="Z2512">
        <v>3</v>
      </c>
      <c r="AA2512">
        <v>271</v>
      </c>
      <c r="AB2512" t="s">
        <v>47</v>
      </c>
      <c r="AC2512">
        <v>0.27</v>
      </c>
      <c r="AD2512">
        <v>494</v>
      </c>
      <c r="AE2512" t="s">
        <v>56</v>
      </c>
      <c r="AF2512">
        <v>0.49299999999999999</v>
      </c>
      <c r="AG2512">
        <v>731</v>
      </c>
      <c r="AH2512" t="s">
        <v>49</v>
      </c>
      <c r="AI2512">
        <v>0.73</v>
      </c>
      <c r="AJ2512" t="s">
        <v>1155</v>
      </c>
    </row>
    <row r="2513" spans="1:36" x14ac:dyDescent="0.25">
      <c r="A2513" t="s">
        <v>240</v>
      </c>
      <c r="B2513">
        <v>870484111</v>
      </c>
      <c r="C2513" t="s">
        <v>241</v>
      </c>
      <c r="D2513" t="s">
        <v>241</v>
      </c>
      <c r="E2513" t="s">
        <v>65</v>
      </c>
      <c r="F2513" t="s">
        <v>93</v>
      </c>
      <c r="I2513" t="s">
        <v>39</v>
      </c>
      <c r="J2513" t="s">
        <v>40</v>
      </c>
      <c r="K2513" t="s">
        <v>41</v>
      </c>
      <c r="L2513" t="s">
        <v>197</v>
      </c>
      <c r="M2513" t="s">
        <v>47</v>
      </c>
      <c r="N2513" t="s">
        <v>43</v>
      </c>
      <c r="O2513" t="s">
        <v>96</v>
      </c>
      <c r="P2513">
        <v>375</v>
      </c>
      <c r="Q2513">
        <v>375</v>
      </c>
      <c r="R2513">
        <v>1001</v>
      </c>
      <c r="S2513" t="s">
        <v>56</v>
      </c>
      <c r="T2513">
        <v>1</v>
      </c>
      <c r="U2513">
        <v>1</v>
      </c>
      <c r="V2513" t="s">
        <v>55</v>
      </c>
      <c r="W2513">
        <v>0</v>
      </c>
      <c r="X2513">
        <v>1001</v>
      </c>
      <c r="Y2513" t="s">
        <v>47</v>
      </c>
      <c r="Z2513">
        <v>1</v>
      </c>
      <c r="AA2513">
        <v>197</v>
      </c>
      <c r="AB2513" t="s">
        <v>47</v>
      </c>
      <c r="AC2513">
        <v>0.19600000000000001</v>
      </c>
      <c r="AD2513">
        <v>76</v>
      </c>
      <c r="AE2513" t="s">
        <v>56</v>
      </c>
      <c r="AF2513">
        <v>7.4999999999999997E-2</v>
      </c>
      <c r="AG2513">
        <v>1</v>
      </c>
      <c r="AH2513" t="s">
        <v>103</v>
      </c>
      <c r="AI2513">
        <v>0</v>
      </c>
      <c r="AJ2513" t="s">
        <v>50</v>
      </c>
    </row>
    <row r="2514" spans="1:36" x14ac:dyDescent="0.25">
      <c r="A2514" t="s">
        <v>240</v>
      </c>
      <c r="B2514">
        <v>870484111</v>
      </c>
      <c r="C2514" t="s">
        <v>241</v>
      </c>
      <c r="D2514" t="s">
        <v>241</v>
      </c>
      <c r="E2514" t="s">
        <v>65</v>
      </c>
      <c r="F2514" t="s">
        <v>93</v>
      </c>
      <c r="I2514" t="s">
        <v>39</v>
      </c>
      <c r="J2514" t="s">
        <v>40</v>
      </c>
      <c r="K2514" t="s">
        <v>41</v>
      </c>
      <c r="L2514" t="s">
        <v>197</v>
      </c>
      <c r="M2514" t="s">
        <v>47</v>
      </c>
      <c r="N2514" t="s">
        <v>43</v>
      </c>
      <c r="O2514" t="s">
        <v>96</v>
      </c>
      <c r="P2514">
        <v>375</v>
      </c>
      <c r="Q2514">
        <v>375</v>
      </c>
      <c r="R2514">
        <v>1001</v>
      </c>
      <c r="S2514" t="s">
        <v>56</v>
      </c>
      <c r="T2514">
        <v>1</v>
      </c>
      <c r="U2514">
        <v>1</v>
      </c>
      <c r="V2514" t="s">
        <v>55</v>
      </c>
      <c r="W2514">
        <v>0</v>
      </c>
      <c r="X2514">
        <v>1001</v>
      </c>
      <c r="Y2514" t="s">
        <v>47</v>
      </c>
      <c r="Z2514">
        <v>1</v>
      </c>
      <c r="AA2514">
        <v>197</v>
      </c>
      <c r="AB2514" t="s">
        <v>47</v>
      </c>
      <c r="AC2514">
        <v>0.19600000000000001</v>
      </c>
      <c r="AD2514">
        <v>76</v>
      </c>
      <c r="AE2514" t="s">
        <v>56</v>
      </c>
      <c r="AF2514">
        <v>7.4999999999999997E-2</v>
      </c>
      <c r="AG2514">
        <v>1</v>
      </c>
      <c r="AH2514" t="s">
        <v>103</v>
      </c>
      <c r="AI2514">
        <v>0</v>
      </c>
      <c r="AJ2514" t="s">
        <v>1153</v>
      </c>
    </row>
    <row r="2515" spans="1:36" x14ac:dyDescent="0.25">
      <c r="A2515" t="s">
        <v>240</v>
      </c>
      <c r="B2515">
        <v>870484111</v>
      </c>
      <c r="C2515" t="s">
        <v>241</v>
      </c>
      <c r="D2515" t="s">
        <v>241</v>
      </c>
      <c r="E2515" t="s">
        <v>65</v>
      </c>
      <c r="F2515" t="s">
        <v>93</v>
      </c>
      <c r="I2515" t="s">
        <v>39</v>
      </c>
      <c r="J2515" t="s">
        <v>40</v>
      </c>
      <c r="K2515" t="s">
        <v>41</v>
      </c>
      <c r="L2515" t="s">
        <v>197</v>
      </c>
      <c r="M2515" t="s">
        <v>47</v>
      </c>
      <c r="N2515" t="s">
        <v>43</v>
      </c>
      <c r="O2515" t="s">
        <v>96</v>
      </c>
      <c r="P2515">
        <v>375</v>
      </c>
      <c r="Q2515">
        <v>375</v>
      </c>
      <c r="R2515">
        <v>1001</v>
      </c>
      <c r="S2515" t="s">
        <v>56</v>
      </c>
      <c r="T2515">
        <v>1</v>
      </c>
      <c r="U2515">
        <v>1</v>
      </c>
      <c r="V2515" t="s">
        <v>55</v>
      </c>
      <c r="W2515">
        <v>0</v>
      </c>
      <c r="X2515">
        <v>1001</v>
      </c>
      <c r="Y2515" t="s">
        <v>47</v>
      </c>
      <c r="Z2515">
        <v>1</v>
      </c>
      <c r="AA2515">
        <v>197</v>
      </c>
      <c r="AB2515" t="s">
        <v>47</v>
      </c>
      <c r="AC2515">
        <v>0.19600000000000001</v>
      </c>
      <c r="AD2515">
        <v>76</v>
      </c>
      <c r="AE2515" t="s">
        <v>56</v>
      </c>
      <c r="AF2515">
        <v>7.4999999999999997E-2</v>
      </c>
      <c r="AG2515">
        <v>1</v>
      </c>
      <c r="AH2515" t="s">
        <v>103</v>
      </c>
      <c r="AI2515">
        <v>0</v>
      </c>
      <c r="AJ2515" t="s">
        <v>1154</v>
      </c>
    </row>
    <row r="2516" spans="1:36" x14ac:dyDescent="0.25">
      <c r="A2516" t="s">
        <v>242</v>
      </c>
      <c r="B2516">
        <v>855930636</v>
      </c>
      <c r="C2516" t="s">
        <v>243</v>
      </c>
      <c r="D2516" t="s">
        <v>243</v>
      </c>
      <c r="E2516" t="s">
        <v>65</v>
      </c>
      <c r="F2516" t="s">
        <v>66</v>
      </c>
      <c r="I2516" t="s">
        <v>39</v>
      </c>
      <c r="J2516" t="s">
        <v>40</v>
      </c>
      <c r="K2516" t="s">
        <v>41</v>
      </c>
      <c r="L2516" t="s">
        <v>118</v>
      </c>
      <c r="N2516" t="s">
        <v>43</v>
      </c>
      <c r="O2516" t="s">
        <v>104</v>
      </c>
      <c r="P2516">
        <v>375</v>
      </c>
      <c r="Q2516">
        <v>375</v>
      </c>
      <c r="R2516">
        <v>11</v>
      </c>
      <c r="S2516" t="s">
        <v>45</v>
      </c>
      <c r="T2516">
        <v>0.01</v>
      </c>
      <c r="U2516">
        <v>1</v>
      </c>
      <c r="V2516" t="s">
        <v>55</v>
      </c>
      <c r="W2516">
        <v>0</v>
      </c>
      <c r="X2516">
        <v>14001</v>
      </c>
      <c r="Y2516" t="s">
        <v>47</v>
      </c>
      <c r="Z2516">
        <v>14</v>
      </c>
      <c r="AA2516">
        <v>240</v>
      </c>
      <c r="AB2516" t="s">
        <v>47</v>
      </c>
      <c r="AC2516">
        <v>0.23899999999999999</v>
      </c>
      <c r="AD2516">
        <v>426</v>
      </c>
      <c r="AE2516" t="s">
        <v>56</v>
      </c>
      <c r="AF2516">
        <v>0.42499999999999999</v>
      </c>
      <c r="AG2516">
        <v>202</v>
      </c>
      <c r="AH2516" t="s">
        <v>57</v>
      </c>
      <c r="AI2516">
        <v>0.20100000000000001</v>
      </c>
      <c r="AJ2516" t="s">
        <v>50</v>
      </c>
    </row>
    <row r="2517" spans="1:36" x14ac:dyDescent="0.25">
      <c r="A2517" t="s">
        <v>242</v>
      </c>
      <c r="B2517">
        <v>855930636</v>
      </c>
      <c r="C2517" t="s">
        <v>243</v>
      </c>
      <c r="D2517" t="s">
        <v>243</v>
      </c>
      <c r="E2517" t="s">
        <v>65</v>
      </c>
      <c r="F2517" t="s">
        <v>66</v>
      </c>
      <c r="I2517" t="s">
        <v>39</v>
      </c>
      <c r="J2517" t="s">
        <v>40</v>
      </c>
      <c r="K2517" t="s">
        <v>41</v>
      </c>
      <c r="L2517" t="s">
        <v>118</v>
      </c>
      <c r="N2517" t="s">
        <v>43</v>
      </c>
      <c r="O2517" t="s">
        <v>104</v>
      </c>
      <c r="P2517">
        <v>375</v>
      </c>
      <c r="Q2517">
        <v>375</v>
      </c>
      <c r="R2517">
        <v>11</v>
      </c>
      <c r="S2517" t="s">
        <v>45</v>
      </c>
      <c r="T2517">
        <v>0.01</v>
      </c>
      <c r="U2517">
        <v>1</v>
      </c>
      <c r="V2517" t="s">
        <v>55</v>
      </c>
      <c r="W2517">
        <v>0</v>
      </c>
      <c r="X2517">
        <v>14001</v>
      </c>
      <c r="Y2517" t="s">
        <v>47</v>
      </c>
      <c r="Z2517">
        <v>14</v>
      </c>
      <c r="AA2517">
        <v>240</v>
      </c>
      <c r="AB2517" t="s">
        <v>47</v>
      </c>
      <c r="AC2517">
        <v>0.23899999999999999</v>
      </c>
      <c r="AD2517">
        <v>426</v>
      </c>
      <c r="AE2517" t="s">
        <v>56</v>
      </c>
      <c r="AF2517">
        <v>0.42499999999999999</v>
      </c>
      <c r="AG2517">
        <v>202</v>
      </c>
      <c r="AH2517" t="s">
        <v>57</v>
      </c>
      <c r="AI2517">
        <v>0.20100000000000001</v>
      </c>
      <c r="AJ2517" t="s">
        <v>1153</v>
      </c>
    </row>
    <row r="2518" spans="1:36" x14ac:dyDescent="0.25">
      <c r="A2518" t="s">
        <v>242</v>
      </c>
      <c r="B2518">
        <v>855930636</v>
      </c>
      <c r="C2518" t="s">
        <v>243</v>
      </c>
      <c r="D2518" t="s">
        <v>243</v>
      </c>
      <c r="E2518" t="s">
        <v>65</v>
      </c>
      <c r="F2518" t="s">
        <v>66</v>
      </c>
      <c r="I2518" t="s">
        <v>39</v>
      </c>
      <c r="J2518" t="s">
        <v>40</v>
      </c>
      <c r="K2518" t="s">
        <v>41</v>
      </c>
      <c r="L2518" t="s">
        <v>118</v>
      </c>
      <c r="N2518" t="s">
        <v>43</v>
      </c>
      <c r="O2518" t="s">
        <v>104</v>
      </c>
      <c r="P2518">
        <v>375</v>
      </c>
      <c r="Q2518">
        <v>375</v>
      </c>
      <c r="R2518">
        <v>11</v>
      </c>
      <c r="S2518" t="s">
        <v>45</v>
      </c>
      <c r="T2518">
        <v>0.01</v>
      </c>
      <c r="U2518">
        <v>1</v>
      </c>
      <c r="V2518" t="s">
        <v>55</v>
      </c>
      <c r="W2518">
        <v>0</v>
      </c>
      <c r="X2518">
        <v>14001</v>
      </c>
      <c r="Y2518" t="s">
        <v>47</v>
      </c>
      <c r="Z2518">
        <v>14</v>
      </c>
      <c r="AA2518">
        <v>240</v>
      </c>
      <c r="AB2518" t="s">
        <v>47</v>
      </c>
      <c r="AC2518">
        <v>0.23899999999999999</v>
      </c>
      <c r="AD2518">
        <v>426</v>
      </c>
      <c r="AE2518" t="s">
        <v>56</v>
      </c>
      <c r="AF2518">
        <v>0.42499999999999999</v>
      </c>
      <c r="AG2518">
        <v>202</v>
      </c>
      <c r="AH2518" t="s">
        <v>57</v>
      </c>
      <c r="AI2518">
        <v>0.20100000000000001</v>
      </c>
      <c r="AJ2518" t="s">
        <v>1154</v>
      </c>
    </row>
    <row r="2519" spans="1:36" x14ac:dyDescent="0.25">
      <c r="A2519" t="s">
        <v>227</v>
      </c>
      <c r="B2519">
        <v>856185704</v>
      </c>
      <c r="C2519" t="s">
        <v>228</v>
      </c>
      <c r="D2519" t="s">
        <v>228</v>
      </c>
      <c r="E2519" t="s">
        <v>60</v>
      </c>
      <c r="F2519" t="s">
        <v>88</v>
      </c>
      <c r="I2519" t="s">
        <v>39</v>
      </c>
      <c r="J2519" t="s">
        <v>40</v>
      </c>
      <c r="K2519" t="s">
        <v>41</v>
      </c>
      <c r="L2519" t="s">
        <v>118</v>
      </c>
      <c r="N2519" t="s">
        <v>43</v>
      </c>
      <c r="O2519" t="s">
        <v>229</v>
      </c>
      <c r="P2519">
        <v>375</v>
      </c>
      <c r="Q2519">
        <v>375</v>
      </c>
      <c r="S2519" t="s">
        <v>39</v>
      </c>
      <c r="V2519" t="s">
        <v>39</v>
      </c>
      <c r="X2519">
        <v>7001</v>
      </c>
      <c r="Y2519" t="s">
        <v>47</v>
      </c>
      <c r="Z2519">
        <v>7</v>
      </c>
      <c r="AA2519">
        <v>151</v>
      </c>
      <c r="AB2519" t="s">
        <v>47</v>
      </c>
      <c r="AC2519">
        <v>0.15</v>
      </c>
      <c r="AD2519">
        <v>453</v>
      </c>
      <c r="AE2519" t="s">
        <v>56</v>
      </c>
      <c r="AF2519">
        <v>0.45200000000000001</v>
      </c>
      <c r="AG2519">
        <v>402</v>
      </c>
      <c r="AH2519" t="s">
        <v>57</v>
      </c>
      <c r="AI2519">
        <v>0.40100000000000002</v>
      </c>
      <c r="AJ2519" t="s">
        <v>1155</v>
      </c>
    </row>
    <row r="2520" spans="1:36" x14ac:dyDescent="0.25">
      <c r="A2520" t="s">
        <v>221</v>
      </c>
      <c r="B2520">
        <v>872502616</v>
      </c>
      <c r="C2520" t="s">
        <v>222</v>
      </c>
      <c r="D2520" t="s">
        <v>222</v>
      </c>
      <c r="E2520" t="s">
        <v>99</v>
      </c>
      <c r="F2520" t="s">
        <v>143</v>
      </c>
      <c r="I2520" t="s">
        <v>39</v>
      </c>
      <c r="J2520" t="s">
        <v>40</v>
      </c>
      <c r="K2520" t="s">
        <v>41</v>
      </c>
      <c r="L2520" t="s">
        <v>197</v>
      </c>
      <c r="M2520" t="s">
        <v>73</v>
      </c>
      <c r="N2520" t="s">
        <v>43</v>
      </c>
      <c r="O2520" t="s">
        <v>163</v>
      </c>
      <c r="P2520">
        <v>376</v>
      </c>
      <c r="Q2520">
        <v>376</v>
      </c>
      <c r="S2520" t="s">
        <v>39</v>
      </c>
      <c r="V2520" t="s">
        <v>39</v>
      </c>
      <c r="X2520">
        <v>1001</v>
      </c>
      <c r="Y2520" t="s">
        <v>47</v>
      </c>
      <c r="Z2520">
        <v>1</v>
      </c>
      <c r="AA2520">
        <v>131</v>
      </c>
      <c r="AB2520" t="s">
        <v>47</v>
      </c>
      <c r="AC2520">
        <v>0.13</v>
      </c>
      <c r="AD2520">
        <v>285</v>
      </c>
      <c r="AE2520" t="s">
        <v>56</v>
      </c>
      <c r="AF2520">
        <v>0.28399999999999997</v>
      </c>
      <c r="AG2520">
        <v>131</v>
      </c>
      <c r="AH2520" t="s">
        <v>103</v>
      </c>
      <c r="AI2520">
        <v>0.13</v>
      </c>
      <c r="AJ2520" t="s">
        <v>1155</v>
      </c>
    </row>
    <row r="2521" spans="1:36" x14ac:dyDescent="0.25">
      <c r="A2521" t="s">
        <v>237</v>
      </c>
      <c r="B2521">
        <v>855503763</v>
      </c>
      <c r="C2521" t="s">
        <v>238</v>
      </c>
      <c r="D2521" t="s">
        <v>238</v>
      </c>
      <c r="E2521" t="s">
        <v>60</v>
      </c>
      <c r="F2521" t="s">
        <v>229</v>
      </c>
      <c r="I2521" t="s">
        <v>39</v>
      </c>
      <c r="J2521" t="s">
        <v>40</v>
      </c>
      <c r="K2521" t="s">
        <v>41</v>
      </c>
      <c r="L2521" t="s">
        <v>78</v>
      </c>
      <c r="N2521" t="s">
        <v>43</v>
      </c>
      <c r="O2521" t="s">
        <v>239</v>
      </c>
      <c r="P2521">
        <v>376</v>
      </c>
      <c r="Q2521">
        <v>376</v>
      </c>
      <c r="R2521">
        <v>321</v>
      </c>
      <c r="S2521" t="s">
        <v>56</v>
      </c>
      <c r="T2521">
        <v>0.32</v>
      </c>
      <c r="U2521">
        <v>1</v>
      </c>
      <c r="V2521" t="s">
        <v>55</v>
      </c>
      <c r="W2521">
        <v>0</v>
      </c>
      <c r="X2521">
        <v>1</v>
      </c>
      <c r="Y2521" t="s">
        <v>47</v>
      </c>
      <c r="Z2521">
        <v>0</v>
      </c>
      <c r="AA2521">
        <v>252</v>
      </c>
      <c r="AB2521" t="s">
        <v>47</v>
      </c>
      <c r="AC2521">
        <v>0.251</v>
      </c>
      <c r="AD2521">
        <v>299</v>
      </c>
      <c r="AE2521" t="s">
        <v>56</v>
      </c>
      <c r="AF2521">
        <v>0.29799999999999999</v>
      </c>
      <c r="AG2521">
        <v>97</v>
      </c>
      <c r="AH2521" t="s">
        <v>103</v>
      </c>
      <c r="AI2521">
        <v>9.6000000000000002E-2</v>
      </c>
      <c r="AJ2521" t="s">
        <v>50</v>
      </c>
    </row>
    <row r="2522" spans="1:36" x14ac:dyDescent="0.25">
      <c r="A2522" t="s">
        <v>237</v>
      </c>
      <c r="B2522">
        <v>855503763</v>
      </c>
      <c r="C2522" t="s">
        <v>238</v>
      </c>
      <c r="D2522" t="s">
        <v>238</v>
      </c>
      <c r="E2522" t="s">
        <v>60</v>
      </c>
      <c r="F2522" t="s">
        <v>229</v>
      </c>
      <c r="I2522" t="s">
        <v>39</v>
      </c>
      <c r="J2522" t="s">
        <v>40</v>
      </c>
      <c r="K2522" t="s">
        <v>41</v>
      </c>
      <c r="L2522" t="s">
        <v>78</v>
      </c>
      <c r="N2522" t="s">
        <v>43</v>
      </c>
      <c r="O2522" t="s">
        <v>239</v>
      </c>
      <c r="P2522">
        <v>376</v>
      </c>
      <c r="Q2522">
        <v>376</v>
      </c>
      <c r="R2522">
        <v>321</v>
      </c>
      <c r="S2522" t="s">
        <v>56</v>
      </c>
      <c r="T2522">
        <v>0.32</v>
      </c>
      <c r="U2522">
        <v>1</v>
      </c>
      <c r="V2522" t="s">
        <v>55</v>
      </c>
      <c r="W2522">
        <v>0</v>
      </c>
      <c r="X2522">
        <v>1</v>
      </c>
      <c r="Y2522" t="s">
        <v>47</v>
      </c>
      <c r="Z2522">
        <v>0</v>
      </c>
      <c r="AA2522">
        <v>252</v>
      </c>
      <c r="AB2522" t="s">
        <v>47</v>
      </c>
      <c r="AC2522">
        <v>0.251</v>
      </c>
      <c r="AD2522">
        <v>299</v>
      </c>
      <c r="AE2522" t="s">
        <v>56</v>
      </c>
      <c r="AF2522">
        <v>0.29799999999999999</v>
      </c>
      <c r="AG2522">
        <v>97</v>
      </c>
      <c r="AH2522" t="s">
        <v>103</v>
      </c>
      <c r="AI2522">
        <v>9.6000000000000002E-2</v>
      </c>
      <c r="AJ2522" t="s">
        <v>1153</v>
      </c>
    </row>
    <row r="2523" spans="1:36" x14ac:dyDescent="0.25">
      <c r="A2523" t="s">
        <v>237</v>
      </c>
      <c r="B2523">
        <v>855503763</v>
      </c>
      <c r="C2523" t="s">
        <v>238</v>
      </c>
      <c r="D2523" t="s">
        <v>238</v>
      </c>
      <c r="E2523" t="s">
        <v>60</v>
      </c>
      <c r="F2523" t="s">
        <v>229</v>
      </c>
      <c r="I2523" t="s">
        <v>39</v>
      </c>
      <c r="J2523" t="s">
        <v>40</v>
      </c>
      <c r="K2523" t="s">
        <v>41</v>
      </c>
      <c r="L2523" t="s">
        <v>78</v>
      </c>
      <c r="N2523" t="s">
        <v>43</v>
      </c>
      <c r="O2523" t="s">
        <v>239</v>
      </c>
      <c r="P2523">
        <v>376</v>
      </c>
      <c r="Q2523">
        <v>376</v>
      </c>
      <c r="R2523">
        <v>321</v>
      </c>
      <c r="S2523" t="s">
        <v>56</v>
      </c>
      <c r="T2523">
        <v>0.32</v>
      </c>
      <c r="U2523">
        <v>1</v>
      </c>
      <c r="V2523" t="s">
        <v>55</v>
      </c>
      <c r="W2523">
        <v>0</v>
      </c>
      <c r="X2523">
        <v>1</v>
      </c>
      <c r="Y2523" t="s">
        <v>47</v>
      </c>
      <c r="Z2523">
        <v>0</v>
      </c>
      <c r="AA2523">
        <v>252</v>
      </c>
      <c r="AB2523" t="s">
        <v>47</v>
      </c>
      <c r="AC2523">
        <v>0.251</v>
      </c>
      <c r="AD2523">
        <v>299</v>
      </c>
      <c r="AE2523" t="s">
        <v>56</v>
      </c>
      <c r="AF2523">
        <v>0.29799999999999999</v>
      </c>
      <c r="AG2523">
        <v>97</v>
      </c>
      <c r="AH2523" t="s">
        <v>103</v>
      </c>
      <c r="AI2523">
        <v>9.6000000000000002E-2</v>
      </c>
      <c r="AJ2523" t="s">
        <v>1154</v>
      </c>
    </row>
    <row r="2524" spans="1:36" x14ac:dyDescent="0.25">
      <c r="A2524" t="s">
        <v>232</v>
      </c>
      <c r="B2524">
        <v>851914896</v>
      </c>
      <c r="C2524" t="s">
        <v>233</v>
      </c>
      <c r="D2524" t="s">
        <v>233</v>
      </c>
      <c r="E2524" t="s">
        <v>37</v>
      </c>
      <c r="F2524" t="s">
        <v>38</v>
      </c>
      <c r="I2524" t="s">
        <v>39</v>
      </c>
      <c r="J2524" t="s">
        <v>40</v>
      </c>
      <c r="K2524" t="s">
        <v>41</v>
      </c>
      <c r="L2524" t="s">
        <v>234</v>
      </c>
      <c r="M2524" t="s">
        <v>235</v>
      </c>
      <c r="N2524" t="s">
        <v>43</v>
      </c>
      <c r="O2524" t="s">
        <v>236</v>
      </c>
      <c r="P2524">
        <v>377</v>
      </c>
      <c r="Q2524">
        <v>377</v>
      </c>
      <c r="R2524">
        <v>171</v>
      </c>
      <c r="S2524" t="s">
        <v>56</v>
      </c>
      <c r="T2524">
        <v>0.17</v>
      </c>
      <c r="U2524">
        <v>2</v>
      </c>
      <c r="V2524" t="s">
        <v>55</v>
      </c>
      <c r="W2524">
        <v>1E-3</v>
      </c>
      <c r="X2524">
        <v>1</v>
      </c>
      <c r="Y2524" t="s">
        <v>47</v>
      </c>
      <c r="Z2524">
        <v>0</v>
      </c>
      <c r="AA2524">
        <v>168</v>
      </c>
      <c r="AB2524" t="s">
        <v>47</v>
      </c>
      <c r="AC2524">
        <v>0.16700000000000001</v>
      </c>
      <c r="AD2524">
        <v>468</v>
      </c>
      <c r="AE2524" t="s">
        <v>56</v>
      </c>
      <c r="AF2524">
        <v>0.46700000000000003</v>
      </c>
      <c r="AG2524">
        <v>357</v>
      </c>
      <c r="AH2524" t="s">
        <v>57</v>
      </c>
      <c r="AI2524">
        <v>0.35599999999999998</v>
      </c>
      <c r="AJ2524" t="s">
        <v>50</v>
      </c>
    </row>
    <row r="2525" spans="1:36" x14ac:dyDescent="0.25">
      <c r="A2525" t="s">
        <v>232</v>
      </c>
      <c r="B2525">
        <v>851914896</v>
      </c>
      <c r="C2525" t="s">
        <v>233</v>
      </c>
      <c r="D2525" t="s">
        <v>233</v>
      </c>
      <c r="E2525" t="s">
        <v>37</v>
      </c>
      <c r="F2525" t="s">
        <v>38</v>
      </c>
      <c r="I2525" t="s">
        <v>39</v>
      </c>
      <c r="J2525" t="s">
        <v>40</v>
      </c>
      <c r="K2525" t="s">
        <v>41</v>
      </c>
      <c r="L2525" t="s">
        <v>234</v>
      </c>
      <c r="M2525" t="s">
        <v>235</v>
      </c>
      <c r="N2525" t="s">
        <v>43</v>
      </c>
      <c r="O2525" t="s">
        <v>236</v>
      </c>
      <c r="P2525">
        <v>377</v>
      </c>
      <c r="Q2525">
        <v>377</v>
      </c>
      <c r="R2525">
        <v>171</v>
      </c>
      <c r="S2525" t="s">
        <v>56</v>
      </c>
      <c r="T2525">
        <v>0.17</v>
      </c>
      <c r="U2525">
        <v>2</v>
      </c>
      <c r="V2525" t="s">
        <v>55</v>
      </c>
      <c r="W2525">
        <v>1E-3</v>
      </c>
      <c r="X2525">
        <v>1</v>
      </c>
      <c r="Y2525" t="s">
        <v>47</v>
      </c>
      <c r="Z2525">
        <v>0</v>
      </c>
      <c r="AA2525">
        <v>168</v>
      </c>
      <c r="AB2525" t="s">
        <v>47</v>
      </c>
      <c r="AC2525">
        <v>0.16700000000000001</v>
      </c>
      <c r="AD2525">
        <v>468</v>
      </c>
      <c r="AE2525" t="s">
        <v>56</v>
      </c>
      <c r="AF2525">
        <v>0.46700000000000003</v>
      </c>
      <c r="AG2525">
        <v>357</v>
      </c>
      <c r="AH2525" t="s">
        <v>57</v>
      </c>
      <c r="AI2525">
        <v>0.35599999999999998</v>
      </c>
      <c r="AJ2525" t="s">
        <v>1153</v>
      </c>
    </row>
    <row r="2526" spans="1:36" x14ac:dyDescent="0.25">
      <c r="A2526" t="s">
        <v>232</v>
      </c>
      <c r="B2526">
        <v>851914896</v>
      </c>
      <c r="C2526" t="s">
        <v>233</v>
      </c>
      <c r="D2526" t="s">
        <v>233</v>
      </c>
      <c r="E2526" t="s">
        <v>37</v>
      </c>
      <c r="F2526" t="s">
        <v>38</v>
      </c>
      <c r="I2526" t="s">
        <v>39</v>
      </c>
      <c r="J2526" t="s">
        <v>40</v>
      </c>
      <c r="K2526" t="s">
        <v>41</v>
      </c>
      <c r="L2526" t="s">
        <v>234</v>
      </c>
      <c r="M2526" t="s">
        <v>235</v>
      </c>
      <c r="N2526" t="s">
        <v>43</v>
      </c>
      <c r="O2526" t="s">
        <v>236</v>
      </c>
      <c r="P2526">
        <v>377</v>
      </c>
      <c r="Q2526">
        <v>377</v>
      </c>
      <c r="R2526">
        <v>171</v>
      </c>
      <c r="S2526" t="s">
        <v>56</v>
      </c>
      <c r="T2526">
        <v>0.17</v>
      </c>
      <c r="U2526">
        <v>2</v>
      </c>
      <c r="V2526" t="s">
        <v>55</v>
      </c>
      <c r="W2526">
        <v>1E-3</v>
      </c>
      <c r="X2526">
        <v>1</v>
      </c>
      <c r="Y2526" t="s">
        <v>47</v>
      </c>
      <c r="Z2526">
        <v>0</v>
      </c>
      <c r="AA2526">
        <v>168</v>
      </c>
      <c r="AB2526" t="s">
        <v>47</v>
      </c>
      <c r="AC2526">
        <v>0.16700000000000001</v>
      </c>
      <c r="AD2526">
        <v>468</v>
      </c>
      <c r="AE2526" t="s">
        <v>56</v>
      </c>
      <c r="AF2526">
        <v>0.46700000000000003</v>
      </c>
      <c r="AG2526">
        <v>357</v>
      </c>
      <c r="AH2526" t="s">
        <v>57</v>
      </c>
      <c r="AI2526">
        <v>0.35599999999999998</v>
      </c>
      <c r="AJ2526" t="s">
        <v>1154</v>
      </c>
    </row>
    <row r="2527" spans="1:36" x14ac:dyDescent="0.25">
      <c r="A2527" t="s">
        <v>212</v>
      </c>
      <c r="B2527">
        <v>852414773</v>
      </c>
      <c r="C2527" t="s">
        <v>213</v>
      </c>
      <c r="D2527" t="s">
        <v>213</v>
      </c>
      <c r="E2527" t="s">
        <v>99</v>
      </c>
      <c r="F2527" t="s">
        <v>214</v>
      </c>
      <c r="I2527" t="s">
        <v>39</v>
      </c>
      <c r="J2527" t="s">
        <v>40</v>
      </c>
      <c r="K2527" t="s">
        <v>41</v>
      </c>
      <c r="L2527" t="s">
        <v>215</v>
      </c>
      <c r="M2527" t="s">
        <v>216</v>
      </c>
      <c r="N2527" t="s">
        <v>43</v>
      </c>
      <c r="O2527" t="s">
        <v>217</v>
      </c>
      <c r="P2527">
        <v>378</v>
      </c>
      <c r="Q2527">
        <v>378</v>
      </c>
      <c r="S2527" t="s">
        <v>39</v>
      </c>
      <c r="V2527" t="s">
        <v>39</v>
      </c>
      <c r="X2527">
        <v>8001</v>
      </c>
      <c r="Y2527" t="s">
        <v>47</v>
      </c>
      <c r="Z2527">
        <v>8</v>
      </c>
      <c r="AA2527">
        <v>506</v>
      </c>
      <c r="AB2527" t="s">
        <v>75</v>
      </c>
      <c r="AC2527">
        <v>0.505</v>
      </c>
      <c r="AD2527">
        <v>368</v>
      </c>
      <c r="AE2527" t="s">
        <v>56</v>
      </c>
      <c r="AF2527">
        <v>0.36699999999999999</v>
      </c>
      <c r="AG2527">
        <v>267</v>
      </c>
      <c r="AH2527" t="s">
        <v>57</v>
      </c>
      <c r="AI2527">
        <v>0.26600000000000001</v>
      </c>
      <c r="AJ2527" t="s">
        <v>1155</v>
      </c>
    </row>
    <row r="2528" spans="1:36" x14ac:dyDescent="0.25">
      <c r="A2528" t="s">
        <v>212</v>
      </c>
      <c r="B2528">
        <v>852414773</v>
      </c>
      <c r="C2528" t="s">
        <v>213</v>
      </c>
      <c r="D2528" t="s">
        <v>213</v>
      </c>
      <c r="E2528" t="s">
        <v>65</v>
      </c>
      <c r="F2528" t="s">
        <v>214</v>
      </c>
      <c r="I2528" t="s">
        <v>39</v>
      </c>
      <c r="J2528" t="s">
        <v>40</v>
      </c>
      <c r="K2528" t="s">
        <v>41</v>
      </c>
      <c r="L2528" t="s">
        <v>215</v>
      </c>
      <c r="M2528" t="s">
        <v>216</v>
      </c>
      <c r="N2528" t="s">
        <v>43</v>
      </c>
      <c r="O2528" t="s">
        <v>96</v>
      </c>
      <c r="P2528">
        <v>378</v>
      </c>
      <c r="Q2528">
        <v>378</v>
      </c>
      <c r="S2528" t="s">
        <v>39</v>
      </c>
      <c r="V2528" t="s">
        <v>39</v>
      </c>
      <c r="X2528">
        <v>6001</v>
      </c>
      <c r="Y2528" t="s">
        <v>47</v>
      </c>
      <c r="Z2528">
        <v>6</v>
      </c>
      <c r="AA2528">
        <v>283</v>
      </c>
      <c r="AB2528" t="s">
        <v>47</v>
      </c>
      <c r="AC2528">
        <v>0.28199999999999997</v>
      </c>
      <c r="AD2528">
        <v>435</v>
      </c>
      <c r="AE2528" t="s">
        <v>56</v>
      </c>
      <c r="AF2528">
        <v>0.434</v>
      </c>
      <c r="AG2528">
        <v>326</v>
      </c>
      <c r="AH2528" t="s">
        <v>57</v>
      </c>
      <c r="AI2528">
        <v>0.32500000000000001</v>
      </c>
      <c r="AJ2528" t="s">
        <v>1155</v>
      </c>
    </row>
    <row r="2529" spans="1:36" x14ac:dyDescent="0.25">
      <c r="A2529" t="s">
        <v>230</v>
      </c>
      <c r="B2529">
        <v>873000279</v>
      </c>
      <c r="C2529" t="s">
        <v>231</v>
      </c>
      <c r="D2529" t="s">
        <v>231</v>
      </c>
      <c r="E2529" t="s">
        <v>60</v>
      </c>
      <c r="F2529" t="s">
        <v>88</v>
      </c>
      <c r="I2529" t="s">
        <v>39</v>
      </c>
      <c r="J2529" t="s">
        <v>40</v>
      </c>
      <c r="K2529" t="s">
        <v>41</v>
      </c>
      <c r="L2529" t="s">
        <v>72</v>
      </c>
      <c r="M2529" t="s">
        <v>47</v>
      </c>
      <c r="N2529" t="s">
        <v>43</v>
      </c>
      <c r="O2529" t="s">
        <v>194</v>
      </c>
      <c r="P2529">
        <v>378</v>
      </c>
      <c r="Q2529">
        <v>378</v>
      </c>
      <c r="R2529">
        <v>1</v>
      </c>
      <c r="S2529" t="s">
        <v>45</v>
      </c>
      <c r="T2529">
        <v>0</v>
      </c>
      <c r="U2529">
        <v>107</v>
      </c>
      <c r="V2529" t="s">
        <v>55</v>
      </c>
      <c r="W2529">
        <v>0.106</v>
      </c>
      <c r="X2529">
        <v>19001</v>
      </c>
      <c r="Y2529" t="s">
        <v>47</v>
      </c>
      <c r="Z2529">
        <v>19</v>
      </c>
      <c r="AA2529">
        <v>262</v>
      </c>
      <c r="AB2529" t="s">
        <v>47</v>
      </c>
      <c r="AC2529">
        <v>0.26100000000000001</v>
      </c>
      <c r="AD2529">
        <v>554</v>
      </c>
      <c r="AE2529" t="s">
        <v>48</v>
      </c>
      <c r="AF2529">
        <v>0.55300000000000005</v>
      </c>
      <c r="AG2529">
        <v>390</v>
      </c>
      <c r="AH2529" t="s">
        <v>57</v>
      </c>
      <c r="AI2529">
        <v>0.38900000000000001</v>
      </c>
      <c r="AJ2529" t="s">
        <v>50</v>
      </c>
    </row>
    <row r="2530" spans="1:36" x14ac:dyDescent="0.25">
      <c r="A2530" t="s">
        <v>230</v>
      </c>
      <c r="B2530">
        <v>873000279</v>
      </c>
      <c r="C2530" t="s">
        <v>231</v>
      </c>
      <c r="D2530" t="s">
        <v>231</v>
      </c>
      <c r="E2530" t="s">
        <v>60</v>
      </c>
      <c r="F2530" t="s">
        <v>88</v>
      </c>
      <c r="I2530" t="s">
        <v>39</v>
      </c>
      <c r="J2530" t="s">
        <v>40</v>
      </c>
      <c r="K2530" t="s">
        <v>41</v>
      </c>
      <c r="L2530" t="s">
        <v>72</v>
      </c>
      <c r="M2530" t="s">
        <v>47</v>
      </c>
      <c r="N2530" t="s">
        <v>43</v>
      </c>
      <c r="O2530" t="s">
        <v>194</v>
      </c>
      <c r="P2530">
        <v>378</v>
      </c>
      <c r="Q2530">
        <v>378</v>
      </c>
      <c r="R2530">
        <v>1</v>
      </c>
      <c r="S2530" t="s">
        <v>45</v>
      </c>
      <c r="T2530">
        <v>0</v>
      </c>
      <c r="U2530">
        <v>107</v>
      </c>
      <c r="V2530" t="s">
        <v>55</v>
      </c>
      <c r="W2530">
        <v>0.106</v>
      </c>
      <c r="X2530">
        <v>19001</v>
      </c>
      <c r="Y2530" t="s">
        <v>47</v>
      </c>
      <c r="Z2530">
        <v>19</v>
      </c>
      <c r="AA2530">
        <v>262</v>
      </c>
      <c r="AB2530" t="s">
        <v>47</v>
      </c>
      <c r="AC2530">
        <v>0.26100000000000001</v>
      </c>
      <c r="AD2530">
        <v>554</v>
      </c>
      <c r="AE2530" t="s">
        <v>48</v>
      </c>
      <c r="AF2530">
        <v>0.55300000000000005</v>
      </c>
      <c r="AG2530">
        <v>390</v>
      </c>
      <c r="AH2530" t="s">
        <v>57</v>
      </c>
      <c r="AI2530">
        <v>0.38900000000000001</v>
      </c>
      <c r="AJ2530" t="s">
        <v>1153</v>
      </c>
    </row>
    <row r="2531" spans="1:36" x14ac:dyDescent="0.25">
      <c r="A2531" t="s">
        <v>230</v>
      </c>
      <c r="B2531">
        <v>873000279</v>
      </c>
      <c r="C2531" t="s">
        <v>231</v>
      </c>
      <c r="D2531" t="s">
        <v>231</v>
      </c>
      <c r="E2531" t="s">
        <v>60</v>
      </c>
      <c r="F2531" t="s">
        <v>88</v>
      </c>
      <c r="I2531" t="s">
        <v>39</v>
      </c>
      <c r="J2531" t="s">
        <v>40</v>
      </c>
      <c r="K2531" t="s">
        <v>41</v>
      </c>
      <c r="L2531" t="s">
        <v>72</v>
      </c>
      <c r="M2531" t="s">
        <v>47</v>
      </c>
      <c r="N2531" t="s">
        <v>43</v>
      </c>
      <c r="O2531" t="s">
        <v>194</v>
      </c>
      <c r="P2531">
        <v>378</v>
      </c>
      <c r="Q2531">
        <v>378</v>
      </c>
      <c r="R2531">
        <v>1</v>
      </c>
      <c r="S2531" t="s">
        <v>45</v>
      </c>
      <c r="T2531">
        <v>0</v>
      </c>
      <c r="U2531">
        <v>107</v>
      </c>
      <c r="V2531" t="s">
        <v>55</v>
      </c>
      <c r="W2531">
        <v>0.106</v>
      </c>
      <c r="X2531">
        <v>19001</v>
      </c>
      <c r="Y2531" t="s">
        <v>47</v>
      </c>
      <c r="Z2531">
        <v>19</v>
      </c>
      <c r="AA2531">
        <v>262</v>
      </c>
      <c r="AB2531" t="s">
        <v>47</v>
      </c>
      <c r="AC2531">
        <v>0.26100000000000001</v>
      </c>
      <c r="AD2531">
        <v>554</v>
      </c>
      <c r="AE2531" t="s">
        <v>48</v>
      </c>
      <c r="AF2531">
        <v>0.55300000000000005</v>
      </c>
      <c r="AG2531">
        <v>390</v>
      </c>
      <c r="AH2531" t="s">
        <v>57</v>
      </c>
      <c r="AI2531">
        <v>0.38900000000000001</v>
      </c>
      <c r="AJ2531" t="s">
        <v>1154</v>
      </c>
    </row>
    <row r="2532" spans="1:36" x14ac:dyDescent="0.25">
      <c r="A2532" t="s">
        <v>209</v>
      </c>
      <c r="B2532">
        <v>853403837</v>
      </c>
      <c r="C2532" t="s">
        <v>210</v>
      </c>
      <c r="D2532" t="s">
        <v>210</v>
      </c>
      <c r="E2532" t="s">
        <v>60</v>
      </c>
      <c r="F2532" t="s">
        <v>88</v>
      </c>
      <c r="I2532" t="s">
        <v>39</v>
      </c>
      <c r="J2532" t="s">
        <v>40</v>
      </c>
      <c r="K2532" t="s">
        <v>41</v>
      </c>
      <c r="L2532" t="s">
        <v>211</v>
      </c>
      <c r="N2532" t="s">
        <v>43</v>
      </c>
      <c r="O2532" t="s">
        <v>167</v>
      </c>
      <c r="P2532">
        <v>378</v>
      </c>
      <c r="Q2532">
        <v>378</v>
      </c>
      <c r="S2532" t="s">
        <v>39</v>
      </c>
      <c r="V2532" t="s">
        <v>39</v>
      </c>
      <c r="X2532">
        <v>14001</v>
      </c>
      <c r="Y2532" t="s">
        <v>47</v>
      </c>
      <c r="Z2532">
        <v>14</v>
      </c>
      <c r="AA2532">
        <v>262</v>
      </c>
      <c r="AB2532" t="s">
        <v>47</v>
      </c>
      <c r="AC2532">
        <v>0.26100000000000001</v>
      </c>
      <c r="AD2532">
        <v>526</v>
      </c>
      <c r="AE2532" t="s">
        <v>48</v>
      </c>
      <c r="AF2532">
        <v>0.52500000000000002</v>
      </c>
      <c r="AG2532">
        <v>502</v>
      </c>
      <c r="AH2532" t="s">
        <v>57</v>
      </c>
      <c r="AI2532">
        <v>0.501</v>
      </c>
      <c r="AJ2532" t="s">
        <v>1155</v>
      </c>
    </row>
    <row r="2533" spans="1:36" x14ac:dyDescent="0.25">
      <c r="A2533" t="s">
        <v>218</v>
      </c>
      <c r="B2533">
        <v>857691802</v>
      </c>
      <c r="C2533" t="s">
        <v>219</v>
      </c>
      <c r="D2533" t="s">
        <v>219</v>
      </c>
      <c r="E2533" t="s">
        <v>37</v>
      </c>
      <c r="F2533" t="s">
        <v>220</v>
      </c>
      <c r="I2533" t="s">
        <v>39</v>
      </c>
      <c r="J2533" t="s">
        <v>40</v>
      </c>
      <c r="K2533" t="s">
        <v>41</v>
      </c>
      <c r="L2533" t="s">
        <v>78</v>
      </c>
      <c r="N2533" t="s">
        <v>43</v>
      </c>
      <c r="O2533" t="s">
        <v>104</v>
      </c>
      <c r="P2533">
        <v>378</v>
      </c>
      <c r="Q2533">
        <v>378</v>
      </c>
      <c r="S2533" t="s">
        <v>39</v>
      </c>
      <c r="V2533" t="s">
        <v>39</v>
      </c>
      <c r="X2533">
        <v>3001</v>
      </c>
      <c r="Y2533" t="s">
        <v>47</v>
      </c>
      <c r="Z2533">
        <v>3</v>
      </c>
      <c r="AA2533">
        <v>275</v>
      </c>
      <c r="AB2533" t="s">
        <v>47</v>
      </c>
      <c r="AC2533">
        <v>0.27400000000000002</v>
      </c>
      <c r="AD2533">
        <v>431</v>
      </c>
      <c r="AE2533" t="s">
        <v>56</v>
      </c>
      <c r="AF2533">
        <v>0.43</v>
      </c>
      <c r="AG2533">
        <v>209</v>
      </c>
      <c r="AH2533" t="s">
        <v>57</v>
      </c>
      <c r="AI2533">
        <v>0.20799999999999999</v>
      </c>
      <c r="AJ2533" t="s">
        <v>1155</v>
      </c>
    </row>
    <row r="2534" spans="1:36" x14ac:dyDescent="0.25">
      <c r="A2534" t="s">
        <v>218</v>
      </c>
      <c r="B2534">
        <v>857691802</v>
      </c>
      <c r="C2534" t="s">
        <v>219</v>
      </c>
      <c r="D2534" t="s">
        <v>219</v>
      </c>
      <c r="E2534" t="s">
        <v>99</v>
      </c>
      <c r="F2534" t="s">
        <v>220</v>
      </c>
      <c r="I2534" t="s">
        <v>39</v>
      </c>
      <c r="J2534" t="s">
        <v>40</v>
      </c>
      <c r="K2534" t="s">
        <v>41</v>
      </c>
      <c r="L2534" t="s">
        <v>78</v>
      </c>
      <c r="N2534" t="s">
        <v>43</v>
      </c>
      <c r="O2534" t="s">
        <v>102</v>
      </c>
      <c r="P2534">
        <v>378</v>
      </c>
      <c r="Q2534">
        <v>378</v>
      </c>
      <c r="S2534" t="s">
        <v>39</v>
      </c>
      <c r="V2534" t="s">
        <v>39</v>
      </c>
      <c r="X2534">
        <v>10001</v>
      </c>
      <c r="Y2534" t="s">
        <v>47</v>
      </c>
      <c r="Z2534">
        <v>10</v>
      </c>
      <c r="AA2534">
        <v>308</v>
      </c>
      <c r="AB2534" t="s">
        <v>47</v>
      </c>
      <c r="AC2534">
        <v>0.307</v>
      </c>
      <c r="AD2534">
        <v>579</v>
      </c>
      <c r="AE2534" t="s">
        <v>48</v>
      </c>
      <c r="AF2534">
        <v>0.57799999999999996</v>
      </c>
      <c r="AG2534">
        <v>491</v>
      </c>
      <c r="AH2534" t="s">
        <v>57</v>
      </c>
      <c r="AI2534">
        <v>0.49</v>
      </c>
      <c r="AJ2534" t="s">
        <v>1155</v>
      </c>
    </row>
    <row r="2535" spans="1:36" x14ac:dyDescent="0.25">
      <c r="A2535" t="s">
        <v>223</v>
      </c>
      <c r="B2535">
        <v>866436305</v>
      </c>
      <c r="C2535" t="s">
        <v>224</v>
      </c>
      <c r="D2535" t="s">
        <v>224</v>
      </c>
      <c r="E2535" t="s">
        <v>37</v>
      </c>
      <c r="F2535" t="s">
        <v>122</v>
      </c>
      <c r="I2535" t="s">
        <v>39</v>
      </c>
      <c r="J2535" t="s">
        <v>40</v>
      </c>
      <c r="K2535" t="s">
        <v>41</v>
      </c>
      <c r="L2535" t="s">
        <v>94</v>
      </c>
      <c r="M2535" t="s">
        <v>47</v>
      </c>
      <c r="N2535" t="s">
        <v>43</v>
      </c>
      <c r="O2535" t="s">
        <v>225</v>
      </c>
      <c r="P2535">
        <v>379</v>
      </c>
      <c r="Q2535">
        <v>379</v>
      </c>
      <c r="R2535">
        <v>531</v>
      </c>
      <c r="S2535" t="s">
        <v>56</v>
      </c>
      <c r="T2535">
        <v>0.53</v>
      </c>
      <c r="U2535">
        <v>2</v>
      </c>
      <c r="V2535" t="s">
        <v>55</v>
      </c>
      <c r="W2535">
        <v>1E-3</v>
      </c>
      <c r="X2535">
        <v>1001</v>
      </c>
      <c r="Y2535" t="s">
        <v>47</v>
      </c>
      <c r="Z2535">
        <v>1</v>
      </c>
      <c r="AA2535">
        <v>181</v>
      </c>
      <c r="AB2535" t="s">
        <v>47</v>
      </c>
      <c r="AC2535">
        <v>0.18</v>
      </c>
      <c r="AD2535">
        <v>334</v>
      </c>
      <c r="AE2535" t="s">
        <v>56</v>
      </c>
      <c r="AF2535">
        <v>0.33300000000000002</v>
      </c>
      <c r="AG2535">
        <v>251</v>
      </c>
      <c r="AH2535" t="s">
        <v>57</v>
      </c>
      <c r="AI2535">
        <v>0.25</v>
      </c>
      <c r="AJ2535" t="s">
        <v>50</v>
      </c>
    </row>
    <row r="2536" spans="1:36" x14ac:dyDescent="0.25">
      <c r="A2536" t="s">
        <v>223</v>
      </c>
      <c r="B2536">
        <v>866436305</v>
      </c>
      <c r="C2536" t="s">
        <v>224</v>
      </c>
      <c r="D2536" t="s">
        <v>224</v>
      </c>
      <c r="E2536" t="s">
        <v>60</v>
      </c>
      <c r="F2536" t="s">
        <v>122</v>
      </c>
      <c r="I2536" t="s">
        <v>39</v>
      </c>
      <c r="J2536" t="s">
        <v>40</v>
      </c>
      <c r="K2536" t="s">
        <v>41</v>
      </c>
      <c r="L2536" t="s">
        <v>94</v>
      </c>
      <c r="M2536" t="s">
        <v>47</v>
      </c>
      <c r="N2536" t="s">
        <v>43</v>
      </c>
      <c r="O2536" t="s">
        <v>226</v>
      </c>
      <c r="P2536">
        <v>379</v>
      </c>
      <c r="Q2536">
        <v>379</v>
      </c>
      <c r="R2536">
        <v>241</v>
      </c>
      <c r="S2536" t="s">
        <v>56</v>
      </c>
      <c r="T2536">
        <v>0.24</v>
      </c>
      <c r="U2536">
        <v>4</v>
      </c>
      <c r="V2536" t="s">
        <v>55</v>
      </c>
      <c r="W2536">
        <v>3.0000000000000001E-3</v>
      </c>
      <c r="X2536">
        <v>3001</v>
      </c>
      <c r="Y2536" t="s">
        <v>47</v>
      </c>
      <c r="Z2536">
        <v>3</v>
      </c>
      <c r="AA2536">
        <v>271</v>
      </c>
      <c r="AB2536" t="s">
        <v>47</v>
      </c>
      <c r="AC2536">
        <v>0.27</v>
      </c>
      <c r="AD2536">
        <v>494</v>
      </c>
      <c r="AE2536" t="s">
        <v>56</v>
      </c>
      <c r="AF2536">
        <v>0.49299999999999999</v>
      </c>
      <c r="AG2536">
        <v>731</v>
      </c>
      <c r="AH2536" t="s">
        <v>49</v>
      </c>
      <c r="AI2536">
        <v>0.73</v>
      </c>
      <c r="AJ2536" t="s">
        <v>50</v>
      </c>
    </row>
    <row r="2537" spans="1:36" x14ac:dyDescent="0.25">
      <c r="A2537" t="s">
        <v>223</v>
      </c>
      <c r="B2537">
        <v>866436305</v>
      </c>
      <c r="C2537" t="s">
        <v>224</v>
      </c>
      <c r="D2537" t="s">
        <v>224</v>
      </c>
      <c r="E2537" t="s">
        <v>37</v>
      </c>
      <c r="F2537" t="s">
        <v>122</v>
      </c>
      <c r="I2537" t="s">
        <v>39</v>
      </c>
      <c r="J2537" t="s">
        <v>40</v>
      </c>
      <c r="K2537" t="s">
        <v>41</v>
      </c>
      <c r="L2537" t="s">
        <v>94</v>
      </c>
      <c r="M2537" t="s">
        <v>47</v>
      </c>
      <c r="N2537" t="s">
        <v>43</v>
      </c>
      <c r="O2537" t="s">
        <v>225</v>
      </c>
      <c r="P2537">
        <v>379</v>
      </c>
      <c r="Q2537">
        <v>379</v>
      </c>
      <c r="R2537">
        <v>531</v>
      </c>
      <c r="S2537" t="s">
        <v>56</v>
      </c>
      <c r="T2537">
        <v>0.53</v>
      </c>
      <c r="U2537">
        <v>2</v>
      </c>
      <c r="V2537" t="s">
        <v>55</v>
      </c>
      <c r="W2537">
        <v>1E-3</v>
      </c>
      <c r="X2537">
        <v>1001</v>
      </c>
      <c r="Y2537" t="s">
        <v>47</v>
      </c>
      <c r="Z2537">
        <v>1</v>
      </c>
      <c r="AA2537">
        <v>181</v>
      </c>
      <c r="AB2537" t="s">
        <v>47</v>
      </c>
      <c r="AC2537">
        <v>0.18</v>
      </c>
      <c r="AD2537">
        <v>334</v>
      </c>
      <c r="AE2537" t="s">
        <v>56</v>
      </c>
      <c r="AF2537">
        <v>0.33300000000000002</v>
      </c>
      <c r="AG2537">
        <v>251</v>
      </c>
      <c r="AH2537" t="s">
        <v>57</v>
      </c>
      <c r="AI2537">
        <v>0.25</v>
      </c>
      <c r="AJ2537" t="s">
        <v>1153</v>
      </c>
    </row>
    <row r="2538" spans="1:36" x14ac:dyDescent="0.25">
      <c r="A2538" t="s">
        <v>223</v>
      </c>
      <c r="B2538">
        <v>866436305</v>
      </c>
      <c r="C2538" t="s">
        <v>224</v>
      </c>
      <c r="D2538" t="s">
        <v>224</v>
      </c>
      <c r="E2538" t="s">
        <v>60</v>
      </c>
      <c r="F2538" t="s">
        <v>122</v>
      </c>
      <c r="I2538" t="s">
        <v>39</v>
      </c>
      <c r="J2538" t="s">
        <v>40</v>
      </c>
      <c r="K2538" t="s">
        <v>41</v>
      </c>
      <c r="L2538" t="s">
        <v>94</v>
      </c>
      <c r="M2538" t="s">
        <v>47</v>
      </c>
      <c r="N2538" t="s">
        <v>43</v>
      </c>
      <c r="O2538" t="s">
        <v>226</v>
      </c>
      <c r="P2538">
        <v>379</v>
      </c>
      <c r="Q2538">
        <v>379</v>
      </c>
      <c r="R2538">
        <v>241</v>
      </c>
      <c r="S2538" t="s">
        <v>56</v>
      </c>
      <c r="T2538">
        <v>0.24</v>
      </c>
      <c r="U2538">
        <v>4</v>
      </c>
      <c r="V2538" t="s">
        <v>55</v>
      </c>
      <c r="W2538">
        <v>3.0000000000000001E-3</v>
      </c>
      <c r="X2538">
        <v>3001</v>
      </c>
      <c r="Y2538" t="s">
        <v>47</v>
      </c>
      <c r="Z2538">
        <v>3</v>
      </c>
      <c r="AA2538">
        <v>271</v>
      </c>
      <c r="AB2538" t="s">
        <v>47</v>
      </c>
      <c r="AC2538">
        <v>0.27</v>
      </c>
      <c r="AD2538">
        <v>494</v>
      </c>
      <c r="AE2538" t="s">
        <v>56</v>
      </c>
      <c r="AF2538">
        <v>0.49299999999999999</v>
      </c>
      <c r="AG2538">
        <v>731</v>
      </c>
      <c r="AH2538" t="s">
        <v>49</v>
      </c>
      <c r="AI2538">
        <v>0.73</v>
      </c>
      <c r="AJ2538" t="s">
        <v>1153</v>
      </c>
    </row>
    <row r="2539" spans="1:36" x14ac:dyDescent="0.25">
      <c r="A2539" t="s">
        <v>223</v>
      </c>
      <c r="B2539">
        <v>866436305</v>
      </c>
      <c r="C2539" t="s">
        <v>224</v>
      </c>
      <c r="D2539" t="s">
        <v>224</v>
      </c>
      <c r="E2539" t="s">
        <v>37</v>
      </c>
      <c r="F2539" t="s">
        <v>122</v>
      </c>
      <c r="I2539" t="s">
        <v>39</v>
      </c>
      <c r="J2539" t="s">
        <v>40</v>
      </c>
      <c r="K2539" t="s">
        <v>41</v>
      </c>
      <c r="L2539" t="s">
        <v>94</v>
      </c>
      <c r="M2539" t="s">
        <v>47</v>
      </c>
      <c r="N2539" t="s">
        <v>43</v>
      </c>
      <c r="O2539" t="s">
        <v>225</v>
      </c>
      <c r="P2539">
        <v>379</v>
      </c>
      <c r="Q2539">
        <v>379</v>
      </c>
      <c r="R2539">
        <v>531</v>
      </c>
      <c r="S2539" t="s">
        <v>56</v>
      </c>
      <c r="T2539">
        <v>0.53</v>
      </c>
      <c r="U2539">
        <v>2</v>
      </c>
      <c r="V2539" t="s">
        <v>55</v>
      </c>
      <c r="W2539">
        <v>1E-3</v>
      </c>
      <c r="X2539">
        <v>1001</v>
      </c>
      <c r="Y2539" t="s">
        <v>47</v>
      </c>
      <c r="Z2539">
        <v>1</v>
      </c>
      <c r="AA2539">
        <v>181</v>
      </c>
      <c r="AB2539" t="s">
        <v>47</v>
      </c>
      <c r="AC2539">
        <v>0.18</v>
      </c>
      <c r="AD2539">
        <v>334</v>
      </c>
      <c r="AE2539" t="s">
        <v>56</v>
      </c>
      <c r="AF2539">
        <v>0.33300000000000002</v>
      </c>
      <c r="AG2539">
        <v>251</v>
      </c>
      <c r="AH2539" t="s">
        <v>57</v>
      </c>
      <c r="AI2539">
        <v>0.25</v>
      </c>
      <c r="AJ2539" t="s">
        <v>1154</v>
      </c>
    </row>
    <row r="2540" spans="1:36" x14ac:dyDescent="0.25">
      <c r="A2540" t="s">
        <v>223</v>
      </c>
      <c r="B2540">
        <v>866436305</v>
      </c>
      <c r="C2540" t="s">
        <v>224</v>
      </c>
      <c r="D2540" t="s">
        <v>224</v>
      </c>
      <c r="E2540" t="s">
        <v>60</v>
      </c>
      <c r="F2540" t="s">
        <v>122</v>
      </c>
      <c r="I2540" t="s">
        <v>39</v>
      </c>
      <c r="J2540" t="s">
        <v>40</v>
      </c>
      <c r="K2540" t="s">
        <v>41</v>
      </c>
      <c r="L2540" t="s">
        <v>94</v>
      </c>
      <c r="M2540" t="s">
        <v>47</v>
      </c>
      <c r="N2540" t="s">
        <v>43</v>
      </c>
      <c r="O2540" t="s">
        <v>226</v>
      </c>
      <c r="P2540">
        <v>379</v>
      </c>
      <c r="Q2540">
        <v>379</v>
      </c>
      <c r="R2540">
        <v>241</v>
      </c>
      <c r="S2540" t="s">
        <v>56</v>
      </c>
      <c r="T2540">
        <v>0.24</v>
      </c>
      <c r="U2540">
        <v>4</v>
      </c>
      <c r="V2540" t="s">
        <v>55</v>
      </c>
      <c r="W2540">
        <v>3.0000000000000001E-3</v>
      </c>
      <c r="X2540">
        <v>3001</v>
      </c>
      <c r="Y2540" t="s">
        <v>47</v>
      </c>
      <c r="Z2540">
        <v>3</v>
      </c>
      <c r="AA2540">
        <v>271</v>
      </c>
      <c r="AB2540" t="s">
        <v>47</v>
      </c>
      <c r="AC2540">
        <v>0.27</v>
      </c>
      <c r="AD2540">
        <v>494</v>
      </c>
      <c r="AE2540" t="s">
        <v>56</v>
      </c>
      <c r="AF2540">
        <v>0.49299999999999999</v>
      </c>
      <c r="AG2540">
        <v>731</v>
      </c>
      <c r="AH2540" t="s">
        <v>49</v>
      </c>
      <c r="AI2540">
        <v>0.73</v>
      </c>
      <c r="AJ2540" t="s">
        <v>1154</v>
      </c>
    </row>
    <row r="2541" spans="1:36" x14ac:dyDescent="0.25">
      <c r="A2541" t="s">
        <v>206</v>
      </c>
      <c r="B2541">
        <v>855834312</v>
      </c>
      <c r="C2541" t="s">
        <v>207</v>
      </c>
      <c r="D2541" t="s">
        <v>207</v>
      </c>
      <c r="E2541" t="s">
        <v>99</v>
      </c>
      <c r="F2541" t="s">
        <v>107</v>
      </c>
      <c r="I2541" t="s">
        <v>39</v>
      </c>
      <c r="J2541" t="s">
        <v>40</v>
      </c>
      <c r="K2541" t="s">
        <v>41</v>
      </c>
      <c r="L2541" t="s">
        <v>118</v>
      </c>
      <c r="N2541" t="s">
        <v>43</v>
      </c>
      <c r="O2541" t="s">
        <v>208</v>
      </c>
      <c r="P2541">
        <v>379</v>
      </c>
      <c r="Q2541">
        <v>379</v>
      </c>
      <c r="S2541" t="s">
        <v>39</v>
      </c>
      <c r="V2541" t="s">
        <v>39</v>
      </c>
      <c r="X2541">
        <v>15001</v>
      </c>
      <c r="Y2541" t="s">
        <v>47</v>
      </c>
      <c r="Z2541">
        <v>15</v>
      </c>
      <c r="AA2541">
        <v>300</v>
      </c>
      <c r="AB2541" t="s">
        <v>47</v>
      </c>
      <c r="AC2541">
        <v>0.29899999999999999</v>
      </c>
      <c r="AD2541">
        <v>542</v>
      </c>
      <c r="AE2541" t="s">
        <v>48</v>
      </c>
      <c r="AF2541">
        <v>0.54100000000000004</v>
      </c>
      <c r="AG2541">
        <v>534</v>
      </c>
      <c r="AH2541" t="s">
        <v>49</v>
      </c>
      <c r="AI2541">
        <v>0.53300000000000003</v>
      </c>
      <c r="AJ2541" t="s">
        <v>1155</v>
      </c>
    </row>
    <row r="2542" spans="1:36" x14ac:dyDescent="0.25">
      <c r="A2542" t="s">
        <v>227</v>
      </c>
      <c r="B2542">
        <v>856185704</v>
      </c>
      <c r="C2542" t="s">
        <v>228</v>
      </c>
      <c r="D2542" t="s">
        <v>228</v>
      </c>
      <c r="E2542" t="s">
        <v>60</v>
      </c>
      <c r="F2542" t="s">
        <v>88</v>
      </c>
      <c r="I2542" t="s">
        <v>39</v>
      </c>
      <c r="J2542" t="s">
        <v>40</v>
      </c>
      <c r="K2542" t="s">
        <v>41</v>
      </c>
      <c r="L2542" t="s">
        <v>118</v>
      </c>
      <c r="N2542" t="s">
        <v>43</v>
      </c>
      <c r="O2542" t="s">
        <v>229</v>
      </c>
      <c r="P2542">
        <v>379</v>
      </c>
      <c r="Q2542">
        <v>379</v>
      </c>
      <c r="R2542">
        <v>401</v>
      </c>
      <c r="S2542" t="s">
        <v>56</v>
      </c>
      <c r="T2542">
        <v>0.4</v>
      </c>
      <c r="U2542">
        <v>4</v>
      </c>
      <c r="V2542" t="s">
        <v>55</v>
      </c>
      <c r="W2542">
        <v>3.0000000000000001E-3</v>
      </c>
      <c r="X2542">
        <v>7001</v>
      </c>
      <c r="Y2542" t="s">
        <v>47</v>
      </c>
      <c r="Z2542">
        <v>7</v>
      </c>
      <c r="AA2542">
        <v>151</v>
      </c>
      <c r="AB2542" t="s">
        <v>47</v>
      </c>
      <c r="AC2542">
        <v>0.15</v>
      </c>
      <c r="AD2542">
        <v>453</v>
      </c>
      <c r="AE2542" t="s">
        <v>56</v>
      </c>
      <c r="AF2542">
        <v>0.45200000000000001</v>
      </c>
      <c r="AG2542">
        <v>402</v>
      </c>
      <c r="AH2542" t="s">
        <v>57</v>
      </c>
      <c r="AI2542">
        <v>0.40100000000000002</v>
      </c>
      <c r="AJ2542" t="s">
        <v>50</v>
      </c>
    </row>
    <row r="2543" spans="1:36" x14ac:dyDescent="0.25">
      <c r="A2543" t="s">
        <v>227</v>
      </c>
      <c r="B2543">
        <v>856185704</v>
      </c>
      <c r="C2543" t="s">
        <v>228</v>
      </c>
      <c r="D2543" t="s">
        <v>228</v>
      </c>
      <c r="E2543" t="s">
        <v>60</v>
      </c>
      <c r="F2543" t="s">
        <v>88</v>
      </c>
      <c r="I2543" t="s">
        <v>39</v>
      </c>
      <c r="J2543" t="s">
        <v>40</v>
      </c>
      <c r="K2543" t="s">
        <v>41</v>
      </c>
      <c r="L2543" t="s">
        <v>118</v>
      </c>
      <c r="N2543" t="s">
        <v>43</v>
      </c>
      <c r="O2543" t="s">
        <v>229</v>
      </c>
      <c r="P2543">
        <v>379</v>
      </c>
      <c r="Q2543">
        <v>379</v>
      </c>
      <c r="R2543">
        <v>401</v>
      </c>
      <c r="S2543" t="s">
        <v>56</v>
      </c>
      <c r="T2543">
        <v>0.4</v>
      </c>
      <c r="U2543">
        <v>4</v>
      </c>
      <c r="V2543" t="s">
        <v>55</v>
      </c>
      <c r="W2543">
        <v>3.0000000000000001E-3</v>
      </c>
      <c r="X2543">
        <v>7001</v>
      </c>
      <c r="Y2543" t="s">
        <v>47</v>
      </c>
      <c r="Z2543">
        <v>7</v>
      </c>
      <c r="AA2543">
        <v>151</v>
      </c>
      <c r="AB2543" t="s">
        <v>47</v>
      </c>
      <c r="AC2543">
        <v>0.15</v>
      </c>
      <c r="AD2543">
        <v>453</v>
      </c>
      <c r="AE2543" t="s">
        <v>56</v>
      </c>
      <c r="AF2543">
        <v>0.45200000000000001</v>
      </c>
      <c r="AG2543">
        <v>402</v>
      </c>
      <c r="AH2543" t="s">
        <v>57</v>
      </c>
      <c r="AI2543">
        <v>0.40100000000000002</v>
      </c>
      <c r="AJ2543" t="s">
        <v>1153</v>
      </c>
    </row>
    <row r="2544" spans="1:36" x14ac:dyDescent="0.25">
      <c r="A2544" t="s">
        <v>227</v>
      </c>
      <c r="B2544">
        <v>856185704</v>
      </c>
      <c r="C2544" t="s">
        <v>228</v>
      </c>
      <c r="D2544" t="s">
        <v>228</v>
      </c>
      <c r="E2544" t="s">
        <v>60</v>
      </c>
      <c r="F2544" t="s">
        <v>88</v>
      </c>
      <c r="I2544" t="s">
        <v>39</v>
      </c>
      <c r="J2544" t="s">
        <v>40</v>
      </c>
      <c r="K2544" t="s">
        <v>41</v>
      </c>
      <c r="L2544" t="s">
        <v>118</v>
      </c>
      <c r="N2544" t="s">
        <v>43</v>
      </c>
      <c r="O2544" t="s">
        <v>229</v>
      </c>
      <c r="P2544">
        <v>379</v>
      </c>
      <c r="Q2544">
        <v>379</v>
      </c>
      <c r="R2544">
        <v>401</v>
      </c>
      <c r="S2544" t="s">
        <v>56</v>
      </c>
      <c r="T2544">
        <v>0.4</v>
      </c>
      <c r="U2544">
        <v>4</v>
      </c>
      <c r="V2544" t="s">
        <v>55</v>
      </c>
      <c r="W2544">
        <v>3.0000000000000001E-3</v>
      </c>
      <c r="X2544">
        <v>7001</v>
      </c>
      <c r="Y2544" t="s">
        <v>47</v>
      </c>
      <c r="Z2544">
        <v>7</v>
      </c>
      <c r="AA2544">
        <v>151</v>
      </c>
      <c r="AB2544" t="s">
        <v>47</v>
      </c>
      <c r="AC2544">
        <v>0.15</v>
      </c>
      <c r="AD2544">
        <v>453</v>
      </c>
      <c r="AE2544" t="s">
        <v>56</v>
      </c>
      <c r="AF2544">
        <v>0.45200000000000001</v>
      </c>
      <c r="AG2544">
        <v>402</v>
      </c>
      <c r="AH2544" t="s">
        <v>57</v>
      </c>
      <c r="AI2544">
        <v>0.40100000000000002</v>
      </c>
      <c r="AJ2544" t="s">
        <v>1154</v>
      </c>
    </row>
    <row r="2545" spans="1:36" x14ac:dyDescent="0.25">
      <c r="A2545" t="s">
        <v>221</v>
      </c>
      <c r="B2545">
        <v>872502616</v>
      </c>
      <c r="C2545" t="s">
        <v>222</v>
      </c>
      <c r="D2545" t="s">
        <v>222</v>
      </c>
      <c r="E2545" t="s">
        <v>99</v>
      </c>
      <c r="F2545" t="s">
        <v>143</v>
      </c>
      <c r="I2545" t="s">
        <v>39</v>
      </c>
      <c r="J2545" t="s">
        <v>40</v>
      </c>
      <c r="K2545" t="s">
        <v>41</v>
      </c>
      <c r="L2545" t="s">
        <v>197</v>
      </c>
      <c r="M2545" t="s">
        <v>73</v>
      </c>
      <c r="N2545" t="s">
        <v>43</v>
      </c>
      <c r="O2545" t="s">
        <v>163</v>
      </c>
      <c r="P2545">
        <v>380</v>
      </c>
      <c r="Q2545">
        <v>380</v>
      </c>
      <c r="R2545">
        <v>921</v>
      </c>
      <c r="S2545" t="s">
        <v>56</v>
      </c>
      <c r="T2545">
        <v>0.92</v>
      </c>
      <c r="U2545">
        <v>2</v>
      </c>
      <c r="V2545" t="s">
        <v>55</v>
      </c>
      <c r="W2545">
        <v>1E-3</v>
      </c>
      <c r="X2545">
        <v>1001</v>
      </c>
      <c r="Y2545" t="s">
        <v>47</v>
      </c>
      <c r="Z2545">
        <v>1</v>
      </c>
      <c r="AA2545">
        <v>131</v>
      </c>
      <c r="AB2545" t="s">
        <v>47</v>
      </c>
      <c r="AC2545">
        <v>0.13</v>
      </c>
      <c r="AD2545">
        <v>285</v>
      </c>
      <c r="AE2545" t="s">
        <v>56</v>
      </c>
      <c r="AF2545">
        <v>0.28399999999999997</v>
      </c>
      <c r="AG2545">
        <v>131</v>
      </c>
      <c r="AH2545" t="s">
        <v>103</v>
      </c>
      <c r="AI2545">
        <v>0.13</v>
      </c>
      <c r="AJ2545" t="s">
        <v>50</v>
      </c>
    </row>
    <row r="2546" spans="1:36" x14ac:dyDescent="0.25">
      <c r="A2546" t="s">
        <v>221</v>
      </c>
      <c r="B2546">
        <v>872502616</v>
      </c>
      <c r="C2546" t="s">
        <v>222</v>
      </c>
      <c r="D2546" t="s">
        <v>222</v>
      </c>
      <c r="E2546" t="s">
        <v>99</v>
      </c>
      <c r="F2546" t="s">
        <v>143</v>
      </c>
      <c r="I2546" t="s">
        <v>39</v>
      </c>
      <c r="J2546" t="s">
        <v>40</v>
      </c>
      <c r="K2546" t="s">
        <v>41</v>
      </c>
      <c r="L2546" t="s">
        <v>197</v>
      </c>
      <c r="M2546" t="s">
        <v>73</v>
      </c>
      <c r="N2546" t="s">
        <v>43</v>
      </c>
      <c r="O2546" t="s">
        <v>163</v>
      </c>
      <c r="P2546">
        <v>380</v>
      </c>
      <c r="Q2546">
        <v>380</v>
      </c>
      <c r="R2546">
        <v>921</v>
      </c>
      <c r="S2546" t="s">
        <v>56</v>
      </c>
      <c r="T2546">
        <v>0.92</v>
      </c>
      <c r="U2546">
        <v>2</v>
      </c>
      <c r="V2546" t="s">
        <v>55</v>
      </c>
      <c r="W2546">
        <v>1E-3</v>
      </c>
      <c r="X2546">
        <v>1001</v>
      </c>
      <c r="Y2546" t="s">
        <v>47</v>
      </c>
      <c r="Z2546">
        <v>1</v>
      </c>
      <c r="AA2546">
        <v>131</v>
      </c>
      <c r="AB2546" t="s">
        <v>47</v>
      </c>
      <c r="AC2546">
        <v>0.13</v>
      </c>
      <c r="AD2546">
        <v>285</v>
      </c>
      <c r="AE2546" t="s">
        <v>56</v>
      </c>
      <c r="AF2546">
        <v>0.28399999999999997</v>
      </c>
      <c r="AG2546">
        <v>131</v>
      </c>
      <c r="AH2546" t="s">
        <v>103</v>
      </c>
      <c r="AI2546">
        <v>0.13</v>
      </c>
      <c r="AJ2546" t="s">
        <v>1153</v>
      </c>
    </row>
    <row r="2547" spans="1:36" x14ac:dyDescent="0.25">
      <c r="A2547" t="s">
        <v>221</v>
      </c>
      <c r="B2547">
        <v>872502616</v>
      </c>
      <c r="C2547" t="s">
        <v>222</v>
      </c>
      <c r="D2547" t="s">
        <v>222</v>
      </c>
      <c r="E2547" t="s">
        <v>99</v>
      </c>
      <c r="F2547" t="s">
        <v>143</v>
      </c>
      <c r="I2547" t="s">
        <v>39</v>
      </c>
      <c r="J2547" t="s">
        <v>40</v>
      </c>
      <c r="K2547" t="s">
        <v>41</v>
      </c>
      <c r="L2547" t="s">
        <v>197</v>
      </c>
      <c r="M2547" t="s">
        <v>73</v>
      </c>
      <c r="N2547" t="s">
        <v>43</v>
      </c>
      <c r="O2547" t="s">
        <v>163</v>
      </c>
      <c r="P2547">
        <v>380</v>
      </c>
      <c r="Q2547">
        <v>380</v>
      </c>
      <c r="R2547">
        <v>921</v>
      </c>
      <c r="S2547" t="s">
        <v>56</v>
      </c>
      <c r="T2547">
        <v>0.92</v>
      </c>
      <c r="U2547">
        <v>2</v>
      </c>
      <c r="V2547" t="s">
        <v>55</v>
      </c>
      <c r="W2547">
        <v>1E-3</v>
      </c>
      <c r="X2547">
        <v>1001</v>
      </c>
      <c r="Y2547" t="s">
        <v>47</v>
      </c>
      <c r="Z2547">
        <v>1</v>
      </c>
      <c r="AA2547">
        <v>131</v>
      </c>
      <c r="AB2547" t="s">
        <v>47</v>
      </c>
      <c r="AC2547">
        <v>0.13</v>
      </c>
      <c r="AD2547">
        <v>285</v>
      </c>
      <c r="AE2547" t="s">
        <v>56</v>
      </c>
      <c r="AF2547">
        <v>0.28399999999999997</v>
      </c>
      <c r="AG2547">
        <v>131</v>
      </c>
      <c r="AH2547" t="s">
        <v>103</v>
      </c>
      <c r="AI2547">
        <v>0.13</v>
      </c>
      <c r="AJ2547" t="s">
        <v>1154</v>
      </c>
    </row>
    <row r="2548" spans="1:36" x14ac:dyDescent="0.25">
      <c r="A2548" t="s">
        <v>203</v>
      </c>
      <c r="B2548">
        <v>855903311</v>
      </c>
      <c r="C2548" t="s">
        <v>204</v>
      </c>
      <c r="D2548" t="s">
        <v>204</v>
      </c>
      <c r="E2548" t="s">
        <v>99</v>
      </c>
      <c r="F2548" t="s">
        <v>136</v>
      </c>
      <c r="I2548" t="s">
        <v>39</v>
      </c>
      <c r="J2548" t="s">
        <v>40</v>
      </c>
      <c r="K2548" t="s">
        <v>41</v>
      </c>
      <c r="L2548" t="s">
        <v>197</v>
      </c>
      <c r="M2548" t="s">
        <v>47</v>
      </c>
      <c r="N2548" t="s">
        <v>43</v>
      </c>
      <c r="O2548" t="s">
        <v>205</v>
      </c>
      <c r="P2548">
        <v>380</v>
      </c>
      <c r="Q2548">
        <v>380</v>
      </c>
      <c r="S2548" t="s">
        <v>39</v>
      </c>
      <c r="V2548" t="s">
        <v>39</v>
      </c>
      <c r="X2548">
        <v>1</v>
      </c>
      <c r="Y2548" t="s">
        <v>47</v>
      </c>
      <c r="Z2548">
        <v>0</v>
      </c>
      <c r="AA2548">
        <v>165</v>
      </c>
      <c r="AB2548" t="s">
        <v>47</v>
      </c>
      <c r="AC2548">
        <v>0.16400000000000001</v>
      </c>
      <c r="AD2548">
        <v>172</v>
      </c>
      <c r="AE2548" t="s">
        <v>56</v>
      </c>
      <c r="AF2548">
        <v>0.17100000000000001</v>
      </c>
      <c r="AG2548">
        <v>41</v>
      </c>
      <c r="AH2548" t="s">
        <v>103</v>
      </c>
      <c r="AI2548">
        <v>0.04</v>
      </c>
      <c r="AJ2548" t="s">
        <v>1155</v>
      </c>
    </row>
    <row r="2549" spans="1:36" x14ac:dyDescent="0.25">
      <c r="A2549" t="s">
        <v>201</v>
      </c>
      <c r="B2549">
        <v>856565488</v>
      </c>
      <c r="C2549" t="s">
        <v>202</v>
      </c>
      <c r="D2549" t="s">
        <v>202</v>
      </c>
      <c r="E2549" t="s">
        <v>37</v>
      </c>
      <c r="F2549" t="s">
        <v>136</v>
      </c>
      <c r="I2549" t="s">
        <v>39</v>
      </c>
      <c r="J2549" t="s">
        <v>40</v>
      </c>
      <c r="K2549" t="s">
        <v>41</v>
      </c>
      <c r="L2549" t="s">
        <v>89</v>
      </c>
      <c r="N2549" t="s">
        <v>43</v>
      </c>
      <c r="O2549" t="s">
        <v>184</v>
      </c>
      <c r="P2549">
        <v>381</v>
      </c>
      <c r="Q2549">
        <v>381</v>
      </c>
      <c r="S2549" t="s">
        <v>39</v>
      </c>
      <c r="V2549" t="s">
        <v>39</v>
      </c>
      <c r="X2549">
        <v>21001</v>
      </c>
      <c r="Y2549" t="s">
        <v>47</v>
      </c>
      <c r="Z2549">
        <v>21</v>
      </c>
      <c r="AA2549">
        <v>324</v>
      </c>
      <c r="AB2549" t="s">
        <v>47</v>
      </c>
      <c r="AC2549">
        <v>0.32300000000000001</v>
      </c>
      <c r="AD2549">
        <v>706</v>
      </c>
      <c r="AE2549" t="s">
        <v>48</v>
      </c>
      <c r="AF2549">
        <v>0.70499999999999996</v>
      </c>
      <c r="AG2549">
        <v>642</v>
      </c>
      <c r="AH2549" t="s">
        <v>49</v>
      </c>
      <c r="AI2549">
        <v>0.64100000000000001</v>
      </c>
      <c r="AJ2549" t="s">
        <v>1155</v>
      </c>
    </row>
    <row r="2550" spans="1:36" x14ac:dyDescent="0.25">
      <c r="A2550" t="s">
        <v>201</v>
      </c>
      <c r="B2550">
        <v>856565488</v>
      </c>
      <c r="C2550" t="s">
        <v>202</v>
      </c>
      <c r="D2550" t="s">
        <v>202</v>
      </c>
      <c r="E2550" t="s">
        <v>99</v>
      </c>
      <c r="F2550" t="s">
        <v>136</v>
      </c>
      <c r="I2550" t="s">
        <v>39</v>
      </c>
      <c r="J2550" t="s">
        <v>40</v>
      </c>
      <c r="K2550" t="s">
        <v>41</v>
      </c>
      <c r="L2550" t="s">
        <v>89</v>
      </c>
      <c r="N2550" t="s">
        <v>43</v>
      </c>
      <c r="O2550" t="s">
        <v>200</v>
      </c>
      <c r="P2550">
        <v>381</v>
      </c>
      <c r="Q2550">
        <v>381</v>
      </c>
      <c r="S2550" t="s">
        <v>39</v>
      </c>
      <c r="V2550" t="s">
        <v>39</v>
      </c>
      <c r="X2550">
        <v>18001</v>
      </c>
      <c r="Y2550" t="s">
        <v>47</v>
      </c>
      <c r="Z2550">
        <v>18</v>
      </c>
      <c r="AA2550">
        <v>301</v>
      </c>
      <c r="AB2550" t="s">
        <v>47</v>
      </c>
      <c r="AC2550">
        <v>0.3</v>
      </c>
      <c r="AD2550">
        <v>621</v>
      </c>
      <c r="AE2550" t="s">
        <v>48</v>
      </c>
      <c r="AF2550">
        <v>0.62</v>
      </c>
      <c r="AG2550">
        <v>474</v>
      </c>
      <c r="AH2550" t="s">
        <v>57</v>
      </c>
      <c r="AI2550">
        <v>0.47299999999999998</v>
      </c>
      <c r="AJ2550" t="s">
        <v>1155</v>
      </c>
    </row>
    <row r="2551" spans="1:36" x14ac:dyDescent="0.25">
      <c r="A2551" t="s">
        <v>201</v>
      </c>
      <c r="B2551">
        <v>856565488</v>
      </c>
      <c r="C2551" t="s">
        <v>202</v>
      </c>
      <c r="D2551" t="s">
        <v>202</v>
      </c>
      <c r="E2551" t="s">
        <v>60</v>
      </c>
      <c r="F2551" t="s">
        <v>136</v>
      </c>
      <c r="I2551" t="s">
        <v>39</v>
      </c>
      <c r="J2551" t="s">
        <v>40</v>
      </c>
      <c r="K2551" t="s">
        <v>41</v>
      </c>
      <c r="L2551" t="s">
        <v>89</v>
      </c>
      <c r="N2551" t="s">
        <v>43</v>
      </c>
      <c r="O2551" t="s">
        <v>119</v>
      </c>
      <c r="P2551">
        <v>381</v>
      </c>
      <c r="Q2551">
        <v>381</v>
      </c>
      <c r="S2551" t="s">
        <v>39</v>
      </c>
      <c r="V2551" t="s">
        <v>39</v>
      </c>
      <c r="X2551">
        <v>19001</v>
      </c>
      <c r="Y2551" t="s">
        <v>47</v>
      </c>
      <c r="Z2551">
        <v>19</v>
      </c>
      <c r="AA2551">
        <v>391</v>
      </c>
      <c r="AB2551" t="s">
        <v>47</v>
      </c>
      <c r="AC2551">
        <v>0.39</v>
      </c>
      <c r="AD2551">
        <v>739</v>
      </c>
      <c r="AE2551" t="s">
        <v>48</v>
      </c>
      <c r="AF2551">
        <v>0.73799999999999999</v>
      </c>
      <c r="AG2551">
        <v>696</v>
      </c>
      <c r="AH2551" t="s">
        <v>49</v>
      </c>
      <c r="AI2551">
        <v>0.69499999999999995</v>
      </c>
      <c r="AJ2551" t="s">
        <v>1155</v>
      </c>
    </row>
    <row r="2552" spans="1:36" x14ac:dyDescent="0.25">
      <c r="A2552" t="s">
        <v>212</v>
      </c>
      <c r="B2552">
        <v>852414773</v>
      </c>
      <c r="C2552" t="s">
        <v>213</v>
      </c>
      <c r="D2552" t="s">
        <v>213</v>
      </c>
      <c r="E2552" t="s">
        <v>99</v>
      </c>
      <c r="F2552" t="s">
        <v>214</v>
      </c>
      <c r="I2552" t="s">
        <v>39</v>
      </c>
      <c r="J2552" t="s">
        <v>40</v>
      </c>
      <c r="K2552" t="s">
        <v>41</v>
      </c>
      <c r="L2552" t="s">
        <v>215</v>
      </c>
      <c r="M2552" t="s">
        <v>216</v>
      </c>
      <c r="N2552" t="s">
        <v>43</v>
      </c>
      <c r="O2552" t="s">
        <v>217</v>
      </c>
      <c r="P2552">
        <v>382</v>
      </c>
      <c r="Q2552">
        <v>382</v>
      </c>
      <c r="R2552">
        <v>161</v>
      </c>
      <c r="S2552" t="s">
        <v>56</v>
      </c>
      <c r="T2552">
        <v>0.16</v>
      </c>
      <c r="U2552">
        <v>14</v>
      </c>
      <c r="V2552" t="s">
        <v>55</v>
      </c>
      <c r="W2552">
        <v>1.2999999999999999E-2</v>
      </c>
      <c r="X2552">
        <v>8001</v>
      </c>
      <c r="Y2552" t="s">
        <v>47</v>
      </c>
      <c r="Z2552">
        <v>8</v>
      </c>
      <c r="AA2552">
        <v>506</v>
      </c>
      <c r="AB2552" t="s">
        <v>75</v>
      </c>
      <c r="AC2552">
        <v>0.505</v>
      </c>
      <c r="AD2552">
        <v>368</v>
      </c>
      <c r="AE2552" t="s">
        <v>56</v>
      </c>
      <c r="AF2552">
        <v>0.36699999999999999</v>
      </c>
      <c r="AG2552">
        <v>267</v>
      </c>
      <c r="AH2552" t="s">
        <v>57</v>
      </c>
      <c r="AI2552">
        <v>0.26600000000000001</v>
      </c>
      <c r="AJ2552" t="s">
        <v>50</v>
      </c>
    </row>
    <row r="2553" spans="1:36" x14ac:dyDescent="0.25">
      <c r="A2553" t="s">
        <v>212</v>
      </c>
      <c r="B2553">
        <v>852414773</v>
      </c>
      <c r="C2553" t="s">
        <v>213</v>
      </c>
      <c r="D2553" t="s">
        <v>213</v>
      </c>
      <c r="E2553" t="s">
        <v>65</v>
      </c>
      <c r="F2553" t="s">
        <v>214</v>
      </c>
      <c r="I2553" t="s">
        <v>39</v>
      </c>
      <c r="J2553" t="s">
        <v>40</v>
      </c>
      <c r="K2553" t="s">
        <v>41</v>
      </c>
      <c r="L2553" t="s">
        <v>215</v>
      </c>
      <c r="M2553" t="s">
        <v>216</v>
      </c>
      <c r="N2553" t="s">
        <v>43</v>
      </c>
      <c r="O2553" t="s">
        <v>96</v>
      </c>
      <c r="P2553">
        <v>382</v>
      </c>
      <c r="Q2553">
        <v>382</v>
      </c>
      <c r="R2553">
        <v>181</v>
      </c>
      <c r="S2553" t="s">
        <v>56</v>
      </c>
      <c r="T2553">
        <v>0.18</v>
      </c>
      <c r="U2553">
        <v>103</v>
      </c>
      <c r="V2553" t="s">
        <v>55</v>
      </c>
      <c r="W2553">
        <v>0.10199999999999999</v>
      </c>
      <c r="X2553">
        <v>6001</v>
      </c>
      <c r="Y2553" t="s">
        <v>47</v>
      </c>
      <c r="Z2553">
        <v>6</v>
      </c>
      <c r="AA2553">
        <v>283</v>
      </c>
      <c r="AB2553" t="s">
        <v>47</v>
      </c>
      <c r="AC2553">
        <v>0.28199999999999997</v>
      </c>
      <c r="AD2553">
        <v>435</v>
      </c>
      <c r="AE2553" t="s">
        <v>56</v>
      </c>
      <c r="AF2553">
        <v>0.434</v>
      </c>
      <c r="AG2553">
        <v>326</v>
      </c>
      <c r="AH2553" t="s">
        <v>57</v>
      </c>
      <c r="AI2553">
        <v>0.32500000000000001</v>
      </c>
      <c r="AJ2553" t="s">
        <v>50</v>
      </c>
    </row>
    <row r="2554" spans="1:36" x14ac:dyDescent="0.25">
      <c r="A2554" t="s">
        <v>212</v>
      </c>
      <c r="B2554">
        <v>852414773</v>
      </c>
      <c r="C2554" t="s">
        <v>213</v>
      </c>
      <c r="D2554" t="s">
        <v>213</v>
      </c>
      <c r="E2554" t="s">
        <v>99</v>
      </c>
      <c r="F2554" t="s">
        <v>214</v>
      </c>
      <c r="I2554" t="s">
        <v>39</v>
      </c>
      <c r="J2554" t="s">
        <v>40</v>
      </c>
      <c r="K2554" t="s">
        <v>41</v>
      </c>
      <c r="L2554" t="s">
        <v>215</v>
      </c>
      <c r="M2554" t="s">
        <v>216</v>
      </c>
      <c r="N2554" t="s">
        <v>43</v>
      </c>
      <c r="O2554" t="s">
        <v>217</v>
      </c>
      <c r="P2554">
        <v>382</v>
      </c>
      <c r="Q2554">
        <v>382</v>
      </c>
      <c r="R2554">
        <v>161</v>
      </c>
      <c r="S2554" t="s">
        <v>56</v>
      </c>
      <c r="T2554">
        <v>0.16</v>
      </c>
      <c r="U2554">
        <v>14</v>
      </c>
      <c r="V2554" t="s">
        <v>55</v>
      </c>
      <c r="W2554">
        <v>1.2999999999999999E-2</v>
      </c>
      <c r="X2554">
        <v>8001</v>
      </c>
      <c r="Y2554" t="s">
        <v>47</v>
      </c>
      <c r="Z2554">
        <v>8</v>
      </c>
      <c r="AA2554">
        <v>506</v>
      </c>
      <c r="AB2554" t="s">
        <v>75</v>
      </c>
      <c r="AC2554">
        <v>0.505</v>
      </c>
      <c r="AD2554">
        <v>368</v>
      </c>
      <c r="AE2554" t="s">
        <v>56</v>
      </c>
      <c r="AF2554">
        <v>0.36699999999999999</v>
      </c>
      <c r="AG2554">
        <v>267</v>
      </c>
      <c r="AH2554" t="s">
        <v>57</v>
      </c>
      <c r="AI2554">
        <v>0.26600000000000001</v>
      </c>
      <c r="AJ2554" t="s">
        <v>1153</v>
      </c>
    </row>
    <row r="2555" spans="1:36" x14ac:dyDescent="0.25">
      <c r="A2555" t="s">
        <v>212</v>
      </c>
      <c r="B2555">
        <v>852414773</v>
      </c>
      <c r="C2555" t="s">
        <v>213</v>
      </c>
      <c r="D2555" t="s">
        <v>213</v>
      </c>
      <c r="E2555" t="s">
        <v>65</v>
      </c>
      <c r="F2555" t="s">
        <v>214</v>
      </c>
      <c r="I2555" t="s">
        <v>39</v>
      </c>
      <c r="J2555" t="s">
        <v>40</v>
      </c>
      <c r="K2555" t="s">
        <v>41</v>
      </c>
      <c r="L2555" t="s">
        <v>215</v>
      </c>
      <c r="M2555" t="s">
        <v>216</v>
      </c>
      <c r="N2555" t="s">
        <v>43</v>
      </c>
      <c r="O2555" t="s">
        <v>96</v>
      </c>
      <c r="P2555">
        <v>382</v>
      </c>
      <c r="Q2555">
        <v>382</v>
      </c>
      <c r="R2555">
        <v>181</v>
      </c>
      <c r="S2555" t="s">
        <v>56</v>
      </c>
      <c r="T2555">
        <v>0.18</v>
      </c>
      <c r="U2555">
        <v>103</v>
      </c>
      <c r="V2555" t="s">
        <v>55</v>
      </c>
      <c r="W2555">
        <v>0.10199999999999999</v>
      </c>
      <c r="X2555">
        <v>6001</v>
      </c>
      <c r="Y2555" t="s">
        <v>47</v>
      </c>
      <c r="Z2555">
        <v>6</v>
      </c>
      <c r="AA2555">
        <v>283</v>
      </c>
      <c r="AB2555" t="s">
        <v>47</v>
      </c>
      <c r="AC2555">
        <v>0.28199999999999997</v>
      </c>
      <c r="AD2555">
        <v>435</v>
      </c>
      <c r="AE2555" t="s">
        <v>56</v>
      </c>
      <c r="AF2555">
        <v>0.434</v>
      </c>
      <c r="AG2555">
        <v>326</v>
      </c>
      <c r="AH2555" t="s">
        <v>57</v>
      </c>
      <c r="AI2555">
        <v>0.32500000000000001</v>
      </c>
      <c r="AJ2555" t="s">
        <v>1153</v>
      </c>
    </row>
    <row r="2556" spans="1:36" x14ac:dyDescent="0.25">
      <c r="A2556" t="s">
        <v>212</v>
      </c>
      <c r="B2556">
        <v>852414773</v>
      </c>
      <c r="C2556" t="s">
        <v>213</v>
      </c>
      <c r="D2556" t="s">
        <v>213</v>
      </c>
      <c r="E2556" t="s">
        <v>99</v>
      </c>
      <c r="F2556" t="s">
        <v>214</v>
      </c>
      <c r="I2556" t="s">
        <v>39</v>
      </c>
      <c r="J2556" t="s">
        <v>40</v>
      </c>
      <c r="K2556" t="s">
        <v>41</v>
      </c>
      <c r="L2556" t="s">
        <v>215</v>
      </c>
      <c r="M2556" t="s">
        <v>216</v>
      </c>
      <c r="N2556" t="s">
        <v>43</v>
      </c>
      <c r="O2556" t="s">
        <v>217</v>
      </c>
      <c r="P2556">
        <v>382</v>
      </c>
      <c r="Q2556">
        <v>382</v>
      </c>
      <c r="R2556">
        <v>161</v>
      </c>
      <c r="S2556" t="s">
        <v>56</v>
      </c>
      <c r="T2556">
        <v>0.16</v>
      </c>
      <c r="U2556">
        <v>14</v>
      </c>
      <c r="V2556" t="s">
        <v>55</v>
      </c>
      <c r="W2556">
        <v>1.2999999999999999E-2</v>
      </c>
      <c r="X2556">
        <v>8001</v>
      </c>
      <c r="Y2556" t="s">
        <v>47</v>
      </c>
      <c r="Z2556">
        <v>8</v>
      </c>
      <c r="AA2556">
        <v>506</v>
      </c>
      <c r="AB2556" t="s">
        <v>75</v>
      </c>
      <c r="AC2556">
        <v>0.505</v>
      </c>
      <c r="AD2556">
        <v>368</v>
      </c>
      <c r="AE2556" t="s">
        <v>56</v>
      </c>
      <c r="AF2556">
        <v>0.36699999999999999</v>
      </c>
      <c r="AG2556">
        <v>267</v>
      </c>
      <c r="AH2556" t="s">
        <v>57</v>
      </c>
      <c r="AI2556">
        <v>0.26600000000000001</v>
      </c>
      <c r="AJ2556" t="s">
        <v>1154</v>
      </c>
    </row>
    <row r="2557" spans="1:36" x14ac:dyDescent="0.25">
      <c r="A2557" t="s">
        <v>212</v>
      </c>
      <c r="B2557">
        <v>852414773</v>
      </c>
      <c r="C2557" t="s">
        <v>213</v>
      </c>
      <c r="D2557" t="s">
        <v>213</v>
      </c>
      <c r="E2557" t="s">
        <v>65</v>
      </c>
      <c r="F2557" t="s">
        <v>214</v>
      </c>
      <c r="I2557" t="s">
        <v>39</v>
      </c>
      <c r="J2557" t="s">
        <v>40</v>
      </c>
      <c r="K2557" t="s">
        <v>41</v>
      </c>
      <c r="L2557" t="s">
        <v>215</v>
      </c>
      <c r="M2557" t="s">
        <v>216</v>
      </c>
      <c r="N2557" t="s">
        <v>43</v>
      </c>
      <c r="O2557" t="s">
        <v>96</v>
      </c>
      <c r="P2557">
        <v>382</v>
      </c>
      <c r="Q2557">
        <v>382</v>
      </c>
      <c r="R2557">
        <v>181</v>
      </c>
      <c r="S2557" t="s">
        <v>56</v>
      </c>
      <c r="T2557">
        <v>0.18</v>
      </c>
      <c r="U2557">
        <v>103</v>
      </c>
      <c r="V2557" t="s">
        <v>55</v>
      </c>
      <c r="W2557">
        <v>0.10199999999999999</v>
      </c>
      <c r="X2557">
        <v>6001</v>
      </c>
      <c r="Y2557" t="s">
        <v>47</v>
      </c>
      <c r="Z2557">
        <v>6</v>
      </c>
      <c r="AA2557">
        <v>283</v>
      </c>
      <c r="AB2557" t="s">
        <v>47</v>
      </c>
      <c r="AC2557">
        <v>0.28199999999999997</v>
      </c>
      <c r="AD2557">
        <v>435</v>
      </c>
      <c r="AE2557" t="s">
        <v>56</v>
      </c>
      <c r="AF2557">
        <v>0.434</v>
      </c>
      <c r="AG2557">
        <v>326</v>
      </c>
      <c r="AH2557" t="s">
        <v>57</v>
      </c>
      <c r="AI2557">
        <v>0.32500000000000001</v>
      </c>
      <c r="AJ2557" t="s">
        <v>1154</v>
      </c>
    </row>
    <row r="2558" spans="1:36" x14ac:dyDescent="0.25">
      <c r="A2558" t="s">
        <v>198</v>
      </c>
      <c r="B2558">
        <v>851632463</v>
      </c>
      <c r="C2558" t="s">
        <v>199</v>
      </c>
      <c r="D2558" t="s">
        <v>199</v>
      </c>
      <c r="E2558" t="s">
        <v>37</v>
      </c>
      <c r="F2558" t="s">
        <v>136</v>
      </c>
      <c r="I2558" t="s">
        <v>39</v>
      </c>
      <c r="J2558" t="s">
        <v>40</v>
      </c>
      <c r="K2558" t="s">
        <v>41</v>
      </c>
      <c r="L2558" t="s">
        <v>177</v>
      </c>
      <c r="M2558" t="s">
        <v>73</v>
      </c>
      <c r="N2558" t="s">
        <v>43</v>
      </c>
      <c r="O2558" t="s">
        <v>184</v>
      </c>
      <c r="P2558">
        <v>382</v>
      </c>
      <c r="Q2558">
        <v>382</v>
      </c>
      <c r="S2558" t="s">
        <v>39</v>
      </c>
      <c r="V2558" t="s">
        <v>39</v>
      </c>
      <c r="X2558">
        <v>16001</v>
      </c>
      <c r="Y2558" t="s">
        <v>47</v>
      </c>
      <c r="Z2558">
        <v>16</v>
      </c>
      <c r="AA2558">
        <v>228</v>
      </c>
      <c r="AB2558" t="s">
        <v>47</v>
      </c>
      <c r="AC2558">
        <v>0.22700000000000001</v>
      </c>
      <c r="AD2558">
        <v>524</v>
      </c>
      <c r="AE2558" t="s">
        <v>48</v>
      </c>
      <c r="AF2558">
        <v>0.52300000000000002</v>
      </c>
      <c r="AG2558">
        <v>778</v>
      </c>
      <c r="AH2558" t="s">
        <v>49</v>
      </c>
      <c r="AI2558">
        <v>0.77700000000000002</v>
      </c>
      <c r="AJ2558" t="s">
        <v>1155</v>
      </c>
    </row>
    <row r="2559" spans="1:36" x14ac:dyDescent="0.25">
      <c r="A2559" t="s">
        <v>198</v>
      </c>
      <c r="B2559">
        <v>851632463</v>
      </c>
      <c r="C2559" t="s">
        <v>199</v>
      </c>
      <c r="D2559" t="s">
        <v>199</v>
      </c>
      <c r="E2559" t="s">
        <v>99</v>
      </c>
      <c r="F2559" t="s">
        <v>136</v>
      </c>
      <c r="I2559" t="s">
        <v>39</v>
      </c>
      <c r="J2559" t="s">
        <v>40</v>
      </c>
      <c r="K2559" t="s">
        <v>41</v>
      </c>
      <c r="L2559" t="s">
        <v>177</v>
      </c>
      <c r="M2559" t="s">
        <v>73</v>
      </c>
      <c r="N2559" t="s">
        <v>43</v>
      </c>
      <c r="O2559" t="s">
        <v>200</v>
      </c>
      <c r="P2559">
        <v>382</v>
      </c>
      <c r="Q2559">
        <v>382</v>
      </c>
      <c r="S2559" t="s">
        <v>39</v>
      </c>
      <c r="V2559" t="s">
        <v>39</v>
      </c>
      <c r="X2559">
        <v>17001</v>
      </c>
      <c r="Y2559" t="s">
        <v>47</v>
      </c>
      <c r="Z2559">
        <v>17</v>
      </c>
      <c r="AA2559">
        <v>183</v>
      </c>
      <c r="AB2559" t="s">
        <v>47</v>
      </c>
      <c r="AC2559">
        <v>0.182</v>
      </c>
      <c r="AD2559">
        <v>509</v>
      </c>
      <c r="AE2559" t="s">
        <v>48</v>
      </c>
      <c r="AF2559">
        <v>0.50800000000000001</v>
      </c>
      <c r="AG2559">
        <v>752</v>
      </c>
      <c r="AH2559" t="s">
        <v>49</v>
      </c>
      <c r="AI2559">
        <v>0.751</v>
      </c>
      <c r="AJ2559" t="s">
        <v>1155</v>
      </c>
    </row>
    <row r="2560" spans="1:36" x14ac:dyDescent="0.25">
      <c r="A2560" t="s">
        <v>198</v>
      </c>
      <c r="B2560">
        <v>851632463</v>
      </c>
      <c r="C2560" t="s">
        <v>199</v>
      </c>
      <c r="D2560" t="s">
        <v>199</v>
      </c>
      <c r="E2560" t="s">
        <v>60</v>
      </c>
      <c r="F2560" t="s">
        <v>136</v>
      </c>
      <c r="I2560" t="s">
        <v>39</v>
      </c>
      <c r="J2560" t="s">
        <v>40</v>
      </c>
      <c r="K2560" t="s">
        <v>41</v>
      </c>
      <c r="L2560" t="s">
        <v>177</v>
      </c>
      <c r="M2560" t="s">
        <v>73</v>
      </c>
      <c r="N2560" t="s">
        <v>43</v>
      </c>
      <c r="O2560" t="s">
        <v>119</v>
      </c>
      <c r="P2560">
        <v>382</v>
      </c>
      <c r="Q2560">
        <v>382</v>
      </c>
      <c r="S2560" t="s">
        <v>39</v>
      </c>
      <c r="V2560" t="s">
        <v>39</v>
      </c>
      <c r="X2560">
        <v>16001</v>
      </c>
      <c r="Y2560" t="s">
        <v>47</v>
      </c>
      <c r="Z2560">
        <v>16</v>
      </c>
      <c r="AA2560">
        <v>207</v>
      </c>
      <c r="AB2560" t="s">
        <v>47</v>
      </c>
      <c r="AC2560">
        <v>0.20599999999999999</v>
      </c>
      <c r="AD2560">
        <v>503</v>
      </c>
      <c r="AE2560" t="s">
        <v>48</v>
      </c>
      <c r="AF2560">
        <v>0.502</v>
      </c>
      <c r="AG2560">
        <v>537</v>
      </c>
      <c r="AH2560" t="s">
        <v>49</v>
      </c>
      <c r="AI2560">
        <v>0.53600000000000003</v>
      </c>
      <c r="AJ2560" t="s">
        <v>1155</v>
      </c>
    </row>
    <row r="2561" spans="1:36" x14ac:dyDescent="0.25">
      <c r="A2561" t="s">
        <v>209</v>
      </c>
      <c r="B2561">
        <v>853403837</v>
      </c>
      <c r="C2561" t="s">
        <v>210</v>
      </c>
      <c r="D2561" t="s">
        <v>210</v>
      </c>
      <c r="E2561" t="s">
        <v>60</v>
      </c>
      <c r="F2561" t="s">
        <v>88</v>
      </c>
      <c r="I2561" t="s">
        <v>39</v>
      </c>
      <c r="J2561" t="s">
        <v>40</v>
      </c>
      <c r="K2561" t="s">
        <v>41</v>
      </c>
      <c r="L2561" t="s">
        <v>211</v>
      </c>
      <c r="N2561" t="s">
        <v>43</v>
      </c>
      <c r="O2561" t="s">
        <v>167</v>
      </c>
      <c r="P2561">
        <v>382</v>
      </c>
      <c r="Q2561">
        <v>382</v>
      </c>
      <c r="R2561">
        <v>171</v>
      </c>
      <c r="S2561" t="s">
        <v>56</v>
      </c>
      <c r="T2561">
        <v>0.17</v>
      </c>
      <c r="U2561">
        <v>22</v>
      </c>
      <c r="V2561" t="s">
        <v>55</v>
      </c>
      <c r="W2561">
        <v>2.1000000000000001E-2</v>
      </c>
      <c r="X2561">
        <v>14001</v>
      </c>
      <c r="Y2561" t="s">
        <v>47</v>
      </c>
      <c r="Z2561">
        <v>14</v>
      </c>
      <c r="AA2561">
        <v>262</v>
      </c>
      <c r="AB2561" t="s">
        <v>47</v>
      </c>
      <c r="AC2561">
        <v>0.26100000000000001</v>
      </c>
      <c r="AD2561">
        <v>526</v>
      </c>
      <c r="AE2561" t="s">
        <v>48</v>
      </c>
      <c r="AF2561">
        <v>0.52500000000000002</v>
      </c>
      <c r="AG2561">
        <v>502</v>
      </c>
      <c r="AH2561" t="s">
        <v>57</v>
      </c>
      <c r="AI2561">
        <v>0.501</v>
      </c>
      <c r="AJ2561" t="s">
        <v>50</v>
      </c>
    </row>
    <row r="2562" spans="1:36" x14ac:dyDescent="0.25">
      <c r="A2562" t="s">
        <v>209</v>
      </c>
      <c r="B2562">
        <v>853403837</v>
      </c>
      <c r="C2562" t="s">
        <v>210</v>
      </c>
      <c r="D2562" t="s">
        <v>210</v>
      </c>
      <c r="E2562" t="s">
        <v>60</v>
      </c>
      <c r="F2562" t="s">
        <v>88</v>
      </c>
      <c r="I2562" t="s">
        <v>39</v>
      </c>
      <c r="J2562" t="s">
        <v>40</v>
      </c>
      <c r="K2562" t="s">
        <v>41</v>
      </c>
      <c r="L2562" t="s">
        <v>211</v>
      </c>
      <c r="N2562" t="s">
        <v>43</v>
      </c>
      <c r="O2562" t="s">
        <v>167</v>
      </c>
      <c r="P2562">
        <v>382</v>
      </c>
      <c r="Q2562">
        <v>382</v>
      </c>
      <c r="R2562">
        <v>171</v>
      </c>
      <c r="S2562" t="s">
        <v>56</v>
      </c>
      <c r="T2562">
        <v>0.17</v>
      </c>
      <c r="U2562">
        <v>22</v>
      </c>
      <c r="V2562" t="s">
        <v>55</v>
      </c>
      <c r="W2562">
        <v>2.1000000000000001E-2</v>
      </c>
      <c r="X2562">
        <v>14001</v>
      </c>
      <c r="Y2562" t="s">
        <v>47</v>
      </c>
      <c r="Z2562">
        <v>14</v>
      </c>
      <c r="AA2562">
        <v>262</v>
      </c>
      <c r="AB2562" t="s">
        <v>47</v>
      </c>
      <c r="AC2562">
        <v>0.26100000000000001</v>
      </c>
      <c r="AD2562">
        <v>526</v>
      </c>
      <c r="AE2562" t="s">
        <v>48</v>
      </c>
      <c r="AF2562">
        <v>0.52500000000000002</v>
      </c>
      <c r="AG2562">
        <v>502</v>
      </c>
      <c r="AH2562" t="s">
        <v>57</v>
      </c>
      <c r="AI2562">
        <v>0.501</v>
      </c>
      <c r="AJ2562" t="s">
        <v>1153</v>
      </c>
    </row>
    <row r="2563" spans="1:36" x14ac:dyDescent="0.25">
      <c r="A2563" t="s">
        <v>209</v>
      </c>
      <c r="B2563">
        <v>853403837</v>
      </c>
      <c r="C2563" t="s">
        <v>210</v>
      </c>
      <c r="D2563" t="s">
        <v>210</v>
      </c>
      <c r="E2563" t="s">
        <v>60</v>
      </c>
      <c r="F2563" t="s">
        <v>88</v>
      </c>
      <c r="I2563" t="s">
        <v>39</v>
      </c>
      <c r="J2563" t="s">
        <v>40</v>
      </c>
      <c r="K2563" t="s">
        <v>41</v>
      </c>
      <c r="L2563" t="s">
        <v>211</v>
      </c>
      <c r="N2563" t="s">
        <v>43</v>
      </c>
      <c r="O2563" t="s">
        <v>167</v>
      </c>
      <c r="P2563">
        <v>382</v>
      </c>
      <c r="Q2563">
        <v>382</v>
      </c>
      <c r="R2563">
        <v>171</v>
      </c>
      <c r="S2563" t="s">
        <v>56</v>
      </c>
      <c r="T2563">
        <v>0.17</v>
      </c>
      <c r="U2563">
        <v>22</v>
      </c>
      <c r="V2563" t="s">
        <v>55</v>
      </c>
      <c r="W2563">
        <v>2.1000000000000001E-2</v>
      </c>
      <c r="X2563">
        <v>14001</v>
      </c>
      <c r="Y2563" t="s">
        <v>47</v>
      </c>
      <c r="Z2563">
        <v>14</v>
      </c>
      <c r="AA2563">
        <v>262</v>
      </c>
      <c r="AB2563" t="s">
        <v>47</v>
      </c>
      <c r="AC2563">
        <v>0.26100000000000001</v>
      </c>
      <c r="AD2563">
        <v>526</v>
      </c>
      <c r="AE2563" t="s">
        <v>48</v>
      </c>
      <c r="AF2563">
        <v>0.52500000000000002</v>
      </c>
      <c r="AG2563">
        <v>502</v>
      </c>
      <c r="AH2563" t="s">
        <v>57</v>
      </c>
      <c r="AI2563">
        <v>0.501</v>
      </c>
      <c r="AJ2563" t="s">
        <v>1154</v>
      </c>
    </row>
    <row r="2564" spans="1:36" x14ac:dyDescent="0.25">
      <c r="A2564" t="s">
        <v>195</v>
      </c>
      <c r="B2564">
        <v>854983279</v>
      </c>
      <c r="C2564" t="s">
        <v>196</v>
      </c>
      <c r="D2564" t="s">
        <v>196</v>
      </c>
      <c r="E2564" t="s">
        <v>37</v>
      </c>
      <c r="F2564" t="s">
        <v>122</v>
      </c>
      <c r="I2564" t="s">
        <v>39</v>
      </c>
      <c r="J2564" t="s">
        <v>40</v>
      </c>
      <c r="K2564" t="s">
        <v>41</v>
      </c>
      <c r="L2564" t="s">
        <v>197</v>
      </c>
      <c r="M2564" t="s">
        <v>73</v>
      </c>
      <c r="N2564" t="s">
        <v>43</v>
      </c>
      <c r="O2564" t="s">
        <v>74</v>
      </c>
      <c r="P2564">
        <v>382</v>
      </c>
      <c r="Q2564">
        <v>382</v>
      </c>
      <c r="S2564" t="s">
        <v>39</v>
      </c>
      <c r="V2564" t="s">
        <v>39</v>
      </c>
      <c r="X2564">
        <v>12001</v>
      </c>
      <c r="Y2564" t="s">
        <v>47</v>
      </c>
      <c r="Z2564">
        <v>12</v>
      </c>
      <c r="AA2564">
        <v>142</v>
      </c>
      <c r="AB2564" t="s">
        <v>47</v>
      </c>
      <c r="AC2564">
        <v>0.14099999999999999</v>
      </c>
      <c r="AD2564">
        <v>374</v>
      </c>
      <c r="AE2564" t="s">
        <v>56</v>
      </c>
      <c r="AF2564">
        <v>0.373</v>
      </c>
      <c r="AG2564">
        <v>597</v>
      </c>
      <c r="AH2564" t="s">
        <v>49</v>
      </c>
      <c r="AI2564">
        <v>0.59599999999999997</v>
      </c>
      <c r="AJ2564" t="s">
        <v>1155</v>
      </c>
    </row>
    <row r="2565" spans="1:36" x14ac:dyDescent="0.25">
      <c r="A2565" t="s">
        <v>195</v>
      </c>
      <c r="B2565">
        <v>854983279</v>
      </c>
      <c r="C2565" t="s">
        <v>196</v>
      </c>
      <c r="D2565" t="s">
        <v>196</v>
      </c>
      <c r="E2565" t="s">
        <v>60</v>
      </c>
      <c r="F2565" t="s">
        <v>122</v>
      </c>
      <c r="I2565" t="s">
        <v>39</v>
      </c>
      <c r="J2565" t="s">
        <v>40</v>
      </c>
      <c r="K2565" t="s">
        <v>41</v>
      </c>
      <c r="L2565" t="s">
        <v>197</v>
      </c>
      <c r="M2565" t="s">
        <v>73</v>
      </c>
      <c r="N2565" t="s">
        <v>43</v>
      </c>
      <c r="O2565" t="s">
        <v>180</v>
      </c>
      <c r="P2565">
        <v>382</v>
      </c>
      <c r="Q2565">
        <v>382</v>
      </c>
      <c r="S2565" t="s">
        <v>39</v>
      </c>
      <c r="V2565" t="s">
        <v>39</v>
      </c>
      <c r="X2565">
        <v>16001</v>
      </c>
      <c r="Y2565" t="s">
        <v>47</v>
      </c>
      <c r="Z2565">
        <v>16</v>
      </c>
      <c r="AA2565">
        <v>221</v>
      </c>
      <c r="AB2565" t="s">
        <v>47</v>
      </c>
      <c r="AC2565">
        <v>0.22</v>
      </c>
      <c r="AD2565">
        <v>529</v>
      </c>
      <c r="AE2565" t="s">
        <v>48</v>
      </c>
      <c r="AF2565">
        <v>0.52800000000000002</v>
      </c>
      <c r="AG2565">
        <v>820</v>
      </c>
      <c r="AH2565" t="s">
        <v>49</v>
      </c>
      <c r="AI2565">
        <v>0.81899999999999995</v>
      </c>
      <c r="AJ2565" t="s">
        <v>1155</v>
      </c>
    </row>
    <row r="2566" spans="1:36" x14ac:dyDescent="0.25">
      <c r="A2566" t="s">
        <v>218</v>
      </c>
      <c r="B2566">
        <v>857691802</v>
      </c>
      <c r="C2566" t="s">
        <v>219</v>
      </c>
      <c r="D2566" t="s">
        <v>219</v>
      </c>
      <c r="E2566" t="s">
        <v>37</v>
      </c>
      <c r="F2566" t="s">
        <v>220</v>
      </c>
      <c r="I2566" t="s">
        <v>39</v>
      </c>
      <c r="J2566" t="s">
        <v>40</v>
      </c>
      <c r="K2566" t="s">
        <v>41</v>
      </c>
      <c r="L2566" t="s">
        <v>78</v>
      </c>
      <c r="N2566" t="s">
        <v>43</v>
      </c>
      <c r="O2566" t="s">
        <v>104</v>
      </c>
      <c r="P2566">
        <v>382</v>
      </c>
      <c r="Q2566">
        <v>382</v>
      </c>
      <c r="R2566">
        <v>441</v>
      </c>
      <c r="S2566" t="s">
        <v>56</v>
      </c>
      <c r="T2566">
        <v>0.44</v>
      </c>
      <c r="U2566">
        <v>4</v>
      </c>
      <c r="V2566" t="s">
        <v>55</v>
      </c>
      <c r="W2566">
        <v>3.0000000000000001E-3</v>
      </c>
      <c r="X2566">
        <v>3001</v>
      </c>
      <c r="Y2566" t="s">
        <v>47</v>
      </c>
      <c r="Z2566">
        <v>3</v>
      </c>
      <c r="AA2566">
        <v>275</v>
      </c>
      <c r="AB2566" t="s">
        <v>47</v>
      </c>
      <c r="AC2566">
        <v>0.27400000000000002</v>
      </c>
      <c r="AD2566">
        <v>431</v>
      </c>
      <c r="AE2566" t="s">
        <v>56</v>
      </c>
      <c r="AF2566">
        <v>0.43</v>
      </c>
      <c r="AG2566">
        <v>209</v>
      </c>
      <c r="AH2566" t="s">
        <v>57</v>
      </c>
      <c r="AI2566">
        <v>0.20799999999999999</v>
      </c>
      <c r="AJ2566" t="s">
        <v>50</v>
      </c>
    </row>
    <row r="2567" spans="1:36" x14ac:dyDescent="0.25">
      <c r="A2567" t="s">
        <v>218</v>
      </c>
      <c r="B2567">
        <v>857691802</v>
      </c>
      <c r="C2567" t="s">
        <v>219</v>
      </c>
      <c r="D2567" t="s">
        <v>219</v>
      </c>
      <c r="E2567" t="s">
        <v>99</v>
      </c>
      <c r="F2567" t="s">
        <v>220</v>
      </c>
      <c r="I2567" t="s">
        <v>39</v>
      </c>
      <c r="J2567" t="s">
        <v>40</v>
      </c>
      <c r="K2567" t="s">
        <v>41</v>
      </c>
      <c r="L2567" t="s">
        <v>78</v>
      </c>
      <c r="N2567" t="s">
        <v>43</v>
      </c>
      <c r="O2567" t="s">
        <v>102</v>
      </c>
      <c r="P2567">
        <v>382</v>
      </c>
      <c r="Q2567">
        <v>382</v>
      </c>
      <c r="R2567">
        <v>161</v>
      </c>
      <c r="S2567" t="s">
        <v>56</v>
      </c>
      <c r="T2567">
        <v>0.16</v>
      </c>
      <c r="U2567">
        <v>552</v>
      </c>
      <c r="V2567" t="s">
        <v>113</v>
      </c>
      <c r="W2567">
        <v>0.55100000000000005</v>
      </c>
      <c r="X2567">
        <v>10001</v>
      </c>
      <c r="Y2567" t="s">
        <v>47</v>
      </c>
      <c r="Z2567">
        <v>10</v>
      </c>
      <c r="AA2567">
        <v>308</v>
      </c>
      <c r="AB2567" t="s">
        <v>47</v>
      </c>
      <c r="AC2567">
        <v>0.307</v>
      </c>
      <c r="AD2567">
        <v>579</v>
      </c>
      <c r="AE2567" t="s">
        <v>48</v>
      </c>
      <c r="AF2567">
        <v>0.57799999999999996</v>
      </c>
      <c r="AG2567">
        <v>491</v>
      </c>
      <c r="AH2567" t="s">
        <v>57</v>
      </c>
      <c r="AI2567">
        <v>0.49</v>
      </c>
      <c r="AJ2567" t="s">
        <v>50</v>
      </c>
    </row>
    <row r="2568" spans="1:36" x14ac:dyDescent="0.25">
      <c r="A2568" t="s">
        <v>218</v>
      </c>
      <c r="B2568">
        <v>857691802</v>
      </c>
      <c r="C2568" t="s">
        <v>219</v>
      </c>
      <c r="D2568" t="s">
        <v>219</v>
      </c>
      <c r="E2568" t="s">
        <v>37</v>
      </c>
      <c r="F2568" t="s">
        <v>220</v>
      </c>
      <c r="I2568" t="s">
        <v>39</v>
      </c>
      <c r="J2568" t="s">
        <v>40</v>
      </c>
      <c r="K2568" t="s">
        <v>41</v>
      </c>
      <c r="L2568" t="s">
        <v>78</v>
      </c>
      <c r="N2568" t="s">
        <v>43</v>
      </c>
      <c r="O2568" t="s">
        <v>104</v>
      </c>
      <c r="P2568">
        <v>382</v>
      </c>
      <c r="Q2568">
        <v>382</v>
      </c>
      <c r="R2568">
        <v>441</v>
      </c>
      <c r="S2568" t="s">
        <v>56</v>
      </c>
      <c r="T2568">
        <v>0.44</v>
      </c>
      <c r="U2568">
        <v>4</v>
      </c>
      <c r="V2568" t="s">
        <v>55</v>
      </c>
      <c r="W2568">
        <v>3.0000000000000001E-3</v>
      </c>
      <c r="X2568">
        <v>3001</v>
      </c>
      <c r="Y2568" t="s">
        <v>47</v>
      </c>
      <c r="Z2568">
        <v>3</v>
      </c>
      <c r="AA2568">
        <v>275</v>
      </c>
      <c r="AB2568" t="s">
        <v>47</v>
      </c>
      <c r="AC2568">
        <v>0.27400000000000002</v>
      </c>
      <c r="AD2568">
        <v>431</v>
      </c>
      <c r="AE2568" t="s">
        <v>56</v>
      </c>
      <c r="AF2568">
        <v>0.43</v>
      </c>
      <c r="AG2568">
        <v>209</v>
      </c>
      <c r="AH2568" t="s">
        <v>57</v>
      </c>
      <c r="AI2568">
        <v>0.20799999999999999</v>
      </c>
      <c r="AJ2568" t="s">
        <v>1153</v>
      </c>
    </row>
    <row r="2569" spans="1:36" x14ac:dyDescent="0.25">
      <c r="A2569" t="s">
        <v>218</v>
      </c>
      <c r="B2569">
        <v>857691802</v>
      </c>
      <c r="C2569" t="s">
        <v>219</v>
      </c>
      <c r="D2569" t="s">
        <v>219</v>
      </c>
      <c r="E2569" t="s">
        <v>99</v>
      </c>
      <c r="F2569" t="s">
        <v>220</v>
      </c>
      <c r="I2569" t="s">
        <v>39</v>
      </c>
      <c r="J2569" t="s">
        <v>40</v>
      </c>
      <c r="K2569" t="s">
        <v>41</v>
      </c>
      <c r="L2569" t="s">
        <v>78</v>
      </c>
      <c r="N2569" t="s">
        <v>43</v>
      </c>
      <c r="O2569" t="s">
        <v>102</v>
      </c>
      <c r="P2569">
        <v>382</v>
      </c>
      <c r="Q2569">
        <v>382</v>
      </c>
      <c r="R2569">
        <v>161</v>
      </c>
      <c r="S2569" t="s">
        <v>56</v>
      </c>
      <c r="T2569">
        <v>0.16</v>
      </c>
      <c r="U2569">
        <v>552</v>
      </c>
      <c r="V2569" t="s">
        <v>113</v>
      </c>
      <c r="W2569">
        <v>0.55100000000000005</v>
      </c>
      <c r="X2569">
        <v>10001</v>
      </c>
      <c r="Y2569" t="s">
        <v>47</v>
      </c>
      <c r="Z2569">
        <v>10</v>
      </c>
      <c r="AA2569">
        <v>308</v>
      </c>
      <c r="AB2569" t="s">
        <v>47</v>
      </c>
      <c r="AC2569">
        <v>0.307</v>
      </c>
      <c r="AD2569">
        <v>579</v>
      </c>
      <c r="AE2569" t="s">
        <v>48</v>
      </c>
      <c r="AF2569">
        <v>0.57799999999999996</v>
      </c>
      <c r="AG2569">
        <v>491</v>
      </c>
      <c r="AH2569" t="s">
        <v>57</v>
      </c>
      <c r="AI2569">
        <v>0.49</v>
      </c>
      <c r="AJ2569" t="s">
        <v>1153</v>
      </c>
    </row>
    <row r="2570" spans="1:36" x14ac:dyDescent="0.25">
      <c r="A2570" t="s">
        <v>218</v>
      </c>
      <c r="B2570">
        <v>857691802</v>
      </c>
      <c r="C2570" t="s">
        <v>219</v>
      </c>
      <c r="D2570" t="s">
        <v>219</v>
      </c>
      <c r="E2570" t="s">
        <v>37</v>
      </c>
      <c r="F2570" t="s">
        <v>220</v>
      </c>
      <c r="I2570" t="s">
        <v>39</v>
      </c>
      <c r="J2570" t="s">
        <v>40</v>
      </c>
      <c r="K2570" t="s">
        <v>41</v>
      </c>
      <c r="L2570" t="s">
        <v>78</v>
      </c>
      <c r="N2570" t="s">
        <v>43</v>
      </c>
      <c r="O2570" t="s">
        <v>104</v>
      </c>
      <c r="P2570">
        <v>382</v>
      </c>
      <c r="Q2570">
        <v>382</v>
      </c>
      <c r="R2570">
        <v>441</v>
      </c>
      <c r="S2570" t="s">
        <v>56</v>
      </c>
      <c r="T2570">
        <v>0.44</v>
      </c>
      <c r="U2570">
        <v>4</v>
      </c>
      <c r="V2570" t="s">
        <v>55</v>
      </c>
      <c r="W2570">
        <v>3.0000000000000001E-3</v>
      </c>
      <c r="X2570">
        <v>3001</v>
      </c>
      <c r="Y2570" t="s">
        <v>47</v>
      </c>
      <c r="Z2570">
        <v>3</v>
      </c>
      <c r="AA2570">
        <v>275</v>
      </c>
      <c r="AB2570" t="s">
        <v>47</v>
      </c>
      <c r="AC2570">
        <v>0.27400000000000002</v>
      </c>
      <c r="AD2570">
        <v>431</v>
      </c>
      <c r="AE2570" t="s">
        <v>56</v>
      </c>
      <c r="AF2570">
        <v>0.43</v>
      </c>
      <c r="AG2570">
        <v>209</v>
      </c>
      <c r="AH2570" t="s">
        <v>57</v>
      </c>
      <c r="AI2570">
        <v>0.20799999999999999</v>
      </c>
      <c r="AJ2570" t="s">
        <v>1154</v>
      </c>
    </row>
    <row r="2571" spans="1:36" x14ac:dyDescent="0.25">
      <c r="A2571" t="s">
        <v>218</v>
      </c>
      <c r="B2571">
        <v>857691802</v>
      </c>
      <c r="C2571" t="s">
        <v>219</v>
      </c>
      <c r="D2571" t="s">
        <v>219</v>
      </c>
      <c r="E2571" t="s">
        <v>99</v>
      </c>
      <c r="F2571" t="s">
        <v>220</v>
      </c>
      <c r="I2571" t="s">
        <v>39</v>
      </c>
      <c r="J2571" t="s">
        <v>40</v>
      </c>
      <c r="K2571" t="s">
        <v>41</v>
      </c>
      <c r="L2571" t="s">
        <v>78</v>
      </c>
      <c r="N2571" t="s">
        <v>43</v>
      </c>
      <c r="O2571" t="s">
        <v>102</v>
      </c>
      <c r="P2571">
        <v>382</v>
      </c>
      <c r="Q2571">
        <v>382</v>
      </c>
      <c r="R2571">
        <v>161</v>
      </c>
      <c r="S2571" t="s">
        <v>56</v>
      </c>
      <c r="T2571">
        <v>0.16</v>
      </c>
      <c r="U2571">
        <v>552</v>
      </c>
      <c r="V2571" t="s">
        <v>113</v>
      </c>
      <c r="W2571">
        <v>0.55100000000000005</v>
      </c>
      <c r="X2571">
        <v>10001</v>
      </c>
      <c r="Y2571" t="s">
        <v>47</v>
      </c>
      <c r="Z2571">
        <v>10</v>
      </c>
      <c r="AA2571">
        <v>308</v>
      </c>
      <c r="AB2571" t="s">
        <v>47</v>
      </c>
      <c r="AC2571">
        <v>0.307</v>
      </c>
      <c r="AD2571">
        <v>579</v>
      </c>
      <c r="AE2571" t="s">
        <v>48</v>
      </c>
      <c r="AF2571">
        <v>0.57799999999999996</v>
      </c>
      <c r="AG2571">
        <v>491</v>
      </c>
      <c r="AH2571" t="s">
        <v>57</v>
      </c>
      <c r="AI2571">
        <v>0.49</v>
      </c>
      <c r="AJ2571" t="s">
        <v>1154</v>
      </c>
    </row>
    <row r="2572" spans="1:36" x14ac:dyDescent="0.25">
      <c r="A2572" t="s">
        <v>189</v>
      </c>
      <c r="B2572">
        <v>852414771</v>
      </c>
      <c r="C2572" t="s">
        <v>190</v>
      </c>
      <c r="D2572" t="s">
        <v>190</v>
      </c>
      <c r="E2572" t="s">
        <v>60</v>
      </c>
      <c r="F2572" t="s">
        <v>191</v>
      </c>
      <c r="I2572" t="s">
        <v>39</v>
      </c>
      <c r="J2572" t="s">
        <v>40</v>
      </c>
      <c r="K2572" t="s">
        <v>41</v>
      </c>
      <c r="L2572" t="s">
        <v>192</v>
      </c>
      <c r="M2572" t="s">
        <v>193</v>
      </c>
      <c r="N2572" t="s">
        <v>43</v>
      </c>
      <c r="O2572" t="s">
        <v>194</v>
      </c>
      <c r="P2572">
        <v>383</v>
      </c>
      <c r="Q2572">
        <v>383</v>
      </c>
      <c r="S2572" t="s">
        <v>39</v>
      </c>
      <c r="V2572" t="s">
        <v>39</v>
      </c>
      <c r="X2572">
        <v>1</v>
      </c>
      <c r="Y2572" t="s">
        <v>47</v>
      </c>
      <c r="Z2572">
        <v>0</v>
      </c>
      <c r="AA2572">
        <v>277</v>
      </c>
      <c r="AB2572" t="s">
        <v>47</v>
      </c>
      <c r="AC2572">
        <v>0.27600000000000002</v>
      </c>
      <c r="AD2572">
        <v>379</v>
      </c>
      <c r="AE2572" t="s">
        <v>56</v>
      </c>
      <c r="AF2572">
        <v>0.378</v>
      </c>
      <c r="AG2572">
        <v>326</v>
      </c>
      <c r="AH2572" t="s">
        <v>57</v>
      </c>
      <c r="AI2572">
        <v>0.32500000000000001</v>
      </c>
      <c r="AJ2572" t="s">
        <v>1155</v>
      </c>
    </row>
    <row r="2573" spans="1:36" x14ac:dyDescent="0.25">
      <c r="A2573" t="s">
        <v>206</v>
      </c>
      <c r="B2573">
        <v>855834312</v>
      </c>
      <c r="C2573" t="s">
        <v>207</v>
      </c>
      <c r="D2573" t="s">
        <v>207</v>
      </c>
      <c r="E2573" t="s">
        <v>99</v>
      </c>
      <c r="F2573" t="s">
        <v>107</v>
      </c>
      <c r="I2573" t="s">
        <v>39</v>
      </c>
      <c r="J2573" t="s">
        <v>40</v>
      </c>
      <c r="K2573" t="s">
        <v>41</v>
      </c>
      <c r="L2573" t="s">
        <v>118</v>
      </c>
      <c r="N2573" t="s">
        <v>43</v>
      </c>
      <c r="O2573" t="s">
        <v>208</v>
      </c>
      <c r="P2573">
        <v>383</v>
      </c>
      <c r="Q2573">
        <v>383</v>
      </c>
      <c r="R2573">
        <v>21</v>
      </c>
      <c r="S2573" t="s">
        <v>45</v>
      </c>
      <c r="T2573">
        <v>0.02</v>
      </c>
      <c r="U2573">
        <v>174</v>
      </c>
      <c r="V2573" t="s">
        <v>55</v>
      </c>
      <c r="W2573">
        <v>0.17299999999999999</v>
      </c>
      <c r="X2573">
        <v>15001</v>
      </c>
      <c r="Y2573" t="s">
        <v>47</v>
      </c>
      <c r="Z2573">
        <v>15</v>
      </c>
      <c r="AA2573">
        <v>300</v>
      </c>
      <c r="AB2573" t="s">
        <v>47</v>
      </c>
      <c r="AC2573">
        <v>0.29899999999999999</v>
      </c>
      <c r="AD2573">
        <v>542</v>
      </c>
      <c r="AE2573" t="s">
        <v>48</v>
      </c>
      <c r="AF2573">
        <v>0.54100000000000004</v>
      </c>
      <c r="AG2573">
        <v>534</v>
      </c>
      <c r="AH2573" t="s">
        <v>49</v>
      </c>
      <c r="AI2573">
        <v>0.53300000000000003</v>
      </c>
      <c r="AJ2573" t="s">
        <v>50</v>
      </c>
    </row>
    <row r="2574" spans="1:36" x14ac:dyDescent="0.25">
      <c r="A2574" t="s">
        <v>206</v>
      </c>
      <c r="B2574">
        <v>855834312</v>
      </c>
      <c r="C2574" t="s">
        <v>207</v>
      </c>
      <c r="D2574" t="s">
        <v>207</v>
      </c>
      <c r="E2574" t="s">
        <v>99</v>
      </c>
      <c r="F2574" t="s">
        <v>107</v>
      </c>
      <c r="I2574" t="s">
        <v>39</v>
      </c>
      <c r="J2574" t="s">
        <v>40</v>
      </c>
      <c r="K2574" t="s">
        <v>41</v>
      </c>
      <c r="L2574" t="s">
        <v>118</v>
      </c>
      <c r="N2574" t="s">
        <v>43</v>
      </c>
      <c r="O2574" t="s">
        <v>208</v>
      </c>
      <c r="P2574">
        <v>383</v>
      </c>
      <c r="Q2574">
        <v>383</v>
      </c>
      <c r="R2574">
        <v>21</v>
      </c>
      <c r="S2574" t="s">
        <v>45</v>
      </c>
      <c r="T2574">
        <v>0.02</v>
      </c>
      <c r="U2574">
        <v>174</v>
      </c>
      <c r="V2574" t="s">
        <v>55</v>
      </c>
      <c r="W2574">
        <v>0.17299999999999999</v>
      </c>
      <c r="X2574">
        <v>15001</v>
      </c>
      <c r="Y2574" t="s">
        <v>47</v>
      </c>
      <c r="Z2574">
        <v>15</v>
      </c>
      <c r="AA2574">
        <v>300</v>
      </c>
      <c r="AB2574" t="s">
        <v>47</v>
      </c>
      <c r="AC2574">
        <v>0.29899999999999999</v>
      </c>
      <c r="AD2574">
        <v>542</v>
      </c>
      <c r="AE2574" t="s">
        <v>48</v>
      </c>
      <c r="AF2574">
        <v>0.54100000000000004</v>
      </c>
      <c r="AG2574">
        <v>534</v>
      </c>
      <c r="AH2574" t="s">
        <v>49</v>
      </c>
      <c r="AI2574">
        <v>0.53300000000000003</v>
      </c>
      <c r="AJ2574" t="s">
        <v>1153</v>
      </c>
    </row>
    <row r="2575" spans="1:36" x14ac:dyDescent="0.25">
      <c r="A2575" t="s">
        <v>206</v>
      </c>
      <c r="B2575">
        <v>855834312</v>
      </c>
      <c r="C2575" t="s">
        <v>207</v>
      </c>
      <c r="D2575" t="s">
        <v>207</v>
      </c>
      <c r="E2575" t="s">
        <v>99</v>
      </c>
      <c r="F2575" t="s">
        <v>107</v>
      </c>
      <c r="I2575" t="s">
        <v>39</v>
      </c>
      <c r="J2575" t="s">
        <v>40</v>
      </c>
      <c r="K2575" t="s">
        <v>41</v>
      </c>
      <c r="L2575" t="s">
        <v>118</v>
      </c>
      <c r="N2575" t="s">
        <v>43</v>
      </c>
      <c r="O2575" t="s">
        <v>208</v>
      </c>
      <c r="P2575">
        <v>383</v>
      </c>
      <c r="Q2575">
        <v>383</v>
      </c>
      <c r="R2575">
        <v>21</v>
      </c>
      <c r="S2575" t="s">
        <v>45</v>
      </c>
      <c r="T2575">
        <v>0.02</v>
      </c>
      <c r="U2575">
        <v>174</v>
      </c>
      <c r="V2575" t="s">
        <v>55</v>
      </c>
      <c r="W2575">
        <v>0.17299999999999999</v>
      </c>
      <c r="X2575">
        <v>15001</v>
      </c>
      <c r="Y2575" t="s">
        <v>47</v>
      </c>
      <c r="Z2575">
        <v>15</v>
      </c>
      <c r="AA2575">
        <v>300</v>
      </c>
      <c r="AB2575" t="s">
        <v>47</v>
      </c>
      <c r="AC2575">
        <v>0.29899999999999999</v>
      </c>
      <c r="AD2575">
        <v>542</v>
      </c>
      <c r="AE2575" t="s">
        <v>48</v>
      </c>
      <c r="AF2575">
        <v>0.54100000000000004</v>
      </c>
      <c r="AG2575">
        <v>534</v>
      </c>
      <c r="AH2575" t="s">
        <v>49</v>
      </c>
      <c r="AI2575">
        <v>0.53300000000000003</v>
      </c>
      <c r="AJ2575" t="s">
        <v>1154</v>
      </c>
    </row>
    <row r="2576" spans="1:36" x14ac:dyDescent="0.25">
      <c r="A2576" t="s">
        <v>187</v>
      </c>
      <c r="B2576">
        <v>867371342</v>
      </c>
      <c r="C2576" t="s">
        <v>188</v>
      </c>
      <c r="D2576" t="s">
        <v>188</v>
      </c>
      <c r="E2576" t="s">
        <v>65</v>
      </c>
      <c r="F2576" t="s">
        <v>166</v>
      </c>
      <c r="I2576" t="s">
        <v>39</v>
      </c>
      <c r="J2576" t="s">
        <v>40</v>
      </c>
      <c r="K2576" t="s">
        <v>41</v>
      </c>
      <c r="L2576" t="s">
        <v>173</v>
      </c>
      <c r="N2576" t="s">
        <v>43</v>
      </c>
      <c r="O2576" t="s">
        <v>84</v>
      </c>
      <c r="P2576">
        <v>384</v>
      </c>
      <c r="Q2576">
        <v>384</v>
      </c>
      <c r="S2576" t="s">
        <v>39</v>
      </c>
      <c r="V2576" t="s">
        <v>39</v>
      </c>
      <c r="X2576">
        <v>1</v>
      </c>
      <c r="Y2576" t="s">
        <v>47</v>
      </c>
      <c r="Z2576">
        <v>0</v>
      </c>
      <c r="AA2576">
        <v>189</v>
      </c>
      <c r="AB2576" t="s">
        <v>47</v>
      </c>
      <c r="AC2576">
        <v>0.188</v>
      </c>
      <c r="AD2576">
        <v>315</v>
      </c>
      <c r="AE2576" t="s">
        <v>56</v>
      </c>
      <c r="AF2576">
        <v>0.314</v>
      </c>
      <c r="AG2576">
        <v>451</v>
      </c>
      <c r="AH2576" t="s">
        <v>57</v>
      </c>
      <c r="AI2576">
        <v>0.45</v>
      </c>
      <c r="AJ2576" t="s">
        <v>1155</v>
      </c>
    </row>
    <row r="2577" spans="1:36" x14ac:dyDescent="0.25">
      <c r="A2577" t="s">
        <v>203</v>
      </c>
      <c r="B2577">
        <v>855903311</v>
      </c>
      <c r="C2577" t="s">
        <v>204</v>
      </c>
      <c r="D2577" t="s">
        <v>204</v>
      </c>
      <c r="E2577" t="s">
        <v>99</v>
      </c>
      <c r="F2577" t="s">
        <v>136</v>
      </c>
      <c r="I2577" t="s">
        <v>39</v>
      </c>
      <c r="J2577" t="s">
        <v>40</v>
      </c>
      <c r="K2577" t="s">
        <v>41</v>
      </c>
      <c r="L2577" t="s">
        <v>197</v>
      </c>
      <c r="M2577" t="s">
        <v>47</v>
      </c>
      <c r="N2577" t="s">
        <v>43</v>
      </c>
      <c r="O2577" t="s">
        <v>205</v>
      </c>
      <c r="P2577">
        <v>384</v>
      </c>
      <c r="Q2577">
        <v>384</v>
      </c>
      <c r="R2577">
        <v>341</v>
      </c>
      <c r="S2577" t="s">
        <v>56</v>
      </c>
      <c r="T2577">
        <v>0.34</v>
      </c>
      <c r="U2577">
        <v>104</v>
      </c>
      <c r="V2577" t="s">
        <v>55</v>
      </c>
      <c r="W2577">
        <v>0.10299999999999999</v>
      </c>
      <c r="X2577">
        <v>1</v>
      </c>
      <c r="Y2577" t="s">
        <v>47</v>
      </c>
      <c r="Z2577">
        <v>0</v>
      </c>
      <c r="AA2577">
        <v>165</v>
      </c>
      <c r="AB2577" t="s">
        <v>47</v>
      </c>
      <c r="AC2577">
        <v>0.16400000000000001</v>
      </c>
      <c r="AD2577">
        <v>172</v>
      </c>
      <c r="AE2577" t="s">
        <v>56</v>
      </c>
      <c r="AF2577">
        <v>0.17100000000000001</v>
      </c>
      <c r="AG2577">
        <v>41</v>
      </c>
      <c r="AH2577" t="s">
        <v>103</v>
      </c>
      <c r="AI2577">
        <v>0.04</v>
      </c>
      <c r="AJ2577" t="s">
        <v>50</v>
      </c>
    </row>
    <row r="2578" spans="1:36" x14ac:dyDescent="0.25">
      <c r="A2578" t="s">
        <v>203</v>
      </c>
      <c r="B2578">
        <v>855903311</v>
      </c>
      <c r="C2578" t="s">
        <v>204</v>
      </c>
      <c r="D2578" t="s">
        <v>204</v>
      </c>
      <c r="E2578" t="s">
        <v>99</v>
      </c>
      <c r="F2578" t="s">
        <v>136</v>
      </c>
      <c r="I2578" t="s">
        <v>39</v>
      </c>
      <c r="J2578" t="s">
        <v>40</v>
      </c>
      <c r="K2578" t="s">
        <v>41</v>
      </c>
      <c r="L2578" t="s">
        <v>197</v>
      </c>
      <c r="M2578" t="s">
        <v>47</v>
      </c>
      <c r="N2578" t="s">
        <v>43</v>
      </c>
      <c r="O2578" t="s">
        <v>205</v>
      </c>
      <c r="P2578">
        <v>384</v>
      </c>
      <c r="Q2578">
        <v>384</v>
      </c>
      <c r="R2578">
        <v>341</v>
      </c>
      <c r="S2578" t="s">
        <v>56</v>
      </c>
      <c r="T2578">
        <v>0.34</v>
      </c>
      <c r="U2578">
        <v>104</v>
      </c>
      <c r="V2578" t="s">
        <v>55</v>
      </c>
      <c r="W2578">
        <v>0.10299999999999999</v>
      </c>
      <c r="X2578">
        <v>1</v>
      </c>
      <c r="Y2578" t="s">
        <v>47</v>
      </c>
      <c r="Z2578">
        <v>0</v>
      </c>
      <c r="AA2578">
        <v>165</v>
      </c>
      <c r="AB2578" t="s">
        <v>47</v>
      </c>
      <c r="AC2578">
        <v>0.16400000000000001</v>
      </c>
      <c r="AD2578">
        <v>172</v>
      </c>
      <c r="AE2578" t="s">
        <v>56</v>
      </c>
      <c r="AF2578">
        <v>0.17100000000000001</v>
      </c>
      <c r="AG2578">
        <v>41</v>
      </c>
      <c r="AH2578" t="s">
        <v>103</v>
      </c>
      <c r="AI2578">
        <v>0.04</v>
      </c>
      <c r="AJ2578" t="s">
        <v>1153</v>
      </c>
    </row>
    <row r="2579" spans="1:36" x14ac:dyDescent="0.25">
      <c r="A2579" t="s">
        <v>203</v>
      </c>
      <c r="B2579">
        <v>855903311</v>
      </c>
      <c r="C2579" t="s">
        <v>204</v>
      </c>
      <c r="D2579" t="s">
        <v>204</v>
      </c>
      <c r="E2579" t="s">
        <v>99</v>
      </c>
      <c r="F2579" t="s">
        <v>136</v>
      </c>
      <c r="I2579" t="s">
        <v>39</v>
      </c>
      <c r="J2579" t="s">
        <v>40</v>
      </c>
      <c r="K2579" t="s">
        <v>41</v>
      </c>
      <c r="L2579" t="s">
        <v>197</v>
      </c>
      <c r="M2579" t="s">
        <v>47</v>
      </c>
      <c r="N2579" t="s">
        <v>43</v>
      </c>
      <c r="O2579" t="s">
        <v>205</v>
      </c>
      <c r="P2579">
        <v>384</v>
      </c>
      <c r="Q2579">
        <v>384</v>
      </c>
      <c r="R2579">
        <v>341</v>
      </c>
      <c r="S2579" t="s">
        <v>56</v>
      </c>
      <c r="T2579">
        <v>0.34</v>
      </c>
      <c r="U2579">
        <v>104</v>
      </c>
      <c r="V2579" t="s">
        <v>55</v>
      </c>
      <c r="W2579">
        <v>0.10299999999999999</v>
      </c>
      <c r="X2579">
        <v>1</v>
      </c>
      <c r="Y2579" t="s">
        <v>47</v>
      </c>
      <c r="Z2579">
        <v>0</v>
      </c>
      <c r="AA2579">
        <v>165</v>
      </c>
      <c r="AB2579" t="s">
        <v>47</v>
      </c>
      <c r="AC2579">
        <v>0.16400000000000001</v>
      </c>
      <c r="AD2579">
        <v>172</v>
      </c>
      <c r="AE2579" t="s">
        <v>56</v>
      </c>
      <c r="AF2579">
        <v>0.17100000000000001</v>
      </c>
      <c r="AG2579">
        <v>41</v>
      </c>
      <c r="AH2579" t="s">
        <v>103</v>
      </c>
      <c r="AI2579">
        <v>0.04</v>
      </c>
      <c r="AJ2579" t="s">
        <v>1154</v>
      </c>
    </row>
    <row r="2580" spans="1:36" x14ac:dyDescent="0.25">
      <c r="A2580" t="s">
        <v>185</v>
      </c>
      <c r="B2580">
        <v>866607835</v>
      </c>
      <c r="C2580" t="s">
        <v>186</v>
      </c>
      <c r="D2580" t="s">
        <v>186</v>
      </c>
      <c r="E2580" t="s">
        <v>99</v>
      </c>
      <c r="F2580" t="s">
        <v>143</v>
      </c>
      <c r="I2580" t="s">
        <v>39</v>
      </c>
      <c r="J2580" t="s">
        <v>40</v>
      </c>
      <c r="K2580" t="s">
        <v>41</v>
      </c>
      <c r="L2580" t="s">
        <v>173</v>
      </c>
      <c r="N2580" t="s">
        <v>43</v>
      </c>
      <c r="O2580" t="s">
        <v>132</v>
      </c>
      <c r="P2580">
        <v>385</v>
      </c>
      <c r="Q2580">
        <v>385</v>
      </c>
      <c r="S2580" t="s">
        <v>39</v>
      </c>
      <c r="V2580" t="s">
        <v>39</v>
      </c>
      <c r="X2580">
        <v>1001</v>
      </c>
      <c r="Y2580" t="s">
        <v>47</v>
      </c>
      <c r="Z2580">
        <v>1</v>
      </c>
      <c r="AA2580">
        <v>141</v>
      </c>
      <c r="AB2580" t="s">
        <v>47</v>
      </c>
      <c r="AC2580">
        <v>0.14000000000000001</v>
      </c>
      <c r="AD2580">
        <v>280</v>
      </c>
      <c r="AE2580" t="s">
        <v>56</v>
      </c>
      <c r="AF2580">
        <v>0.27900000000000003</v>
      </c>
      <c r="AG2580">
        <v>158</v>
      </c>
      <c r="AH2580" t="s">
        <v>103</v>
      </c>
      <c r="AI2580">
        <v>0.157</v>
      </c>
      <c r="AJ2580" t="s">
        <v>1155</v>
      </c>
    </row>
    <row r="2581" spans="1:36" x14ac:dyDescent="0.25">
      <c r="A2581" t="s">
        <v>201</v>
      </c>
      <c r="B2581">
        <v>856565488</v>
      </c>
      <c r="C2581" t="s">
        <v>202</v>
      </c>
      <c r="D2581" t="s">
        <v>202</v>
      </c>
      <c r="E2581" t="s">
        <v>37</v>
      </c>
      <c r="F2581" t="s">
        <v>136</v>
      </c>
      <c r="I2581" t="s">
        <v>39</v>
      </c>
      <c r="J2581" t="s">
        <v>40</v>
      </c>
      <c r="K2581" t="s">
        <v>41</v>
      </c>
      <c r="L2581" t="s">
        <v>89</v>
      </c>
      <c r="N2581" t="s">
        <v>43</v>
      </c>
      <c r="O2581" t="s">
        <v>184</v>
      </c>
      <c r="P2581">
        <v>385</v>
      </c>
      <c r="Q2581">
        <v>385</v>
      </c>
      <c r="R2581">
        <v>21</v>
      </c>
      <c r="S2581" t="s">
        <v>45</v>
      </c>
      <c r="T2581">
        <v>0.02</v>
      </c>
      <c r="U2581">
        <v>732</v>
      </c>
      <c r="V2581" t="s">
        <v>113</v>
      </c>
      <c r="W2581">
        <v>0.73099999999999998</v>
      </c>
      <c r="X2581">
        <v>21001</v>
      </c>
      <c r="Y2581" t="s">
        <v>47</v>
      </c>
      <c r="Z2581">
        <v>21</v>
      </c>
      <c r="AA2581">
        <v>324</v>
      </c>
      <c r="AB2581" t="s">
        <v>47</v>
      </c>
      <c r="AC2581">
        <v>0.32300000000000001</v>
      </c>
      <c r="AD2581">
        <v>706</v>
      </c>
      <c r="AE2581" t="s">
        <v>48</v>
      </c>
      <c r="AF2581">
        <v>0.70499999999999996</v>
      </c>
      <c r="AG2581">
        <v>642</v>
      </c>
      <c r="AH2581" t="s">
        <v>49</v>
      </c>
      <c r="AI2581">
        <v>0.64100000000000001</v>
      </c>
      <c r="AJ2581" t="s">
        <v>50</v>
      </c>
    </row>
    <row r="2582" spans="1:36" x14ac:dyDescent="0.25">
      <c r="A2582" t="s">
        <v>201</v>
      </c>
      <c r="B2582">
        <v>856565488</v>
      </c>
      <c r="C2582" t="s">
        <v>202</v>
      </c>
      <c r="D2582" t="s">
        <v>202</v>
      </c>
      <c r="E2582" t="s">
        <v>99</v>
      </c>
      <c r="F2582" t="s">
        <v>136</v>
      </c>
      <c r="I2582" t="s">
        <v>39</v>
      </c>
      <c r="J2582" t="s">
        <v>40</v>
      </c>
      <c r="K2582" t="s">
        <v>41</v>
      </c>
      <c r="L2582" t="s">
        <v>89</v>
      </c>
      <c r="N2582" t="s">
        <v>43</v>
      </c>
      <c r="O2582" t="s">
        <v>200</v>
      </c>
      <c r="P2582">
        <v>385</v>
      </c>
      <c r="Q2582">
        <v>385</v>
      </c>
      <c r="R2582">
        <v>61</v>
      </c>
      <c r="S2582" t="s">
        <v>56</v>
      </c>
      <c r="T2582">
        <v>0.06</v>
      </c>
      <c r="U2582">
        <v>636</v>
      </c>
      <c r="V2582" t="s">
        <v>113</v>
      </c>
      <c r="W2582">
        <v>0.63500000000000001</v>
      </c>
      <c r="X2582">
        <v>18001</v>
      </c>
      <c r="Y2582" t="s">
        <v>47</v>
      </c>
      <c r="Z2582">
        <v>18</v>
      </c>
      <c r="AA2582">
        <v>301</v>
      </c>
      <c r="AB2582" t="s">
        <v>47</v>
      </c>
      <c r="AC2582">
        <v>0.3</v>
      </c>
      <c r="AD2582">
        <v>621</v>
      </c>
      <c r="AE2582" t="s">
        <v>48</v>
      </c>
      <c r="AF2582">
        <v>0.62</v>
      </c>
      <c r="AG2582">
        <v>474</v>
      </c>
      <c r="AH2582" t="s">
        <v>57</v>
      </c>
      <c r="AI2582">
        <v>0.47299999999999998</v>
      </c>
      <c r="AJ2582" t="s">
        <v>50</v>
      </c>
    </row>
    <row r="2583" spans="1:36" x14ac:dyDescent="0.25">
      <c r="A2583" t="s">
        <v>201</v>
      </c>
      <c r="B2583">
        <v>856565488</v>
      </c>
      <c r="C2583" t="s">
        <v>202</v>
      </c>
      <c r="D2583" t="s">
        <v>202</v>
      </c>
      <c r="E2583" t="s">
        <v>60</v>
      </c>
      <c r="F2583" t="s">
        <v>136</v>
      </c>
      <c r="I2583" t="s">
        <v>39</v>
      </c>
      <c r="J2583" t="s">
        <v>40</v>
      </c>
      <c r="K2583" t="s">
        <v>41</v>
      </c>
      <c r="L2583" t="s">
        <v>89</v>
      </c>
      <c r="N2583" t="s">
        <v>43</v>
      </c>
      <c r="O2583" t="s">
        <v>119</v>
      </c>
      <c r="P2583">
        <v>385</v>
      </c>
      <c r="Q2583">
        <v>385</v>
      </c>
      <c r="R2583">
        <v>1</v>
      </c>
      <c r="S2583" t="s">
        <v>45</v>
      </c>
      <c r="T2583">
        <v>0</v>
      </c>
      <c r="U2583">
        <v>413</v>
      </c>
      <c r="V2583" t="s">
        <v>55</v>
      </c>
      <c r="W2583">
        <v>0.41199999999999998</v>
      </c>
      <c r="X2583">
        <v>19001</v>
      </c>
      <c r="Y2583" t="s">
        <v>47</v>
      </c>
      <c r="Z2583">
        <v>19</v>
      </c>
      <c r="AA2583">
        <v>391</v>
      </c>
      <c r="AB2583" t="s">
        <v>47</v>
      </c>
      <c r="AC2583">
        <v>0.39</v>
      </c>
      <c r="AD2583">
        <v>739</v>
      </c>
      <c r="AE2583" t="s">
        <v>48</v>
      </c>
      <c r="AF2583">
        <v>0.73799999999999999</v>
      </c>
      <c r="AG2583">
        <v>696</v>
      </c>
      <c r="AH2583" t="s">
        <v>49</v>
      </c>
      <c r="AI2583">
        <v>0.69499999999999995</v>
      </c>
      <c r="AJ2583" t="s">
        <v>50</v>
      </c>
    </row>
    <row r="2584" spans="1:36" x14ac:dyDescent="0.25">
      <c r="A2584" t="s">
        <v>201</v>
      </c>
      <c r="B2584">
        <v>856565488</v>
      </c>
      <c r="C2584" t="s">
        <v>202</v>
      </c>
      <c r="D2584" t="s">
        <v>202</v>
      </c>
      <c r="E2584" t="s">
        <v>37</v>
      </c>
      <c r="F2584" t="s">
        <v>136</v>
      </c>
      <c r="I2584" t="s">
        <v>39</v>
      </c>
      <c r="J2584" t="s">
        <v>40</v>
      </c>
      <c r="K2584" t="s">
        <v>41</v>
      </c>
      <c r="L2584" t="s">
        <v>89</v>
      </c>
      <c r="N2584" t="s">
        <v>43</v>
      </c>
      <c r="O2584" t="s">
        <v>184</v>
      </c>
      <c r="P2584">
        <v>385</v>
      </c>
      <c r="Q2584">
        <v>385</v>
      </c>
      <c r="R2584">
        <v>21</v>
      </c>
      <c r="S2584" t="s">
        <v>45</v>
      </c>
      <c r="T2584">
        <v>0.02</v>
      </c>
      <c r="U2584">
        <v>732</v>
      </c>
      <c r="V2584" t="s">
        <v>113</v>
      </c>
      <c r="W2584">
        <v>0.73099999999999998</v>
      </c>
      <c r="X2584">
        <v>21001</v>
      </c>
      <c r="Y2584" t="s">
        <v>47</v>
      </c>
      <c r="Z2584">
        <v>21</v>
      </c>
      <c r="AA2584">
        <v>324</v>
      </c>
      <c r="AB2584" t="s">
        <v>47</v>
      </c>
      <c r="AC2584">
        <v>0.32300000000000001</v>
      </c>
      <c r="AD2584">
        <v>706</v>
      </c>
      <c r="AE2584" t="s">
        <v>48</v>
      </c>
      <c r="AF2584">
        <v>0.70499999999999996</v>
      </c>
      <c r="AG2584">
        <v>642</v>
      </c>
      <c r="AH2584" t="s">
        <v>49</v>
      </c>
      <c r="AI2584">
        <v>0.64100000000000001</v>
      </c>
      <c r="AJ2584" t="s">
        <v>1153</v>
      </c>
    </row>
    <row r="2585" spans="1:36" x14ac:dyDescent="0.25">
      <c r="A2585" t="s">
        <v>201</v>
      </c>
      <c r="B2585">
        <v>856565488</v>
      </c>
      <c r="C2585" t="s">
        <v>202</v>
      </c>
      <c r="D2585" t="s">
        <v>202</v>
      </c>
      <c r="E2585" t="s">
        <v>99</v>
      </c>
      <c r="F2585" t="s">
        <v>136</v>
      </c>
      <c r="I2585" t="s">
        <v>39</v>
      </c>
      <c r="J2585" t="s">
        <v>40</v>
      </c>
      <c r="K2585" t="s">
        <v>41</v>
      </c>
      <c r="L2585" t="s">
        <v>89</v>
      </c>
      <c r="N2585" t="s">
        <v>43</v>
      </c>
      <c r="O2585" t="s">
        <v>200</v>
      </c>
      <c r="P2585">
        <v>385</v>
      </c>
      <c r="Q2585">
        <v>385</v>
      </c>
      <c r="R2585">
        <v>61</v>
      </c>
      <c r="S2585" t="s">
        <v>56</v>
      </c>
      <c r="T2585">
        <v>0.06</v>
      </c>
      <c r="U2585">
        <v>636</v>
      </c>
      <c r="V2585" t="s">
        <v>113</v>
      </c>
      <c r="W2585">
        <v>0.63500000000000001</v>
      </c>
      <c r="X2585">
        <v>18001</v>
      </c>
      <c r="Y2585" t="s">
        <v>47</v>
      </c>
      <c r="Z2585">
        <v>18</v>
      </c>
      <c r="AA2585">
        <v>301</v>
      </c>
      <c r="AB2585" t="s">
        <v>47</v>
      </c>
      <c r="AC2585">
        <v>0.3</v>
      </c>
      <c r="AD2585">
        <v>621</v>
      </c>
      <c r="AE2585" t="s">
        <v>48</v>
      </c>
      <c r="AF2585">
        <v>0.62</v>
      </c>
      <c r="AG2585">
        <v>474</v>
      </c>
      <c r="AH2585" t="s">
        <v>57</v>
      </c>
      <c r="AI2585">
        <v>0.47299999999999998</v>
      </c>
      <c r="AJ2585" t="s">
        <v>1153</v>
      </c>
    </row>
    <row r="2586" spans="1:36" x14ac:dyDescent="0.25">
      <c r="A2586" t="s">
        <v>201</v>
      </c>
      <c r="B2586">
        <v>856565488</v>
      </c>
      <c r="C2586" t="s">
        <v>202</v>
      </c>
      <c r="D2586" t="s">
        <v>202</v>
      </c>
      <c r="E2586" t="s">
        <v>60</v>
      </c>
      <c r="F2586" t="s">
        <v>136</v>
      </c>
      <c r="I2586" t="s">
        <v>39</v>
      </c>
      <c r="J2586" t="s">
        <v>40</v>
      </c>
      <c r="K2586" t="s">
        <v>41</v>
      </c>
      <c r="L2586" t="s">
        <v>89</v>
      </c>
      <c r="N2586" t="s">
        <v>43</v>
      </c>
      <c r="O2586" t="s">
        <v>119</v>
      </c>
      <c r="P2586">
        <v>385</v>
      </c>
      <c r="Q2586">
        <v>385</v>
      </c>
      <c r="R2586">
        <v>1</v>
      </c>
      <c r="S2586" t="s">
        <v>45</v>
      </c>
      <c r="T2586">
        <v>0</v>
      </c>
      <c r="U2586">
        <v>413</v>
      </c>
      <c r="V2586" t="s">
        <v>55</v>
      </c>
      <c r="W2586">
        <v>0.41199999999999998</v>
      </c>
      <c r="X2586">
        <v>19001</v>
      </c>
      <c r="Y2586" t="s">
        <v>47</v>
      </c>
      <c r="Z2586">
        <v>19</v>
      </c>
      <c r="AA2586">
        <v>391</v>
      </c>
      <c r="AB2586" t="s">
        <v>47</v>
      </c>
      <c r="AC2586">
        <v>0.39</v>
      </c>
      <c r="AD2586">
        <v>739</v>
      </c>
      <c r="AE2586" t="s">
        <v>48</v>
      </c>
      <c r="AF2586">
        <v>0.73799999999999999</v>
      </c>
      <c r="AG2586">
        <v>696</v>
      </c>
      <c r="AH2586" t="s">
        <v>49</v>
      </c>
      <c r="AI2586">
        <v>0.69499999999999995</v>
      </c>
      <c r="AJ2586" t="s">
        <v>1153</v>
      </c>
    </row>
    <row r="2587" spans="1:36" x14ac:dyDescent="0.25">
      <c r="A2587" t="s">
        <v>201</v>
      </c>
      <c r="B2587">
        <v>856565488</v>
      </c>
      <c r="C2587" t="s">
        <v>202</v>
      </c>
      <c r="D2587" t="s">
        <v>202</v>
      </c>
      <c r="E2587" t="s">
        <v>37</v>
      </c>
      <c r="F2587" t="s">
        <v>136</v>
      </c>
      <c r="I2587" t="s">
        <v>39</v>
      </c>
      <c r="J2587" t="s">
        <v>40</v>
      </c>
      <c r="K2587" t="s">
        <v>41</v>
      </c>
      <c r="L2587" t="s">
        <v>89</v>
      </c>
      <c r="N2587" t="s">
        <v>43</v>
      </c>
      <c r="O2587" t="s">
        <v>184</v>
      </c>
      <c r="P2587">
        <v>385</v>
      </c>
      <c r="Q2587">
        <v>385</v>
      </c>
      <c r="R2587">
        <v>21</v>
      </c>
      <c r="S2587" t="s">
        <v>45</v>
      </c>
      <c r="T2587">
        <v>0.02</v>
      </c>
      <c r="U2587">
        <v>732</v>
      </c>
      <c r="V2587" t="s">
        <v>113</v>
      </c>
      <c r="W2587">
        <v>0.73099999999999998</v>
      </c>
      <c r="X2587">
        <v>21001</v>
      </c>
      <c r="Y2587" t="s">
        <v>47</v>
      </c>
      <c r="Z2587">
        <v>21</v>
      </c>
      <c r="AA2587">
        <v>324</v>
      </c>
      <c r="AB2587" t="s">
        <v>47</v>
      </c>
      <c r="AC2587">
        <v>0.32300000000000001</v>
      </c>
      <c r="AD2587">
        <v>706</v>
      </c>
      <c r="AE2587" t="s">
        <v>48</v>
      </c>
      <c r="AF2587">
        <v>0.70499999999999996</v>
      </c>
      <c r="AG2587">
        <v>642</v>
      </c>
      <c r="AH2587" t="s">
        <v>49</v>
      </c>
      <c r="AI2587">
        <v>0.64100000000000001</v>
      </c>
      <c r="AJ2587" t="s">
        <v>1154</v>
      </c>
    </row>
    <row r="2588" spans="1:36" x14ac:dyDescent="0.25">
      <c r="A2588" t="s">
        <v>201</v>
      </c>
      <c r="B2588">
        <v>856565488</v>
      </c>
      <c r="C2588" t="s">
        <v>202</v>
      </c>
      <c r="D2588" t="s">
        <v>202</v>
      </c>
      <c r="E2588" t="s">
        <v>99</v>
      </c>
      <c r="F2588" t="s">
        <v>136</v>
      </c>
      <c r="I2588" t="s">
        <v>39</v>
      </c>
      <c r="J2588" t="s">
        <v>40</v>
      </c>
      <c r="K2588" t="s">
        <v>41</v>
      </c>
      <c r="L2588" t="s">
        <v>89</v>
      </c>
      <c r="N2588" t="s">
        <v>43</v>
      </c>
      <c r="O2588" t="s">
        <v>200</v>
      </c>
      <c r="P2588">
        <v>385</v>
      </c>
      <c r="Q2588">
        <v>385</v>
      </c>
      <c r="R2588">
        <v>61</v>
      </c>
      <c r="S2588" t="s">
        <v>56</v>
      </c>
      <c r="T2588">
        <v>0.06</v>
      </c>
      <c r="U2588">
        <v>636</v>
      </c>
      <c r="V2588" t="s">
        <v>113</v>
      </c>
      <c r="W2588">
        <v>0.63500000000000001</v>
      </c>
      <c r="X2588">
        <v>18001</v>
      </c>
      <c r="Y2588" t="s">
        <v>47</v>
      </c>
      <c r="Z2588">
        <v>18</v>
      </c>
      <c r="AA2588">
        <v>301</v>
      </c>
      <c r="AB2588" t="s">
        <v>47</v>
      </c>
      <c r="AC2588">
        <v>0.3</v>
      </c>
      <c r="AD2588">
        <v>621</v>
      </c>
      <c r="AE2588" t="s">
        <v>48</v>
      </c>
      <c r="AF2588">
        <v>0.62</v>
      </c>
      <c r="AG2588">
        <v>474</v>
      </c>
      <c r="AH2588" t="s">
        <v>57</v>
      </c>
      <c r="AI2588">
        <v>0.47299999999999998</v>
      </c>
      <c r="AJ2588" t="s">
        <v>1154</v>
      </c>
    </row>
    <row r="2589" spans="1:36" x14ac:dyDescent="0.25">
      <c r="A2589" t="s">
        <v>201</v>
      </c>
      <c r="B2589">
        <v>856565488</v>
      </c>
      <c r="C2589" t="s">
        <v>202</v>
      </c>
      <c r="D2589" t="s">
        <v>202</v>
      </c>
      <c r="E2589" t="s">
        <v>60</v>
      </c>
      <c r="F2589" t="s">
        <v>136</v>
      </c>
      <c r="I2589" t="s">
        <v>39</v>
      </c>
      <c r="J2589" t="s">
        <v>40</v>
      </c>
      <c r="K2589" t="s">
        <v>41</v>
      </c>
      <c r="L2589" t="s">
        <v>89</v>
      </c>
      <c r="N2589" t="s">
        <v>43</v>
      </c>
      <c r="O2589" t="s">
        <v>119</v>
      </c>
      <c r="P2589">
        <v>385</v>
      </c>
      <c r="Q2589">
        <v>385</v>
      </c>
      <c r="R2589">
        <v>1</v>
      </c>
      <c r="S2589" t="s">
        <v>45</v>
      </c>
      <c r="T2589">
        <v>0</v>
      </c>
      <c r="U2589">
        <v>413</v>
      </c>
      <c r="V2589" t="s">
        <v>55</v>
      </c>
      <c r="W2589">
        <v>0.41199999999999998</v>
      </c>
      <c r="X2589">
        <v>19001</v>
      </c>
      <c r="Y2589" t="s">
        <v>47</v>
      </c>
      <c r="Z2589">
        <v>19</v>
      </c>
      <c r="AA2589">
        <v>391</v>
      </c>
      <c r="AB2589" t="s">
        <v>47</v>
      </c>
      <c r="AC2589">
        <v>0.39</v>
      </c>
      <c r="AD2589">
        <v>739</v>
      </c>
      <c r="AE2589" t="s">
        <v>48</v>
      </c>
      <c r="AF2589">
        <v>0.73799999999999999</v>
      </c>
      <c r="AG2589">
        <v>696</v>
      </c>
      <c r="AH2589" t="s">
        <v>49</v>
      </c>
      <c r="AI2589">
        <v>0.69499999999999995</v>
      </c>
      <c r="AJ2589" t="s">
        <v>1154</v>
      </c>
    </row>
    <row r="2590" spans="1:36" x14ac:dyDescent="0.25">
      <c r="A2590" t="s">
        <v>198</v>
      </c>
      <c r="B2590">
        <v>851632463</v>
      </c>
      <c r="C2590" t="s">
        <v>199</v>
      </c>
      <c r="D2590" t="s">
        <v>199</v>
      </c>
      <c r="E2590" t="s">
        <v>37</v>
      </c>
      <c r="F2590" t="s">
        <v>136</v>
      </c>
      <c r="I2590" t="s">
        <v>39</v>
      </c>
      <c r="J2590" t="s">
        <v>40</v>
      </c>
      <c r="K2590" t="s">
        <v>41</v>
      </c>
      <c r="L2590" t="s">
        <v>177</v>
      </c>
      <c r="M2590" t="s">
        <v>73</v>
      </c>
      <c r="N2590" t="s">
        <v>43</v>
      </c>
      <c r="O2590" t="s">
        <v>184</v>
      </c>
      <c r="P2590">
        <v>386</v>
      </c>
      <c r="Q2590">
        <v>386</v>
      </c>
      <c r="R2590">
        <v>1</v>
      </c>
      <c r="S2590" t="s">
        <v>45</v>
      </c>
      <c r="T2590">
        <v>0</v>
      </c>
      <c r="U2590">
        <v>220</v>
      </c>
      <c r="V2590" t="s">
        <v>55</v>
      </c>
      <c r="W2590">
        <v>0.219</v>
      </c>
      <c r="X2590">
        <v>16001</v>
      </c>
      <c r="Y2590" t="s">
        <v>47</v>
      </c>
      <c r="Z2590">
        <v>16</v>
      </c>
      <c r="AA2590">
        <v>228</v>
      </c>
      <c r="AB2590" t="s">
        <v>47</v>
      </c>
      <c r="AC2590">
        <v>0.22700000000000001</v>
      </c>
      <c r="AD2590">
        <v>524</v>
      </c>
      <c r="AE2590" t="s">
        <v>48</v>
      </c>
      <c r="AF2590">
        <v>0.52300000000000002</v>
      </c>
      <c r="AG2590">
        <v>778</v>
      </c>
      <c r="AH2590" t="s">
        <v>49</v>
      </c>
      <c r="AI2590">
        <v>0.77700000000000002</v>
      </c>
      <c r="AJ2590" t="s">
        <v>50</v>
      </c>
    </row>
    <row r="2591" spans="1:36" x14ac:dyDescent="0.25">
      <c r="A2591" t="s">
        <v>198</v>
      </c>
      <c r="B2591">
        <v>851632463</v>
      </c>
      <c r="C2591" t="s">
        <v>199</v>
      </c>
      <c r="D2591" t="s">
        <v>199</v>
      </c>
      <c r="E2591" t="s">
        <v>99</v>
      </c>
      <c r="F2591" t="s">
        <v>136</v>
      </c>
      <c r="I2591" t="s">
        <v>39</v>
      </c>
      <c r="J2591" t="s">
        <v>40</v>
      </c>
      <c r="K2591" t="s">
        <v>41</v>
      </c>
      <c r="L2591" t="s">
        <v>177</v>
      </c>
      <c r="M2591" t="s">
        <v>73</v>
      </c>
      <c r="N2591" t="s">
        <v>43</v>
      </c>
      <c r="O2591" t="s">
        <v>200</v>
      </c>
      <c r="P2591">
        <v>386</v>
      </c>
      <c r="Q2591">
        <v>386</v>
      </c>
      <c r="R2591">
        <v>11</v>
      </c>
      <c r="S2591" t="s">
        <v>45</v>
      </c>
      <c r="T2591">
        <v>0.01</v>
      </c>
      <c r="U2591">
        <v>866</v>
      </c>
      <c r="V2591" t="s">
        <v>113</v>
      </c>
      <c r="W2591">
        <v>0.86499999999999999</v>
      </c>
      <c r="X2591">
        <v>17001</v>
      </c>
      <c r="Y2591" t="s">
        <v>47</v>
      </c>
      <c r="Z2591">
        <v>17</v>
      </c>
      <c r="AA2591">
        <v>183</v>
      </c>
      <c r="AB2591" t="s">
        <v>47</v>
      </c>
      <c r="AC2591">
        <v>0.182</v>
      </c>
      <c r="AD2591">
        <v>509</v>
      </c>
      <c r="AE2591" t="s">
        <v>48</v>
      </c>
      <c r="AF2591">
        <v>0.50800000000000001</v>
      </c>
      <c r="AG2591">
        <v>752</v>
      </c>
      <c r="AH2591" t="s">
        <v>49</v>
      </c>
      <c r="AI2591">
        <v>0.751</v>
      </c>
      <c r="AJ2591" t="s">
        <v>50</v>
      </c>
    </row>
    <row r="2592" spans="1:36" x14ac:dyDescent="0.25">
      <c r="A2592" t="s">
        <v>198</v>
      </c>
      <c r="B2592">
        <v>851632463</v>
      </c>
      <c r="C2592" t="s">
        <v>199</v>
      </c>
      <c r="D2592" t="s">
        <v>199</v>
      </c>
      <c r="E2592" t="s">
        <v>60</v>
      </c>
      <c r="F2592" t="s">
        <v>136</v>
      </c>
      <c r="I2592" t="s">
        <v>39</v>
      </c>
      <c r="J2592" t="s">
        <v>40</v>
      </c>
      <c r="K2592" t="s">
        <v>41</v>
      </c>
      <c r="L2592" t="s">
        <v>177</v>
      </c>
      <c r="M2592" t="s">
        <v>73</v>
      </c>
      <c r="N2592" t="s">
        <v>43</v>
      </c>
      <c r="O2592" t="s">
        <v>119</v>
      </c>
      <c r="P2592">
        <v>386</v>
      </c>
      <c r="Q2592">
        <v>386</v>
      </c>
      <c r="R2592">
        <v>11</v>
      </c>
      <c r="S2592" t="s">
        <v>45</v>
      </c>
      <c r="T2592">
        <v>0.01</v>
      </c>
      <c r="U2592">
        <v>69</v>
      </c>
      <c r="V2592" t="s">
        <v>55</v>
      </c>
      <c r="W2592">
        <v>6.8000000000000005E-2</v>
      </c>
      <c r="X2592">
        <v>16001</v>
      </c>
      <c r="Y2592" t="s">
        <v>47</v>
      </c>
      <c r="Z2592">
        <v>16</v>
      </c>
      <c r="AA2592">
        <v>207</v>
      </c>
      <c r="AB2592" t="s">
        <v>47</v>
      </c>
      <c r="AC2592">
        <v>0.20599999999999999</v>
      </c>
      <c r="AD2592">
        <v>503</v>
      </c>
      <c r="AE2592" t="s">
        <v>48</v>
      </c>
      <c r="AF2592">
        <v>0.502</v>
      </c>
      <c r="AG2592">
        <v>537</v>
      </c>
      <c r="AH2592" t="s">
        <v>49</v>
      </c>
      <c r="AI2592">
        <v>0.53600000000000003</v>
      </c>
      <c r="AJ2592" t="s">
        <v>50</v>
      </c>
    </row>
    <row r="2593" spans="1:36" x14ac:dyDescent="0.25">
      <c r="A2593" t="s">
        <v>198</v>
      </c>
      <c r="B2593">
        <v>851632463</v>
      </c>
      <c r="C2593" t="s">
        <v>199</v>
      </c>
      <c r="D2593" t="s">
        <v>199</v>
      </c>
      <c r="E2593" t="s">
        <v>37</v>
      </c>
      <c r="F2593" t="s">
        <v>136</v>
      </c>
      <c r="I2593" t="s">
        <v>39</v>
      </c>
      <c r="J2593" t="s">
        <v>40</v>
      </c>
      <c r="K2593" t="s">
        <v>41</v>
      </c>
      <c r="L2593" t="s">
        <v>177</v>
      </c>
      <c r="M2593" t="s">
        <v>73</v>
      </c>
      <c r="N2593" t="s">
        <v>43</v>
      </c>
      <c r="O2593" t="s">
        <v>184</v>
      </c>
      <c r="P2593">
        <v>386</v>
      </c>
      <c r="Q2593">
        <v>386</v>
      </c>
      <c r="R2593">
        <v>1</v>
      </c>
      <c r="S2593" t="s">
        <v>45</v>
      </c>
      <c r="T2593">
        <v>0</v>
      </c>
      <c r="U2593">
        <v>220</v>
      </c>
      <c r="V2593" t="s">
        <v>55</v>
      </c>
      <c r="W2593">
        <v>0.219</v>
      </c>
      <c r="X2593">
        <v>16001</v>
      </c>
      <c r="Y2593" t="s">
        <v>47</v>
      </c>
      <c r="Z2593">
        <v>16</v>
      </c>
      <c r="AA2593">
        <v>228</v>
      </c>
      <c r="AB2593" t="s">
        <v>47</v>
      </c>
      <c r="AC2593">
        <v>0.22700000000000001</v>
      </c>
      <c r="AD2593">
        <v>524</v>
      </c>
      <c r="AE2593" t="s">
        <v>48</v>
      </c>
      <c r="AF2593">
        <v>0.52300000000000002</v>
      </c>
      <c r="AG2593">
        <v>778</v>
      </c>
      <c r="AH2593" t="s">
        <v>49</v>
      </c>
      <c r="AI2593">
        <v>0.77700000000000002</v>
      </c>
      <c r="AJ2593" t="s">
        <v>1153</v>
      </c>
    </row>
    <row r="2594" spans="1:36" x14ac:dyDescent="0.25">
      <c r="A2594" t="s">
        <v>198</v>
      </c>
      <c r="B2594">
        <v>851632463</v>
      </c>
      <c r="C2594" t="s">
        <v>199</v>
      </c>
      <c r="D2594" t="s">
        <v>199</v>
      </c>
      <c r="E2594" t="s">
        <v>99</v>
      </c>
      <c r="F2594" t="s">
        <v>136</v>
      </c>
      <c r="I2594" t="s">
        <v>39</v>
      </c>
      <c r="J2594" t="s">
        <v>40</v>
      </c>
      <c r="K2594" t="s">
        <v>41</v>
      </c>
      <c r="L2594" t="s">
        <v>177</v>
      </c>
      <c r="M2594" t="s">
        <v>73</v>
      </c>
      <c r="N2594" t="s">
        <v>43</v>
      </c>
      <c r="O2594" t="s">
        <v>200</v>
      </c>
      <c r="P2594">
        <v>386</v>
      </c>
      <c r="Q2594">
        <v>386</v>
      </c>
      <c r="R2594">
        <v>11</v>
      </c>
      <c r="S2594" t="s">
        <v>45</v>
      </c>
      <c r="T2594">
        <v>0.01</v>
      </c>
      <c r="U2594">
        <v>866</v>
      </c>
      <c r="V2594" t="s">
        <v>113</v>
      </c>
      <c r="W2594">
        <v>0.86499999999999999</v>
      </c>
      <c r="X2594">
        <v>17001</v>
      </c>
      <c r="Y2594" t="s">
        <v>47</v>
      </c>
      <c r="Z2594">
        <v>17</v>
      </c>
      <c r="AA2594">
        <v>183</v>
      </c>
      <c r="AB2594" t="s">
        <v>47</v>
      </c>
      <c r="AC2594">
        <v>0.182</v>
      </c>
      <c r="AD2594">
        <v>509</v>
      </c>
      <c r="AE2594" t="s">
        <v>48</v>
      </c>
      <c r="AF2594">
        <v>0.50800000000000001</v>
      </c>
      <c r="AG2594">
        <v>752</v>
      </c>
      <c r="AH2594" t="s">
        <v>49</v>
      </c>
      <c r="AI2594">
        <v>0.751</v>
      </c>
      <c r="AJ2594" t="s">
        <v>1153</v>
      </c>
    </row>
    <row r="2595" spans="1:36" x14ac:dyDescent="0.25">
      <c r="A2595" t="s">
        <v>198</v>
      </c>
      <c r="B2595">
        <v>851632463</v>
      </c>
      <c r="C2595" t="s">
        <v>199</v>
      </c>
      <c r="D2595" t="s">
        <v>199</v>
      </c>
      <c r="E2595" t="s">
        <v>60</v>
      </c>
      <c r="F2595" t="s">
        <v>136</v>
      </c>
      <c r="I2595" t="s">
        <v>39</v>
      </c>
      <c r="J2595" t="s">
        <v>40</v>
      </c>
      <c r="K2595" t="s">
        <v>41</v>
      </c>
      <c r="L2595" t="s">
        <v>177</v>
      </c>
      <c r="M2595" t="s">
        <v>73</v>
      </c>
      <c r="N2595" t="s">
        <v>43</v>
      </c>
      <c r="O2595" t="s">
        <v>119</v>
      </c>
      <c r="P2595">
        <v>386</v>
      </c>
      <c r="Q2595">
        <v>386</v>
      </c>
      <c r="R2595">
        <v>11</v>
      </c>
      <c r="S2595" t="s">
        <v>45</v>
      </c>
      <c r="T2595">
        <v>0.01</v>
      </c>
      <c r="U2595">
        <v>69</v>
      </c>
      <c r="V2595" t="s">
        <v>55</v>
      </c>
      <c r="W2595">
        <v>6.8000000000000005E-2</v>
      </c>
      <c r="X2595">
        <v>16001</v>
      </c>
      <c r="Y2595" t="s">
        <v>47</v>
      </c>
      <c r="Z2595">
        <v>16</v>
      </c>
      <c r="AA2595">
        <v>207</v>
      </c>
      <c r="AB2595" t="s">
        <v>47</v>
      </c>
      <c r="AC2595">
        <v>0.20599999999999999</v>
      </c>
      <c r="AD2595">
        <v>503</v>
      </c>
      <c r="AE2595" t="s">
        <v>48</v>
      </c>
      <c r="AF2595">
        <v>0.502</v>
      </c>
      <c r="AG2595">
        <v>537</v>
      </c>
      <c r="AH2595" t="s">
        <v>49</v>
      </c>
      <c r="AI2595">
        <v>0.53600000000000003</v>
      </c>
      <c r="AJ2595" t="s">
        <v>1153</v>
      </c>
    </row>
    <row r="2596" spans="1:36" x14ac:dyDescent="0.25">
      <c r="A2596" t="s">
        <v>198</v>
      </c>
      <c r="B2596">
        <v>851632463</v>
      </c>
      <c r="C2596" t="s">
        <v>199</v>
      </c>
      <c r="D2596" t="s">
        <v>199</v>
      </c>
      <c r="E2596" t="s">
        <v>37</v>
      </c>
      <c r="F2596" t="s">
        <v>136</v>
      </c>
      <c r="I2596" t="s">
        <v>39</v>
      </c>
      <c r="J2596" t="s">
        <v>40</v>
      </c>
      <c r="K2596" t="s">
        <v>41</v>
      </c>
      <c r="L2596" t="s">
        <v>177</v>
      </c>
      <c r="M2596" t="s">
        <v>73</v>
      </c>
      <c r="N2596" t="s">
        <v>43</v>
      </c>
      <c r="O2596" t="s">
        <v>184</v>
      </c>
      <c r="P2596">
        <v>386</v>
      </c>
      <c r="Q2596">
        <v>386</v>
      </c>
      <c r="R2596">
        <v>1</v>
      </c>
      <c r="S2596" t="s">
        <v>45</v>
      </c>
      <c r="T2596">
        <v>0</v>
      </c>
      <c r="U2596">
        <v>220</v>
      </c>
      <c r="V2596" t="s">
        <v>55</v>
      </c>
      <c r="W2596">
        <v>0.219</v>
      </c>
      <c r="X2596">
        <v>16001</v>
      </c>
      <c r="Y2596" t="s">
        <v>47</v>
      </c>
      <c r="Z2596">
        <v>16</v>
      </c>
      <c r="AA2596">
        <v>228</v>
      </c>
      <c r="AB2596" t="s">
        <v>47</v>
      </c>
      <c r="AC2596">
        <v>0.22700000000000001</v>
      </c>
      <c r="AD2596">
        <v>524</v>
      </c>
      <c r="AE2596" t="s">
        <v>48</v>
      </c>
      <c r="AF2596">
        <v>0.52300000000000002</v>
      </c>
      <c r="AG2596">
        <v>778</v>
      </c>
      <c r="AH2596" t="s">
        <v>49</v>
      </c>
      <c r="AI2596">
        <v>0.77700000000000002</v>
      </c>
      <c r="AJ2596" t="s">
        <v>1154</v>
      </c>
    </row>
    <row r="2597" spans="1:36" x14ac:dyDescent="0.25">
      <c r="A2597" t="s">
        <v>198</v>
      </c>
      <c r="B2597">
        <v>851632463</v>
      </c>
      <c r="C2597" t="s">
        <v>199</v>
      </c>
      <c r="D2597" t="s">
        <v>199</v>
      </c>
      <c r="E2597" t="s">
        <v>99</v>
      </c>
      <c r="F2597" t="s">
        <v>136</v>
      </c>
      <c r="I2597" t="s">
        <v>39</v>
      </c>
      <c r="J2597" t="s">
        <v>40</v>
      </c>
      <c r="K2597" t="s">
        <v>41</v>
      </c>
      <c r="L2597" t="s">
        <v>177</v>
      </c>
      <c r="M2597" t="s">
        <v>73</v>
      </c>
      <c r="N2597" t="s">
        <v>43</v>
      </c>
      <c r="O2597" t="s">
        <v>200</v>
      </c>
      <c r="P2597">
        <v>386</v>
      </c>
      <c r="Q2597">
        <v>386</v>
      </c>
      <c r="R2597">
        <v>11</v>
      </c>
      <c r="S2597" t="s">
        <v>45</v>
      </c>
      <c r="T2597">
        <v>0.01</v>
      </c>
      <c r="U2597">
        <v>866</v>
      </c>
      <c r="V2597" t="s">
        <v>113</v>
      </c>
      <c r="W2597">
        <v>0.86499999999999999</v>
      </c>
      <c r="X2597">
        <v>17001</v>
      </c>
      <c r="Y2597" t="s">
        <v>47</v>
      </c>
      <c r="Z2597">
        <v>17</v>
      </c>
      <c r="AA2597">
        <v>183</v>
      </c>
      <c r="AB2597" t="s">
        <v>47</v>
      </c>
      <c r="AC2597">
        <v>0.182</v>
      </c>
      <c r="AD2597">
        <v>509</v>
      </c>
      <c r="AE2597" t="s">
        <v>48</v>
      </c>
      <c r="AF2597">
        <v>0.50800000000000001</v>
      </c>
      <c r="AG2597">
        <v>752</v>
      </c>
      <c r="AH2597" t="s">
        <v>49</v>
      </c>
      <c r="AI2597">
        <v>0.751</v>
      </c>
      <c r="AJ2597" t="s">
        <v>1154</v>
      </c>
    </row>
    <row r="2598" spans="1:36" x14ac:dyDescent="0.25">
      <c r="A2598" t="s">
        <v>198</v>
      </c>
      <c r="B2598">
        <v>851632463</v>
      </c>
      <c r="C2598" t="s">
        <v>199</v>
      </c>
      <c r="D2598" t="s">
        <v>199</v>
      </c>
      <c r="E2598" t="s">
        <v>60</v>
      </c>
      <c r="F2598" t="s">
        <v>136</v>
      </c>
      <c r="I2598" t="s">
        <v>39</v>
      </c>
      <c r="J2598" t="s">
        <v>40</v>
      </c>
      <c r="K2598" t="s">
        <v>41</v>
      </c>
      <c r="L2598" t="s">
        <v>177</v>
      </c>
      <c r="M2598" t="s">
        <v>73</v>
      </c>
      <c r="N2598" t="s">
        <v>43</v>
      </c>
      <c r="O2598" t="s">
        <v>119</v>
      </c>
      <c r="P2598">
        <v>386</v>
      </c>
      <c r="Q2598">
        <v>386</v>
      </c>
      <c r="R2598">
        <v>11</v>
      </c>
      <c r="S2598" t="s">
        <v>45</v>
      </c>
      <c r="T2598">
        <v>0.01</v>
      </c>
      <c r="U2598">
        <v>69</v>
      </c>
      <c r="V2598" t="s">
        <v>55</v>
      </c>
      <c r="W2598">
        <v>6.8000000000000005E-2</v>
      </c>
      <c r="X2598">
        <v>16001</v>
      </c>
      <c r="Y2598" t="s">
        <v>47</v>
      </c>
      <c r="Z2598">
        <v>16</v>
      </c>
      <c r="AA2598">
        <v>207</v>
      </c>
      <c r="AB2598" t="s">
        <v>47</v>
      </c>
      <c r="AC2598">
        <v>0.20599999999999999</v>
      </c>
      <c r="AD2598">
        <v>503</v>
      </c>
      <c r="AE2598" t="s">
        <v>48</v>
      </c>
      <c r="AF2598">
        <v>0.502</v>
      </c>
      <c r="AG2598">
        <v>537</v>
      </c>
      <c r="AH2598" t="s">
        <v>49</v>
      </c>
      <c r="AI2598">
        <v>0.53600000000000003</v>
      </c>
      <c r="AJ2598" t="s">
        <v>1154</v>
      </c>
    </row>
    <row r="2599" spans="1:36" x14ac:dyDescent="0.25">
      <c r="A2599" t="s">
        <v>195</v>
      </c>
      <c r="B2599">
        <v>854983279</v>
      </c>
      <c r="C2599" t="s">
        <v>196</v>
      </c>
      <c r="D2599" t="s">
        <v>196</v>
      </c>
      <c r="E2599" t="s">
        <v>37</v>
      </c>
      <c r="F2599" t="s">
        <v>122</v>
      </c>
      <c r="I2599" t="s">
        <v>39</v>
      </c>
      <c r="J2599" t="s">
        <v>40</v>
      </c>
      <c r="K2599" t="s">
        <v>41</v>
      </c>
      <c r="L2599" t="s">
        <v>197</v>
      </c>
      <c r="M2599" t="s">
        <v>73</v>
      </c>
      <c r="N2599" t="s">
        <v>43</v>
      </c>
      <c r="O2599" t="s">
        <v>74</v>
      </c>
      <c r="P2599">
        <v>386</v>
      </c>
      <c r="Q2599">
        <v>386</v>
      </c>
      <c r="R2599">
        <v>81</v>
      </c>
      <c r="S2599" t="s">
        <v>56</v>
      </c>
      <c r="T2599">
        <v>0.08</v>
      </c>
      <c r="U2599">
        <v>41</v>
      </c>
      <c r="V2599" t="s">
        <v>55</v>
      </c>
      <c r="W2599">
        <v>0.04</v>
      </c>
      <c r="X2599">
        <v>12001</v>
      </c>
      <c r="Y2599" t="s">
        <v>47</v>
      </c>
      <c r="Z2599">
        <v>12</v>
      </c>
      <c r="AA2599">
        <v>142</v>
      </c>
      <c r="AB2599" t="s">
        <v>47</v>
      </c>
      <c r="AC2599">
        <v>0.14099999999999999</v>
      </c>
      <c r="AD2599">
        <v>374</v>
      </c>
      <c r="AE2599" t="s">
        <v>56</v>
      </c>
      <c r="AF2599">
        <v>0.373</v>
      </c>
      <c r="AG2599">
        <v>597</v>
      </c>
      <c r="AH2599" t="s">
        <v>49</v>
      </c>
      <c r="AI2599">
        <v>0.59599999999999997</v>
      </c>
      <c r="AJ2599" t="s">
        <v>50</v>
      </c>
    </row>
    <row r="2600" spans="1:36" x14ac:dyDescent="0.25">
      <c r="A2600" t="s">
        <v>195</v>
      </c>
      <c r="B2600">
        <v>854983279</v>
      </c>
      <c r="C2600" t="s">
        <v>196</v>
      </c>
      <c r="D2600" t="s">
        <v>196</v>
      </c>
      <c r="E2600" t="s">
        <v>60</v>
      </c>
      <c r="F2600" t="s">
        <v>122</v>
      </c>
      <c r="I2600" t="s">
        <v>39</v>
      </c>
      <c r="J2600" t="s">
        <v>40</v>
      </c>
      <c r="K2600" t="s">
        <v>41</v>
      </c>
      <c r="L2600" t="s">
        <v>197</v>
      </c>
      <c r="M2600" t="s">
        <v>73</v>
      </c>
      <c r="N2600" t="s">
        <v>43</v>
      </c>
      <c r="O2600" t="s">
        <v>180</v>
      </c>
      <c r="P2600">
        <v>386</v>
      </c>
      <c r="Q2600">
        <v>386</v>
      </c>
      <c r="R2600">
        <v>1</v>
      </c>
      <c r="S2600" t="s">
        <v>45</v>
      </c>
      <c r="T2600">
        <v>0</v>
      </c>
      <c r="U2600">
        <v>340</v>
      </c>
      <c r="V2600" t="s">
        <v>55</v>
      </c>
      <c r="W2600">
        <v>0.33900000000000002</v>
      </c>
      <c r="X2600">
        <v>16001</v>
      </c>
      <c r="Y2600" t="s">
        <v>47</v>
      </c>
      <c r="Z2600">
        <v>16</v>
      </c>
      <c r="AA2600">
        <v>221</v>
      </c>
      <c r="AB2600" t="s">
        <v>47</v>
      </c>
      <c r="AC2600">
        <v>0.22</v>
      </c>
      <c r="AD2600">
        <v>529</v>
      </c>
      <c r="AE2600" t="s">
        <v>48</v>
      </c>
      <c r="AF2600">
        <v>0.52800000000000002</v>
      </c>
      <c r="AG2600">
        <v>820</v>
      </c>
      <c r="AH2600" t="s">
        <v>49</v>
      </c>
      <c r="AI2600">
        <v>0.81899999999999995</v>
      </c>
      <c r="AJ2600" t="s">
        <v>50</v>
      </c>
    </row>
    <row r="2601" spans="1:36" x14ac:dyDescent="0.25">
      <c r="A2601" t="s">
        <v>195</v>
      </c>
      <c r="B2601">
        <v>854983279</v>
      </c>
      <c r="C2601" t="s">
        <v>196</v>
      </c>
      <c r="D2601" t="s">
        <v>196</v>
      </c>
      <c r="E2601" t="s">
        <v>37</v>
      </c>
      <c r="F2601" t="s">
        <v>122</v>
      </c>
      <c r="I2601" t="s">
        <v>39</v>
      </c>
      <c r="J2601" t="s">
        <v>40</v>
      </c>
      <c r="K2601" t="s">
        <v>41</v>
      </c>
      <c r="L2601" t="s">
        <v>197</v>
      </c>
      <c r="M2601" t="s">
        <v>73</v>
      </c>
      <c r="N2601" t="s">
        <v>43</v>
      </c>
      <c r="O2601" t="s">
        <v>74</v>
      </c>
      <c r="P2601">
        <v>386</v>
      </c>
      <c r="Q2601">
        <v>386</v>
      </c>
      <c r="R2601">
        <v>81</v>
      </c>
      <c r="S2601" t="s">
        <v>56</v>
      </c>
      <c r="T2601">
        <v>0.08</v>
      </c>
      <c r="U2601">
        <v>41</v>
      </c>
      <c r="V2601" t="s">
        <v>55</v>
      </c>
      <c r="W2601">
        <v>0.04</v>
      </c>
      <c r="X2601">
        <v>12001</v>
      </c>
      <c r="Y2601" t="s">
        <v>47</v>
      </c>
      <c r="Z2601">
        <v>12</v>
      </c>
      <c r="AA2601">
        <v>142</v>
      </c>
      <c r="AB2601" t="s">
        <v>47</v>
      </c>
      <c r="AC2601">
        <v>0.14099999999999999</v>
      </c>
      <c r="AD2601">
        <v>374</v>
      </c>
      <c r="AE2601" t="s">
        <v>56</v>
      </c>
      <c r="AF2601">
        <v>0.373</v>
      </c>
      <c r="AG2601">
        <v>597</v>
      </c>
      <c r="AH2601" t="s">
        <v>49</v>
      </c>
      <c r="AI2601">
        <v>0.59599999999999997</v>
      </c>
      <c r="AJ2601" t="s">
        <v>1153</v>
      </c>
    </row>
    <row r="2602" spans="1:36" x14ac:dyDescent="0.25">
      <c r="A2602" t="s">
        <v>195</v>
      </c>
      <c r="B2602">
        <v>854983279</v>
      </c>
      <c r="C2602" t="s">
        <v>196</v>
      </c>
      <c r="D2602" t="s">
        <v>196</v>
      </c>
      <c r="E2602" t="s">
        <v>60</v>
      </c>
      <c r="F2602" t="s">
        <v>122</v>
      </c>
      <c r="I2602" t="s">
        <v>39</v>
      </c>
      <c r="J2602" t="s">
        <v>40</v>
      </c>
      <c r="K2602" t="s">
        <v>41</v>
      </c>
      <c r="L2602" t="s">
        <v>197</v>
      </c>
      <c r="M2602" t="s">
        <v>73</v>
      </c>
      <c r="N2602" t="s">
        <v>43</v>
      </c>
      <c r="O2602" t="s">
        <v>180</v>
      </c>
      <c r="P2602">
        <v>386</v>
      </c>
      <c r="Q2602">
        <v>386</v>
      </c>
      <c r="R2602">
        <v>1</v>
      </c>
      <c r="S2602" t="s">
        <v>45</v>
      </c>
      <c r="T2602">
        <v>0</v>
      </c>
      <c r="U2602">
        <v>340</v>
      </c>
      <c r="V2602" t="s">
        <v>55</v>
      </c>
      <c r="W2602">
        <v>0.33900000000000002</v>
      </c>
      <c r="X2602">
        <v>16001</v>
      </c>
      <c r="Y2602" t="s">
        <v>47</v>
      </c>
      <c r="Z2602">
        <v>16</v>
      </c>
      <c r="AA2602">
        <v>221</v>
      </c>
      <c r="AB2602" t="s">
        <v>47</v>
      </c>
      <c r="AC2602">
        <v>0.22</v>
      </c>
      <c r="AD2602">
        <v>529</v>
      </c>
      <c r="AE2602" t="s">
        <v>48</v>
      </c>
      <c r="AF2602">
        <v>0.52800000000000002</v>
      </c>
      <c r="AG2602">
        <v>820</v>
      </c>
      <c r="AH2602" t="s">
        <v>49</v>
      </c>
      <c r="AI2602">
        <v>0.81899999999999995</v>
      </c>
      <c r="AJ2602" t="s">
        <v>1153</v>
      </c>
    </row>
    <row r="2603" spans="1:36" x14ac:dyDescent="0.25">
      <c r="A2603" t="s">
        <v>195</v>
      </c>
      <c r="B2603">
        <v>854983279</v>
      </c>
      <c r="C2603" t="s">
        <v>196</v>
      </c>
      <c r="D2603" t="s">
        <v>196</v>
      </c>
      <c r="E2603" t="s">
        <v>37</v>
      </c>
      <c r="F2603" t="s">
        <v>122</v>
      </c>
      <c r="I2603" t="s">
        <v>39</v>
      </c>
      <c r="J2603" t="s">
        <v>40</v>
      </c>
      <c r="K2603" t="s">
        <v>41</v>
      </c>
      <c r="L2603" t="s">
        <v>197</v>
      </c>
      <c r="M2603" t="s">
        <v>73</v>
      </c>
      <c r="N2603" t="s">
        <v>43</v>
      </c>
      <c r="O2603" t="s">
        <v>74</v>
      </c>
      <c r="P2603">
        <v>386</v>
      </c>
      <c r="Q2603">
        <v>386</v>
      </c>
      <c r="R2603">
        <v>81</v>
      </c>
      <c r="S2603" t="s">
        <v>56</v>
      </c>
      <c r="T2603">
        <v>0.08</v>
      </c>
      <c r="U2603">
        <v>41</v>
      </c>
      <c r="V2603" t="s">
        <v>55</v>
      </c>
      <c r="W2603">
        <v>0.04</v>
      </c>
      <c r="X2603">
        <v>12001</v>
      </c>
      <c r="Y2603" t="s">
        <v>47</v>
      </c>
      <c r="Z2603">
        <v>12</v>
      </c>
      <c r="AA2603">
        <v>142</v>
      </c>
      <c r="AB2603" t="s">
        <v>47</v>
      </c>
      <c r="AC2603">
        <v>0.14099999999999999</v>
      </c>
      <c r="AD2603">
        <v>374</v>
      </c>
      <c r="AE2603" t="s">
        <v>56</v>
      </c>
      <c r="AF2603">
        <v>0.373</v>
      </c>
      <c r="AG2603">
        <v>597</v>
      </c>
      <c r="AH2603" t="s">
        <v>49</v>
      </c>
      <c r="AI2603">
        <v>0.59599999999999997</v>
      </c>
      <c r="AJ2603" t="s">
        <v>1154</v>
      </c>
    </row>
    <row r="2604" spans="1:36" x14ac:dyDescent="0.25">
      <c r="A2604" t="s">
        <v>195</v>
      </c>
      <c r="B2604">
        <v>854983279</v>
      </c>
      <c r="C2604" t="s">
        <v>196</v>
      </c>
      <c r="D2604" t="s">
        <v>196</v>
      </c>
      <c r="E2604" t="s">
        <v>60</v>
      </c>
      <c r="F2604" t="s">
        <v>122</v>
      </c>
      <c r="I2604" t="s">
        <v>39</v>
      </c>
      <c r="J2604" t="s">
        <v>40</v>
      </c>
      <c r="K2604" t="s">
        <v>41</v>
      </c>
      <c r="L2604" t="s">
        <v>197</v>
      </c>
      <c r="M2604" t="s">
        <v>73</v>
      </c>
      <c r="N2604" t="s">
        <v>43</v>
      </c>
      <c r="O2604" t="s">
        <v>180</v>
      </c>
      <c r="P2604">
        <v>386</v>
      </c>
      <c r="Q2604">
        <v>386</v>
      </c>
      <c r="R2604">
        <v>1</v>
      </c>
      <c r="S2604" t="s">
        <v>45</v>
      </c>
      <c r="T2604">
        <v>0</v>
      </c>
      <c r="U2604">
        <v>340</v>
      </c>
      <c r="V2604" t="s">
        <v>55</v>
      </c>
      <c r="W2604">
        <v>0.33900000000000002</v>
      </c>
      <c r="X2604">
        <v>16001</v>
      </c>
      <c r="Y2604" t="s">
        <v>47</v>
      </c>
      <c r="Z2604">
        <v>16</v>
      </c>
      <c r="AA2604">
        <v>221</v>
      </c>
      <c r="AB2604" t="s">
        <v>47</v>
      </c>
      <c r="AC2604">
        <v>0.22</v>
      </c>
      <c r="AD2604">
        <v>529</v>
      </c>
      <c r="AE2604" t="s">
        <v>48</v>
      </c>
      <c r="AF2604">
        <v>0.52800000000000002</v>
      </c>
      <c r="AG2604">
        <v>820</v>
      </c>
      <c r="AH2604" t="s">
        <v>49</v>
      </c>
      <c r="AI2604">
        <v>0.81899999999999995</v>
      </c>
      <c r="AJ2604" t="s">
        <v>1154</v>
      </c>
    </row>
    <row r="2605" spans="1:36" x14ac:dyDescent="0.25">
      <c r="A2605" t="s">
        <v>189</v>
      </c>
      <c r="B2605">
        <v>852414771</v>
      </c>
      <c r="C2605" t="s">
        <v>190</v>
      </c>
      <c r="D2605" t="s">
        <v>190</v>
      </c>
      <c r="E2605" t="s">
        <v>60</v>
      </c>
      <c r="F2605" t="s">
        <v>191</v>
      </c>
      <c r="I2605" t="s">
        <v>39</v>
      </c>
      <c r="J2605" t="s">
        <v>40</v>
      </c>
      <c r="K2605" t="s">
        <v>41</v>
      </c>
      <c r="L2605" t="s">
        <v>192</v>
      </c>
      <c r="M2605" t="s">
        <v>193</v>
      </c>
      <c r="N2605" t="s">
        <v>43</v>
      </c>
      <c r="O2605" t="s">
        <v>194</v>
      </c>
      <c r="P2605">
        <v>387</v>
      </c>
      <c r="Q2605">
        <v>387</v>
      </c>
      <c r="R2605">
        <v>821</v>
      </c>
      <c r="S2605" t="s">
        <v>56</v>
      </c>
      <c r="T2605">
        <v>0.82</v>
      </c>
      <c r="U2605">
        <v>34</v>
      </c>
      <c r="V2605" t="s">
        <v>55</v>
      </c>
      <c r="W2605">
        <v>3.3000000000000002E-2</v>
      </c>
      <c r="X2605">
        <v>1</v>
      </c>
      <c r="Y2605" t="s">
        <v>47</v>
      </c>
      <c r="Z2605">
        <v>0</v>
      </c>
      <c r="AA2605">
        <v>277</v>
      </c>
      <c r="AB2605" t="s">
        <v>47</v>
      </c>
      <c r="AC2605">
        <v>0.27600000000000002</v>
      </c>
      <c r="AD2605">
        <v>379</v>
      </c>
      <c r="AE2605" t="s">
        <v>56</v>
      </c>
      <c r="AF2605">
        <v>0.378</v>
      </c>
      <c r="AG2605">
        <v>326</v>
      </c>
      <c r="AH2605" t="s">
        <v>57</v>
      </c>
      <c r="AI2605">
        <v>0.32500000000000001</v>
      </c>
      <c r="AJ2605" t="s">
        <v>50</v>
      </c>
    </row>
    <row r="2606" spans="1:36" x14ac:dyDescent="0.25">
      <c r="A2606" t="s">
        <v>189</v>
      </c>
      <c r="B2606">
        <v>852414771</v>
      </c>
      <c r="C2606" t="s">
        <v>190</v>
      </c>
      <c r="D2606" t="s">
        <v>190</v>
      </c>
      <c r="E2606" t="s">
        <v>60</v>
      </c>
      <c r="F2606" t="s">
        <v>191</v>
      </c>
      <c r="I2606" t="s">
        <v>39</v>
      </c>
      <c r="J2606" t="s">
        <v>40</v>
      </c>
      <c r="K2606" t="s">
        <v>41</v>
      </c>
      <c r="L2606" t="s">
        <v>192</v>
      </c>
      <c r="M2606" t="s">
        <v>193</v>
      </c>
      <c r="N2606" t="s">
        <v>43</v>
      </c>
      <c r="O2606" t="s">
        <v>194</v>
      </c>
      <c r="P2606">
        <v>387</v>
      </c>
      <c r="Q2606">
        <v>387</v>
      </c>
      <c r="R2606">
        <v>821</v>
      </c>
      <c r="S2606" t="s">
        <v>56</v>
      </c>
      <c r="T2606">
        <v>0.82</v>
      </c>
      <c r="U2606">
        <v>34</v>
      </c>
      <c r="V2606" t="s">
        <v>55</v>
      </c>
      <c r="W2606">
        <v>3.3000000000000002E-2</v>
      </c>
      <c r="X2606">
        <v>1</v>
      </c>
      <c r="Y2606" t="s">
        <v>47</v>
      </c>
      <c r="Z2606">
        <v>0</v>
      </c>
      <c r="AA2606">
        <v>277</v>
      </c>
      <c r="AB2606" t="s">
        <v>47</v>
      </c>
      <c r="AC2606">
        <v>0.27600000000000002</v>
      </c>
      <c r="AD2606">
        <v>379</v>
      </c>
      <c r="AE2606" t="s">
        <v>56</v>
      </c>
      <c r="AF2606">
        <v>0.378</v>
      </c>
      <c r="AG2606">
        <v>326</v>
      </c>
      <c r="AH2606" t="s">
        <v>57</v>
      </c>
      <c r="AI2606">
        <v>0.32500000000000001</v>
      </c>
      <c r="AJ2606" t="s">
        <v>1153</v>
      </c>
    </row>
    <row r="2607" spans="1:36" x14ac:dyDescent="0.25">
      <c r="A2607" t="s">
        <v>189</v>
      </c>
      <c r="B2607">
        <v>852414771</v>
      </c>
      <c r="C2607" t="s">
        <v>190</v>
      </c>
      <c r="D2607" t="s">
        <v>190</v>
      </c>
      <c r="E2607" t="s">
        <v>60</v>
      </c>
      <c r="F2607" t="s">
        <v>191</v>
      </c>
      <c r="I2607" t="s">
        <v>39</v>
      </c>
      <c r="J2607" t="s">
        <v>40</v>
      </c>
      <c r="K2607" t="s">
        <v>41</v>
      </c>
      <c r="L2607" t="s">
        <v>192</v>
      </c>
      <c r="M2607" t="s">
        <v>193</v>
      </c>
      <c r="N2607" t="s">
        <v>43</v>
      </c>
      <c r="O2607" t="s">
        <v>194</v>
      </c>
      <c r="P2607">
        <v>387</v>
      </c>
      <c r="Q2607">
        <v>387</v>
      </c>
      <c r="R2607">
        <v>821</v>
      </c>
      <c r="S2607" t="s">
        <v>56</v>
      </c>
      <c r="T2607">
        <v>0.82</v>
      </c>
      <c r="U2607">
        <v>34</v>
      </c>
      <c r="V2607" t="s">
        <v>55</v>
      </c>
      <c r="W2607">
        <v>3.3000000000000002E-2</v>
      </c>
      <c r="X2607">
        <v>1</v>
      </c>
      <c r="Y2607" t="s">
        <v>47</v>
      </c>
      <c r="Z2607">
        <v>0</v>
      </c>
      <c r="AA2607">
        <v>277</v>
      </c>
      <c r="AB2607" t="s">
        <v>47</v>
      </c>
      <c r="AC2607">
        <v>0.27600000000000002</v>
      </c>
      <c r="AD2607">
        <v>379</v>
      </c>
      <c r="AE2607" t="s">
        <v>56</v>
      </c>
      <c r="AF2607">
        <v>0.378</v>
      </c>
      <c r="AG2607">
        <v>326</v>
      </c>
      <c r="AH2607" t="s">
        <v>57</v>
      </c>
      <c r="AI2607">
        <v>0.32500000000000001</v>
      </c>
      <c r="AJ2607" t="s">
        <v>1154</v>
      </c>
    </row>
    <row r="2608" spans="1:36" x14ac:dyDescent="0.25">
      <c r="A2608" t="s">
        <v>187</v>
      </c>
      <c r="B2608">
        <v>867371342</v>
      </c>
      <c r="C2608" t="s">
        <v>188</v>
      </c>
      <c r="D2608" t="s">
        <v>188</v>
      </c>
      <c r="E2608" t="s">
        <v>65</v>
      </c>
      <c r="F2608" t="s">
        <v>166</v>
      </c>
      <c r="I2608" t="s">
        <v>39</v>
      </c>
      <c r="J2608" t="s">
        <v>40</v>
      </c>
      <c r="K2608" t="s">
        <v>41</v>
      </c>
      <c r="L2608" t="s">
        <v>173</v>
      </c>
      <c r="N2608" t="s">
        <v>43</v>
      </c>
      <c r="O2608" t="s">
        <v>84</v>
      </c>
      <c r="P2608">
        <v>388</v>
      </c>
      <c r="Q2608">
        <v>388</v>
      </c>
      <c r="R2608">
        <v>131</v>
      </c>
      <c r="S2608" t="s">
        <v>56</v>
      </c>
      <c r="T2608">
        <v>0.13</v>
      </c>
      <c r="U2608">
        <v>10</v>
      </c>
      <c r="V2608" t="s">
        <v>55</v>
      </c>
      <c r="W2608">
        <v>8.9999999999999993E-3</v>
      </c>
      <c r="X2608">
        <v>1</v>
      </c>
      <c r="Y2608" t="s">
        <v>47</v>
      </c>
      <c r="Z2608">
        <v>0</v>
      </c>
      <c r="AA2608">
        <v>189</v>
      </c>
      <c r="AB2608" t="s">
        <v>47</v>
      </c>
      <c r="AC2608">
        <v>0.188</v>
      </c>
      <c r="AD2608">
        <v>315</v>
      </c>
      <c r="AE2608" t="s">
        <v>56</v>
      </c>
      <c r="AF2608">
        <v>0.314</v>
      </c>
      <c r="AG2608">
        <v>451</v>
      </c>
      <c r="AH2608" t="s">
        <v>57</v>
      </c>
      <c r="AI2608">
        <v>0.45</v>
      </c>
      <c r="AJ2608" t="s">
        <v>50</v>
      </c>
    </row>
    <row r="2609" spans="1:36" x14ac:dyDescent="0.25">
      <c r="A2609" t="s">
        <v>187</v>
      </c>
      <c r="B2609">
        <v>867371342</v>
      </c>
      <c r="C2609" t="s">
        <v>188</v>
      </c>
      <c r="D2609" t="s">
        <v>188</v>
      </c>
      <c r="E2609" t="s">
        <v>65</v>
      </c>
      <c r="F2609" t="s">
        <v>166</v>
      </c>
      <c r="I2609" t="s">
        <v>39</v>
      </c>
      <c r="J2609" t="s">
        <v>40</v>
      </c>
      <c r="K2609" t="s">
        <v>41</v>
      </c>
      <c r="L2609" t="s">
        <v>173</v>
      </c>
      <c r="N2609" t="s">
        <v>43</v>
      </c>
      <c r="O2609" t="s">
        <v>84</v>
      </c>
      <c r="P2609">
        <v>388</v>
      </c>
      <c r="Q2609">
        <v>388</v>
      </c>
      <c r="R2609">
        <v>131</v>
      </c>
      <c r="S2609" t="s">
        <v>56</v>
      </c>
      <c r="T2609">
        <v>0.13</v>
      </c>
      <c r="U2609">
        <v>10</v>
      </c>
      <c r="V2609" t="s">
        <v>55</v>
      </c>
      <c r="W2609">
        <v>8.9999999999999993E-3</v>
      </c>
      <c r="X2609">
        <v>1</v>
      </c>
      <c r="Y2609" t="s">
        <v>47</v>
      </c>
      <c r="Z2609">
        <v>0</v>
      </c>
      <c r="AA2609">
        <v>189</v>
      </c>
      <c r="AB2609" t="s">
        <v>47</v>
      </c>
      <c r="AC2609">
        <v>0.188</v>
      </c>
      <c r="AD2609">
        <v>315</v>
      </c>
      <c r="AE2609" t="s">
        <v>56</v>
      </c>
      <c r="AF2609">
        <v>0.314</v>
      </c>
      <c r="AG2609">
        <v>451</v>
      </c>
      <c r="AH2609" t="s">
        <v>57</v>
      </c>
      <c r="AI2609">
        <v>0.45</v>
      </c>
      <c r="AJ2609" t="s">
        <v>1153</v>
      </c>
    </row>
    <row r="2610" spans="1:36" x14ac:dyDescent="0.25">
      <c r="A2610" t="s">
        <v>187</v>
      </c>
      <c r="B2610">
        <v>867371342</v>
      </c>
      <c r="C2610" t="s">
        <v>188</v>
      </c>
      <c r="D2610" t="s">
        <v>188</v>
      </c>
      <c r="E2610" t="s">
        <v>65</v>
      </c>
      <c r="F2610" t="s">
        <v>166</v>
      </c>
      <c r="I2610" t="s">
        <v>39</v>
      </c>
      <c r="J2610" t="s">
        <v>40</v>
      </c>
      <c r="K2610" t="s">
        <v>41</v>
      </c>
      <c r="L2610" t="s">
        <v>173</v>
      </c>
      <c r="N2610" t="s">
        <v>43</v>
      </c>
      <c r="O2610" t="s">
        <v>84</v>
      </c>
      <c r="P2610">
        <v>388</v>
      </c>
      <c r="Q2610">
        <v>388</v>
      </c>
      <c r="R2610">
        <v>131</v>
      </c>
      <c r="S2610" t="s">
        <v>56</v>
      </c>
      <c r="T2610">
        <v>0.13</v>
      </c>
      <c r="U2610">
        <v>10</v>
      </c>
      <c r="V2610" t="s">
        <v>55</v>
      </c>
      <c r="W2610">
        <v>8.9999999999999993E-3</v>
      </c>
      <c r="X2610">
        <v>1</v>
      </c>
      <c r="Y2610" t="s">
        <v>47</v>
      </c>
      <c r="Z2610">
        <v>0</v>
      </c>
      <c r="AA2610">
        <v>189</v>
      </c>
      <c r="AB2610" t="s">
        <v>47</v>
      </c>
      <c r="AC2610">
        <v>0.188</v>
      </c>
      <c r="AD2610">
        <v>315</v>
      </c>
      <c r="AE2610" t="s">
        <v>56</v>
      </c>
      <c r="AF2610">
        <v>0.314</v>
      </c>
      <c r="AG2610">
        <v>451</v>
      </c>
      <c r="AH2610" t="s">
        <v>57</v>
      </c>
      <c r="AI2610">
        <v>0.45</v>
      </c>
      <c r="AJ2610" t="s">
        <v>1154</v>
      </c>
    </row>
    <row r="2611" spans="1:36" x14ac:dyDescent="0.25">
      <c r="A2611" t="s">
        <v>185</v>
      </c>
      <c r="B2611">
        <v>866607835</v>
      </c>
      <c r="C2611" t="s">
        <v>186</v>
      </c>
      <c r="D2611" t="s">
        <v>186</v>
      </c>
      <c r="E2611" t="s">
        <v>99</v>
      </c>
      <c r="F2611" t="s">
        <v>143</v>
      </c>
      <c r="I2611" t="s">
        <v>39</v>
      </c>
      <c r="J2611" t="s">
        <v>40</v>
      </c>
      <c r="K2611" t="s">
        <v>41</v>
      </c>
      <c r="L2611" t="s">
        <v>173</v>
      </c>
      <c r="N2611" t="s">
        <v>43</v>
      </c>
      <c r="O2611" t="s">
        <v>132</v>
      </c>
      <c r="P2611">
        <v>389</v>
      </c>
      <c r="Q2611">
        <v>389</v>
      </c>
      <c r="R2611">
        <v>331</v>
      </c>
      <c r="S2611" t="s">
        <v>56</v>
      </c>
      <c r="T2611">
        <v>0.33</v>
      </c>
      <c r="U2611">
        <v>28</v>
      </c>
      <c r="V2611" t="s">
        <v>55</v>
      </c>
      <c r="W2611">
        <v>2.7E-2</v>
      </c>
      <c r="X2611">
        <v>1001</v>
      </c>
      <c r="Y2611" t="s">
        <v>47</v>
      </c>
      <c r="Z2611">
        <v>1</v>
      </c>
      <c r="AA2611">
        <v>141</v>
      </c>
      <c r="AB2611" t="s">
        <v>47</v>
      </c>
      <c r="AC2611">
        <v>0.14000000000000001</v>
      </c>
      <c r="AD2611">
        <v>280</v>
      </c>
      <c r="AE2611" t="s">
        <v>56</v>
      </c>
      <c r="AF2611">
        <v>0.27900000000000003</v>
      </c>
      <c r="AG2611">
        <v>158</v>
      </c>
      <c r="AH2611" t="s">
        <v>103</v>
      </c>
      <c r="AI2611">
        <v>0.157</v>
      </c>
      <c r="AJ2611" t="s">
        <v>50</v>
      </c>
    </row>
    <row r="2612" spans="1:36" x14ac:dyDescent="0.25">
      <c r="A2612" t="s">
        <v>185</v>
      </c>
      <c r="B2612">
        <v>866607835</v>
      </c>
      <c r="C2612" t="s">
        <v>186</v>
      </c>
      <c r="D2612" t="s">
        <v>186</v>
      </c>
      <c r="E2612" t="s">
        <v>99</v>
      </c>
      <c r="F2612" t="s">
        <v>143</v>
      </c>
      <c r="I2612" t="s">
        <v>39</v>
      </c>
      <c r="J2612" t="s">
        <v>40</v>
      </c>
      <c r="K2612" t="s">
        <v>41</v>
      </c>
      <c r="L2612" t="s">
        <v>173</v>
      </c>
      <c r="N2612" t="s">
        <v>43</v>
      </c>
      <c r="O2612" t="s">
        <v>132</v>
      </c>
      <c r="P2612">
        <v>389</v>
      </c>
      <c r="Q2612">
        <v>389</v>
      </c>
      <c r="R2612">
        <v>331</v>
      </c>
      <c r="S2612" t="s">
        <v>56</v>
      </c>
      <c r="T2612">
        <v>0.33</v>
      </c>
      <c r="U2612">
        <v>28</v>
      </c>
      <c r="V2612" t="s">
        <v>55</v>
      </c>
      <c r="W2612">
        <v>2.7E-2</v>
      </c>
      <c r="X2612">
        <v>1001</v>
      </c>
      <c r="Y2612" t="s">
        <v>47</v>
      </c>
      <c r="Z2612">
        <v>1</v>
      </c>
      <c r="AA2612">
        <v>141</v>
      </c>
      <c r="AB2612" t="s">
        <v>47</v>
      </c>
      <c r="AC2612">
        <v>0.14000000000000001</v>
      </c>
      <c r="AD2612">
        <v>280</v>
      </c>
      <c r="AE2612" t="s">
        <v>56</v>
      </c>
      <c r="AF2612">
        <v>0.27900000000000003</v>
      </c>
      <c r="AG2612">
        <v>158</v>
      </c>
      <c r="AH2612" t="s">
        <v>103</v>
      </c>
      <c r="AI2612">
        <v>0.157</v>
      </c>
      <c r="AJ2612" t="s">
        <v>1153</v>
      </c>
    </row>
    <row r="2613" spans="1:36" x14ac:dyDescent="0.25">
      <c r="A2613" t="s">
        <v>185</v>
      </c>
      <c r="B2613">
        <v>866607835</v>
      </c>
      <c r="C2613" t="s">
        <v>186</v>
      </c>
      <c r="D2613" t="s">
        <v>186</v>
      </c>
      <c r="E2613" t="s">
        <v>99</v>
      </c>
      <c r="F2613" t="s">
        <v>143</v>
      </c>
      <c r="I2613" t="s">
        <v>39</v>
      </c>
      <c r="J2613" t="s">
        <v>40</v>
      </c>
      <c r="K2613" t="s">
        <v>41</v>
      </c>
      <c r="L2613" t="s">
        <v>173</v>
      </c>
      <c r="N2613" t="s">
        <v>43</v>
      </c>
      <c r="O2613" t="s">
        <v>132</v>
      </c>
      <c r="P2613">
        <v>389</v>
      </c>
      <c r="Q2613">
        <v>389</v>
      </c>
      <c r="R2613">
        <v>331</v>
      </c>
      <c r="S2613" t="s">
        <v>56</v>
      </c>
      <c r="T2613">
        <v>0.33</v>
      </c>
      <c r="U2613">
        <v>28</v>
      </c>
      <c r="V2613" t="s">
        <v>55</v>
      </c>
      <c r="W2613">
        <v>2.7E-2</v>
      </c>
      <c r="X2613">
        <v>1001</v>
      </c>
      <c r="Y2613" t="s">
        <v>47</v>
      </c>
      <c r="Z2613">
        <v>1</v>
      </c>
      <c r="AA2613">
        <v>141</v>
      </c>
      <c r="AB2613" t="s">
        <v>47</v>
      </c>
      <c r="AC2613">
        <v>0.14000000000000001</v>
      </c>
      <c r="AD2613">
        <v>280</v>
      </c>
      <c r="AE2613" t="s">
        <v>56</v>
      </c>
      <c r="AF2613">
        <v>0.27900000000000003</v>
      </c>
      <c r="AG2613">
        <v>158</v>
      </c>
      <c r="AH2613" t="s">
        <v>103</v>
      </c>
      <c r="AI2613">
        <v>0.157</v>
      </c>
      <c r="AJ2613" t="s">
        <v>1154</v>
      </c>
    </row>
    <row r="2614" spans="1:36" x14ac:dyDescent="0.25">
      <c r="A2614" t="s">
        <v>175</v>
      </c>
      <c r="B2614">
        <v>853192247</v>
      </c>
      <c r="C2614" t="s">
        <v>176</v>
      </c>
      <c r="D2614" t="s">
        <v>176</v>
      </c>
      <c r="E2614" t="s">
        <v>37</v>
      </c>
      <c r="F2614" t="s">
        <v>136</v>
      </c>
      <c r="I2614" t="s">
        <v>39</v>
      </c>
      <c r="J2614" t="s">
        <v>40</v>
      </c>
      <c r="K2614" t="s">
        <v>41</v>
      </c>
      <c r="L2614" t="s">
        <v>177</v>
      </c>
      <c r="M2614" t="s">
        <v>178</v>
      </c>
      <c r="N2614" t="s">
        <v>43</v>
      </c>
      <c r="O2614" t="s">
        <v>74</v>
      </c>
      <c r="P2614">
        <v>389</v>
      </c>
      <c r="Q2614">
        <v>389</v>
      </c>
      <c r="S2614" t="s">
        <v>39</v>
      </c>
      <c r="V2614" t="s">
        <v>39</v>
      </c>
      <c r="X2614">
        <v>23001</v>
      </c>
      <c r="Y2614" t="s">
        <v>47</v>
      </c>
      <c r="Z2614">
        <v>23</v>
      </c>
      <c r="AA2614">
        <v>866</v>
      </c>
      <c r="AB2614" t="s">
        <v>75</v>
      </c>
      <c r="AC2614">
        <v>0.86499999999999999</v>
      </c>
      <c r="AD2614">
        <v>981</v>
      </c>
      <c r="AE2614" t="s">
        <v>48</v>
      </c>
      <c r="AF2614">
        <v>0.98</v>
      </c>
      <c r="AG2614">
        <v>996</v>
      </c>
      <c r="AH2614" t="s">
        <v>80</v>
      </c>
      <c r="AI2614">
        <v>0.995</v>
      </c>
      <c r="AJ2614" t="s">
        <v>1155</v>
      </c>
    </row>
    <row r="2615" spans="1:36" x14ac:dyDescent="0.25">
      <c r="A2615" t="s">
        <v>175</v>
      </c>
      <c r="B2615">
        <v>853192247</v>
      </c>
      <c r="C2615" t="s">
        <v>176</v>
      </c>
      <c r="D2615" t="s">
        <v>176</v>
      </c>
      <c r="E2615" t="s">
        <v>99</v>
      </c>
      <c r="F2615" t="s">
        <v>136</v>
      </c>
      <c r="I2615" t="s">
        <v>39</v>
      </c>
      <c r="J2615" t="s">
        <v>40</v>
      </c>
      <c r="K2615" t="s">
        <v>41</v>
      </c>
      <c r="L2615" t="s">
        <v>177</v>
      </c>
      <c r="M2615" t="s">
        <v>178</v>
      </c>
      <c r="N2615" t="s">
        <v>43</v>
      </c>
      <c r="O2615" t="s">
        <v>179</v>
      </c>
      <c r="P2615">
        <v>389</v>
      </c>
      <c r="Q2615">
        <v>389</v>
      </c>
      <c r="S2615" t="s">
        <v>39</v>
      </c>
      <c r="V2615" t="s">
        <v>39</v>
      </c>
      <c r="X2615">
        <v>23001</v>
      </c>
      <c r="Y2615" t="s">
        <v>47</v>
      </c>
      <c r="Z2615">
        <v>23</v>
      </c>
      <c r="AA2615">
        <v>837</v>
      </c>
      <c r="AB2615" t="s">
        <v>75</v>
      </c>
      <c r="AC2615">
        <v>0.83599999999999997</v>
      </c>
      <c r="AD2615">
        <v>979</v>
      </c>
      <c r="AE2615" t="s">
        <v>48</v>
      </c>
      <c r="AF2615">
        <v>0.97799999999999998</v>
      </c>
      <c r="AG2615">
        <v>987</v>
      </c>
      <c r="AH2615" t="s">
        <v>80</v>
      </c>
      <c r="AI2615">
        <v>0.98599999999999999</v>
      </c>
      <c r="AJ2615" t="s">
        <v>1155</v>
      </c>
    </row>
    <row r="2616" spans="1:36" x14ac:dyDescent="0.25">
      <c r="A2616" t="s">
        <v>175</v>
      </c>
      <c r="B2616">
        <v>853192247</v>
      </c>
      <c r="C2616" t="s">
        <v>176</v>
      </c>
      <c r="D2616" t="s">
        <v>176</v>
      </c>
      <c r="E2616" t="s">
        <v>60</v>
      </c>
      <c r="F2616" t="s">
        <v>136</v>
      </c>
      <c r="I2616" t="s">
        <v>39</v>
      </c>
      <c r="J2616" t="s">
        <v>40</v>
      </c>
      <c r="K2616" t="s">
        <v>41</v>
      </c>
      <c r="L2616" t="s">
        <v>177</v>
      </c>
      <c r="M2616" t="s">
        <v>178</v>
      </c>
      <c r="N2616" t="s">
        <v>43</v>
      </c>
      <c r="O2616" t="s">
        <v>180</v>
      </c>
      <c r="P2616">
        <v>389</v>
      </c>
      <c r="Q2616">
        <v>389</v>
      </c>
      <c r="S2616" t="s">
        <v>39</v>
      </c>
      <c r="V2616" t="s">
        <v>39</v>
      </c>
      <c r="X2616">
        <v>23001</v>
      </c>
      <c r="Y2616" t="s">
        <v>47</v>
      </c>
      <c r="Z2616">
        <v>23</v>
      </c>
      <c r="AA2616">
        <v>835</v>
      </c>
      <c r="AB2616" t="s">
        <v>75</v>
      </c>
      <c r="AC2616">
        <v>0.83399999999999996</v>
      </c>
      <c r="AD2616">
        <v>981</v>
      </c>
      <c r="AE2616" t="s">
        <v>48</v>
      </c>
      <c r="AF2616">
        <v>0.98</v>
      </c>
      <c r="AG2616">
        <v>996</v>
      </c>
      <c r="AH2616" t="s">
        <v>80</v>
      </c>
      <c r="AI2616">
        <v>0.995</v>
      </c>
      <c r="AJ2616" t="s">
        <v>1155</v>
      </c>
    </row>
    <row r="2617" spans="1:36" x14ac:dyDescent="0.25">
      <c r="A2617" t="s">
        <v>181</v>
      </c>
      <c r="B2617">
        <v>852025856</v>
      </c>
      <c r="C2617" t="s">
        <v>182</v>
      </c>
      <c r="D2617" t="s">
        <v>182</v>
      </c>
      <c r="E2617" t="s">
        <v>37</v>
      </c>
      <c r="F2617" t="s">
        <v>122</v>
      </c>
      <c r="I2617" t="s">
        <v>39</v>
      </c>
      <c r="J2617" t="s">
        <v>40</v>
      </c>
      <c r="K2617" t="s">
        <v>41</v>
      </c>
      <c r="L2617" t="s">
        <v>151</v>
      </c>
      <c r="M2617" t="s">
        <v>183</v>
      </c>
      <c r="N2617" t="s">
        <v>43</v>
      </c>
      <c r="O2617" t="s">
        <v>184</v>
      </c>
      <c r="P2617">
        <v>389</v>
      </c>
      <c r="Q2617">
        <v>389</v>
      </c>
      <c r="S2617" t="s">
        <v>39</v>
      </c>
      <c r="V2617" t="s">
        <v>39</v>
      </c>
      <c r="X2617">
        <v>22001</v>
      </c>
      <c r="Y2617" t="s">
        <v>47</v>
      </c>
      <c r="Z2617">
        <v>22</v>
      </c>
      <c r="AA2617">
        <v>818</v>
      </c>
      <c r="AB2617" t="s">
        <v>75</v>
      </c>
      <c r="AC2617">
        <v>0.81699999999999995</v>
      </c>
      <c r="AD2617">
        <v>965</v>
      </c>
      <c r="AE2617" t="s">
        <v>48</v>
      </c>
      <c r="AF2617">
        <v>0.96399999999999997</v>
      </c>
      <c r="AG2617">
        <v>920</v>
      </c>
      <c r="AH2617" t="s">
        <v>49</v>
      </c>
      <c r="AI2617">
        <v>0.91900000000000004</v>
      </c>
      <c r="AJ2617" t="s">
        <v>1155</v>
      </c>
    </row>
    <row r="2618" spans="1:36" x14ac:dyDescent="0.25">
      <c r="A2618" t="s">
        <v>181</v>
      </c>
      <c r="B2618">
        <v>852025856</v>
      </c>
      <c r="C2618" t="s">
        <v>182</v>
      </c>
      <c r="D2618" t="s">
        <v>182</v>
      </c>
      <c r="E2618" t="s">
        <v>60</v>
      </c>
      <c r="F2618" t="s">
        <v>122</v>
      </c>
      <c r="I2618" t="s">
        <v>39</v>
      </c>
      <c r="J2618" t="s">
        <v>40</v>
      </c>
      <c r="K2618" t="s">
        <v>41</v>
      </c>
      <c r="L2618" t="s">
        <v>151</v>
      </c>
      <c r="M2618" t="s">
        <v>183</v>
      </c>
      <c r="N2618" t="s">
        <v>43</v>
      </c>
      <c r="O2618" t="s">
        <v>119</v>
      </c>
      <c r="P2618">
        <v>389</v>
      </c>
      <c r="Q2618">
        <v>389</v>
      </c>
      <c r="S2618" t="s">
        <v>39</v>
      </c>
      <c r="V2618" t="s">
        <v>39</v>
      </c>
      <c r="X2618">
        <v>22001</v>
      </c>
      <c r="Y2618" t="s">
        <v>47</v>
      </c>
      <c r="Z2618">
        <v>22</v>
      </c>
      <c r="AA2618">
        <v>854</v>
      </c>
      <c r="AB2618" t="s">
        <v>75</v>
      </c>
      <c r="AC2618">
        <v>0.85299999999999998</v>
      </c>
      <c r="AD2618">
        <v>974</v>
      </c>
      <c r="AE2618" t="s">
        <v>48</v>
      </c>
      <c r="AF2618">
        <v>0.97299999999999998</v>
      </c>
      <c r="AG2618">
        <v>958</v>
      </c>
      <c r="AH2618" t="s">
        <v>80</v>
      </c>
      <c r="AI2618">
        <v>0.95699999999999996</v>
      </c>
      <c r="AJ2618" t="s">
        <v>1155</v>
      </c>
    </row>
    <row r="2619" spans="1:36" x14ac:dyDescent="0.25">
      <c r="A2619" t="s">
        <v>171</v>
      </c>
      <c r="B2619">
        <v>868825276</v>
      </c>
      <c r="C2619" t="s">
        <v>172</v>
      </c>
      <c r="D2619" t="s">
        <v>172</v>
      </c>
      <c r="E2619" t="s">
        <v>37</v>
      </c>
      <c r="F2619" t="s">
        <v>127</v>
      </c>
      <c r="I2619" t="s">
        <v>39</v>
      </c>
      <c r="J2619" t="s">
        <v>40</v>
      </c>
      <c r="K2619" t="s">
        <v>41</v>
      </c>
      <c r="L2619" t="s">
        <v>173</v>
      </c>
      <c r="N2619" t="s">
        <v>43</v>
      </c>
      <c r="O2619" t="s">
        <v>174</v>
      </c>
      <c r="P2619">
        <v>391</v>
      </c>
      <c r="Q2619">
        <v>391</v>
      </c>
      <c r="S2619" t="s">
        <v>39</v>
      </c>
      <c r="V2619" t="s">
        <v>39</v>
      </c>
      <c r="X2619">
        <v>1</v>
      </c>
      <c r="Y2619" t="s">
        <v>47</v>
      </c>
      <c r="Z2619">
        <v>0</v>
      </c>
      <c r="AA2619">
        <v>287</v>
      </c>
      <c r="AB2619" t="s">
        <v>47</v>
      </c>
      <c r="AC2619">
        <v>0.28599999999999998</v>
      </c>
      <c r="AD2619">
        <v>270</v>
      </c>
      <c r="AE2619" t="s">
        <v>56</v>
      </c>
      <c r="AF2619">
        <v>0.26900000000000002</v>
      </c>
      <c r="AG2619">
        <v>100</v>
      </c>
      <c r="AH2619" t="s">
        <v>103</v>
      </c>
      <c r="AI2619">
        <v>9.9000000000000005E-2</v>
      </c>
      <c r="AJ2619" t="s">
        <v>1155</v>
      </c>
    </row>
    <row r="2620" spans="1:36" x14ac:dyDescent="0.25">
      <c r="A2620" t="s">
        <v>168</v>
      </c>
      <c r="B2620">
        <v>865475472</v>
      </c>
      <c r="C2620" t="s">
        <v>169</v>
      </c>
      <c r="D2620" t="s">
        <v>169</v>
      </c>
      <c r="E2620" t="s">
        <v>65</v>
      </c>
      <c r="F2620" t="s">
        <v>93</v>
      </c>
      <c r="I2620" t="s">
        <v>39</v>
      </c>
      <c r="J2620" t="s">
        <v>40</v>
      </c>
      <c r="K2620" t="s">
        <v>41</v>
      </c>
      <c r="L2620" t="s">
        <v>78</v>
      </c>
      <c r="N2620" t="s">
        <v>43</v>
      </c>
      <c r="O2620" t="s">
        <v>170</v>
      </c>
      <c r="P2620">
        <v>393</v>
      </c>
      <c r="Q2620">
        <v>393</v>
      </c>
      <c r="S2620" t="s">
        <v>39</v>
      </c>
      <c r="V2620" t="s">
        <v>39</v>
      </c>
      <c r="X2620">
        <v>20001</v>
      </c>
      <c r="Y2620" t="s">
        <v>47</v>
      </c>
      <c r="Z2620">
        <v>20</v>
      </c>
      <c r="AA2620">
        <v>459</v>
      </c>
      <c r="AB2620" t="s">
        <v>47</v>
      </c>
      <c r="AC2620">
        <v>0.45800000000000002</v>
      </c>
      <c r="AD2620">
        <v>651</v>
      </c>
      <c r="AE2620" t="s">
        <v>48</v>
      </c>
      <c r="AF2620">
        <v>0.65</v>
      </c>
      <c r="AG2620">
        <v>517</v>
      </c>
      <c r="AH2620" t="s">
        <v>57</v>
      </c>
      <c r="AI2620">
        <v>0.51600000000000001</v>
      </c>
      <c r="AJ2620" t="s">
        <v>1155</v>
      </c>
    </row>
    <row r="2621" spans="1:36" x14ac:dyDescent="0.25">
      <c r="A2621" t="s">
        <v>175</v>
      </c>
      <c r="B2621">
        <v>853192247</v>
      </c>
      <c r="C2621" t="s">
        <v>176</v>
      </c>
      <c r="D2621" t="s">
        <v>176</v>
      </c>
      <c r="E2621" t="s">
        <v>37</v>
      </c>
      <c r="F2621" t="s">
        <v>136</v>
      </c>
      <c r="I2621" t="s">
        <v>39</v>
      </c>
      <c r="J2621" t="s">
        <v>40</v>
      </c>
      <c r="K2621" t="s">
        <v>41</v>
      </c>
      <c r="L2621" t="s">
        <v>177</v>
      </c>
      <c r="M2621" t="s">
        <v>178</v>
      </c>
      <c r="N2621" t="s">
        <v>43</v>
      </c>
      <c r="O2621" t="s">
        <v>74</v>
      </c>
      <c r="P2621">
        <v>393</v>
      </c>
      <c r="Q2621">
        <v>393</v>
      </c>
      <c r="R2621">
        <v>1</v>
      </c>
      <c r="S2621" t="s">
        <v>45</v>
      </c>
      <c r="T2621">
        <v>0</v>
      </c>
      <c r="U2621">
        <v>1000</v>
      </c>
      <c r="V2621" t="s">
        <v>46</v>
      </c>
      <c r="W2621">
        <v>0.999</v>
      </c>
      <c r="X2621">
        <v>23001</v>
      </c>
      <c r="Y2621" t="s">
        <v>47</v>
      </c>
      <c r="Z2621">
        <v>23</v>
      </c>
      <c r="AA2621">
        <v>866</v>
      </c>
      <c r="AB2621" t="s">
        <v>75</v>
      </c>
      <c r="AC2621">
        <v>0.86499999999999999</v>
      </c>
      <c r="AD2621">
        <v>981</v>
      </c>
      <c r="AE2621" t="s">
        <v>48</v>
      </c>
      <c r="AF2621">
        <v>0.98</v>
      </c>
      <c r="AG2621">
        <v>996</v>
      </c>
      <c r="AH2621" t="s">
        <v>80</v>
      </c>
      <c r="AI2621">
        <v>0.995</v>
      </c>
      <c r="AJ2621" t="s">
        <v>50</v>
      </c>
    </row>
    <row r="2622" spans="1:36" x14ac:dyDescent="0.25">
      <c r="A2622" t="s">
        <v>175</v>
      </c>
      <c r="B2622">
        <v>853192247</v>
      </c>
      <c r="C2622" t="s">
        <v>176</v>
      </c>
      <c r="D2622" t="s">
        <v>176</v>
      </c>
      <c r="E2622" t="s">
        <v>99</v>
      </c>
      <c r="F2622" t="s">
        <v>136</v>
      </c>
      <c r="I2622" t="s">
        <v>39</v>
      </c>
      <c r="J2622" t="s">
        <v>40</v>
      </c>
      <c r="K2622" t="s">
        <v>41</v>
      </c>
      <c r="L2622" t="s">
        <v>177</v>
      </c>
      <c r="M2622" t="s">
        <v>178</v>
      </c>
      <c r="N2622" t="s">
        <v>43</v>
      </c>
      <c r="O2622" t="s">
        <v>179</v>
      </c>
      <c r="P2622">
        <v>393</v>
      </c>
      <c r="Q2622">
        <v>393</v>
      </c>
      <c r="R2622">
        <v>1</v>
      </c>
      <c r="S2622" t="s">
        <v>45</v>
      </c>
      <c r="T2622">
        <v>0</v>
      </c>
      <c r="U2622">
        <v>998</v>
      </c>
      <c r="V2622" t="s">
        <v>46</v>
      </c>
      <c r="W2622">
        <v>0.997</v>
      </c>
      <c r="X2622">
        <v>23001</v>
      </c>
      <c r="Y2622" t="s">
        <v>47</v>
      </c>
      <c r="Z2622">
        <v>23</v>
      </c>
      <c r="AA2622">
        <v>837</v>
      </c>
      <c r="AB2622" t="s">
        <v>75</v>
      </c>
      <c r="AC2622">
        <v>0.83599999999999997</v>
      </c>
      <c r="AD2622">
        <v>979</v>
      </c>
      <c r="AE2622" t="s">
        <v>48</v>
      </c>
      <c r="AF2622">
        <v>0.97799999999999998</v>
      </c>
      <c r="AG2622">
        <v>987</v>
      </c>
      <c r="AH2622" t="s">
        <v>80</v>
      </c>
      <c r="AI2622">
        <v>0.98599999999999999</v>
      </c>
      <c r="AJ2622" t="s">
        <v>50</v>
      </c>
    </row>
    <row r="2623" spans="1:36" x14ac:dyDescent="0.25">
      <c r="A2623" t="s">
        <v>175</v>
      </c>
      <c r="B2623">
        <v>853192247</v>
      </c>
      <c r="C2623" t="s">
        <v>176</v>
      </c>
      <c r="D2623" t="s">
        <v>176</v>
      </c>
      <c r="E2623" t="s">
        <v>60</v>
      </c>
      <c r="F2623" t="s">
        <v>136</v>
      </c>
      <c r="I2623" t="s">
        <v>39</v>
      </c>
      <c r="J2623" t="s">
        <v>40</v>
      </c>
      <c r="K2623" t="s">
        <v>41</v>
      </c>
      <c r="L2623" t="s">
        <v>177</v>
      </c>
      <c r="M2623" t="s">
        <v>178</v>
      </c>
      <c r="N2623" t="s">
        <v>43</v>
      </c>
      <c r="O2623" t="s">
        <v>180</v>
      </c>
      <c r="P2623">
        <v>393</v>
      </c>
      <c r="Q2623">
        <v>393</v>
      </c>
      <c r="R2623">
        <v>1</v>
      </c>
      <c r="S2623" t="s">
        <v>45</v>
      </c>
      <c r="T2623">
        <v>0</v>
      </c>
      <c r="U2623">
        <v>1001</v>
      </c>
      <c r="V2623" t="s">
        <v>46</v>
      </c>
      <c r="W2623">
        <v>1</v>
      </c>
      <c r="X2623">
        <v>23001</v>
      </c>
      <c r="Y2623" t="s">
        <v>47</v>
      </c>
      <c r="Z2623">
        <v>23</v>
      </c>
      <c r="AA2623">
        <v>835</v>
      </c>
      <c r="AB2623" t="s">
        <v>75</v>
      </c>
      <c r="AC2623">
        <v>0.83399999999999996</v>
      </c>
      <c r="AD2623">
        <v>981</v>
      </c>
      <c r="AE2623" t="s">
        <v>48</v>
      </c>
      <c r="AF2623">
        <v>0.98</v>
      </c>
      <c r="AG2623">
        <v>996</v>
      </c>
      <c r="AH2623" t="s">
        <v>80</v>
      </c>
      <c r="AI2623">
        <v>0.995</v>
      </c>
      <c r="AJ2623" t="s">
        <v>50</v>
      </c>
    </row>
    <row r="2624" spans="1:36" x14ac:dyDescent="0.25">
      <c r="A2624" t="s">
        <v>175</v>
      </c>
      <c r="B2624">
        <v>853192247</v>
      </c>
      <c r="C2624" t="s">
        <v>176</v>
      </c>
      <c r="D2624" t="s">
        <v>176</v>
      </c>
      <c r="E2624" t="s">
        <v>37</v>
      </c>
      <c r="F2624" t="s">
        <v>136</v>
      </c>
      <c r="I2624" t="s">
        <v>39</v>
      </c>
      <c r="J2624" t="s">
        <v>40</v>
      </c>
      <c r="K2624" t="s">
        <v>41</v>
      </c>
      <c r="L2624" t="s">
        <v>177</v>
      </c>
      <c r="M2624" t="s">
        <v>178</v>
      </c>
      <c r="N2624" t="s">
        <v>43</v>
      </c>
      <c r="O2624" t="s">
        <v>74</v>
      </c>
      <c r="P2624">
        <v>393</v>
      </c>
      <c r="Q2624">
        <v>393</v>
      </c>
      <c r="R2624">
        <v>1</v>
      </c>
      <c r="S2624" t="s">
        <v>45</v>
      </c>
      <c r="T2624">
        <v>0</v>
      </c>
      <c r="U2624">
        <v>1000</v>
      </c>
      <c r="V2624" t="s">
        <v>46</v>
      </c>
      <c r="W2624">
        <v>0.999</v>
      </c>
      <c r="X2624">
        <v>23001</v>
      </c>
      <c r="Y2624" t="s">
        <v>47</v>
      </c>
      <c r="Z2624">
        <v>23</v>
      </c>
      <c r="AA2624">
        <v>866</v>
      </c>
      <c r="AB2624" t="s">
        <v>75</v>
      </c>
      <c r="AC2624">
        <v>0.86499999999999999</v>
      </c>
      <c r="AD2624">
        <v>981</v>
      </c>
      <c r="AE2624" t="s">
        <v>48</v>
      </c>
      <c r="AF2624">
        <v>0.98</v>
      </c>
      <c r="AG2624">
        <v>996</v>
      </c>
      <c r="AH2624" t="s">
        <v>80</v>
      </c>
      <c r="AI2624">
        <v>0.995</v>
      </c>
      <c r="AJ2624" t="s">
        <v>1153</v>
      </c>
    </row>
    <row r="2625" spans="1:36" x14ac:dyDescent="0.25">
      <c r="A2625" t="s">
        <v>175</v>
      </c>
      <c r="B2625">
        <v>853192247</v>
      </c>
      <c r="C2625" t="s">
        <v>176</v>
      </c>
      <c r="D2625" t="s">
        <v>176</v>
      </c>
      <c r="E2625" t="s">
        <v>99</v>
      </c>
      <c r="F2625" t="s">
        <v>136</v>
      </c>
      <c r="I2625" t="s">
        <v>39</v>
      </c>
      <c r="J2625" t="s">
        <v>40</v>
      </c>
      <c r="K2625" t="s">
        <v>41</v>
      </c>
      <c r="L2625" t="s">
        <v>177</v>
      </c>
      <c r="M2625" t="s">
        <v>178</v>
      </c>
      <c r="N2625" t="s">
        <v>43</v>
      </c>
      <c r="O2625" t="s">
        <v>179</v>
      </c>
      <c r="P2625">
        <v>393</v>
      </c>
      <c r="Q2625">
        <v>393</v>
      </c>
      <c r="R2625">
        <v>1</v>
      </c>
      <c r="S2625" t="s">
        <v>45</v>
      </c>
      <c r="T2625">
        <v>0</v>
      </c>
      <c r="U2625">
        <v>998</v>
      </c>
      <c r="V2625" t="s">
        <v>46</v>
      </c>
      <c r="W2625">
        <v>0.997</v>
      </c>
      <c r="X2625">
        <v>23001</v>
      </c>
      <c r="Y2625" t="s">
        <v>47</v>
      </c>
      <c r="Z2625">
        <v>23</v>
      </c>
      <c r="AA2625">
        <v>837</v>
      </c>
      <c r="AB2625" t="s">
        <v>75</v>
      </c>
      <c r="AC2625">
        <v>0.83599999999999997</v>
      </c>
      <c r="AD2625">
        <v>979</v>
      </c>
      <c r="AE2625" t="s">
        <v>48</v>
      </c>
      <c r="AF2625">
        <v>0.97799999999999998</v>
      </c>
      <c r="AG2625">
        <v>987</v>
      </c>
      <c r="AH2625" t="s">
        <v>80</v>
      </c>
      <c r="AI2625">
        <v>0.98599999999999999</v>
      </c>
      <c r="AJ2625" t="s">
        <v>1153</v>
      </c>
    </row>
    <row r="2626" spans="1:36" x14ac:dyDescent="0.25">
      <c r="A2626" t="s">
        <v>175</v>
      </c>
      <c r="B2626">
        <v>853192247</v>
      </c>
      <c r="C2626" t="s">
        <v>176</v>
      </c>
      <c r="D2626" t="s">
        <v>176</v>
      </c>
      <c r="E2626" t="s">
        <v>60</v>
      </c>
      <c r="F2626" t="s">
        <v>136</v>
      </c>
      <c r="I2626" t="s">
        <v>39</v>
      </c>
      <c r="J2626" t="s">
        <v>40</v>
      </c>
      <c r="K2626" t="s">
        <v>41</v>
      </c>
      <c r="L2626" t="s">
        <v>177</v>
      </c>
      <c r="M2626" t="s">
        <v>178</v>
      </c>
      <c r="N2626" t="s">
        <v>43</v>
      </c>
      <c r="O2626" t="s">
        <v>180</v>
      </c>
      <c r="P2626">
        <v>393</v>
      </c>
      <c r="Q2626">
        <v>393</v>
      </c>
      <c r="R2626">
        <v>1</v>
      </c>
      <c r="S2626" t="s">
        <v>45</v>
      </c>
      <c r="T2626">
        <v>0</v>
      </c>
      <c r="U2626">
        <v>1001</v>
      </c>
      <c r="V2626" t="s">
        <v>46</v>
      </c>
      <c r="W2626">
        <v>1</v>
      </c>
      <c r="X2626">
        <v>23001</v>
      </c>
      <c r="Y2626" t="s">
        <v>47</v>
      </c>
      <c r="Z2626">
        <v>23</v>
      </c>
      <c r="AA2626">
        <v>835</v>
      </c>
      <c r="AB2626" t="s">
        <v>75</v>
      </c>
      <c r="AC2626">
        <v>0.83399999999999996</v>
      </c>
      <c r="AD2626">
        <v>981</v>
      </c>
      <c r="AE2626" t="s">
        <v>48</v>
      </c>
      <c r="AF2626">
        <v>0.98</v>
      </c>
      <c r="AG2626">
        <v>996</v>
      </c>
      <c r="AH2626" t="s">
        <v>80</v>
      </c>
      <c r="AI2626">
        <v>0.995</v>
      </c>
      <c r="AJ2626" t="s">
        <v>1153</v>
      </c>
    </row>
    <row r="2627" spans="1:36" x14ac:dyDescent="0.25">
      <c r="A2627" t="s">
        <v>175</v>
      </c>
      <c r="B2627">
        <v>853192247</v>
      </c>
      <c r="C2627" t="s">
        <v>176</v>
      </c>
      <c r="D2627" t="s">
        <v>176</v>
      </c>
      <c r="E2627" t="s">
        <v>37</v>
      </c>
      <c r="F2627" t="s">
        <v>136</v>
      </c>
      <c r="I2627" t="s">
        <v>39</v>
      </c>
      <c r="J2627" t="s">
        <v>40</v>
      </c>
      <c r="K2627" t="s">
        <v>41</v>
      </c>
      <c r="L2627" t="s">
        <v>177</v>
      </c>
      <c r="M2627" t="s">
        <v>178</v>
      </c>
      <c r="N2627" t="s">
        <v>43</v>
      </c>
      <c r="O2627" t="s">
        <v>74</v>
      </c>
      <c r="P2627">
        <v>393</v>
      </c>
      <c r="Q2627">
        <v>393</v>
      </c>
      <c r="R2627">
        <v>1</v>
      </c>
      <c r="S2627" t="s">
        <v>45</v>
      </c>
      <c r="T2627">
        <v>0</v>
      </c>
      <c r="U2627">
        <v>1000</v>
      </c>
      <c r="V2627" t="s">
        <v>46</v>
      </c>
      <c r="W2627">
        <v>0.999</v>
      </c>
      <c r="X2627">
        <v>23001</v>
      </c>
      <c r="Y2627" t="s">
        <v>47</v>
      </c>
      <c r="Z2627">
        <v>23</v>
      </c>
      <c r="AA2627">
        <v>866</v>
      </c>
      <c r="AB2627" t="s">
        <v>75</v>
      </c>
      <c r="AC2627">
        <v>0.86499999999999999</v>
      </c>
      <c r="AD2627">
        <v>981</v>
      </c>
      <c r="AE2627" t="s">
        <v>48</v>
      </c>
      <c r="AF2627">
        <v>0.98</v>
      </c>
      <c r="AG2627">
        <v>996</v>
      </c>
      <c r="AH2627" t="s">
        <v>80</v>
      </c>
      <c r="AI2627">
        <v>0.995</v>
      </c>
      <c r="AJ2627" t="s">
        <v>1154</v>
      </c>
    </row>
    <row r="2628" spans="1:36" x14ac:dyDescent="0.25">
      <c r="A2628" t="s">
        <v>175</v>
      </c>
      <c r="B2628">
        <v>853192247</v>
      </c>
      <c r="C2628" t="s">
        <v>176</v>
      </c>
      <c r="D2628" t="s">
        <v>176</v>
      </c>
      <c r="E2628" t="s">
        <v>99</v>
      </c>
      <c r="F2628" t="s">
        <v>136</v>
      </c>
      <c r="I2628" t="s">
        <v>39</v>
      </c>
      <c r="J2628" t="s">
        <v>40</v>
      </c>
      <c r="K2628" t="s">
        <v>41</v>
      </c>
      <c r="L2628" t="s">
        <v>177</v>
      </c>
      <c r="M2628" t="s">
        <v>178</v>
      </c>
      <c r="N2628" t="s">
        <v>43</v>
      </c>
      <c r="O2628" t="s">
        <v>179</v>
      </c>
      <c r="P2628">
        <v>393</v>
      </c>
      <c r="Q2628">
        <v>393</v>
      </c>
      <c r="R2628">
        <v>1</v>
      </c>
      <c r="S2628" t="s">
        <v>45</v>
      </c>
      <c r="T2628">
        <v>0</v>
      </c>
      <c r="U2628">
        <v>998</v>
      </c>
      <c r="V2628" t="s">
        <v>46</v>
      </c>
      <c r="W2628">
        <v>0.997</v>
      </c>
      <c r="X2628">
        <v>23001</v>
      </c>
      <c r="Y2628" t="s">
        <v>47</v>
      </c>
      <c r="Z2628">
        <v>23</v>
      </c>
      <c r="AA2628">
        <v>837</v>
      </c>
      <c r="AB2628" t="s">
        <v>75</v>
      </c>
      <c r="AC2628">
        <v>0.83599999999999997</v>
      </c>
      <c r="AD2628">
        <v>979</v>
      </c>
      <c r="AE2628" t="s">
        <v>48</v>
      </c>
      <c r="AF2628">
        <v>0.97799999999999998</v>
      </c>
      <c r="AG2628">
        <v>987</v>
      </c>
      <c r="AH2628" t="s">
        <v>80</v>
      </c>
      <c r="AI2628">
        <v>0.98599999999999999</v>
      </c>
      <c r="AJ2628" t="s">
        <v>1154</v>
      </c>
    </row>
    <row r="2629" spans="1:36" x14ac:dyDescent="0.25">
      <c r="A2629" t="s">
        <v>175</v>
      </c>
      <c r="B2629">
        <v>853192247</v>
      </c>
      <c r="C2629" t="s">
        <v>176</v>
      </c>
      <c r="D2629" t="s">
        <v>176</v>
      </c>
      <c r="E2629" t="s">
        <v>60</v>
      </c>
      <c r="F2629" t="s">
        <v>136</v>
      </c>
      <c r="I2629" t="s">
        <v>39</v>
      </c>
      <c r="J2629" t="s">
        <v>40</v>
      </c>
      <c r="K2629" t="s">
        <v>41</v>
      </c>
      <c r="L2629" t="s">
        <v>177</v>
      </c>
      <c r="M2629" t="s">
        <v>178</v>
      </c>
      <c r="N2629" t="s">
        <v>43</v>
      </c>
      <c r="O2629" t="s">
        <v>180</v>
      </c>
      <c r="P2629">
        <v>393</v>
      </c>
      <c r="Q2629">
        <v>393</v>
      </c>
      <c r="R2629">
        <v>1</v>
      </c>
      <c r="S2629" t="s">
        <v>45</v>
      </c>
      <c r="T2629">
        <v>0</v>
      </c>
      <c r="U2629">
        <v>1001</v>
      </c>
      <c r="V2629" t="s">
        <v>46</v>
      </c>
      <c r="W2629">
        <v>1</v>
      </c>
      <c r="X2629">
        <v>23001</v>
      </c>
      <c r="Y2629" t="s">
        <v>47</v>
      </c>
      <c r="Z2629">
        <v>23</v>
      </c>
      <c r="AA2629">
        <v>835</v>
      </c>
      <c r="AB2629" t="s">
        <v>75</v>
      </c>
      <c r="AC2629">
        <v>0.83399999999999996</v>
      </c>
      <c r="AD2629">
        <v>981</v>
      </c>
      <c r="AE2629" t="s">
        <v>48</v>
      </c>
      <c r="AF2629">
        <v>0.98</v>
      </c>
      <c r="AG2629">
        <v>996</v>
      </c>
      <c r="AH2629" t="s">
        <v>80</v>
      </c>
      <c r="AI2629">
        <v>0.995</v>
      </c>
      <c r="AJ2629" t="s">
        <v>1154</v>
      </c>
    </row>
    <row r="2630" spans="1:36" x14ac:dyDescent="0.25">
      <c r="A2630" t="s">
        <v>181</v>
      </c>
      <c r="B2630">
        <v>852025856</v>
      </c>
      <c r="C2630" t="s">
        <v>182</v>
      </c>
      <c r="D2630" t="s">
        <v>182</v>
      </c>
      <c r="E2630" t="s">
        <v>37</v>
      </c>
      <c r="F2630" t="s">
        <v>122</v>
      </c>
      <c r="I2630" t="s">
        <v>39</v>
      </c>
      <c r="J2630" t="s">
        <v>40</v>
      </c>
      <c r="K2630" t="s">
        <v>41</v>
      </c>
      <c r="L2630" t="s">
        <v>151</v>
      </c>
      <c r="M2630" t="s">
        <v>183</v>
      </c>
      <c r="N2630" t="s">
        <v>43</v>
      </c>
      <c r="O2630" t="s">
        <v>184</v>
      </c>
      <c r="P2630">
        <v>393</v>
      </c>
      <c r="Q2630">
        <v>393</v>
      </c>
      <c r="R2630">
        <v>11</v>
      </c>
      <c r="S2630" t="s">
        <v>45</v>
      </c>
      <c r="T2630">
        <v>0.01</v>
      </c>
      <c r="U2630">
        <v>994</v>
      </c>
      <c r="V2630" t="s">
        <v>46</v>
      </c>
      <c r="W2630">
        <v>0.99299999999999999</v>
      </c>
      <c r="X2630">
        <v>22001</v>
      </c>
      <c r="Y2630" t="s">
        <v>47</v>
      </c>
      <c r="Z2630">
        <v>22</v>
      </c>
      <c r="AA2630">
        <v>818</v>
      </c>
      <c r="AB2630" t="s">
        <v>75</v>
      </c>
      <c r="AC2630">
        <v>0.81699999999999995</v>
      </c>
      <c r="AD2630">
        <v>965</v>
      </c>
      <c r="AE2630" t="s">
        <v>48</v>
      </c>
      <c r="AF2630">
        <v>0.96399999999999997</v>
      </c>
      <c r="AG2630">
        <v>920</v>
      </c>
      <c r="AH2630" t="s">
        <v>49</v>
      </c>
      <c r="AI2630">
        <v>0.91900000000000004</v>
      </c>
      <c r="AJ2630" t="s">
        <v>50</v>
      </c>
    </row>
    <row r="2631" spans="1:36" x14ac:dyDescent="0.25">
      <c r="A2631" t="s">
        <v>181</v>
      </c>
      <c r="B2631">
        <v>852025856</v>
      </c>
      <c r="C2631" t="s">
        <v>182</v>
      </c>
      <c r="D2631" t="s">
        <v>182</v>
      </c>
      <c r="E2631" t="s">
        <v>60</v>
      </c>
      <c r="F2631" t="s">
        <v>122</v>
      </c>
      <c r="I2631" t="s">
        <v>39</v>
      </c>
      <c r="J2631" t="s">
        <v>40</v>
      </c>
      <c r="K2631" t="s">
        <v>41</v>
      </c>
      <c r="L2631" t="s">
        <v>151</v>
      </c>
      <c r="M2631" t="s">
        <v>183</v>
      </c>
      <c r="N2631" t="s">
        <v>43</v>
      </c>
      <c r="O2631" t="s">
        <v>119</v>
      </c>
      <c r="P2631">
        <v>393</v>
      </c>
      <c r="Q2631">
        <v>393</v>
      </c>
      <c r="R2631">
        <v>1</v>
      </c>
      <c r="S2631" t="s">
        <v>45</v>
      </c>
      <c r="T2631">
        <v>0</v>
      </c>
      <c r="U2631">
        <v>990</v>
      </c>
      <c r="V2631" t="s">
        <v>46</v>
      </c>
      <c r="W2631">
        <v>0.98899999999999999</v>
      </c>
      <c r="X2631">
        <v>22001</v>
      </c>
      <c r="Y2631" t="s">
        <v>47</v>
      </c>
      <c r="Z2631">
        <v>22</v>
      </c>
      <c r="AA2631">
        <v>854</v>
      </c>
      <c r="AB2631" t="s">
        <v>75</v>
      </c>
      <c r="AC2631">
        <v>0.85299999999999998</v>
      </c>
      <c r="AD2631">
        <v>974</v>
      </c>
      <c r="AE2631" t="s">
        <v>48</v>
      </c>
      <c r="AF2631">
        <v>0.97299999999999998</v>
      </c>
      <c r="AG2631">
        <v>958</v>
      </c>
      <c r="AH2631" t="s">
        <v>80</v>
      </c>
      <c r="AI2631">
        <v>0.95699999999999996</v>
      </c>
      <c r="AJ2631" t="s">
        <v>50</v>
      </c>
    </row>
    <row r="2632" spans="1:36" x14ac:dyDescent="0.25">
      <c r="A2632" t="s">
        <v>181</v>
      </c>
      <c r="B2632">
        <v>852025856</v>
      </c>
      <c r="C2632" t="s">
        <v>182</v>
      </c>
      <c r="D2632" t="s">
        <v>182</v>
      </c>
      <c r="E2632" t="s">
        <v>37</v>
      </c>
      <c r="F2632" t="s">
        <v>122</v>
      </c>
      <c r="I2632" t="s">
        <v>39</v>
      </c>
      <c r="J2632" t="s">
        <v>40</v>
      </c>
      <c r="K2632" t="s">
        <v>41</v>
      </c>
      <c r="L2632" t="s">
        <v>151</v>
      </c>
      <c r="M2632" t="s">
        <v>183</v>
      </c>
      <c r="N2632" t="s">
        <v>43</v>
      </c>
      <c r="O2632" t="s">
        <v>184</v>
      </c>
      <c r="P2632">
        <v>393</v>
      </c>
      <c r="Q2632">
        <v>393</v>
      </c>
      <c r="R2632">
        <v>11</v>
      </c>
      <c r="S2632" t="s">
        <v>45</v>
      </c>
      <c r="T2632">
        <v>0.01</v>
      </c>
      <c r="U2632">
        <v>994</v>
      </c>
      <c r="V2632" t="s">
        <v>46</v>
      </c>
      <c r="W2632">
        <v>0.99299999999999999</v>
      </c>
      <c r="X2632">
        <v>22001</v>
      </c>
      <c r="Y2632" t="s">
        <v>47</v>
      </c>
      <c r="Z2632">
        <v>22</v>
      </c>
      <c r="AA2632">
        <v>818</v>
      </c>
      <c r="AB2632" t="s">
        <v>75</v>
      </c>
      <c r="AC2632">
        <v>0.81699999999999995</v>
      </c>
      <c r="AD2632">
        <v>965</v>
      </c>
      <c r="AE2632" t="s">
        <v>48</v>
      </c>
      <c r="AF2632">
        <v>0.96399999999999997</v>
      </c>
      <c r="AG2632">
        <v>920</v>
      </c>
      <c r="AH2632" t="s">
        <v>49</v>
      </c>
      <c r="AI2632">
        <v>0.91900000000000004</v>
      </c>
      <c r="AJ2632" t="s">
        <v>1153</v>
      </c>
    </row>
    <row r="2633" spans="1:36" x14ac:dyDescent="0.25">
      <c r="A2633" t="s">
        <v>181</v>
      </c>
      <c r="B2633">
        <v>852025856</v>
      </c>
      <c r="C2633" t="s">
        <v>182</v>
      </c>
      <c r="D2633" t="s">
        <v>182</v>
      </c>
      <c r="E2633" t="s">
        <v>60</v>
      </c>
      <c r="F2633" t="s">
        <v>122</v>
      </c>
      <c r="I2633" t="s">
        <v>39</v>
      </c>
      <c r="J2633" t="s">
        <v>40</v>
      </c>
      <c r="K2633" t="s">
        <v>41</v>
      </c>
      <c r="L2633" t="s">
        <v>151</v>
      </c>
      <c r="M2633" t="s">
        <v>183</v>
      </c>
      <c r="N2633" t="s">
        <v>43</v>
      </c>
      <c r="O2633" t="s">
        <v>119</v>
      </c>
      <c r="P2633">
        <v>393</v>
      </c>
      <c r="Q2633">
        <v>393</v>
      </c>
      <c r="R2633">
        <v>1</v>
      </c>
      <c r="S2633" t="s">
        <v>45</v>
      </c>
      <c r="T2633">
        <v>0</v>
      </c>
      <c r="U2633">
        <v>990</v>
      </c>
      <c r="V2633" t="s">
        <v>46</v>
      </c>
      <c r="W2633">
        <v>0.98899999999999999</v>
      </c>
      <c r="X2633">
        <v>22001</v>
      </c>
      <c r="Y2633" t="s">
        <v>47</v>
      </c>
      <c r="Z2633">
        <v>22</v>
      </c>
      <c r="AA2633">
        <v>854</v>
      </c>
      <c r="AB2633" t="s">
        <v>75</v>
      </c>
      <c r="AC2633">
        <v>0.85299999999999998</v>
      </c>
      <c r="AD2633">
        <v>974</v>
      </c>
      <c r="AE2633" t="s">
        <v>48</v>
      </c>
      <c r="AF2633">
        <v>0.97299999999999998</v>
      </c>
      <c r="AG2633">
        <v>958</v>
      </c>
      <c r="AH2633" t="s">
        <v>80</v>
      </c>
      <c r="AI2633">
        <v>0.95699999999999996</v>
      </c>
      <c r="AJ2633" t="s">
        <v>1153</v>
      </c>
    </row>
    <row r="2634" spans="1:36" x14ac:dyDescent="0.25">
      <c r="A2634" t="s">
        <v>181</v>
      </c>
      <c r="B2634">
        <v>852025856</v>
      </c>
      <c r="C2634" t="s">
        <v>182</v>
      </c>
      <c r="D2634" t="s">
        <v>182</v>
      </c>
      <c r="E2634" t="s">
        <v>37</v>
      </c>
      <c r="F2634" t="s">
        <v>122</v>
      </c>
      <c r="I2634" t="s">
        <v>39</v>
      </c>
      <c r="J2634" t="s">
        <v>40</v>
      </c>
      <c r="K2634" t="s">
        <v>41</v>
      </c>
      <c r="L2634" t="s">
        <v>151</v>
      </c>
      <c r="M2634" t="s">
        <v>183</v>
      </c>
      <c r="N2634" t="s">
        <v>43</v>
      </c>
      <c r="O2634" t="s">
        <v>184</v>
      </c>
      <c r="P2634">
        <v>393</v>
      </c>
      <c r="Q2634">
        <v>393</v>
      </c>
      <c r="R2634">
        <v>11</v>
      </c>
      <c r="S2634" t="s">
        <v>45</v>
      </c>
      <c r="T2634">
        <v>0.01</v>
      </c>
      <c r="U2634">
        <v>994</v>
      </c>
      <c r="V2634" t="s">
        <v>46</v>
      </c>
      <c r="W2634">
        <v>0.99299999999999999</v>
      </c>
      <c r="X2634">
        <v>22001</v>
      </c>
      <c r="Y2634" t="s">
        <v>47</v>
      </c>
      <c r="Z2634">
        <v>22</v>
      </c>
      <c r="AA2634">
        <v>818</v>
      </c>
      <c r="AB2634" t="s">
        <v>75</v>
      </c>
      <c r="AC2634">
        <v>0.81699999999999995</v>
      </c>
      <c r="AD2634">
        <v>965</v>
      </c>
      <c r="AE2634" t="s">
        <v>48</v>
      </c>
      <c r="AF2634">
        <v>0.96399999999999997</v>
      </c>
      <c r="AG2634">
        <v>920</v>
      </c>
      <c r="AH2634" t="s">
        <v>49</v>
      </c>
      <c r="AI2634">
        <v>0.91900000000000004</v>
      </c>
      <c r="AJ2634" t="s">
        <v>1154</v>
      </c>
    </row>
    <row r="2635" spans="1:36" x14ac:dyDescent="0.25">
      <c r="A2635" t="s">
        <v>181</v>
      </c>
      <c r="B2635">
        <v>852025856</v>
      </c>
      <c r="C2635" t="s">
        <v>182</v>
      </c>
      <c r="D2635" t="s">
        <v>182</v>
      </c>
      <c r="E2635" t="s">
        <v>60</v>
      </c>
      <c r="F2635" t="s">
        <v>122</v>
      </c>
      <c r="I2635" t="s">
        <v>39</v>
      </c>
      <c r="J2635" t="s">
        <v>40</v>
      </c>
      <c r="K2635" t="s">
        <v>41</v>
      </c>
      <c r="L2635" t="s">
        <v>151</v>
      </c>
      <c r="M2635" t="s">
        <v>183</v>
      </c>
      <c r="N2635" t="s">
        <v>43</v>
      </c>
      <c r="O2635" t="s">
        <v>119</v>
      </c>
      <c r="P2635">
        <v>393</v>
      </c>
      <c r="Q2635">
        <v>393</v>
      </c>
      <c r="R2635">
        <v>1</v>
      </c>
      <c r="S2635" t="s">
        <v>45</v>
      </c>
      <c r="T2635">
        <v>0</v>
      </c>
      <c r="U2635">
        <v>990</v>
      </c>
      <c r="V2635" t="s">
        <v>46</v>
      </c>
      <c r="W2635">
        <v>0.98899999999999999</v>
      </c>
      <c r="X2635">
        <v>22001</v>
      </c>
      <c r="Y2635" t="s">
        <v>47</v>
      </c>
      <c r="Z2635">
        <v>22</v>
      </c>
      <c r="AA2635">
        <v>854</v>
      </c>
      <c r="AB2635" t="s">
        <v>75</v>
      </c>
      <c r="AC2635">
        <v>0.85299999999999998</v>
      </c>
      <c r="AD2635">
        <v>974</v>
      </c>
      <c r="AE2635" t="s">
        <v>48</v>
      </c>
      <c r="AF2635">
        <v>0.97299999999999998</v>
      </c>
      <c r="AG2635">
        <v>958</v>
      </c>
      <c r="AH2635" t="s">
        <v>80</v>
      </c>
      <c r="AI2635">
        <v>0.95699999999999996</v>
      </c>
      <c r="AJ2635" t="s">
        <v>1154</v>
      </c>
    </row>
    <row r="2636" spans="1:36" x14ac:dyDescent="0.25">
      <c r="A2636" t="s">
        <v>164</v>
      </c>
      <c r="B2636">
        <v>881457038</v>
      </c>
      <c r="C2636" t="s">
        <v>165</v>
      </c>
      <c r="D2636" t="s">
        <v>165</v>
      </c>
      <c r="E2636" t="s">
        <v>65</v>
      </c>
      <c r="F2636" t="s">
        <v>166</v>
      </c>
      <c r="I2636" t="s">
        <v>39</v>
      </c>
      <c r="J2636" t="s">
        <v>40</v>
      </c>
      <c r="K2636" t="s">
        <v>41</v>
      </c>
      <c r="L2636" t="s">
        <v>78</v>
      </c>
      <c r="N2636" t="s">
        <v>43</v>
      </c>
      <c r="O2636" t="s">
        <v>167</v>
      </c>
      <c r="P2636">
        <v>394</v>
      </c>
      <c r="Q2636">
        <v>394</v>
      </c>
      <c r="S2636" t="s">
        <v>39</v>
      </c>
      <c r="V2636" t="s">
        <v>39</v>
      </c>
      <c r="X2636">
        <v>2001</v>
      </c>
      <c r="Y2636" t="s">
        <v>47</v>
      </c>
      <c r="Z2636">
        <v>2</v>
      </c>
      <c r="AA2636">
        <v>189</v>
      </c>
      <c r="AB2636" t="s">
        <v>47</v>
      </c>
      <c r="AC2636">
        <v>0.188</v>
      </c>
      <c r="AD2636">
        <v>55</v>
      </c>
      <c r="AE2636" t="s">
        <v>56</v>
      </c>
      <c r="AF2636">
        <v>5.3999999999999999E-2</v>
      </c>
      <c r="AG2636">
        <v>1</v>
      </c>
      <c r="AH2636" t="s">
        <v>103</v>
      </c>
      <c r="AI2636">
        <v>0</v>
      </c>
      <c r="AJ2636" t="s">
        <v>1155</v>
      </c>
    </row>
    <row r="2637" spans="1:36" x14ac:dyDescent="0.25">
      <c r="A2637" t="s">
        <v>171</v>
      </c>
      <c r="B2637">
        <v>868825276</v>
      </c>
      <c r="C2637" t="s">
        <v>172</v>
      </c>
      <c r="D2637" t="s">
        <v>172</v>
      </c>
      <c r="E2637" t="s">
        <v>37</v>
      </c>
      <c r="F2637" t="s">
        <v>127</v>
      </c>
      <c r="I2637" t="s">
        <v>39</v>
      </c>
      <c r="J2637" t="s">
        <v>40</v>
      </c>
      <c r="K2637" t="s">
        <v>41</v>
      </c>
      <c r="L2637" t="s">
        <v>173</v>
      </c>
      <c r="N2637" t="s">
        <v>43</v>
      </c>
      <c r="O2637" t="s">
        <v>174</v>
      </c>
      <c r="P2637">
        <v>395</v>
      </c>
      <c r="Q2637">
        <v>395</v>
      </c>
      <c r="R2637">
        <v>81</v>
      </c>
      <c r="S2637" t="s">
        <v>56</v>
      </c>
      <c r="T2637">
        <v>0.08</v>
      </c>
      <c r="U2637">
        <v>18</v>
      </c>
      <c r="V2637" t="s">
        <v>55</v>
      </c>
      <c r="W2637">
        <v>1.7000000000000001E-2</v>
      </c>
      <c r="X2637">
        <v>1</v>
      </c>
      <c r="Y2637" t="s">
        <v>47</v>
      </c>
      <c r="Z2637">
        <v>0</v>
      </c>
      <c r="AA2637">
        <v>287</v>
      </c>
      <c r="AB2637" t="s">
        <v>47</v>
      </c>
      <c r="AC2637">
        <v>0.28599999999999998</v>
      </c>
      <c r="AD2637">
        <v>270</v>
      </c>
      <c r="AE2637" t="s">
        <v>56</v>
      </c>
      <c r="AF2637">
        <v>0.26900000000000002</v>
      </c>
      <c r="AG2637">
        <v>100</v>
      </c>
      <c r="AH2637" t="s">
        <v>103</v>
      </c>
      <c r="AI2637">
        <v>9.9000000000000005E-2</v>
      </c>
      <c r="AJ2637" t="s">
        <v>50</v>
      </c>
    </row>
    <row r="2638" spans="1:36" x14ac:dyDescent="0.25">
      <c r="A2638" t="s">
        <v>171</v>
      </c>
      <c r="B2638">
        <v>868825276</v>
      </c>
      <c r="C2638" t="s">
        <v>172</v>
      </c>
      <c r="D2638" t="s">
        <v>172</v>
      </c>
      <c r="E2638" t="s">
        <v>37</v>
      </c>
      <c r="F2638" t="s">
        <v>127</v>
      </c>
      <c r="I2638" t="s">
        <v>39</v>
      </c>
      <c r="J2638" t="s">
        <v>40</v>
      </c>
      <c r="K2638" t="s">
        <v>41</v>
      </c>
      <c r="L2638" t="s">
        <v>173</v>
      </c>
      <c r="N2638" t="s">
        <v>43</v>
      </c>
      <c r="O2638" t="s">
        <v>174</v>
      </c>
      <c r="P2638">
        <v>395</v>
      </c>
      <c r="Q2638">
        <v>395</v>
      </c>
      <c r="R2638">
        <v>81</v>
      </c>
      <c r="S2638" t="s">
        <v>56</v>
      </c>
      <c r="T2638">
        <v>0.08</v>
      </c>
      <c r="U2638">
        <v>18</v>
      </c>
      <c r="V2638" t="s">
        <v>55</v>
      </c>
      <c r="W2638">
        <v>1.7000000000000001E-2</v>
      </c>
      <c r="X2638">
        <v>1</v>
      </c>
      <c r="Y2638" t="s">
        <v>47</v>
      </c>
      <c r="Z2638">
        <v>0</v>
      </c>
      <c r="AA2638">
        <v>287</v>
      </c>
      <c r="AB2638" t="s">
        <v>47</v>
      </c>
      <c r="AC2638">
        <v>0.28599999999999998</v>
      </c>
      <c r="AD2638">
        <v>270</v>
      </c>
      <c r="AE2638" t="s">
        <v>56</v>
      </c>
      <c r="AF2638">
        <v>0.26900000000000002</v>
      </c>
      <c r="AG2638">
        <v>100</v>
      </c>
      <c r="AH2638" t="s">
        <v>103</v>
      </c>
      <c r="AI2638">
        <v>9.9000000000000005E-2</v>
      </c>
      <c r="AJ2638" t="s">
        <v>1153</v>
      </c>
    </row>
    <row r="2639" spans="1:36" x14ac:dyDescent="0.25">
      <c r="A2639" t="s">
        <v>171</v>
      </c>
      <c r="B2639">
        <v>868825276</v>
      </c>
      <c r="C2639" t="s">
        <v>172</v>
      </c>
      <c r="D2639" t="s">
        <v>172</v>
      </c>
      <c r="E2639" t="s">
        <v>37</v>
      </c>
      <c r="F2639" t="s">
        <v>127</v>
      </c>
      <c r="I2639" t="s">
        <v>39</v>
      </c>
      <c r="J2639" t="s">
        <v>40</v>
      </c>
      <c r="K2639" t="s">
        <v>41</v>
      </c>
      <c r="L2639" t="s">
        <v>173</v>
      </c>
      <c r="N2639" t="s">
        <v>43</v>
      </c>
      <c r="O2639" t="s">
        <v>174</v>
      </c>
      <c r="P2639">
        <v>395</v>
      </c>
      <c r="Q2639">
        <v>395</v>
      </c>
      <c r="R2639">
        <v>81</v>
      </c>
      <c r="S2639" t="s">
        <v>56</v>
      </c>
      <c r="T2639">
        <v>0.08</v>
      </c>
      <c r="U2639">
        <v>18</v>
      </c>
      <c r="V2639" t="s">
        <v>55</v>
      </c>
      <c r="W2639">
        <v>1.7000000000000001E-2</v>
      </c>
      <c r="X2639">
        <v>1</v>
      </c>
      <c r="Y2639" t="s">
        <v>47</v>
      </c>
      <c r="Z2639">
        <v>0</v>
      </c>
      <c r="AA2639">
        <v>287</v>
      </c>
      <c r="AB2639" t="s">
        <v>47</v>
      </c>
      <c r="AC2639">
        <v>0.28599999999999998</v>
      </c>
      <c r="AD2639">
        <v>270</v>
      </c>
      <c r="AE2639" t="s">
        <v>56</v>
      </c>
      <c r="AF2639">
        <v>0.26900000000000002</v>
      </c>
      <c r="AG2639">
        <v>100</v>
      </c>
      <c r="AH2639" t="s">
        <v>103</v>
      </c>
      <c r="AI2639">
        <v>9.9000000000000005E-2</v>
      </c>
      <c r="AJ2639" t="s">
        <v>1154</v>
      </c>
    </row>
    <row r="2640" spans="1:36" x14ac:dyDescent="0.25">
      <c r="A2640" t="s">
        <v>160</v>
      </c>
      <c r="B2640">
        <v>852475749</v>
      </c>
      <c r="C2640" t="s">
        <v>161</v>
      </c>
      <c r="D2640" t="s">
        <v>161</v>
      </c>
      <c r="E2640" t="s">
        <v>99</v>
      </c>
      <c r="F2640" t="s">
        <v>143</v>
      </c>
      <c r="I2640" t="s">
        <v>39</v>
      </c>
      <c r="J2640" t="s">
        <v>40</v>
      </c>
      <c r="K2640" t="s">
        <v>41</v>
      </c>
      <c r="L2640" t="s">
        <v>162</v>
      </c>
      <c r="N2640" t="s">
        <v>43</v>
      </c>
      <c r="O2640" t="s">
        <v>163</v>
      </c>
      <c r="P2640">
        <v>395</v>
      </c>
      <c r="Q2640">
        <v>395</v>
      </c>
      <c r="S2640" t="s">
        <v>39</v>
      </c>
      <c r="V2640" t="s">
        <v>39</v>
      </c>
      <c r="X2640">
        <v>1</v>
      </c>
      <c r="Y2640" t="s">
        <v>47</v>
      </c>
      <c r="Z2640">
        <v>0</v>
      </c>
      <c r="AA2640">
        <v>152</v>
      </c>
      <c r="AB2640" t="s">
        <v>47</v>
      </c>
      <c r="AC2640">
        <v>0.151</v>
      </c>
      <c r="AD2640">
        <v>226</v>
      </c>
      <c r="AE2640" t="s">
        <v>56</v>
      </c>
      <c r="AF2640">
        <v>0.22500000000000001</v>
      </c>
      <c r="AG2640">
        <v>40</v>
      </c>
      <c r="AH2640" t="s">
        <v>103</v>
      </c>
      <c r="AI2640">
        <v>3.9E-2</v>
      </c>
      <c r="AJ2640" t="s">
        <v>1155</v>
      </c>
    </row>
    <row r="2641" spans="1:36" x14ac:dyDescent="0.25">
      <c r="A2641" t="s">
        <v>157</v>
      </c>
      <c r="B2641">
        <v>856319491</v>
      </c>
      <c r="C2641" t="s">
        <v>158</v>
      </c>
      <c r="D2641" t="s">
        <v>158</v>
      </c>
      <c r="E2641" t="s">
        <v>65</v>
      </c>
      <c r="F2641" t="s">
        <v>93</v>
      </c>
      <c r="I2641" t="s">
        <v>39</v>
      </c>
      <c r="J2641" t="s">
        <v>40</v>
      </c>
      <c r="K2641" t="s">
        <v>41</v>
      </c>
      <c r="L2641" t="s">
        <v>53</v>
      </c>
      <c r="N2641" t="s">
        <v>43</v>
      </c>
      <c r="O2641" t="s">
        <v>159</v>
      </c>
      <c r="P2641">
        <v>395</v>
      </c>
      <c r="Q2641">
        <v>395</v>
      </c>
      <c r="S2641" t="s">
        <v>39</v>
      </c>
      <c r="V2641" t="s">
        <v>39</v>
      </c>
      <c r="X2641">
        <v>1001</v>
      </c>
      <c r="Y2641" t="s">
        <v>47</v>
      </c>
      <c r="Z2641">
        <v>1</v>
      </c>
      <c r="AA2641">
        <v>152</v>
      </c>
      <c r="AB2641" t="s">
        <v>47</v>
      </c>
      <c r="AC2641">
        <v>0.151</v>
      </c>
      <c r="AD2641">
        <v>381</v>
      </c>
      <c r="AE2641" t="s">
        <v>56</v>
      </c>
      <c r="AF2641">
        <v>0.38</v>
      </c>
      <c r="AG2641">
        <v>131</v>
      </c>
      <c r="AH2641" t="s">
        <v>103</v>
      </c>
      <c r="AI2641">
        <v>0.13</v>
      </c>
      <c r="AJ2641" t="s">
        <v>1155</v>
      </c>
    </row>
    <row r="2642" spans="1:36" x14ac:dyDescent="0.25">
      <c r="A2642" t="s">
        <v>149</v>
      </c>
      <c r="B2642">
        <v>851632058</v>
      </c>
      <c r="C2642" t="s">
        <v>150</v>
      </c>
      <c r="D2642" t="s">
        <v>150</v>
      </c>
      <c r="E2642" t="s">
        <v>65</v>
      </c>
      <c r="F2642" t="s">
        <v>100</v>
      </c>
      <c r="I2642" t="s">
        <v>39</v>
      </c>
      <c r="J2642" t="s">
        <v>40</v>
      </c>
      <c r="K2642" t="s">
        <v>41</v>
      </c>
      <c r="L2642" t="s">
        <v>151</v>
      </c>
      <c r="M2642" t="s">
        <v>152</v>
      </c>
      <c r="N2642" t="s">
        <v>43</v>
      </c>
      <c r="O2642" t="s">
        <v>153</v>
      </c>
      <c r="P2642">
        <v>396</v>
      </c>
      <c r="Q2642">
        <v>396</v>
      </c>
      <c r="S2642" t="s">
        <v>39</v>
      </c>
      <c r="V2642" t="s">
        <v>39</v>
      </c>
      <c r="X2642">
        <v>1</v>
      </c>
      <c r="Y2642" t="s">
        <v>47</v>
      </c>
      <c r="Z2642">
        <v>0</v>
      </c>
      <c r="AA2642">
        <v>180</v>
      </c>
      <c r="AB2642" t="s">
        <v>47</v>
      </c>
      <c r="AC2642">
        <v>0.17899999999999999</v>
      </c>
      <c r="AD2642">
        <v>1</v>
      </c>
      <c r="AE2642" t="s">
        <v>56</v>
      </c>
      <c r="AF2642">
        <v>0</v>
      </c>
      <c r="AG2642">
        <v>23</v>
      </c>
      <c r="AH2642" t="s">
        <v>103</v>
      </c>
      <c r="AI2642">
        <v>2.1999999999999999E-2</v>
      </c>
      <c r="AJ2642" t="s">
        <v>1155</v>
      </c>
    </row>
    <row r="2643" spans="1:36" x14ac:dyDescent="0.25">
      <c r="A2643" t="s">
        <v>154</v>
      </c>
      <c r="B2643">
        <v>868227617</v>
      </c>
      <c r="C2643" t="s">
        <v>155</v>
      </c>
      <c r="D2643" t="s">
        <v>155</v>
      </c>
      <c r="E2643" t="s">
        <v>99</v>
      </c>
      <c r="F2643" t="s">
        <v>143</v>
      </c>
      <c r="I2643" t="s">
        <v>39</v>
      </c>
      <c r="J2643" t="s">
        <v>40</v>
      </c>
      <c r="K2643" t="s">
        <v>41</v>
      </c>
      <c r="L2643" t="s">
        <v>78</v>
      </c>
      <c r="N2643" t="s">
        <v>43</v>
      </c>
      <c r="O2643" t="s">
        <v>156</v>
      </c>
      <c r="P2643">
        <v>396</v>
      </c>
      <c r="Q2643">
        <v>396</v>
      </c>
      <c r="S2643" t="s">
        <v>39</v>
      </c>
      <c r="V2643" t="s">
        <v>39</v>
      </c>
      <c r="X2643">
        <v>18001</v>
      </c>
      <c r="Y2643" t="s">
        <v>47</v>
      </c>
      <c r="Z2643">
        <v>18</v>
      </c>
      <c r="AA2643">
        <v>362</v>
      </c>
      <c r="AB2643" t="s">
        <v>47</v>
      </c>
      <c r="AC2643">
        <v>0.36099999999999999</v>
      </c>
      <c r="AD2643">
        <v>756</v>
      </c>
      <c r="AE2643" t="s">
        <v>48</v>
      </c>
      <c r="AF2643">
        <v>0.755</v>
      </c>
      <c r="AG2643">
        <v>549</v>
      </c>
      <c r="AH2643" t="s">
        <v>49</v>
      </c>
      <c r="AI2643">
        <v>0.54800000000000004</v>
      </c>
      <c r="AJ2643" t="s">
        <v>1155</v>
      </c>
    </row>
    <row r="2644" spans="1:36" x14ac:dyDescent="0.25">
      <c r="A2644" t="s">
        <v>168</v>
      </c>
      <c r="B2644">
        <v>865475472</v>
      </c>
      <c r="C2644" t="s">
        <v>169</v>
      </c>
      <c r="D2644" t="s">
        <v>169</v>
      </c>
      <c r="E2644" t="s">
        <v>65</v>
      </c>
      <c r="F2644" t="s">
        <v>93</v>
      </c>
      <c r="I2644" t="s">
        <v>39</v>
      </c>
      <c r="J2644" t="s">
        <v>40</v>
      </c>
      <c r="K2644" t="s">
        <v>41</v>
      </c>
      <c r="L2644" t="s">
        <v>78</v>
      </c>
      <c r="N2644" t="s">
        <v>43</v>
      </c>
      <c r="O2644" t="s">
        <v>170</v>
      </c>
      <c r="P2644">
        <v>397</v>
      </c>
      <c r="Q2644">
        <v>397</v>
      </c>
      <c r="R2644">
        <v>31</v>
      </c>
      <c r="S2644" t="s">
        <v>45</v>
      </c>
      <c r="T2644">
        <v>0.03</v>
      </c>
      <c r="U2644">
        <v>928</v>
      </c>
      <c r="V2644" t="s">
        <v>46</v>
      </c>
      <c r="W2644">
        <v>0.92700000000000005</v>
      </c>
      <c r="X2644">
        <v>20001</v>
      </c>
      <c r="Y2644" t="s">
        <v>47</v>
      </c>
      <c r="Z2644">
        <v>20</v>
      </c>
      <c r="AA2644">
        <v>459</v>
      </c>
      <c r="AB2644" t="s">
        <v>47</v>
      </c>
      <c r="AC2644">
        <v>0.45800000000000002</v>
      </c>
      <c r="AD2644">
        <v>651</v>
      </c>
      <c r="AE2644" t="s">
        <v>48</v>
      </c>
      <c r="AF2644">
        <v>0.65</v>
      </c>
      <c r="AG2644">
        <v>517</v>
      </c>
      <c r="AH2644" t="s">
        <v>57</v>
      </c>
      <c r="AI2644">
        <v>0.51600000000000001</v>
      </c>
      <c r="AJ2644" t="s">
        <v>50</v>
      </c>
    </row>
    <row r="2645" spans="1:36" x14ac:dyDescent="0.25">
      <c r="A2645" t="s">
        <v>168</v>
      </c>
      <c r="B2645">
        <v>865475472</v>
      </c>
      <c r="C2645" t="s">
        <v>169</v>
      </c>
      <c r="D2645" t="s">
        <v>169</v>
      </c>
      <c r="E2645" t="s">
        <v>65</v>
      </c>
      <c r="F2645" t="s">
        <v>93</v>
      </c>
      <c r="I2645" t="s">
        <v>39</v>
      </c>
      <c r="J2645" t="s">
        <v>40</v>
      </c>
      <c r="K2645" t="s">
        <v>41</v>
      </c>
      <c r="L2645" t="s">
        <v>78</v>
      </c>
      <c r="N2645" t="s">
        <v>43</v>
      </c>
      <c r="O2645" t="s">
        <v>170</v>
      </c>
      <c r="P2645">
        <v>397</v>
      </c>
      <c r="Q2645">
        <v>397</v>
      </c>
      <c r="R2645">
        <v>31</v>
      </c>
      <c r="S2645" t="s">
        <v>45</v>
      </c>
      <c r="T2645">
        <v>0.03</v>
      </c>
      <c r="U2645">
        <v>928</v>
      </c>
      <c r="V2645" t="s">
        <v>46</v>
      </c>
      <c r="W2645">
        <v>0.92700000000000005</v>
      </c>
      <c r="X2645">
        <v>20001</v>
      </c>
      <c r="Y2645" t="s">
        <v>47</v>
      </c>
      <c r="Z2645">
        <v>20</v>
      </c>
      <c r="AA2645">
        <v>459</v>
      </c>
      <c r="AB2645" t="s">
        <v>47</v>
      </c>
      <c r="AC2645">
        <v>0.45800000000000002</v>
      </c>
      <c r="AD2645">
        <v>651</v>
      </c>
      <c r="AE2645" t="s">
        <v>48</v>
      </c>
      <c r="AF2645">
        <v>0.65</v>
      </c>
      <c r="AG2645">
        <v>517</v>
      </c>
      <c r="AH2645" t="s">
        <v>57</v>
      </c>
      <c r="AI2645">
        <v>0.51600000000000001</v>
      </c>
      <c r="AJ2645" t="s">
        <v>1153</v>
      </c>
    </row>
    <row r="2646" spans="1:36" x14ac:dyDescent="0.25">
      <c r="A2646" t="s">
        <v>168</v>
      </c>
      <c r="B2646">
        <v>865475472</v>
      </c>
      <c r="C2646" t="s">
        <v>169</v>
      </c>
      <c r="D2646" t="s">
        <v>169</v>
      </c>
      <c r="E2646" t="s">
        <v>65</v>
      </c>
      <c r="F2646" t="s">
        <v>93</v>
      </c>
      <c r="I2646" t="s">
        <v>39</v>
      </c>
      <c r="J2646" t="s">
        <v>40</v>
      </c>
      <c r="K2646" t="s">
        <v>41</v>
      </c>
      <c r="L2646" t="s">
        <v>78</v>
      </c>
      <c r="N2646" t="s">
        <v>43</v>
      </c>
      <c r="O2646" t="s">
        <v>170</v>
      </c>
      <c r="P2646">
        <v>397</v>
      </c>
      <c r="Q2646">
        <v>397</v>
      </c>
      <c r="R2646">
        <v>31</v>
      </c>
      <c r="S2646" t="s">
        <v>45</v>
      </c>
      <c r="T2646">
        <v>0.03</v>
      </c>
      <c r="U2646">
        <v>928</v>
      </c>
      <c r="V2646" t="s">
        <v>46</v>
      </c>
      <c r="W2646">
        <v>0.92700000000000005</v>
      </c>
      <c r="X2646">
        <v>20001</v>
      </c>
      <c r="Y2646" t="s">
        <v>47</v>
      </c>
      <c r="Z2646">
        <v>20</v>
      </c>
      <c r="AA2646">
        <v>459</v>
      </c>
      <c r="AB2646" t="s">
        <v>47</v>
      </c>
      <c r="AC2646">
        <v>0.45800000000000002</v>
      </c>
      <c r="AD2646">
        <v>651</v>
      </c>
      <c r="AE2646" t="s">
        <v>48</v>
      </c>
      <c r="AF2646">
        <v>0.65</v>
      </c>
      <c r="AG2646">
        <v>517</v>
      </c>
      <c r="AH2646" t="s">
        <v>57</v>
      </c>
      <c r="AI2646">
        <v>0.51600000000000001</v>
      </c>
      <c r="AJ2646" t="s">
        <v>1154</v>
      </c>
    </row>
    <row r="2647" spans="1:36" x14ac:dyDescent="0.25">
      <c r="A2647" t="s">
        <v>147</v>
      </c>
      <c r="B2647">
        <v>851900399</v>
      </c>
      <c r="C2647" t="s">
        <v>148</v>
      </c>
      <c r="D2647" t="s">
        <v>148</v>
      </c>
      <c r="E2647" t="s">
        <v>60</v>
      </c>
      <c r="F2647" t="s">
        <v>61</v>
      </c>
      <c r="I2647" t="s">
        <v>39</v>
      </c>
      <c r="J2647" t="s">
        <v>40</v>
      </c>
      <c r="K2647" t="s">
        <v>41</v>
      </c>
      <c r="L2647" t="s">
        <v>42</v>
      </c>
      <c r="N2647" t="s">
        <v>43</v>
      </c>
      <c r="O2647" t="s">
        <v>62</v>
      </c>
      <c r="P2647">
        <v>397</v>
      </c>
      <c r="Q2647">
        <v>397</v>
      </c>
      <c r="S2647" t="s">
        <v>39</v>
      </c>
      <c r="V2647" t="s">
        <v>39</v>
      </c>
      <c r="X2647">
        <v>1</v>
      </c>
      <c r="Y2647" t="s">
        <v>47</v>
      </c>
      <c r="Z2647">
        <v>0</v>
      </c>
      <c r="AA2647">
        <v>131</v>
      </c>
      <c r="AB2647" t="s">
        <v>47</v>
      </c>
      <c r="AC2647">
        <v>0.13</v>
      </c>
      <c r="AD2647">
        <v>147</v>
      </c>
      <c r="AE2647" t="s">
        <v>56</v>
      </c>
      <c r="AF2647">
        <v>0.14599999999999999</v>
      </c>
      <c r="AG2647">
        <v>17</v>
      </c>
      <c r="AH2647" t="s">
        <v>103</v>
      </c>
      <c r="AI2647">
        <v>1.6E-2</v>
      </c>
      <c r="AJ2647" t="s">
        <v>1155</v>
      </c>
    </row>
    <row r="2648" spans="1:36" x14ac:dyDescent="0.25">
      <c r="A2648" t="s">
        <v>144</v>
      </c>
      <c r="B2648">
        <v>881456626</v>
      </c>
      <c r="C2648" t="s">
        <v>145</v>
      </c>
      <c r="D2648" t="s">
        <v>145</v>
      </c>
      <c r="E2648" t="s">
        <v>65</v>
      </c>
      <c r="F2648" t="s">
        <v>66</v>
      </c>
      <c r="I2648" t="s">
        <v>39</v>
      </c>
      <c r="J2648" t="s">
        <v>40</v>
      </c>
      <c r="K2648" t="s">
        <v>41</v>
      </c>
      <c r="L2648" t="s">
        <v>42</v>
      </c>
      <c r="N2648" t="s">
        <v>43</v>
      </c>
      <c r="O2648" t="s">
        <v>146</v>
      </c>
      <c r="P2648">
        <v>397</v>
      </c>
      <c r="Q2648">
        <v>397</v>
      </c>
      <c r="S2648" t="s">
        <v>39</v>
      </c>
      <c r="V2648" t="s">
        <v>39</v>
      </c>
      <c r="X2648">
        <v>4001</v>
      </c>
      <c r="Y2648" t="s">
        <v>47</v>
      </c>
      <c r="Z2648">
        <v>4</v>
      </c>
      <c r="AA2648">
        <v>256</v>
      </c>
      <c r="AB2648" t="s">
        <v>47</v>
      </c>
      <c r="AC2648">
        <v>0.255</v>
      </c>
      <c r="AD2648">
        <v>299</v>
      </c>
      <c r="AE2648" t="s">
        <v>56</v>
      </c>
      <c r="AF2648">
        <v>0.29799999999999999</v>
      </c>
      <c r="AG2648">
        <v>189</v>
      </c>
      <c r="AH2648" t="s">
        <v>103</v>
      </c>
      <c r="AI2648">
        <v>0.188</v>
      </c>
      <c r="AJ2648" t="s">
        <v>1155</v>
      </c>
    </row>
    <row r="2649" spans="1:36" x14ac:dyDescent="0.25">
      <c r="A2649" t="s">
        <v>164</v>
      </c>
      <c r="B2649">
        <v>881457038</v>
      </c>
      <c r="C2649" t="s">
        <v>165</v>
      </c>
      <c r="D2649" t="s">
        <v>165</v>
      </c>
      <c r="E2649" t="s">
        <v>65</v>
      </c>
      <c r="F2649" t="s">
        <v>166</v>
      </c>
      <c r="I2649" t="s">
        <v>39</v>
      </c>
      <c r="J2649" t="s">
        <v>40</v>
      </c>
      <c r="K2649" t="s">
        <v>41</v>
      </c>
      <c r="L2649" t="s">
        <v>78</v>
      </c>
      <c r="N2649" t="s">
        <v>43</v>
      </c>
      <c r="O2649" t="s">
        <v>167</v>
      </c>
      <c r="P2649">
        <v>398</v>
      </c>
      <c r="Q2649">
        <v>398</v>
      </c>
      <c r="R2649">
        <v>1001</v>
      </c>
      <c r="S2649" t="s">
        <v>56</v>
      </c>
      <c r="T2649">
        <v>1</v>
      </c>
      <c r="U2649">
        <v>1</v>
      </c>
      <c r="V2649" t="s">
        <v>55</v>
      </c>
      <c r="W2649">
        <v>0</v>
      </c>
      <c r="X2649">
        <v>2001</v>
      </c>
      <c r="Y2649" t="s">
        <v>47</v>
      </c>
      <c r="Z2649">
        <v>2</v>
      </c>
      <c r="AA2649">
        <v>189</v>
      </c>
      <c r="AB2649" t="s">
        <v>47</v>
      </c>
      <c r="AC2649">
        <v>0.188</v>
      </c>
      <c r="AD2649">
        <v>55</v>
      </c>
      <c r="AE2649" t="s">
        <v>56</v>
      </c>
      <c r="AF2649">
        <v>5.3999999999999999E-2</v>
      </c>
      <c r="AG2649">
        <v>1</v>
      </c>
      <c r="AH2649" t="s">
        <v>103</v>
      </c>
      <c r="AI2649">
        <v>0</v>
      </c>
      <c r="AJ2649" t="s">
        <v>50</v>
      </c>
    </row>
    <row r="2650" spans="1:36" x14ac:dyDescent="0.25">
      <c r="A2650" t="s">
        <v>164</v>
      </c>
      <c r="B2650">
        <v>881457038</v>
      </c>
      <c r="C2650" t="s">
        <v>165</v>
      </c>
      <c r="D2650" t="s">
        <v>165</v>
      </c>
      <c r="E2650" t="s">
        <v>65</v>
      </c>
      <c r="F2650" t="s">
        <v>166</v>
      </c>
      <c r="I2650" t="s">
        <v>39</v>
      </c>
      <c r="J2650" t="s">
        <v>40</v>
      </c>
      <c r="K2650" t="s">
        <v>41</v>
      </c>
      <c r="L2650" t="s">
        <v>78</v>
      </c>
      <c r="N2650" t="s">
        <v>43</v>
      </c>
      <c r="O2650" t="s">
        <v>167</v>
      </c>
      <c r="P2650">
        <v>398</v>
      </c>
      <c r="Q2650">
        <v>398</v>
      </c>
      <c r="R2650">
        <v>1001</v>
      </c>
      <c r="S2650" t="s">
        <v>56</v>
      </c>
      <c r="T2650">
        <v>1</v>
      </c>
      <c r="U2650">
        <v>1</v>
      </c>
      <c r="V2650" t="s">
        <v>55</v>
      </c>
      <c r="W2650">
        <v>0</v>
      </c>
      <c r="X2650">
        <v>2001</v>
      </c>
      <c r="Y2650" t="s">
        <v>47</v>
      </c>
      <c r="Z2650">
        <v>2</v>
      </c>
      <c r="AA2650">
        <v>189</v>
      </c>
      <c r="AB2650" t="s">
        <v>47</v>
      </c>
      <c r="AC2650">
        <v>0.188</v>
      </c>
      <c r="AD2650">
        <v>55</v>
      </c>
      <c r="AE2650" t="s">
        <v>56</v>
      </c>
      <c r="AF2650">
        <v>5.3999999999999999E-2</v>
      </c>
      <c r="AG2650">
        <v>1</v>
      </c>
      <c r="AH2650" t="s">
        <v>103</v>
      </c>
      <c r="AI2650">
        <v>0</v>
      </c>
      <c r="AJ2650" t="s">
        <v>1153</v>
      </c>
    </row>
    <row r="2651" spans="1:36" x14ac:dyDescent="0.25">
      <c r="A2651" t="s">
        <v>164</v>
      </c>
      <c r="B2651">
        <v>881457038</v>
      </c>
      <c r="C2651" t="s">
        <v>165</v>
      </c>
      <c r="D2651" t="s">
        <v>165</v>
      </c>
      <c r="E2651" t="s">
        <v>65</v>
      </c>
      <c r="F2651" t="s">
        <v>166</v>
      </c>
      <c r="I2651" t="s">
        <v>39</v>
      </c>
      <c r="J2651" t="s">
        <v>40</v>
      </c>
      <c r="K2651" t="s">
        <v>41</v>
      </c>
      <c r="L2651" t="s">
        <v>78</v>
      </c>
      <c r="N2651" t="s">
        <v>43</v>
      </c>
      <c r="O2651" t="s">
        <v>167</v>
      </c>
      <c r="P2651">
        <v>398</v>
      </c>
      <c r="Q2651">
        <v>398</v>
      </c>
      <c r="R2651">
        <v>1001</v>
      </c>
      <c r="S2651" t="s">
        <v>56</v>
      </c>
      <c r="T2651">
        <v>1</v>
      </c>
      <c r="U2651">
        <v>1</v>
      </c>
      <c r="V2651" t="s">
        <v>55</v>
      </c>
      <c r="W2651">
        <v>0</v>
      </c>
      <c r="X2651">
        <v>2001</v>
      </c>
      <c r="Y2651" t="s">
        <v>47</v>
      </c>
      <c r="Z2651">
        <v>2</v>
      </c>
      <c r="AA2651">
        <v>189</v>
      </c>
      <c r="AB2651" t="s">
        <v>47</v>
      </c>
      <c r="AC2651">
        <v>0.188</v>
      </c>
      <c r="AD2651">
        <v>55</v>
      </c>
      <c r="AE2651" t="s">
        <v>56</v>
      </c>
      <c r="AF2651">
        <v>5.3999999999999999E-2</v>
      </c>
      <c r="AG2651">
        <v>1</v>
      </c>
      <c r="AH2651" t="s">
        <v>103</v>
      </c>
      <c r="AI2651">
        <v>0</v>
      </c>
      <c r="AJ2651" t="s">
        <v>1154</v>
      </c>
    </row>
    <row r="2652" spans="1:36" x14ac:dyDescent="0.25">
      <c r="A2652" t="s">
        <v>141</v>
      </c>
      <c r="B2652">
        <v>865700496</v>
      </c>
      <c r="C2652" t="s">
        <v>142</v>
      </c>
      <c r="D2652" t="s">
        <v>142</v>
      </c>
      <c r="E2652" t="s">
        <v>99</v>
      </c>
      <c r="F2652" t="s">
        <v>143</v>
      </c>
      <c r="I2652" t="s">
        <v>39</v>
      </c>
      <c r="J2652" t="s">
        <v>40</v>
      </c>
      <c r="K2652" t="s">
        <v>41</v>
      </c>
      <c r="L2652" t="s">
        <v>42</v>
      </c>
      <c r="N2652" t="s">
        <v>43</v>
      </c>
      <c r="O2652" t="s">
        <v>38</v>
      </c>
      <c r="P2652">
        <v>399</v>
      </c>
      <c r="Q2652">
        <v>399</v>
      </c>
      <c r="S2652" t="s">
        <v>39</v>
      </c>
      <c r="V2652" t="s">
        <v>39</v>
      </c>
      <c r="X2652">
        <v>16001</v>
      </c>
      <c r="Y2652" t="s">
        <v>47</v>
      </c>
      <c r="Z2652">
        <v>16</v>
      </c>
      <c r="AA2652">
        <v>322</v>
      </c>
      <c r="AB2652" t="s">
        <v>47</v>
      </c>
      <c r="AC2652">
        <v>0.32100000000000001</v>
      </c>
      <c r="AD2652">
        <v>584</v>
      </c>
      <c r="AE2652" t="s">
        <v>48</v>
      </c>
      <c r="AF2652">
        <v>0.58299999999999996</v>
      </c>
      <c r="AG2652">
        <v>833</v>
      </c>
      <c r="AH2652" t="s">
        <v>49</v>
      </c>
      <c r="AI2652">
        <v>0.83199999999999996</v>
      </c>
      <c r="AJ2652" t="s">
        <v>1155</v>
      </c>
    </row>
    <row r="2653" spans="1:36" x14ac:dyDescent="0.25">
      <c r="A2653" t="s">
        <v>160</v>
      </c>
      <c r="B2653">
        <v>852475749</v>
      </c>
      <c r="C2653" t="s">
        <v>161</v>
      </c>
      <c r="D2653" t="s">
        <v>161</v>
      </c>
      <c r="E2653" t="s">
        <v>99</v>
      </c>
      <c r="F2653" t="s">
        <v>143</v>
      </c>
      <c r="I2653" t="s">
        <v>39</v>
      </c>
      <c r="J2653" t="s">
        <v>40</v>
      </c>
      <c r="K2653" t="s">
        <v>41</v>
      </c>
      <c r="L2653" t="s">
        <v>162</v>
      </c>
      <c r="N2653" t="s">
        <v>43</v>
      </c>
      <c r="O2653" t="s">
        <v>163</v>
      </c>
      <c r="P2653">
        <v>399</v>
      </c>
      <c r="Q2653">
        <v>399</v>
      </c>
      <c r="R2653">
        <v>711</v>
      </c>
      <c r="S2653" t="s">
        <v>56</v>
      </c>
      <c r="T2653">
        <v>0.71</v>
      </c>
      <c r="U2653">
        <v>2</v>
      </c>
      <c r="V2653" t="s">
        <v>55</v>
      </c>
      <c r="W2653">
        <v>1E-3</v>
      </c>
      <c r="X2653">
        <v>1</v>
      </c>
      <c r="Y2653" t="s">
        <v>47</v>
      </c>
      <c r="Z2653">
        <v>0</v>
      </c>
      <c r="AA2653">
        <v>152</v>
      </c>
      <c r="AB2653" t="s">
        <v>47</v>
      </c>
      <c r="AC2653">
        <v>0.151</v>
      </c>
      <c r="AD2653">
        <v>226</v>
      </c>
      <c r="AE2653" t="s">
        <v>56</v>
      </c>
      <c r="AF2653">
        <v>0.22500000000000001</v>
      </c>
      <c r="AG2653">
        <v>40</v>
      </c>
      <c r="AH2653" t="s">
        <v>103</v>
      </c>
      <c r="AI2653">
        <v>3.9E-2</v>
      </c>
      <c r="AJ2653" t="s">
        <v>50</v>
      </c>
    </row>
    <row r="2654" spans="1:36" x14ac:dyDescent="0.25">
      <c r="A2654" t="s">
        <v>160</v>
      </c>
      <c r="B2654">
        <v>852475749</v>
      </c>
      <c r="C2654" t="s">
        <v>161</v>
      </c>
      <c r="D2654" t="s">
        <v>161</v>
      </c>
      <c r="E2654" t="s">
        <v>99</v>
      </c>
      <c r="F2654" t="s">
        <v>143</v>
      </c>
      <c r="I2654" t="s">
        <v>39</v>
      </c>
      <c r="J2654" t="s">
        <v>40</v>
      </c>
      <c r="K2654" t="s">
        <v>41</v>
      </c>
      <c r="L2654" t="s">
        <v>162</v>
      </c>
      <c r="N2654" t="s">
        <v>43</v>
      </c>
      <c r="O2654" t="s">
        <v>163</v>
      </c>
      <c r="P2654">
        <v>399</v>
      </c>
      <c r="Q2654">
        <v>399</v>
      </c>
      <c r="R2654">
        <v>711</v>
      </c>
      <c r="S2654" t="s">
        <v>56</v>
      </c>
      <c r="T2654">
        <v>0.71</v>
      </c>
      <c r="U2654">
        <v>2</v>
      </c>
      <c r="V2654" t="s">
        <v>55</v>
      </c>
      <c r="W2654">
        <v>1E-3</v>
      </c>
      <c r="X2654">
        <v>1</v>
      </c>
      <c r="Y2654" t="s">
        <v>47</v>
      </c>
      <c r="Z2654">
        <v>0</v>
      </c>
      <c r="AA2654">
        <v>152</v>
      </c>
      <c r="AB2654" t="s">
        <v>47</v>
      </c>
      <c r="AC2654">
        <v>0.151</v>
      </c>
      <c r="AD2654">
        <v>226</v>
      </c>
      <c r="AE2654" t="s">
        <v>56</v>
      </c>
      <c r="AF2654">
        <v>0.22500000000000001</v>
      </c>
      <c r="AG2654">
        <v>40</v>
      </c>
      <c r="AH2654" t="s">
        <v>103</v>
      </c>
      <c r="AI2654">
        <v>3.9E-2</v>
      </c>
      <c r="AJ2654" t="s">
        <v>1153</v>
      </c>
    </row>
    <row r="2655" spans="1:36" x14ac:dyDescent="0.25">
      <c r="A2655" t="s">
        <v>160</v>
      </c>
      <c r="B2655">
        <v>852475749</v>
      </c>
      <c r="C2655" t="s">
        <v>161</v>
      </c>
      <c r="D2655" t="s">
        <v>161</v>
      </c>
      <c r="E2655" t="s">
        <v>99</v>
      </c>
      <c r="F2655" t="s">
        <v>143</v>
      </c>
      <c r="I2655" t="s">
        <v>39</v>
      </c>
      <c r="J2655" t="s">
        <v>40</v>
      </c>
      <c r="K2655" t="s">
        <v>41</v>
      </c>
      <c r="L2655" t="s">
        <v>162</v>
      </c>
      <c r="N2655" t="s">
        <v>43</v>
      </c>
      <c r="O2655" t="s">
        <v>163</v>
      </c>
      <c r="P2655">
        <v>399</v>
      </c>
      <c r="Q2655">
        <v>399</v>
      </c>
      <c r="R2655">
        <v>711</v>
      </c>
      <c r="S2655" t="s">
        <v>56</v>
      </c>
      <c r="T2655">
        <v>0.71</v>
      </c>
      <c r="U2655">
        <v>2</v>
      </c>
      <c r="V2655" t="s">
        <v>55</v>
      </c>
      <c r="W2655">
        <v>1E-3</v>
      </c>
      <c r="X2655">
        <v>1</v>
      </c>
      <c r="Y2655" t="s">
        <v>47</v>
      </c>
      <c r="Z2655">
        <v>0</v>
      </c>
      <c r="AA2655">
        <v>152</v>
      </c>
      <c r="AB2655" t="s">
        <v>47</v>
      </c>
      <c r="AC2655">
        <v>0.151</v>
      </c>
      <c r="AD2655">
        <v>226</v>
      </c>
      <c r="AE2655" t="s">
        <v>56</v>
      </c>
      <c r="AF2655">
        <v>0.22500000000000001</v>
      </c>
      <c r="AG2655">
        <v>40</v>
      </c>
      <c r="AH2655" t="s">
        <v>103</v>
      </c>
      <c r="AI2655">
        <v>3.9E-2</v>
      </c>
      <c r="AJ2655" t="s">
        <v>1154</v>
      </c>
    </row>
    <row r="2656" spans="1:36" x14ac:dyDescent="0.25">
      <c r="A2656" t="s">
        <v>157</v>
      </c>
      <c r="B2656">
        <v>856319491</v>
      </c>
      <c r="C2656" t="s">
        <v>158</v>
      </c>
      <c r="D2656" t="s">
        <v>158</v>
      </c>
      <c r="E2656" t="s">
        <v>65</v>
      </c>
      <c r="F2656" t="s">
        <v>93</v>
      </c>
      <c r="I2656" t="s">
        <v>39</v>
      </c>
      <c r="J2656" t="s">
        <v>40</v>
      </c>
      <c r="K2656" t="s">
        <v>41</v>
      </c>
      <c r="L2656" t="s">
        <v>53</v>
      </c>
      <c r="N2656" t="s">
        <v>43</v>
      </c>
      <c r="O2656" t="s">
        <v>159</v>
      </c>
      <c r="P2656">
        <v>399</v>
      </c>
      <c r="Q2656">
        <v>399</v>
      </c>
      <c r="R2656">
        <v>151</v>
      </c>
      <c r="S2656" t="s">
        <v>56</v>
      </c>
      <c r="T2656">
        <v>0.15</v>
      </c>
      <c r="U2656">
        <v>345</v>
      </c>
      <c r="V2656" t="s">
        <v>55</v>
      </c>
      <c r="W2656">
        <v>0.34399999999999997</v>
      </c>
      <c r="X2656">
        <v>1001</v>
      </c>
      <c r="Y2656" t="s">
        <v>47</v>
      </c>
      <c r="Z2656">
        <v>1</v>
      </c>
      <c r="AA2656">
        <v>152</v>
      </c>
      <c r="AB2656" t="s">
        <v>47</v>
      </c>
      <c r="AC2656">
        <v>0.151</v>
      </c>
      <c r="AD2656">
        <v>381</v>
      </c>
      <c r="AE2656" t="s">
        <v>56</v>
      </c>
      <c r="AF2656">
        <v>0.38</v>
      </c>
      <c r="AG2656">
        <v>131</v>
      </c>
      <c r="AH2656" t="s">
        <v>103</v>
      </c>
      <c r="AI2656">
        <v>0.13</v>
      </c>
      <c r="AJ2656" t="s">
        <v>50</v>
      </c>
    </row>
    <row r="2657" spans="1:36" x14ac:dyDescent="0.25">
      <c r="A2657" t="s">
        <v>157</v>
      </c>
      <c r="B2657">
        <v>856319491</v>
      </c>
      <c r="C2657" t="s">
        <v>158</v>
      </c>
      <c r="D2657" t="s">
        <v>158</v>
      </c>
      <c r="E2657" t="s">
        <v>65</v>
      </c>
      <c r="F2657" t="s">
        <v>93</v>
      </c>
      <c r="I2657" t="s">
        <v>39</v>
      </c>
      <c r="J2657" t="s">
        <v>40</v>
      </c>
      <c r="K2657" t="s">
        <v>41</v>
      </c>
      <c r="L2657" t="s">
        <v>53</v>
      </c>
      <c r="N2657" t="s">
        <v>43</v>
      </c>
      <c r="O2657" t="s">
        <v>159</v>
      </c>
      <c r="P2657">
        <v>399</v>
      </c>
      <c r="Q2657">
        <v>399</v>
      </c>
      <c r="R2657">
        <v>151</v>
      </c>
      <c r="S2657" t="s">
        <v>56</v>
      </c>
      <c r="T2657">
        <v>0.15</v>
      </c>
      <c r="U2657">
        <v>345</v>
      </c>
      <c r="V2657" t="s">
        <v>55</v>
      </c>
      <c r="W2657">
        <v>0.34399999999999997</v>
      </c>
      <c r="X2657">
        <v>1001</v>
      </c>
      <c r="Y2657" t="s">
        <v>47</v>
      </c>
      <c r="Z2657">
        <v>1</v>
      </c>
      <c r="AA2657">
        <v>152</v>
      </c>
      <c r="AB2657" t="s">
        <v>47</v>
      </c>
      <c r="AC2657">
        <v>0.151</v>
      </c>
      <c r="AD2657">
        <v>381</v>
      </c>
      <c r="AE2657" t="s">
        <v>56</v>
      </c>
      <c r="AF2657">
        <v>0.38</v>
      </c>
      <c r="AG2657">
        <v>131</v>
      </c>
      <c r="AH2657" t="s">
        <v>103</v>
      </c>
      <c r="AI2657">
        <v>0.13</v>
      </c>
      <c r="AJ2657" t="s">
        <v>1153</v>
      </c>
    </row>
    <row r="2658" spans="1:36" x14ac:dyDescent="0.25">
      <c r="A2658" t="s">
        <v>157</v>
      </c>
      <c r="B2658">
        <v>856319491</v>
      </c>
      <c r="C2658" t="s">
        <v>158</v>
      </c>
      <c r="D2658" t="s">
        <v>158</v>
      </c>
      <c r="E2658" t="s">
        <v>65</v>
      </c>
      <c r="F2658" t="s">
        <v>93</v>
      </c>
      <c r="I2658" t="s">
        <v>39</v>
      </c>
      <c r="J2658" t="s">
        <v>40</v>
      </c>
      <c r="K2658" t="s">
        <v>41</v>
      </c>
      <c r="L2658" t="s">
        <v>53</v>
      </c>
      <c r="N2658" t="s">
        <v>43</v>
      </c>
      <c r="O2658" t="s">
        <v>159</v>
      </c>
      <c r="P2658">
        <v>399</v>
      </c>
      <c r="Q2658">
        <v>399</v>
      </c>
      <c r="R2658">
        <v>151</v>
      </c>
      <c r="S2658" t="s">
        <v>56</v>
      </c>
      <c r="T2658">
        <v>0.15</v>
      </c>
      <c r="U2658">
        <v>345</v>
      </c>
      <c r="V2658" t="s">
        <v>55</v>
      </c>
      <c r="W2658">
        <v>0.34399999999999997</v>
      </c>
      <c r="X2658">
        <v>1001</v>
      </c>
      <c r="Y2658" t="s">
        <v>47</v>
      </c>
      <c r="Z2658">
        <v>1</v>
      </c>
      <c r="AA2658">
        <v>152</v>
      </c>
      <c r="AB2658" t="s">
        <v>47</v>
      </c>
      <c r="AC2658">
        <v>0.151</v>
      </c>
      <c r="AD2658">
        <v>381</v>
      </c>
      <c r="AE2658" t="s">
        <v>56</v>
      </c>
      <c r="AF2658">
        <v>0.38</v>
      </c>
      <c r="AG2658">
        <v>131</v>
      </c>
      <c r="AH2658" t="s">
        <v>103</v>
      </c>
      <c r="AI2658">
        <v>0.13</v>
      </c>
      <c r="AJ2658" t="s">
        <v>1154</v>
      </c>
    </row>
    <row r="2659" spans="1:36" x14ac:dyDescent="0.25">
      <c r="A2659" t="s">
        <v>134</v>
      </c>
      <c r="B2659">
        <v>856357770</v>
      </c>
      <c r="C2659" t="s">
        <v>135</v>
      </c>
      <c r="D2659" t="s">
        <v>135</v>
      </c>
      <c r="E2659" t="s">
        <v>37</v>
      </c>
      <c r="F2659" t="s">
        <v>136</v>
      </c>
      <c r="I2659" t="s">
        <v>39</v>
      </c>
      <c r="J2659" t="s">
        <v>40</v>
      </c>
      <c r="K2659" t="s">
        <v>41</v>
      </c>
      <c r="L2659" t="s">
        <v>137</v>
      </c>
      <c r="M2659" t="s">
        <v>47</v>
      </c>
      <c r="N2659" t="s">
        <v>43</v>
      </c>
      <c r="O2659" t="s">
        <v>138</v>
      </c>
      <c r="P2659">
        <v>399</v>
      </c>
      <c r="Q2659">
        <v>399</v>
      </c>
      <c r="S2659" t="s">
        <v>39</v>
      </c>
      <c r="V2659" t="s">
        <v>39</v>
      </c>
      <c r="X2659">
        <v>14001</v>
      </c>
      <c r="Y2659" t="s">
        <v>47</v>
      </c>
      <c r="Z2659">
        <v>14</v>
      </c>
      <c r="AA2659">
        <v>401</v>
      </c>
      <c r="AB2659" t="s">
        <v>47</v>
      </c>
      <c r="AC2659">
        <v>0.4</v>
      </c>
      <c r="AD2659">
        <v>762</v>
      </c>
      <c r="AE2659" t="s">
        <v>48</v>
      </c>
      <c r="AF2659">
        <v>0.76100000000000001</v>
      </c>
      <c r="AG2659">
        <v>771</v>
      </c>
      <c r="AH2659" t="s">
        <v>49</v>
      </c>
      <c r="AI2659">
        <v>0.77</v>
      </c>
      <c r="AJ2659" t="s">
        <v>1155</v>
      </c>
    </row>
    <row r="2660" spans="1:36" x14ac:dyDescent="0.25">
      <c r="A2660" t="s">
        <v>134</v>
      </c>
      <c r="B2660">
        <v>856357770</v>
      </c>
      <c r="C2660" t="s">
        <v>135</v>
      </c>
      <c r="D2660" t="s">
        <v>135</v>
      </c>
      <c r="E2660" t="s">
        <v>99</v>
      </c>
      <c r="F2660" t="s">
        <v>136</v>
      </c>
      <c r="I2660" t="s">
        <v>39</v>
      </c>
      <c r="J2660" t="s">
        <v>40</v>
      </c>
      <c r="K2660" t="s">
        <v>41</v>
      </c>
      <c r="L2660" t="s">
        <v>137</v>
      </c>
      <c r="M2660" t="s">
        <v>47</v>
      </c>
      <c r="N2660" t="s">
        <v>43</v>
      </c>
      <c r="O2660" t="s">
        <v>139</v>
      </c>
      <c r="P2660">
        <v>399</v>
      </c>
      <c r="Q2660">
        <v>399</v>
      </c>
      <c r="S2660" t="s">
        <v>39</v>
      </c>
      <c r="V2660" t="s">
        <v>39</v>
      </c>
      <c r="X2660">
        <v>18001</v>
      </c>
      <c r="Y2660" t="s">
        <v>47</v>
      </c>
      <c r="Z2660">
        <v>18</v>
      </c>
      <c r="AA2660">
        <v>278</v>
      </c>
      <c r="AB2660" t="s">
        <v>47</v>
      </c>
      <c r="AC2660">
        <v>0.27700000000000002</v>
      </c>
      <c r="AD2660">
        <v>591</v>
      </c>
      <c r="AE2660" t="s">
        <v>48</v>
      </c>
      <c r="AF2660">
        <v>0.59</v>
      </c>
      <c r="AG2660">
        <v>634</v>
      </c>
      <c r="AH2660" t="s">
        <v>49</v>
      </c>
      <c r="AI2660">
        <v>0.63300000000000001</v>
      </c>
      <c r="AJ2660" t="s">
        <v>1155</v>
      </c>
    </row>
    <row r="2661" spans="1:36" x14ac:dyDescent="0.25">
      <c r="A2661" t="s">
        <v>134</v>
      </c>
      <c r="B2661">
        <v>856357770</v>
      </c>
      <c r="C2661" t="s">
        <v>135</v>
      </c>
      <c r="D2661" t="s">
        <v>135</v>
      </c>
      <c r="E2661" t="s">
        <v>60</v>
      </c>
      <c r="F2661" t="s">
        <v>136</v>
      </c>
      <c r="I2661" t="s">
        <v>39</v>
      </c>
      <c r="J2661" t="s">
        <v>40</v>
      </c>
      <c r="K2661" t="s">
        <v>41</v>
      </c>
      <c r="L2661" t="s">
        <v>137</v>
      </c>
      <c r="M2661" t="s">
        <v>47</v>
      </c>
      <c r="N2661" t="s">
        <v>43</v>
      </c>
      <c r="O2661" t="s">
        <v>140</v>
      </c>
      <c r="P2661">
        <v>399</v>
      </c>
      <c r="Q2661">
        <v>399</v>
      </c>
      <c r="S2661" t="s">
        <v>39</v>
      </c>
      <c r="V2661" t="s">
        <v>39</v>
      </c>
      <c r="X2661">
        <v>19001</v>
      </c>
      <c r="Y2661" t="s">
        <v>47</v>
      </c>
      <c r="Z2661">
        <v>19</v>
      </c>
      <c r="AA2661">
        <v>392</v>
      </c>
      <c r="AB2661" t="s">
        <v>47</v>
      </c>
      <c r="AC2661">
        <v>0.39100000000000001</v>
      </c>
      <c r="AD2661">
        <v>723</v>
      </c>
      <c r="AE2661" t="s">
        <v>48</v>
      </c>
      <c r="AF2661">
        <v>0.72199999999999998</v>
      </c>
      <c r="AG2661">
        <v>864</v>
      </c>
      <c r="AH2661" t="s">
        <v>49</v>
      </c>
      <c r="AI2661">
        <v>0.86299999999999999</v>
      </c>
      <c r="AJ2661" t="s">
        <v>1155</v>
      </c>
    </row>
    <row r="2662" spans="1:36" x14ac:dyDescent="0.25">
      <c r="A2662" t="s">
        <v>149</v>
      </c>
      <c r="B2662">
        <v>851632058</v>
      </c>
      <c r="C2662" t="s">
        <v>150</v>
      </c>
      <c r="D2662" t="s">
        <v>150</v>
      </c>
      <c r="E2662" t="s">
        <v>65</v>
      </c>
      <c r="F2662" t="s">
        <v>100</v>
      </c>
      <c r="I2662" t="s">
        <v>39</v>
      </c>
      <c r="J2662" t="s">
        <v>40</v>
      </c>
      <c r="K2662" t="s">
        <v>41</v>
      </c>
      <c r="L2662" t="s">
        <v>151</v>
      </c>
      <c r="M2662" t="s">
        <v>152</v>
      </c>
      <c r="N2662" t="s">
        <v>43</v>
      </c>
      <c r="O2662" t="s">
        <v>153</v>
      </c>
      <c r="P2662">
        <v>400</v>
      </c>
      <c r="Q2662">
        <v>400</v>
      </c>
      <c r="R2662">
        <v>1001</v>
      </c>
      <c r="S2662" t="s">
        <v>56</v>
      </c>
      <c r="T2662">
        <v>1</v>
      </c>
      <c r="U2662">
        <v>11</v>
      </c>
      <c r="V2662" t="s">
        <v>55</v>
      </c>
      <c r="W2662">
        <v>0.01</v>
      </c>
      <c r="X2662">
        <v>1</v>
      </c>
      <c r="Y2662" t="s">
        <v>47</v>
      </c>
      <c r="Z2662">
        <v>0</v>
      </c>
      <c r="AA2662">
        <v>180</v>
      </c>
      <c r="AB2662" t="s">
        <v>47</v>
      </c>
      <c r="AC2662">
        <v>0.17899999999999999</v>
      </c>
      <c r="AD2662">
        <v>1</v>
      </c>
      <c r="AE2662" t="s">
        <v>56</v>
      </c>
      <c r="AF2662">
        <v>0</v>
      </c>
      <c r="AG2662">
        <v>23</v>
      </c>
      <c r="AH2662" t="s">
        <v>103</v>
      </c>
      <c r="AI2662">
        <v>2.1999999999999999E-2</v>
      </c>
      <c r="AJ2662" t="s">
        <v>50</v>
      </c>
    </row>
    <row r="2663" spans="1:36" x14ac:dyDescent="0.25">
      <c r="A2663" t="s">
        <v>149</v>
      </c>
      <c r="B2663">
        <v>851632058</v>
      </c>
      <c r="C2663" t="s">
        <v>150</v>
      </c>
      <c r="D2663" t="s">
        <v>150</v>
      </c>
      <c r="E2663" t="s">
        <v>65</v>
      </c>
      <c r="F2663" t="s">
        <v>100</v>
      </c>
      <c r="I2663" t="s">
        <v>39</v>
      </c>
      <c r="J2663" t="s">
        <v>40</v>
      </c>
      <c r="K2663" t="s">
        <v>41</v>
      </c>
      <c r="L2663" t="s">
        <v>151</v>
      </c>
      <c r="M2663" t="s">
        <v>152</v>
      </c>
      <c r="N2663" t="s">
        <v>43</v>
      </c>
      <c r="O2663" t="s">
        <v>153</v>
      </c>
      <c r="P2663">
        <v>400</v>
      </c>
      <c r="Q2663">
        <v>400</v>
      </c>
      <c r="R2663">
        <v>1001</v>
      </c>
      <c r="S2663" t="s">
        <v>56</v>
      </c>
      <c r="T2663">
        <v>1</v>
      </c>
      <c r="U2663">
        <v>11</v>
      </c>
      <c r="V2663" t="s">
        <v>55</v>
      </c>
      <c r="W2663">
        <v>0.01</v>
      </c>
      <c r="X2663">
        <v>1</v>
      </c>
      <c r="Y2663" t="s">
        <v>47</v>
      </c>
      <c r="Z2663">
        <v>0</v>
      </c>
      <c r="AA2663">
        <v>180</v>
      </c>
      <c r="AB2663" t="s">
        <v>47</v>
      </c>
      <c r="AC2663">
        <v>0.17899999999999999</v>
      </c>
      <c r="AD2663">
        <v>1</v>
      </c>
      <c r="AE2663" t="s">
        <v>56</v>
      </c>
      <c r="AF2663">
        <v>0</v>
      </c>
      <c r="AG2663">
        <v>23</v>
      </c>
      <c r="AH2663" t="s">
        <v>103</v>
      </c>
      <c r="AI2663">
        <v>2.1999999999999999E-2</v>
      </c>
      <c r="AJ2663" t="s">
        <v>1153</v>
      </c>
    </row>
    <row r="2664" spans="1:36" x14ac:dyDescent="0.25">
      <c r="A2664" t="s">
        <v>149</v>
      </c>
      <c r="B2664">
        <v>851632058</v>
      </c>
      <c r="C2664" t="s">
        <v>150</v>
      </c>
      <c r="D2664" t="s">
        <v>150</v>
      </c>
      <c r="E2664" t="s">
        <v>65</v>
      </c>
      <c r="F2664" t="s">
        <v>100</v>
      </c>
      <c r="I2664" t="s">
        <v>39</v>
      </c>
      <c r="J2664" t="s">
        <v>40</v>
      </c>
      <c r="K2664" t="s">
        <v>41</v>
      </c>
      <c r="L2664" t="s">
        <v>151</v>
      </c>
      <c r="M2664" t="s">
        <v>152</v>
      </c>
      <c r="N2664" t="s">
        <v>43</v>
      </c>
      <c r="O2664" t="s">
        <v>153</v>
      </c>
      <c r="P2664">
        <v>400</v>
      </c>
      <c r="Q2664">
        <v>400</v>
      </c>
      <c r="R2664">
        <v>1001</v>
      </c>
      <c r="S2664" t="s">
        <v>56</v>
      </c>
      <c r="T2664">
        <v>1</v>
      </c>
      <c r="U2664">
        <v>11</v>
      </c>
      <c r="V2664" t="s">
        <v>55</v>
      </c>
      <c r="W2664">
        <v>0.01</v>
      </c>
      <c r="X2664">
        <v>1</v>
      </c>
      <c r="Y2664" t="s">
        <v>47</v>
      </c>
      <c r="Z2664">
        <v>0</v>
      </c>
      <c r="AA2664">
        <v>180</v>
      </c>
      <c r="AB2664" t="s">
        <v>47</v>
      </c>
      <c r="AC2664">
        <v>0.17899999999999999</v>
      </c>
      <c r="AD2664">
        <v>1</v>
      </c>
      <c r="AE2664" t="s">
        <v>56</v>
      </c>
      <c r="AF2664">
        <v>0</v>
      </c>
      <c r="AG2664">
        <v>23</v>
      </c>
      <c r="AH2664" t="s">
        <v>103</v>
      </c>
      <c r="AI2664">
        <v>2.1999999999999999E-2</v>
      </c>
      <c r="AJ2664" t="s">
        <v>1154</v>
      </c>
    </row>
    <row r="2665" spans="1:36" x14ac:dyDescent="0.25">
      <c r="A2665" t="s">
        <v>154</v>
      </c>
      <c r="B2665">
        <v>868227617</v>
      </c>
      <c r="C2665" t="s">
        <v>155</v>
      </c>
      <c r="D2665" t="s">
        <v>155</v>
      </c>
      <c r="E2665" t="s">
        <v>99</v>
      </c>
      <c r="F2665" t="s">
        <v>143</v>
      </c>
      <c r="I2665" t="s">
        <v>39</v>
      </c>
      <c r="J2665" t="s">
        <v>40</v>
      </c>
      <c r="K2665" t="s">
        <v>41</v>
      </c>
      <c r="L2665" t="s">
        <v>78</v>
      </c>
      <c r="N2665" t="s">
        <v>43</v>
      </c>
      <c r="O2665" t="s">
        <v>156</v>
      </c>
      <c r="P2665">
        <v>400</v>
      </c>
      <c r="Q2665">
        <v>400</v>
      </c>
      <c r="R2665">
        <v>1</v>
      </c>
      <c r="S2665" t="s">
        <v>45</v>
      </c>
      <c r="T2665">
        <v>0</v>
      </c>
      <c r="U2665">
        <v>196</v>
      </c>
      <c r="V2665" t="s">
        <v>55</v>
      </c>
      <c r="W2665">
        <v>0.19500000000000001</v>
      </c>
      <c r="X2665">
        <v>18001</v>
      </c>
      <c r="Y2665" t="s">
        <v>47</v>
      </c>
      <c r="Z2665">
        <v>18</v>
      </c>
      <c r="AA2665">
        <v>362</v>
      </c>
      <c r="AB2665" t="s">
        <v>47</v>
      </c>
      <c r="AC2665">
        <v>0.36099999999999999</v>
      </c>
      <c r="AD2665">
        <v>756</v>
      </c>
      <c r="AE2665" t="s">
        <v>48</v>
      </c>
      <c r="AF2665">
        <v>0.755</v>
      </c>
      <c r="AG2665">
        <v>549</v>
      </c>
      <c r="AH2665" t="s">
        <v>49</v>
      </c>
      <c r="AI2665">
        <v>0.54800000000000004</v>
      </c>
      <c r="AJ2665" t="s">
        <v>50</v>
      </c>
    </row>
    <row r="2666" spans="1:36" x14ac:dyDescent="0.25">
      <c r="A2666" t="s">
        <v>154</v>
      </c>
      <c r="B2666">
        <v>868227617</v>
      </c>
      <c r="C2666" t="s">
        <v>155</v>
      </c>
      <c r="D2666" t="s">
        <v>155</v>
      </c>
      <c r="E2666" t="s">
        <v>99</v>
      </c>
      <c r="F2666" t="s">
        <v>143</v>
      </c>
      <c r="I2666" t="s">
        <v>39</v>
      </c>
      <c r="J2666" t="s">
        <v>40</v>
      </c>
      <c r="K2666" t="s">
        <v>41</v>
      </c>
      <c r="L2666" t="s">
        <v>78</v>
      </c>
      <c r="N2666" t="s">
        <v>43</v>
      </c>
      <c r="O2666" t="s">
        <v>156</v>
      </c>
      <c r="P2666">
        <v>400</v>
      </c>
      <c r="Q2666">
        <v>400</v>
      </c>
      <c r="R2666">
        <v>1</v>
      </c>
      <c r="S2666" t="s">
        <v>45</v>
      </c>
      <c r="T2666">
        <v>0</v>
      </c>
      <c r="U2666">
        <v>196</v>
      </c>
      <c r="V2666" t="s">
        <v>55</v>
      </c>
      <c r="W2666">
        <v>0.19500000000000001</v>
      </c>
      <c r="X2666">
        <v>18001</v>
      </c>
      <c r="Y2666" t="s">
        <v>47</v>
      </c>
      <c r="Z2666">
        <v>18</v>
      </c>
      <c r="AA2666">
        <v>362</v>
      </c>
      <c r="AB2666" t="s">
        <v>47</v>
      </c>
      <c r="AC2666">
        <v>0.36099999999999999</v>
      </c>
      <c r="AD2666">
        <v>756</v>
      </c>
      <c r="AE2666" t="s">
        <v>48</v>
      </c>
      <c r="AF2666">
        <v>0.755</v>
      </c>
      <c r="AG2666">
        <v>549</v>
      </c>
      <c r="AH2666" t="s">
        <v>49</v>
      </c>
      <c r="AI2666">
        <v>0.54800000000000004</v>
      </c>
      <c r="AJ2666" t="s">
        <v>1153</v>
      </c>
    </row>
    <row r="2667" spans="1:36" x14ac:dyDescent="0.25">
      <c r="A2667" t="s">
        <v>154</v>
      </c>
      <c r="B2667">
        <v>868227617</v>
      </c>
      <c r="C2667" t="s">
        <v>155</v>
      </c>
      <c r="D2667" t="s">
        <v>155</v>
      </c>
      <c r="E2667" t="s">
        <v>99</v>
      </c>
      <c r="F2667" t="s">
        <v>143</v>
      </c>
      <c r="I2667" t="s">
        <v>39</v>
      </c>
      <c r="J2667" t="s">
        <v>40</v>
      </c>
      <c r="K2667" t="s">
        <v>41</v>
      </c>
      <c r="L2667" t="s">
        <v>78</v>
      </c>
      <c r="N2667" t="s">
        <v>43</v>
      </c>
      <c r="O2667" t="s">
        <v>156</v>
      </c>
      <c r="P2667">
        <v>400</v>
      </c>
      <c r="Q2667">
        <v>400</v>
      </c>
      <c r="R2667">
        <v>1</v>
      </c>
      <c r="S2667" t="s">
        <v>45</v>
      </c>
      <c r="T2667">
        <v>0</v>
      </c>
      <c r="U2667">
        <v>196</v>
      </c>
      <c r="V2667" t="s">
        <v>55</v>
      </c>
      <c r="W2667">
        <v>0.19500000000000001</v>
      </c>
      <c r="X2667">
        <v>18001</v>
      </c>
      <c r="Y2667" t="s">
        <v>47</v>
      </c>
      <c r="Z2667">
        <v>18</v>
      </c>
      <c r="AA2667">
        <v>362</v>
      </c>
      <c r="AB2667" t="s">
        <v>47</v>
      </c>
      <c r="AC2667">
        <v>0.36099999999999999</v>
      </c>
      <c r="AD2667">
        <v>756</v>
      </c>
      <c r="AE2667" t="s">
        <v>48</v>
      </c>
      <c r="AF2667">
        <v>0.755</v>
      </c>
      <c r="AG2667">
        <v>549</v>
      </c>
      <c r="AH2667" t="s">
        <v>49</v>
      </c>
      <c r="AI2667">
        <v>0.54800000000000004</v>
      </c>
      <c r="AJ2667" t="s">
        <v>1154</v>
      </c>
    </row>
    <row r="2668" spans="1:36" x14ac:dyDescent="0.25">
      <c r="A2668" t="s">
        <v>125</v>
      </c>
      <c r="B2668">
        <v>886368341</v>
      </c>
      <c r="C2668" t="s">
        <v>126</v>
      </c>
      <c r="D2668" t="s">
        <v>126</v>
      </c>
      <c r="E2668" t="s">
        <v>37</v>
      </c>
      <c r="F2668" t="s">
        <v>127</v>
      </c>
      <c r="I2668" t="s">
        <v>39</v>
      </c>
      <c r="J2668" t="s">
        <v>40</v>
      </c>
      <c r="K2668" t="s">
        <v>41</v>
      </c>
      <c r="N2668" t="s">
        <v>43</v>
      </c>
      <c r="O2668" t="s">
        <v>128</v>
      </c>
      <c r="P2668">
        <v>400</v>
      </c>
      <c r="Q2668">
        <v>400</v>
      </c>
      <c r="S2668" t="s">
        <v>39</v>
      </c>
      <c r="V2668" t="s">
        <v>39</v>
      </c>
      <c r="X2668">
        <v>1</v>
      </c>
      <c r="Y2668" t="s">
        <v>47</v>
      </c>
      <c r="Z2668">
        <v>0</v>
      </c>
      <c r="AA2668">
        <v>184</v>
      </c>
      <c r="AB2668" t="s">
        <v>47</v>
      </c>
      <c r="AC2668">
        <v>0.183</v>
      </c>
      <c r="AD2668">
        <v>410</v>
      </c>
      <c r="AE2668" t="s">
        <v>56</v>
      </c>
      <c r="AF2668">
        <v>0.40899999999999997</v>
      </c>
      <c r="AG2668">
        <v>100</v>
      </c>
      <c r="AH2668" t="s">
        <v>103</v>
      </c>
      <c r="AI2668">
        <v>9.9000000000000005E-2</v>
      </c>
      <c r="AJ2668" t="s">
        <v>1155</v>
      </c>
    </row>
    <row r="2669" spans="1:36" x14ac:dyDescent="0.25">
      <c r="A2669" t="s">
        <v>129</v>
      </c>
      <c r="B2669">
        <v>855604639</v>
      </c>
      <c r="C2669" t="s">
        <v>130</v>
      </c>
      <c r="D2669" t="s">
        <v>130</v>
      </c>
      <c r="E2669" t="s">
        <v>99</v>
      </c>
      <c r="F2669" t="s">
        <v>100</v>
      </c>
      <c r="I2669" t="s">
        <v>39</v>
      </c>
      <c r="J2669" t="s">
        <v>40</v>
      </c>
      <c r="K2669" t="s">
        <v>41</v>
      </c>
      <c r="L2669" t="s">
        <v>131</v>
      </c>
      <c r="M2669" t="s">
        <v>73</v>
      </c>
      <c r="N2669" t="s">
        <v>43</v>
      </c>
      <c r="O2669" t="s">
        <v>132</v>
      </c>
      <c r="P2669">
        <v>400</v>
      </c>
      <c r="Q2669">
        <v>400</v>
      </c>
      <c r="S2669" t="s">
        <v>39</v>
      </c>
      <c r="V2669" t="s">
        <v>39</v>
      </c>
      <c r="X2669">
        <v>7001</v>
      </c>
      <c r="Y2669" t="s">
        <v>47</v>
      </c>
      <c r="Z2669">
        <v>7</v>
      </c>
      <c r="AA2669">
        <v>169</v>
      </c>
      <c r="AB2669" t="s">
        <v>47</v>
      </c>
      <c r="AC2669">
        <v>0.16800000000000001</v>
      </c>
      <c r="AD2669">
        <v>519</v>
      </c>
      <c r="AE2669" t="s">
        <v>48</v>
      </c>
      <c r="AF2669">
        <v>0.51800000000000002</v>
      </c>
      <c r="AG2669">
        <v>457</v>
      </c>
      <c r="AH2669" t="s">
        <v>57</v>
      </c>
      <c r="AI2669">
        <v>0.45600000000000002</v>
      </c>
      <c r="AJ2669" t="s">
        <v>1155</v>
      </c>
    </row>
    <row r="2670" spans="1:36" x14ac:dyDescent="0.25">
      <c r="A2670" t="s">
        <v>129</v>
      </c>
      <c r="B2670">
        <v>855604639</v>
      </c>
      <c r="C2670" t="s">
        <v>130</v>
      </c>
      <c r="D2670" t="s">
        <v>130</v>
      </c>
      <c r="E2670" t="s">
        <v>65</v>
      </c>
      <c r="F2670" t="s">
        <v>100</v>
      </c>
      <c r="I2670" t="s">
        <v>39</v>
      </c>
      <c r="J2670" t="s">
        <v>40</v>
      </c>
      <c r="K2670" t="s">
        <v>41</v>
      </c>
      <c r="L2670" t="s">
        <v>131</v>
      </c>
      <c r="M2670" t="s">
        <v>73</v>
      </c>
      <c r="N2670" t="s">
        <v>43</v>
      </c>
      <c r="O2670" t="s">
        <v>133</v>
      </c>
      <c r="P2670">
        <v>400</v>
      </c>
      <c r="Q2670">
        <v>400</v>
      </c>
      <c r="S2670" t="s">
        <v>39</v>
      </c>
      <c r="V2670" t="s">
        <v>39</v>
      </c>
      <c r="X2670">
        <v>15001</v>
      </c>
      <c r="Y2670" t="s">
        <v>47</v>
      </c>
      <c r="Z2670">
        <v>15</v>
      </c>
      <c r="AA2670">
        <v>354</v>
      </c>
      <c r="AB2670" t="s">
        <v>47</v>
      </c>
      <c r="AC2670">
        <v>0.35299999999999998</v>
      </c>
      <c r="AD2670">
        <v>639</v>
      </c>
      <c r="AE2670" t="s">
        <v>48</v>
      </c>
      <c r="AF2670">
        <v>0.63800000000000001</v>
      </c>
      <c r="AG2670">
        <v>878</v>
      </c>
      <c r="AH2670" t="s">
        <v>49</v>
      </c>
      <c r="AI2670">
        <v>0.877</v>
      </c>
      <c r="AJ2670" t="s">
        <v>1155</v>
      </c>
    </row>
    <row r="2671" spans="1:36" x14ac:dyDescent="0.25">
      <c r="A2671" t="s">
        <v>120</v>
      </c>
      <c r="B2671">
        <v>860649750</v>
      </c>
      <c r="C2671" t="s">
        <v>121</v>
      </c>
      <c r="D2671" t="s">
        <v>121</v>
      </c>
      <c r="E2671" t="s">
        <v>37</v>
      </c>
      <c r="F2671" t="s">
        <v>122</v>
      </c>
      <c r="I2671" t="s">
        <v>39</v>
      </c>
      <c r="J2671" t="s">
        <v>40</v>
      </c>
      <c r="K2671" t="s">
        <v>41</v>
      </c>
      <c r="L2671" t="s">
        <v>78</v>
      </c>
      <c r="N2671" t="s">
        <v>43</v>
      </c>
      <c r="O2671" t="s">
        <v>123</v>
      </c>
      <c r="P2671">
        <v>401</v>
      </c>
      <c r="Q2671">
        <v>401</v>
      </c>
      <c r="S2671" t="s">
        <v>39</v>
      </c>
      <c r="V2671" t="s">
        <v>39</v>
      </c>
      <c r="X2671">
        <v>1</v>
      </c>
      <c r="Y2671" t="s">
        <v>47</v>
      </c>
      <c r="Z2671">
        <v>0</v>
      </c>
      <c r="AA2671">
        <v>388</v>
      </c>
      <c r="AB2671" t="s">
        <v>47</v>
      </c>
      <c r="AC2671">
        <v>0.38700000000000001</v>
      </c>
      <c r="AD2671">
        <v>544</v>
      </c>
      <c r="AE2671" t="s">
        <v>48</v>
      </c>
      <c r="AF2671">
        <v>0.54300000000000004</v>
      </c>
      <c r="AG2671">
        <v>891</v>
      </c>
      <c r="AH2671" t="s">
        <v>49</v>
      </c>
      <c r="AI2671">
        <v>0.89</v>
      </c>
      <c r="AJ2671" t="s">
        <v>1155</v>
      </c>
    </row>
    <row r="2672" spans="1:36" x14ac:dyDescent="0.25">
      <c r="A2672" t="s">
        <v>120</v>
      </c>
      <c r="B2672">
        <v>860649750</v>
      </c>
      <c r="C2672" t="s">
        <v>121</v>
      </c>
      <c r="D2672" t="s">
        <v>121</v>
      </c>
      <c r="E2672" t="s">
        <v>60</v>
      </c>
      <c r="F2672" t="s">
        <v>122</v>
      </c>
      <c r="I2672" t="s">
        <v>39</v>
      </c>
      <c r="J2672" t="s">
        <v>40</v>
      </c>
      <c r="K2672" t="s">
        <v>41</v>
      </c>
      <c r="L2672" t="s">
        <v>78</v>
      </c>
      <c r="N2672" t="s">
        <v>43</v>
      </c>
      <c r="O2672" t="s">
        <v>124</v>
      </c>
      <c r="P2672">
        <v>401</v>
      </c>
      <c r="Q2672">
        <v>401</v>
      </c>
      <c r="S2672" t="s">
        <v>39</v>
      </c>
      <c r="V2672" t="s">
        <v>39</v>
      </c>
      <c r="X2672">
        <v>1</v>
      </c>
      <c r="Y2672" t="s">
        <v>47</v>
      </c>
      <c r="Z2672">
        <v>0</v>
      </c>
      <c r="AA2672">
        <v>414</v>
      </c>
      <c r="AB2672" t="s">
        <v>47</v>
      </c>
      <c r="AC2672">
        <v>0.41299999999999998</v>
      </c>
      <c r="AD2672">
        <v>747</v>
      </c>
      <c r="AE2672" t="s">
        <v>48</v>
      </c>
      <c r="AF2672">
        <v>0.746</v>
      </c>
      <c r="AG2672">
        <v>980</v>
      </c>
      <c r="AH2672" t="s">
        <v>80</v>
      </c>
      <c r="AI2672">
        <v>0.97899999999999998</v>
      </c>
      <c r="AJ2672" t="s">
        <v>1155</v>
      </c>
    </row>
    <row r="2673" spans="1:36" x14ac:dyDescent="0.25">
      <c r="A2673" t="s">
        <v>147</v>
      </c>
      <c r="B2673">
        <v>851900399</v>
      </c>
      <c r="C2673" t="s">
        <v>148</v>
      </c>
      <c r="D2673" t="s">
        <v>148</v>
      </c>
      <c r="E2673" t="s">
        <v>60</v>
      </c>
      <c r="F2673" t="s">
        <v>61</v>
      </c>
      <c r="I2673" t="s">
        <v>39</v>
      </c>
      <c r="J2673" t="s">
        <v>40</v>
      </c>
      <c r="K2673" t="s">
        <v>41</v>
      </c>
      <c r="L2673" t="s">
        <v>42</v>
      </c>
      <c r="N2673" t="s">
        <v>43</v>
      </c>
      <c r="O2673" t="s">
        <v>62</v>
      </c>
      <c r="P2673">
        <v>401</v>
      </c>
      <c r="Q2673">
        <v>401</v>
      </c>
      <c r="R2673">
        <v>1001</v>
      </c>
      <c r="S2673" t="s">
        <v>56</v>
      </c>
      <c r="T2673">
        <v>1</v>
      </c>
      <c r="U2673">
        <v>1</v>
      </c>
      <c r="V2673" t="s">
        <v>55</v>
      </c>
      <c r="W2673">
        <v>0</v>
      </c>
      <c r="X2673">
        <v>1</v>
      </c>
      <c r="Y2673" t="s">
        <v>47</v>
      </c>
      <c r="Z2673">
        <v>0</v>
      </c>
      <c r="AA2673">
        <v>131</v>
      </c>
      <c r="AB2673" t="s">
        <v>47</v>
      </c>
      <c r="AC2673">
        <v>0.13</v>
      </c>
      <c r="AD2673">
        <v>147</v>
      </c>
      <c r="AE2673" t="s">
        <v>56</v>
      </c>
      <c r="AF2673">
        <v>0.14599999999999999</v>
      </c>
      <c r="AG2673">
        <v>17</v>
      </c>
      <c r="AH2673" t="s">
        <v>103</v>
      </c>
      <c r="AI2673">
        <v>1.6E-2</v>
      </c>
      <c r="AJ2673" t="s">
        <v>50</v>
      </c>
    </row>
    <row r="2674" spans="1:36" x14ac:dyDescent="0.25">
      <c r="A2674" t="s">
        <v>147</v>
      </c>
      <c r="B2674">
        <v>851900399</v>
      </c>
      <c r="C2674" t="s">
        <v>148</v>
      </c>
      <c r="D2674" t="s">
        <v>148</v>
      </c>
      <c r="E2674" t="s">
        <v>60</v>
      </c>
      <c r="F2674" t="s">
        <v>61</v>
      </c>
      <c r="I2674" t="s">
        <v>39</v>
      </c>
      <c r="J2674" t="s">
        <v>40</v>
      </c>
      <c r="K2674" t="s">
        <v>41</v>
      </c>
      <c r="L2674" t="s">
        <v>42</v>
      </c>
      <c r="N2674" t="s">
        <v>43</v>
      </c>
      <c r="O2674" t="s">
        <v>62</v>
      </c>
      <c r="P2674">
        <v>401</v>
      </c>
      <c r="Q2674">
        <v>401</v>
      </c>
      <c r="R2674">
        <v>1001</v>
      </c>
      <c r="S2674" t="s">
        <v>56</v>
      </c>
      <c r="T2674">
        <v>1</v>
      </c>
      <c r="U2674">
        <v>1</v>
      </c>
      <c r="V2674" t="s">
        <v>55</v>
      </c>
      <c r="W2674">
        <v>0</v>
      </c>
      <c r="X2674">
        <v>1</v>
      </c>
      <c r="Y2674" t="s">
        <v>47</v>
      </c>
      <c r="Z2674">
        <v>0</v>
      </c>
      <c r="AA2674">
        <v>131</v>
      </c>
      <c r="AB2674" t="s">
        <v>47</v>
      </c>
      <c r="AC2674">
        <v>0.13</v>
      </c>
      <c r="AD2674">
        <v>147</v>
      </c>
      <c r="AE2674" t="s">
        <v>56</v>
      </c>
      <c r="AF2674">
        <v>0.14599999999999999</v>
      </c>
      <c r="AG2674">
        <v>17</v>
      </c>
      <c r="AH2674" t="s">
        <v>103</v>
      </c>
      <c r="AI2674">
        <v>1.6E-2</v>
      </c>
      <c r="AJ2674" t="s">
        <v>1153</v>
      </c>
    </row>
    <row r="2675" spans="1:36" x14ac:dyDescent="0.25">
      <c r="A2675" t="s">
        <v>147</v>
      </c>
      <c r="B2675">
        <v>851900399</v>
      </c>
      <c r="C2675" t="s">
        <v>148</v>
      </c>
      <c r="D2675" t="s">
        <v>148</v>
      </c>
      <c r="E2675" t="s">
        <v>60</v>
      </c>
      <c r="F2675" t="s">
        <v>61</v>
      </c>
      <c r="I2675" t="s">
        <v>39</v>
      </c>
      <c r="J2675" t="s">
        <v>40</v>
      </c>
      <c r="K2675" t="s">
        <v>41</v>
      </c>
      <c r="L2675" t="s">
        <v>42</v>
      </c>
      <c r="N2675" t="s">
        <v>43</v>
      </c>
      <c r="O2675" t="s">
        <v>62</v>
      </c>
      <c r="P2675">
        <v>401</v>
      </c>
      <c r="Q2675">
        <v>401</v>
      </c>
      <c r="R2675">
        <v>1001</v>
      </c>
      <c r="S2675" t="s">
        <v>56</v>
      </c>
      <c r="T2675">
        <v>1</v>
      </c>
      <c r="U2675">
        <v>1</v>
      </c>
      <c r="V2675" t="s">
        <v>55</v>
      </c>
      <c r="W2675">
        <v>0</v>
      </c>
      <c r="X2675">
        <v>1</v>
      </c>
      <c r="Y2675" t="s">
        <v>47</v>
      </c>
      <c r="Z2675">
        <v>0</v>
      </c>
      <c r="AA2675">
        <v>131</v>
      </c>
      <c r="AB2675" t="s">
        <v>47</v>
      </c>
      <c r="AC2675">
        <v>0.13</v>
      </c>
      <c r="AD2675">
        <v>147</v>
      </c>
      <c r="AE2675" t="s">
        <v>56</v>
      </c>
      <c r="AF2675">
        <v>0.14599999999999999</v>
      </c>
      <c r="AG2675">
        <v>17</v>
      </c>
      <c r="AH2675" t="s">
        <v>103</v>
      </c>
      <c r="AI2675">
        <v>1.6E-2</v>
      </c>
      <c r="AJ2675" t="s">
        <v>1154</v>
      </c>
    </row>
    <row r="2676" spans="1:36" x14ac:dyDescent="0.25">
      <c r="A2676" t="s">
        <v>144</v>
      </c>
      <c r="B2676">
        <v>881456626</v>
      </c>
      <c r="C2676" t="s">
        <v>145</v>
      </c>
      <c r="D2676" t="s">
        <v>145</v>
      </c>
      <c r="E2676" t="s">
        <v>65</v>
      </c>
      <c r="F2676" t="s">
        <v>66</v>
      </c>
      <c r="I2676" t="s">
        <v>39</v>
      </c>
      <c r="J2676" t="s">
        <v>40</v>
      </c>
      <c r="K2676" t="s">
        <v>41</v>
      </c>
      <c r="L2676" t="s">
        <v>42</v>
      </c>
      <c r="N2676" t="s">
        <v>43</v>
      </c>
      <c r="O2676" t="s">
        <v>146</v>
      </c>
      <c r="P2676">
        <v>401</v>
      </c>
      <c r="Q2676">
        <v>401</v>
      </c>
      <c r="R2676">
        <v>11</v>
      </c>
      <c r="S2676" t="s">
        <v>45</v>
      </c>
      <c r="T2676">
        <v>0.01</v>
      </c>
      <c r="U2676">
        <v>81</v>
      </c>
      <c r="V2676" t="s">
        <v>55</v>
      </c>
      <c r="W2676">
        <v>0.08</v>
      </c>
      <c r="X2676">
        <v>4001</v>
      </c>
      <c r="Y2676" t="s">
        <v>47</v>
      </c>
      <c r="Z2676">
        <v>4</v>
      </c>
      <c r="AA2676">
        <v>256</v>
      </c>
      <c r="AB2676" t="s">
        <v>47</v>
      </c>
      <c r="AC2676">
        <v>0.255</v>
      </c>
      <c r="AD2676">
        <v>299</v>
      </c>
      <c r="AE2676" t="s">
        <v>56</v>
      </c>
      <c r="AF2676">
        <v>0.29799999999999999</v>
      </c>
      <c r="AG2676">
        <v>189</v>
      </c>
      <c r="AH2676" t="s">
        <v>103</v>
      </c>
      <c r="AI2676">
        <v>0.188</v>
      </c>
      <c r="AJ2676" t="s">
        <v>50</v>
      </c>
    </row>
    <row r="2677" spans="1:36" x14ac:dyDescent="0.25">
      <c r="A2677" t="s">
        <v>144</v>
      </c>
      <c r="B2677">
        <v>881456626</v>
      </c>
      <c r="C2677" t="s">
        <v>145</v>
      </c>
      <c r="D2677" t="s">
        <v>145</v>
      </c>
      <c r="E2677" t="s">
        <v>65</v>
      </c>
      <c r="F2677" t="s">
        <v>66</v>
      </c>
      <c r="I2677" t="s">
        <v>39</v>
      </c>
      <c r="J2677" t="s">
        <v>40</v>
      </c>
      <c r="K2677" t="s">
        <v>41</v>
      </c>
      <c r="L2677" t="s">
        <v>42</v>
      </c>
      <c r="N2677" t="s">
        <v>43</v>
      </c>
      <c r="O2677" t="s">
        <v>146</v>
      </c>
      <c r="P2677">
        <v>401</v>
      </c>
      <c r="Q2677">
        <v>401</v>
      </c>
      <c r="R2677">
        <v>11</v>
      </c>
      <c r="S2677" t="s">
        <v>45</v>
      </c>
      <c r="T2677">
        <v>0.01</v>
      </c>
      <c r="U2677">
        <v>81</v>
      </c>
      <c r="V2677" t="s">
        <v>55</v>
      </c>
      <c r="W2677">
        <v>0.08</v>
      </c>
      <c r="X2677">
        <v>4001</v>
      </c>
      <c r="Y2677" t="s">
        <v>47</v>
      </c>
      <c r="Z2677">
        <v>4</v>
      </c>
      <c r="AA2677">
        <v>256</v>
      </c>
      <c r="AB2677" t="s">
        <v>47</v>
      </c>
      <c r="AC2677">
        <v>0.255</v>
      </c>
      <c r="AD2677">
        <v>299</v>
      </c>
      <c r="AE2677" t="s">
        <v>56</v>
      </c>
      <c r="AF2677">
        <v>0.29799999999999999</v>
      </c>
      <c r="AG2677">
        <v>189</v>
      </c>
      <c r="AH2677" t="s">
        <v>103</v>
      </c>
      <c r="AI2677">
        <v>0.188</v>
      </c>
      <c r="AJ2677" t="s">
        <v>1153</v>
      </c>
    </row>
    <row r="2678" spans="1:36" x14ac:dyDescent="0.25">
      <c r="A2678" t="s">
        <v>144</v>
      </c>
      <c r="B2678">
        <v>881456626</v>
      </c>
      <c r="C2678" t="s">
        <v>145</v>
      </c>
      <c r="D2678" t="s">
        <v>145</v>
      </c>
      <c r="E2678" t="s">
        <v>65</v>
      </c>
      <c r="F2678" t="s">
        <v>66</v>
      </c>
      <c r="I2678" t="s">
        <v>39</v>
      </c>
      <c r="J2678" t="s">
        <v>40</v>
      </c>
      <c r="K2678" t="s">
        <v>41</v>
      </c>
      <c r="L2678" t="s">
        <v>42</v>
      </c>
      <c r="N2678" t="s">
        <v>43</v>
      </c>
      <c r="O2678" t="s">
        <v>146</v>
      </c>
      <c r="P2678">
        <v>401</v>
      </c>
      <c r="Q2678">
        <v>401</v>
      </c>
      <c r="R2678">
        <v>11</v>
      </c>
      <c r="S2678" t="s">
        <v>45</v>
      </c>
      <c r="T2678">
        <v>0.01</v>
      </c>
      <c r="U2678">
        <v>81</v>
      </c>
      <c r="V2678" t="s">
        <v>55</v>
      </c>
      <c r="W2678">
        <v>0.08</v>
      </c>
      <c r="X2678">
        <v>4001</v>
      </c>
      <c r="Y2678" t="s">
        <v>47</v>
      </c>
      <c r="Z2678">
        <v>4</v>
      </c>
      <c r="AA2678">
        <v>256</v>
      </c>
      <c r="AB2678" t="s">
        <v>47</v>
      </c>
      <c r="AC2678">
        <v>0.255</v>
      </c>
      <c r="AD2678">
        <v>299</v>
      </c>
      <c r="AE2678" t="s">
        <v>56</v>
      </c>
      <c r="AF2678">
        <v>0.29799999999999999</v>
      </c>
      <c r="AG2678">
        <v>189</v>
      </c>
      <c r="AH2678" t="s">
        <v>103</v>
      </c>
      <c r="AI2678">
        <v>0.188</v>
      </c>
      <c r="AJ2678" t="s">
        <v>1154</v>
      </c>
    </row>
    <row r="2679" spans="1:36" x14ac:dyDescent="0.25">
      <c r="A2679" t="s">
        <v>114</v>
      </c>
      <c r="B2679">
        <v>881456318</v>
      </c>
      <c r="C2679" t="s">
        <v>115</v>
      </c>
      <c r="D2679" t="s">
        <v>115</v>
      </c>
      <c r="E2679" t="s">
        <v>37</v>
      </c>
      <c r="F2679" t="s">
        <v>71</v>
      </c>
      <c r="I2679" t="s">
        <v>39</v>
      </c>
      <c r="J2679" t="s">
        <v>40</v>
      </c>
      <c r="K2679" t="s">
        <v>41</v>
      </c>
      <c r="L2679" t="s">
        <v>89</v>
      </c>
      <c r="N2679" t="s">
        <v>43</v>
      </c>
      <c r="O2679" t="s">
        <v>74</v>
      </c>
      <c r="P2679">
        <v>402</v>
      </c>
      <c r="Q2679">
        <v>402</v>
      </c>
      <c r="S2679" t="s">
        <v>39</v>
      </c>
      <c r="V2679" t="s">
        <v>39</v>
      </c>
      <c r="X2679">
        <v>9001</v>
      </c>
      <c r="Y2679" t="s">
        <v>47</v>
      </c>
      <c r="Z2679">
        <v>9</v>
      </c>
      <c r="AA2679">
        <v>282</v>
      </c>
      <c r="AB2679" t="s">
        <v>47</v>
      </c>
      <c r="AC2679">
        <v>0.28100000000000003</v>
      </c>
      <c r="AD2679">
        <v>430</v>
      </c>
      <c r="AE2679" t="s">
        <v>56</v>
      </c>
      <c r="AF2679">
        <v>0.42899999999999999</v>
      </c>
      <c r="AG2679">
        <v>272</v>
      </c>
      <c r="AH2679" t="s">
        <v>57</v>
      </c>
      <c r="AI2679">
        <v>0.27100000000000002</v>
      </c>
      <c r="AJ2679" t="s">
        <v>1155</v>
      </c>
    </row>
    <row r="2680" spans="1:36" x14ac:dyDescent="0.25">
      <c r="A2680" t="s">
        <v>116</v>
      </c>
      <c r="B2680">
        <v>855567227</v>
      </c>
      <c r="C2680" t="s">
        <v>117</v>
      </c>
      <c r="D2680" t="s">
        <v>117</v>
      </c>
      <c r="E2680" t="s">
        <v>60</v>
      </c>
      <c r="F2680" t="s">
        <v>61</v>
      </c>
      <c r="I2680" t="s">
        <v>39</v>
      </c>
      <c r="J2680" t="s">
        <v>40</v>
      </c>
      <c r="K2680" t="s">
        <v>41</v>
      </c>
      <c r="L2680" t="s">
        <v>118</v>
      </c>
      <c r="N2680" t="s">
        <v>43</v>
      </c>
      <c r="O2680" t="s">
        <v>119</v>
      </c>
      <c r="P2680">
        <v>402</v>
      </c>
      <c r="Q2680">
        <v>402</v>
      </c>
      <c r="S2680" t="s">
        <v>39</v>
      </c>
      <c r="V2680" t="s">
        <v>39</v>
      </c>
      <c r="X2680">
        <v>6001</v>
      </c>
      <c r="Y2680" t="s">
        <v>47</v>
      </c>
      <c r="Z2680">
        <v>6</v>
      </c>
      <c r="AA2680">
        <v>312</v>
      </c>
      <c r="AB2680" t="s">
        <v>47</v>
      </c>
      <c r="AC2680">
        <v>0.311</v>
      </c>
      <c r="AD2680">
        <v>458</v>
      </c>
      <c r="AE2680" t="s">
        <v>56</v>
      </c>
      <c r="AF2680">
        <v>0.45700000000000002</v>
      </c>
      <c r="AG2680">
        <v>232</v>
      </c>
      <c r="AH2680" t="s">
        <v>57</v>
      </c>
      <c r="AI2680">
        <v>0.23100000000000001</v>
      </c>
      <c r="AJ2680" t="s">
        <v>1155</v>
      </c>
    </row>
    <row r="2681" spans="1:36" x14ac:dyDescent="0.25">
      <c r="A2681" t="s">
        <v>105</v>
      </c>
      <c r="B2681">
        <v>860747397</v>
      </c>
      <c r="C2681" t="s">
        <v>106</v>
      </c>
      <c r="D2681" t="s">
        <v>106</v>
      </c>
      <c r="E2681" t="s">
        <v>99</v>
      </c>
      <c r="F2681" t="s">
        <v>107</v>
      </c>
      <c r="I2681" t="s">
        <v>39</v>
      </c>
      <c r="J2681" t="s">
        <v>40</v>
      </c>
      <c r="K2681" t="s">
        <v>41</v>
      </c>
      <c r="L2681" t="s">
        <v>78</v>
      </c>
      <c r="N2681" t="s">
        <v>43</v>
      </c>
      <c r="O2681" t="s">
        <v>108</v>
      </c>
      <c r="P2681">
        <v>403</v>
      </c>
      <c r="Q2681">
        <v>403</v>
      </c>
      <c r="S2681" t="s">
        <v>39</v>
      </c>
      <c r="V2681" t="s">
        <v>39</v>
      </c>
      <c r="X2681">
        <v>24001</v>
      </c>
      <c r="Y2681" t="s">
        <v>47</v>
      </c>
      <c r="Z2681">
        <v>24</v>
      </c>
      <c r="AA2681">
        <v>808</v>
      </c>
      <c r="AB2681" t="s">
        <v>75</v>
      </c>
      <c r="AC2681">
        <v>0.80700000000000005</v>
      </c>
      <c r="AD2681">
        <v>926</v>
      </c>
      <c r="AE2681" t="s">
        <v>48</v>
      </c>
      <c r="AF2681">
        <v>0.92500000000000004</v>
      </c>
      <c r="AG2681">
        <v>995</v>
      </c>
      <c r="AH2681" t="s">
        <v>80</v>
      </c>
      <c r="AI2681">
        <v>0.99399999999999999</v>
      </c>
      <c r="AJ2681" t="s">
        <v>1155</v>
      </c>
    </row>
    <row r="2682" spans="1:36" x14ac:dyDescent="0.25">
      <c r="A2682" t="s">
        <v>141</v>
      </c>
      <c r="B2682">
        <v>865700496</v>
      </c>
      <c r="C2682" t="s">
        <v>142</v>
      </c>
      <c r="D2682" t="s">
        <v>142</v>
      </c>
      <c r="E2682" t="s">
        <v>99</v>
      </c>
      <c r="F2682" t="s">
        <v>143</v>
      </c>
      <c r="I2682" t="s">
        <v>39</v>
      </c>
      <c r="J2682" t="s">
        <v>40</v>
      </c>
      <c r="K2682" t="s">
        <v>41</v>
      </c>
      <c r="L2682" t="s">
        <v>42</v>
      </c>
      <c r="N2682" t="s">
        <v>43</v>
      </c>
      <c r="O2682" t="s">
        <v>38</v>
      </c>
      <c r="P2682">
        <v>403</v>
      </c>
      <c r="Q2682">
        <v>403</v>
      </c>
      <c r="R2682">
        <v>21</v>
      </c>
      <c r="S2682" t="s">
        <v>45</v>
      </c>
      <c r="T2682">
        <v>0.02</v>
      </c>
      <c r="U2682">
        <v>359</v>
      </c>
      <c r="V2682" t="s">
        <v>55</v>
      </c>
      <c r="W2682">
        <v>0.35799999999999998</v>
      </c>
      <c r="X2682">
        <v>16001</v>
      </c>
      <c r="Y2682" t="s">
        <v>47</v>
      </c>
      <c r="Z2682">
        <v>16</v>
      </c>
      <c r="AA2682">
        <v>322</v>
      </c>
      <c r="AB2682" t="s">
        <v>47</v>
      </c>
      <c r="AC2682">
        <v>0.32100000000000001</v>
      </c>
      <c r="AD2682">
        <v>584</v>
      </c>
      <c r="AE2682" t="s">
        <v>48</v>
      </c>
      <c r="AF2682">
        <v>0.58299999999999996</v>
      </c>
      <c r="AG2682">
        <v>833</v>
      </c>
      <c r="AH2682" t="s">
        <v>49</v>
      </c>
      <c r="AI2682">
        <v>0.83199999999999996</v>
      </c>
      <c r="AJ2682" t="s">
        <v>50</v>
      </c>
    </row>
    <row r="2683" spans="1:36" x14ac:dyDescent="0.25">
      <c r="A2683" t="s">
        <v>141</v>
      </c>
      <c r="B2683">
        <v>865700496</v>
      </c>
      <c r="C2683" t="s">
        <v>142</v>
      </c>
      <c r="D2683" t="s">
        <v>142</v>
      </c>
      <c r="E2683" t="s">
        <v>99</v>
      </c>
      <c r="F2683" t="s">
        <v>143</v>
      </c>
      <c r="I2683" t="s">
        <v>39</v>
      </c>
      <c r="J2683" t="s">
        <v>40</v>
      </c>
      <c r="K2683" t="s">
        <v>41</v>
      </c>
      <c r="L2683" t="s">
        <v>42</v>
      </c>
      <c r="N2683" t="s">
        <v>43</v>
      </c>
      <c r="O2683" t="s">
        <v>38</v>
      </c>
      <c r="P2683">
        <v>403</v>
      </c>
      <c r="Q2683">
        <v>403</v>
      </c>
      <c r="R2683">
        <v>21</v>
      </c>
      <c r="S2683" t="s">
        <v>45</v>
      </c>
      <c r="T2683">
        <v>0.02</v>
      </c>
      <c r="U2683">
        <v>359</v>
      </c>
      <c r="V2683" t="s">
        <v>55</v>
      </c>
      <c r="W2683">
        <v>0.35799999999999998</v>
      </c>
      <c r="X2683">
        <v>16001</v>
      </c>
      <c r="Y2683" t="s">
        <v>47</v>
      </c>
      <c r="Z2683">
        <v>16</v>
      </c>
      <c r="AA2683">
        <v>322</v>
      </c>
      <c r="AB2683" t="s">
        <v>47</v>
      </c>
      <c r="AC2683">
        <v>0.32100000000000001</v>
      </c>
      <c r="AD2683">
        <v>584</v>
      </c>
      <c r="AE2683" t="s">
        <v>48</v>
      </c>
      <c r="AF2683">
        <v>0.58299999999999996</v>
      </c>
      <c r="AG2683">
        <v>833</v>
      </c>
      <c r="AH2683" t="s">
        <v>49</v>
      </c>
      <c r="AI2683">
        <v>0.83199999999999996</v>
      </c>
      <c r="AJ2683" t="s">
        <v>1153</v>
      </c>
    </row>
    <row r="2684" spans="1:36" x14ac:dyDescent="0.25">
      <c r="A2684" t="s">
        <v>141</v>
      </c>
      <c r="B2684">
        <v>865700496</v>
      </c>
      <c r="C2684" t="s">
        <v>142</v>
      </c>
      <c r="D2684" t="s">
        <v>142</v>
      </c>
      <c r="E2684" t="s">
        <v>99</v>
      </c>
      <c r="F2684" t="s">
        <v>143</v>
      </c>
      <c r="I2684" t="s">
        <v>39</v>
      </c>
      <c r="J2684" t="s">
        <v>40</v>
      </c>
      <c r="K2684" t="s">
        <v>41</v>
      </c>
      <c r="L2684" t="s">
        <v>42</v>
      </c>
      <c r="N2684" t="s">
        <v>43</v>
      </c>
      <c r="O2684" t="s">
        <v>38</v>
      </c>
      <c r="P2684">
        <v>403</v>
      </c>
      <c r="Q2684">
        <v>403</v>
      </c>
      <c r="R2684">
        <v>21</v>
      </c>
      <c r="S2684" t="s">
        <v>45</v>
      </c>
      <c r="T2684">
        <v>0.02</v>
      </c>
      <c r="U2684">
        <v>359</v>
      </c>
      <c r="V2684" t="s">
        <v>55</v>
      </c>
      <c r="W2684">
        <v>0.35799999999999998</v>
      </c>
      <c r="X2684">
        <v>16001</v>
      </c>
      <c r="Y2684" t="s">
        <v>47</v>
      </c>
      <c r="Z2684">
        <v>16</v>
      </c>
      <c r="AA2684">
        <v>322</v>
      </c>
      <c r="AB2684" t="s">
        <v>47</v>
      </c>
      <c r="AC2684">
        <v>0.32100000000000001</v>
      </c>
      <c r="AD2684">
        <v>584</v>
      </c>
      <c r="AE2684" t="s">
        <v>48</v>
      </c>
      <c r="AF2684">
        <v>0.58299999999999996</v>
      </c>
      <c r="AG2684">
        <v>833</v>
      </c>
      <c r="AH2684" t="s">
        <v>49</v>
      </c>
      <c r="AI2684">
        <v>0.83199999999999996</v>
      </c>
      <c r="AJ2684" t="s">
        <v>1154</v>
      </c>
    </row>
    <row r="2685" spans="1:36" x14ac:dyDescent="0.25">
      <c r="A2685" t="s">
        <v>109</v>
      </c>
      <c r="B2685">
        <v>881456282</v>
      </c>
      <c r="C2685" t="s">
        <v>110</v>
      </c>
      <c r="D2685" t="s">
        <v>110</v>
      </c>
      <c r="E2685" t="s">
        <v>99</v>
      </c>
      <c r="F2685" t="s">
        <v>111</v>
      </c>
      <c r="I2685" t="s">
        <v>39</v>
      </c>
      <c r="J2685" t="s">
        <v>40</v>
      </c>
      <c r="K2685" t="s">
        <v>41</v>
      </c>
      <c r="L2685" t="s">
        <v>42</v>
      </c>
      <c r="N2685" t="s">
        <v>43</v>
      </c>
      <c r="O2685" t="s">
        <v>112</v>
      </c>
      <c r="P2685">
        <v>403</v>
      </c>
      <c r="Q2685">
        <v>403</v>
      </c>
      <c r="S2685" t="s">
        <v>39</v>
      </c>
      <c r="V2685" t="s">
        <v>39</v>
      </c>
      <c r="X2685">
        <v>19001</v>
      </c>
      <c r="Y2685" t="s">
        <v>47</v>
      </c>
      <c r="Z2685">
        <v>19</v>
      </c>
      <c r="AA2685">
        <v>643</v>
      </c>
      <c r="AB2685" t="s">
        <v>75</v>
      </c>
      <c r="AC2685">
        <v>0.64200000000000002</v>
      </c>
      <c r="AD2685">
        <v>829</v>
      </c>
      <c r="AE2685" t="s">
        <v>48</v>
      </c>
      <c r="AF2685">
        <v>0.82799999999999996</v>
      </c>
      <c r="AG2685">
        <v>916</v>
      </c>
      <c r="AH2685" t="s">
        <v>49</v>
      </c>
      <c r="AI2685">
        <v>0.91500000000000004</v>
      </c>
      <c r="AJ2685" t="s">
        <v>1155</v>
      </c>
    </row>
    <row r="2686" spans="1:36" x14ac:dyDescent="0.25">
      <c r="A2686" t="s">
        <v>134</v>
      </c>
      <c r="B2686">
        <v>856357770</v>
      </c>
      <c r="C2686" t="s">
        <v>135</v>
      </c>
      <c r="D2686" t="s">
        <v>135</v>
      </c>
      <c r="E2686" t="s">
        <v>37</v>
      </c>
      <c r="F2686" t="s">
        <v>136</v>
      </c>
      <c r="I2686" t="s">
        <v>39</v>
      </c>
      <c r="J2686" t="s">
        <v>40</v>
      </c>
      <c r="K2686" t="s">
        <v>41</v>
      </c>
      <c r="L2686" t="s">
        <v>137</v>
      </c>
      <c r="M2686" t="s">
        <v>47</v>
      </c>
      <c r="N2686" t="s">
        <v>43</v>
      </c>
      <c r="O2686" t="s">
        <v>138</v>
      </c>
      <c r="P2686">
        <v>403</v>
      </c>
      <c r="Q2686">
        <v>403</v>
      </c>
      <c r="R2686">
        <v>51</v>
      </c>
      <c r="S2686" t="s">
        <v>56</v>
      </c>
      <c r="T2686">
        <v>0.05</v>
      </c>
      <c r="U2686">
        <v>250</v>
      </c>
      <c r="V2686" t="s">
        <v>55</v>
      </c>
      <c r="W2686">
        <v>0.249</v>
      </c>
      <c r="X2686">
        <v>14001</v>
      </c>
      <c r="Y2686" t="s">
        <v>47</v>
      </c>
      <c r="Z2686">
        <v>14</v>
      </c>
      <c r="AA2686">
        <v>401</v>
      </c>
      <c r="AB2686" t="s">
        <v>47</v>
      </c>
      <c r="AC2686">
        <v>0.4</v>
      </c>
      <c r="AD2686">
        <v>762</v>
      </c>
      <c r="AE2686" t="s">
        <v>48</v>
      </c>
      <c r="AF2686">
        <v>0.76100000000000001</v>
      </c>
      <c r="AG2686">
        <v>771</v>
      </c>
      <c r="AH2686" t="s">
        <v>49</v>
      </c>
      <c r="AI2686">
        <v>0.77</v>
      </c>
      <c r="AJ2686" t="s">
        <v>50</v>
      </c>
    </row>
    <row r="2687" spans="1:36" x14ac:dyDescent="0.25">
      <c r="A2687" t="s">
        <v>134</v>
      </c>
      <c r="B2687">
        <v>856357770</v>
      </c>
      <c r="C2687" t="s">
        <v>135</v>
      </c>
      <c r="D2687" t="s">
        <v>135</v>
      </c>
      <c r="E2687" t="s">
        <v>99</v>
      </c>
      <c r="F2687" t="s">
        <v>136</v>
      </c>
      <c r="I2687" t="s">
        <v>39</v>
      </c>
      <c r="J2687" t="s">
        <v>40</v>
      </c>
      <c r="K2687" t="s">
        <v>41</v>
      </c>
      <c r="L2687" t="s">
        <v>137</v>
      </c>
      <c r="M2687" t="s">
        <v>47</v>
      </c>
      <c r="N2687" t="s">
        <v>43</v>
      </c>
      <c r="O2687" t="s">
        <v>139</v>
      </c>
      <c r="P2687">
        <v>403</v>
      </c>
      <c r="Q2687">
        <v>403</v>
      </c>
      <c r="R2687">
        <v>51</v>
      </c>
      <c r="S2687" t="s">
        <v>45</v>
      </c>
      <c r="T2687">
        <v>0.05</v>
      </c>
      <c r="U2687">
        <v>791</v>
      </c>
      <c r="V2687" t="s">
        <v>113</v>
      </c>
      <c r="W2687">
        <v>0.79</v>
      </c>
      <c r="X2687">
        <v>18001</v>
      </c>
      <c r="Y2687" t="s">
        <v>47</v>
      </c>
      <c r="Z2687">
        <v>18</v>
      </c>
      <c r="AA2687">
        <v>278</v>
      </c>
      <c r="AB2687" t="s">
        <v>47</v>
      </c>
      <c r="AC2687">
        <v>0.27700000000000002</v>
      </c>
      <c r="AD2687">
        <v>591</v>
      </c>
      <c r="AE2687" t="s">
        <v>48</v>
      </c>
      <c r="AF2687">
        <v>0.59</v>
      </c>
      <c r="AG2687">
        <v>634</v>
      </c>
      <c r="AH2687" t="s">
        <v>49</v>
      </c>
      <c r="AI2687">
        <v>0.63300000000000001</v>
      </c>
      <c r="AJ2687" t="s">
        <v>50</v>
      </c>
    </row>
    <row r="2688" spans="1:36" x14ac:dyDescent="0.25">
      <c r="A2688" t="s">
        <v>134</v>
      </c>
      <c r="B2688">
        <v>856357770</v>
      </c>
      <c r="C2688" t="s">
        <v>135</v>
      </c>
      <c r="D2688" t="s">
        <v>135</v>
      </c>
      <c r="E2688" t="s">
        <v>60</v>
      </c>
      <c r="F2688" t="s">
        <v>136</v>
      </c>
      <c r="I2688" t="s">
        <v>39</v>
      </c>
      <c r="J2688" t="s">
        <v>40</v>
      </c>
      <c r="K2688" t="s">
        <v>41</v>
      </c>
      <c r="L2688" t="s">
        <v>137</v>
      </c>
      <c r="M2688" t="s">
        <v>47</v>
      </c>
      <c r="N2688" t="s">
        <v>43</v>
      </c>
      <c r="O2688" t="s">
        <v>140</v>
      </c>
      <c r="P2688">
        <v>403</v>
      </c>
      <c r="Q2688">
        <v>403</v>
      </c>
      <c r="R2688">
        <v>11</v>
      </c>
      <c r="S2688" t="s">
        <v>45</v>
      </c>
      <c r="T2688">
        <v>0.01</v>
      </c>
      <c r="U2688">
        <v>913</v>
      </c>
      <c r="V2688" t="s">
        <v>46</v>
      </c>
      <c r="W2688">
        <v>0.91200000000000003</v>
      </c>
      <c r="X2688">
        <v>19001</v>
      </c>
      <c r="Y2688" t="s">
        <v>47</v>
      </c>
      <c r="Z2688">
        <v>19</v>
      </c>
      <c r="AA2688">
        <v>392</v>
      </c>
      <c r="AB2688" t="s">
        <v>47</v>
      </c>
      <c r="AC2688">
        <v>0.39100000000000001</v>
      </c>
      <c r="AD2688">
        <v>723</v>
      </c>
      <c r="AE2688" t="s">
        <v>48</v>
      </c>
      <c r="AF2688">
        <v>0.72199999999999998</v>
      </c>
      <c r="AG2688">
        <v>864</v>
      </c>
      <c r="AH2688" t="s">
        <v>49</v>
      </c>
      <c r="AI2688">
        <v>0.86299999999999999</v>
      </c>
      <c r="AJ2688" t="s">
        <v>50</v>
      </c>
    </row>
    <row r="2689" spans="1:36" x14ac:dyDescent="0.25">
      <c r="A2689" t="s">
        <v>134</v>
      </c>
      <c r="B2689">
        <v>856357770</v>
      </c>
      <c r="C2689" t="s">
        <v>135</v>
      </c>
      <c r="D2689" t="s">
        <v>135</v>
      </c>
      <c r="E2689" t="s">
        <v>37</v>
      </c>
      <c r="F2689" t="s">
        <v>136</v>
      </c>
      <c r="I2689" t="s">
        <v>39</v>
      </c>
      <c r="J2689" t="s">
        <v>40</v>
      </c>
      <c r="K2689" t="s">
        <v>41</v>
      </c>
      <c r="L2689" t="s">
        <v>137</v>
      </c>
      <c r="M2689" t="s">
        <v>47</v>
      </c>
      <c r="N2689" t="s">
        <v>43</v>
      </c>
      <c r="O2689" t="s">
        <v>138</v>
      </c>
      <c r="P2689">
        <v>403</v>
      </c>
      <c r="Q2689">
        <v>403</v>
      </c>
      <c r="R2689">
        <v>51</v>
      </c>
      <c r="S2689" t="s">
        <v>56</v>
      </c>
      <c r="T2689">
        <v>0.05</v>
      </c>
      <c r="U2689">
        <v>250</v>
      </c>
      <c r="V2689" t="s">
        <v>55</v>
      </c>
      <c r="W2689">
        <v>0.249</v>
      </c>
      <c r="X2689">
        <v>14001</v>
      </c>
      <c r="Y2689" t="s">
        <v>47</v>
      </c>
      <c r="Z2689">
        <v>14</v>
      </c>
      <c r="AA2689">
        <v>401</v>
      </c>
      <c r="AB2689" t="s">
        <v>47</v>
      </c>
      <c r="AC2689">
        <v>0.4</v>
      </c>
      <c r="AD2689">
        <v>762</v>
      </c>
      <c r="AE2689" t="s">
        <v>48</v>
      </c>
      <c r="AF2689">
        <v>0.76100000000000001</v>
      </c>
      <c r="AG2689">
        <v>771</v>
      </c>
      <c r="AH2689" t="s">
        <v>49</v>
      </c>
      <c r="AI2689">
        <v>0.77</v>
      </c>
      <c r="AJ2689" t="s">
        <v>1153</v>
      </c>
    </row>
    <row r="2690" spans="1:36" x14ac:dyDescent="0.25">
      <c r="A2690" t="s">
        <v>134</v>
      </c>
      <c r="B2690">
        <v>856357770</v>
      </c>
      <c r="C2690" t="s">
        <v>135</v>
      </c>
      <c r="D2690" t="s">
        <v>135</v>
      </c>
      <c r="E2690" t="s">
        <v>99</v>
      </c>
      <c r="F2690" t="s">
        <v>136</v>
      </c>
      <c r="I2690" t="s">
        <v>39</v>
      </c>
      <c r="J2690" t="s">
        <v>40</v>
      </c>
      <c r="K2690" t="s">
        <v>41</v>
      </c>
      <c r="L2690" t="s">
        <v>137</v>
      </c>
      <c r="M2690" t="s">
        <v>47</v>
      </c>
      <c r="N2690" t="s">
        <v>43</v>
      </c>
      <c r="O2690" t="s">
        <v>139</v>
      </c>
      <c r="P2690">
        <v>403</v>
      </c>
      <c r="Q2690">
        <v>403</v>
      </c>
      <c r="R2690">
        <v>51</v>
      </c>
      <c r="S2690" t="s">
        <v>45</v>
      </c>
      <c r="T2690">
        <v>0.05</v>
      </c>
      <c r="U2690">
        <v>791</v>
      </c>
      <c r="V2690" t="s">
        <v>113</v>
      </c>
      <c r="W2690">
        <v>0.79</v>
      </c>
      <c r="X2690">
        <v>18001</v>
      </c>
      <c r="Y2690" t="s">
        <v>47</v>
      </c>
      <c r="Z2690">
        <v>18</v>
      </c>
      <c r="AA2690">
        <v>278</v>
      </c>
      <c r="AB2690" t="s">
        <v>47</v>
      </c>
      <c r="AC2690">
        <v>0.27700000000000002</v>
      </c>
      <c r="AD2690">
        <v>591</v>
      </c>
      <c r="AE2690" t="s">
        <v>48</v>
      </c>
      <c r="AF2690">
        <v>0.59</v>
      </c>
      <c r="AG2690">
        <v>634</v>
      </c>
      <c r="AH2690" t="s">
        <v>49</v>
      </c>
      <c r="AI2690">
        <v>0.63300000000000001</v>
      </c>
      <c r="AJ2690" t="s">
        <v>1153</v>
      </c>
    </row>
    <row r="2691" spans="1:36" x14ac:dyDescent="0.25">
      <c r="A2691" t="s">
        <v>134</v>
      </c>
      <c r="B2691">
        <v>856357770</v>
      </c>
      <c r="C2691" t="s">
        <v>135</v>
      </c>
      <c r="D2691" t="s">
        <v>135</v>
      </c>
      <c r="E2691" t="s">
        <v>60</v>
      </c>
      <c r="F2691" t="s">
        <v>136</v>
      </c>
      <c r="I2691" t="s">
        <v>39</v>
      </c>
      <c r="J2691" t="s">
        <v>40</v>
      </c>
      <c r="K2691" t="s">
        <v>41</v>
      </c>
      <c r="L2691" t="s">
        <v>137</v>
      </c>
      <c r="M2691" t="s">
        <v>47</v>
      </c>
      <c r="N2691" t="s">
        <v>43</v>
      </c>
      <c r="O2691" t="s">
        <v>140</v>
      </c>
      <c r="P2691">
        <v>403</v>
      </c>
      <c r="Q2691">
        <v>403</v>
      </c>
      <c r="R2691">
        <v>11</v>
      </c>
      <c r="S2691" t="s">
        <v>45</v>
      </c>
      <c r="T2691">
        <v>0.01</v>
      </c>
      <c r="U2691">
        <v>913</v>
      </c>
      <c r="V2691" t="s">
        <v>46</v>
      </c>
      <c r="W2691">
        <v>0.91200000000000003</v>
      </c>
      <c r="X2691">
        <v>19001</v>
      </c>
      <c r="Y2691" t="s">
        <v>47</v>
      </c>
      <c r="Z2691">
        <v>19</v>
      </c>
      <c r="AA2691">
        <v>392</v>
      </c>
      <c r="AB2691" t="s">
        <v>47</v>
      </c>
      <c r="AC2691">
        <v>0.39100000000000001</v>
      </c>
      <c r="AD2691">
        <v>723</v>
      </c>
      <c r="AE2691" t="s">
        <v>48</v>
      </c>
      <c r="AF2691">
        <v>0.72199999999999998</v>
      </c>
      <c r="AG2691">
        <v>864</v>
      </c>
      <c r="AH2691" t="s">
        <v>49</v>
      </c>
      <c r="AI2691">
        <v>0.86299999999999999</v>
      </c>
      <c r="AJ2691" t="s">
        <v>1153</v>
      </c>
    </row>
    <row r="2692" spans="1:36" x14ac:dyDescent="0.25">
      <c r="A2692" t="s">
        <v>134</v>
      </c>
      <c r="B2692">
        <v>856357770</v>
      </c>
      <c r="C2692" t="s">
        <v>135</v>
      </c>
      <c r="D2692" t="s">
        <v>135</v>
      </c>
      <c r="E2692" t="s">
        <v>37</v>
      </c>
      <c r="F2692" t="s">
        <v>136</v>
      </c>
      <c r="I2692" t="s">
        <v>39</v>
      </c>
      <c r="J2692" t="s">
        <v>40</v>
      </c>
      <c r="K2692" t="s">
        <v>41</v>
      </c>
      <c r="L2692" t="s">
        <v>137</v>
      </c>
      <c r="M2692" t="s">
        <v>47</v>
      </c>
      <c r="N2692" t="s">
        <v>43</v>
      </c>
      <c r="O2692" t="s">
        <v>138</v>
      </c>
      <c r="P2692">
        <v>403</v>
      </c>
      <c r="Q2692">
        <v>403</v>
      </c>
      <c r="R2692">
        <v>51</v>
      </c>
      <c r="S2692" t="s">
        <v>56</v>
      </c>
      <c r="T2692">
        <v>0.05</v>
      </c>
      <c r="U2692">
        <v>250</v>
      </c>
      <c r="V2692" t="s">
        <v>55</v>
      </c>
      <c r="W2692">
        <v>0.249</v>
      </c>
      <c r="X2692">
        <v>14001</v>
      </c>
      <c r="Y2692" t="s">
        <v>47</v>
      </c>
      <c r="Z2692">
        <v>14</v>
      </c>
      <c r="AA2692">
        <v>401</v>
      </c>
      <c r="AB2692" t="s">
        <v>47</v>
      </c>
      <c r="AC2692">
        <v>0.4</v>
      </c>
      <c r="AD2692">
        <v>762</v>
      </c>
      <c r="AE2692" t="s">
        <v>48</v>
      </c>
      <c r="AF2692">
        <v>0.76100000000000001</v>
      </c>
      <c r="AG2692">
        <v>771</v>
      </c>
      <c r="AH2692" t="s">
        <v>49</v>
      </c>
      <c r="AI2692">
        <v>0.77</v>
      </c>
      <c r="AJ2692" t="s">
        <v>1154</v>
      </c>
    </row>
    <row r="2693" spans="1:36" x14ac:dyDescent="0.25">
      <c r="A2693" t="s">
        <v>134</v>
      </c>
      <c r="B2693">
        <v>856357770</v>
      </c>
      <c r="C2693" t="s">
        <v>135</v>
      </c>
      <c r="D2693" t="s">
        <v>135</v>
      </c>
      <c r="E2693" t="s">
        <v>99</v>
      </c>
      <c r="F2693" t="s">
        <v>136</v>
      </c>
      <c r="I2693" t="s">
        <v>39</v>
      </c>
      <c r="J2693" t="s">
        <v>40</v>
      </c>
      <c r="K2693" t="s">
        <v>41</v>
      </c>
      <c r="L2693" t="s">
        <v>137</v>
      </c>
      <c r="M2693" t="s">
        <v>47</v>
      </c>
      <c r="N2693" t="s">
        <v>43</v>
      </c>
      <c r="O2693" t="s">
        <v>139</v>
      </c>
      <c r="P2693">
        <v>403</v>
      </c>
      <c r="Q2693">
        <v>403</v>
      </c>
      <c r="R2693">
        <v>51</v>
      </c>
      <c r="S2693" t="s">
        <v>45</v>
      </c>
      <c r="T2693">
        <v>0.05</v>
      </c>
      <c r="U2693">
        <v>791</v>
      </c>
      <c r="V2693" t="s">
        <v>113</v>
      </c>
      <c r="W2693">
        <v>0.79</v>
      </c>
      <c r="X2693">
        <v>18001</v>
      </c>
      <c r="Y2693" t="s">
        <v>47</v>
      </c>
      <c r="Z2693">
        <v>18</v>
      </c>
      <c r="AA2693">
        <v>278</v>
      </c>
      <c r="AB2693" t="s">
        <v>47</v>
      </c>
      <c r="AC2693">
        <v>0.27700000000000002</v>
      </c>
      <c r="AD2693">
        <v>591</v>
      </c>
      <c r="AE2693" t="s">
        <v>48</v>
      </c>
      <c r="AF2693">
        <v>0.59</v>
      </c>
      <c r="AG2693">
        <v>634</v>
      </c>
      <c r="AH2693" t="s">
        <v>49</v>
      </c>
      <c r="AI2693">
        <v>0.63300000000000001</v>
      </c>
      <c r="AJ2693" t="s">
        <v>1154</v>
      </c>
    </row>
    <row r="2694" spans="1:36" x14ac:dyDescent="0.25">
      <c r="A2694" t="s">
        <v>134</v>
      </c>
      <c r="B2694">
        <v>856357770</v>
      </c>
      <c r="C2694" t="s">
        <v>135</v>
      </c>
      <c r="D2694" t="s">
        <v>135</v>
      </c>
      <c r="E2694" t="s">
        <v>60</v>
      </c>
      <c r="F2694" t="s">
        <v>136</v>
      </c>
      <c r="I2694" t="s">
        <v>39</v>
      </c>
      <c r="J2694" t="s">
        <v>40</v>
      </c>
      <c r="K2694" t="s">
        <v>41</v>
      </c>
      <c r="L2694" t="s">
        <v>137</v>
      </c>
      <c r="M2694" t="s">
        <v>47</v>
      </c>
      <c r="N2694" t="s">
        <v>43</v>
      </c>
      <c r="O2694" t="s">
        <v>140</v>
      </c>
      <c r="P2694">
        <v>403</v>
      </c>
      <c r="Q2694">
        <v>403</v>
      </c>
      <c r="R2694">
        <v>11</v>
      </c>
      <c r="S2694" t="s">
        <v>45</v>
      </c>
      <c r="T2694">
        <v>0.01</v>
      </c>
      <c r="U2694">
        <v>913</v>
      </c>
      <c r="V2694" t="s">
        <v>46</v>
      </c>
      <c r="W2694">
        <v>0.91200000000000003</v>
      </c>
      <c r="X2694">
        <v>19001</v>
      </c>
      <c r="Y2694" t="s">
        <v>47</v>
      </c>
      <c r="Z2694">
        <v>19</v>
      </c>
      <c r="AA2694">
        <v>392</v>
      </c>
      <c r="AB2694" t="s">
        <v>47</v>
      </c>
      <c r="AC2694">
        <v>0.39100000000000001</v>
      </c>
      <c r="AD2694">
        <v>723</v>
      </c>
      <c r="AE2694" t="s">
        <v>48</v>
      </c>
      <c r="AF2694">
        <v>0.72199999999999998</v>
      </c>
      <c r="AG2694">
        <v>864</v>
      </c>
      <c r="AH2694" t="s">
        <v>49</v>
      </c>
      <c r="AI2694">
        <v>0.86299999999999999</v>
      </c>
      <c r="AJ2694" t="s">
        <v>1154</v>
      </c>
    </row>
    <row r="2695" spans="1:36" x14ac:dyDescent="0.25">
      <c r="A2695" t="s">
        <v>125</v>
      </c>
      <c r="B2695">
        <v>886368341</v>
      </c>
      <c r="C2695" t="s">
        <v>126</v>
      </c>
      <c r="D2695" t="s">
        <v>126</v>
      </c>
      <c r="E2695" t="s">
        <v>37</v>
      </c>
      <c r="F2695" t="s">
        <v>127</v>
      </c>
      <c r="I2695" t="s">
        <v>39</v>
      </c>
      <c r="J2695" t="s">
        <v>40</v>
      </c>
      <c r="K2695" t="s">
        <v>41</v>
      </c>
      <c r="N2695" t="s">
        <v>43</v>
      </c>
      <c r="O2695" t="s">
        <v>128</v>
      </c>
      <c r="P2695">
        <v>404</v>
      </c>
      <c r="Q2695">
        <v>404</v>
      </c>
      <c r="R2695">
        <v>571</v>
      </c>
      <c r="S2695" t="s">
        <v>56</v>
      </c>
      <c r="T2695">
        <v>0.56999999999999995</v>
      </c>
      <c r="U2695">
        <v>23</v>
      </c>
      <c r="V2695" t="s">
        <v>55</v>
      </c>
      <c r="W2695">
        <v>2.1999999999999999E-2</v>
      </c>
      <c r="X2695">
        <v>1</v>
      </c>
      <c r="Y2695" t="s">
        <v>47</v>
      </c>
      <c r="Z2695">
        <v>0</v>
      </c>
      <c r="AA2695">
        <v>184</v>
      </c>
      <c r="AB2695" t="s">
        <v>47</v>
      </c>
      <c r="AC2695">
        <v>0.183</v>
      </c>
      <c r="AD2695">
        <v>410</v>
      </c>
      <c r="AE2695" t="s">
        <v>56</v>
      </c>
      <c r="AF2695">
        <v>0.40899999999999997</v>
      </c>
      <c r="AG2695">
        <v>100</v>
      </c>
      <c r="AH2695" t="s">
        <v>103</v>
      </c>
      <c r="AI2695">
        <v>9.9000000000000005E-2</v>
      </c>
      <c r="AJ2695" t="s">
        <v>50</v>
      </c>
    </row>
    <row r="2696" spans="1:36" x14ac:dyDescent="0.25">
      <c r="A2696" t="s">
        <v>125</v>
      </c>
      <c r="B2696">
        <v>886368341</v>
      </c>
      <c r="C2696" t="s">
        <v>126</v>
      </c>
      <c r="D2696" t="s">
        <v>126</v>
      </c>
      <c r="E2696" t="s">
        <v>37</v>
      </c>
      <c r="F2696" t="s">
        <v>127</v>
      </c>
      <c r="I2696" t="s">
        <v>39</v>
      </c>
      <c r="J2696" t="s">
        <v>40</v>
      </c>
      <c r="K2696" t="s">
        <v>41</v>
      </c>
      <c r="N2696" t="s">
        <v>43</v>
      </c>
      <c r="O2696" t="s">
        <v>128</v>
      </c>
      <c r="P2696">
        <v>404</v>
      </c>
      <c r="Q2696">
        <v>404</v>
      </c>
      <c r="R2696">
        <v>571</v>
      </c>
      <c r="S2696" t="s">
        <v>56</v>
      </c>
      <c r="T2696">
        <v>0.56999999999999995</v>
      </c>
      <c r="U2696">
        <v>23</v>
      </c>
      <c r="V2696" t="s">
        <v>55</v>
      </c>
      <c r="W2696">
        <v>2.1999999999999999E-2</v>
      </c>
      <c r="X2696">
        <v>1</v>
      </c>
      <c r="Y2696" t="s">
        <v>47</v>
      </c>
      <c r="Z2696">
        <v>0</v>
      </c>
      <c r="AA2696">
        <v>184</v>
      </c>
      <c r="AB2696" t="s">
        <v>47</v>
      </c>
      <c r="AC2696">
        <v>0.183</v>
      </c>
      <c r="AD2696">
        <v>410</v>
      </c>
      <c r="AE2696" t="s">
        <v>56</v>
      </c>
      <c r="AF2696">
        <v>0.40899999999999997</v>
      </c>
      <c r="AG2696">
        <v>100</v>
      </c>
      <c r="AH2696" t="s">
        <v>103</v>
      </c>
      <c r="AI2696">
        <v>9.9000000000000005E-2</v>
      </c>
      <c r="AJ2696" t="s">
        <v>1153</v>
      </c>
    </row>
    <row r="2697" spans="1:36" x14ac:dyDescent="0.25">
      <c r="A2697" t="s">
        <v>125</v>
      </c>
      <c r="B2697">
        <v>886368341</v>
      </c>
      <c r="C2697" t="s">
        <v>126</v>
      </c>
      <c r="D2697" t="s">
        <v>126</v>
      </c>
      <c r="E2697" t="s">
        <v>37</v>
      </c>
      <c r="F2697" t="s">
        <v>127</v>
      </c>
      <c r="I2697" t="s">
        <v>39</v>
      </c>
      <c r="J2697" t="s">
        <v>40</v>
      </c>
      <c r="K2697" t="s">
        <v>41</v>
      </c>
      <c r="N2697" t="s">
        <v>43</v>
      </c>
      <c r="O2697" t="s">
        <v>128</v>
      </c>
      <c r="P2697">
        <v>404</v>
      </c>
      <c r="Q2697">
        <v>404</v>
      </c>
      <c r="R2697">
        <v>571</v>
      </c>
      <c r="S2697" t="s">
        <v>56</v>
      </c>
      <c r="T2697">
        <v>0.56999999999999995</v>
      </c>
      <c r="U2697">
        <v>23</v>
      </c>
      <c r="V2697" t="s">
        <v>55</v>
      </c>
      <c r="W2697">
        <v>2.1999999999999999E-2</v>
      </c>
      <c r="X2697">
        <v>1</v>
      </c>
      <c r="Y2697" t="s">
        <v>47</v>
      </c>
      <c r="Z2697">
        <v>0</v>
      </c>
      <c r="AA2697">
        <v>184</v>
      </c>
      <c r="AB2697" t="s">
        <v>47</v>
      </c>
      <c r="AC2697">
        <v>0.183</v>
      </c>
      <c r="AD2697">
        <v>410</v>
      </c>
      <c r="AE2697" t="s">
        <v>56</v>
      </c>
      <c r="AF2697">
        <v>0.40899999999999997</v>
      </c>
      <c r="AG2697">
        <v>100</v>
      </c>
      <c r="AH2697" t="s">
        <v>103</v>
      </c>
      <c r="AI2697">
        <v>9.9000000000000005E-2</v>
      </c>
      <c r="AJ2697" t="s">
        <v>1154</v>
      </c>
    </row>
    <row r="2698" spans="1:36" x14ac:dyDescent="0.25">
      <c r="A2698" t="s">
        <v>129</v>
      </c>
      <c r="B2698">
        <v>855604639</v>
      </c>
      <c r="C2698" t="s">
        <v>130</v>
      </c>
      <c r="D2698" t="s">
        <v>130</v>
      </c>
      <c r="E2698" t="s">
        <v>99</v>
      </c>
      <c r="F2698" t="s">
        <v>100</v>
      </c>
      <c r="I2698" t="s">
        <v>39</v>
      </c>
      <c r="J2698" t="s">
        <v>40</v>
      </c>
      <c r="K2698" t="s">
        <v>41</v>
      </c>
      <c r="L2698" t="s">
        <v>131</v>
      </c>
      <c r="M2698" t="s">
        <v>73</v>
      </c>
      <c r="N2698" t="s">
        <v>43</v>
      </c>
      <c r="O2698" t="s">
        <v>132</v>
      </c>
      <c r="P2698">
        <v>404</v>
      </c>
      <c r="Q2698">
        <v>404</v>
      </c>
      <c r="R2698">
        <v>311</v>
      </c>
      <c r="S2698" t="s">
        <v>56</v>
      </c>
      <c r="T2698">
        <v>0.31</v>
      </c>
      <c r="U2698">
        <v>7</v>
      </c>
      <c r="V2698" t="s">
        <v>55</v>
      </c>
      <c r="W2698">
        <v>6.0000000000000001E-3</v>
      </c>
      <c r="X2698">
        <v>7001</v>
      </c>
      <c r="Y2698" t="s">
        <v>47</v>
      </c>
      <c r="Z2698">
        <v>7</v>
      </c>
      <c r="AA2698">
        <v>169</v>
      </c>
      <c r="AB2698" t="s">
        <v>47</v>
      </c>
      <c r="AC2698">
        <v>0.16800000000000001</v>
      </c>
      <c r="AD2698">
        <v>519</v>
      </c>
      <c r="AE2698" t="s">
        <v>48</v>
      </c>
      <c r="AF2698">
        <v>0.51800000000000002</v>
      </c>
      <c r="AG2698">
        <v>457</v>
      </c>
      <c r="AH2698" t="s">
        <v>57</v>
      </c>
      <c r="AI2698">
        <v>0.45600000000000002</v>
      </c>
      <c r="AJ2698" t="s">
        <v>50</v>
      </c>
    </row>
    <row r="2699" spans="1:36" x14ac:dyDescent="0.25">
      <c r="A2699" t="s">
        <v>129</v>
      </c>
      <c r="B2699">
        <v>855604639</v>
      </c>
      <c r="C2699" t="s">
        <v>130</v>
      </c>
      <c r="D2699" t="s">
        <v>130</v>
      </c>
      <c r="E2699" t="s">
        <v>65</v>
      </c>
      <c r="F2699" t="s">
        <v>100</v>
      </c>
      <c r="I2699" t="s">
        <v>39</v>
      </c>
      <c r="J2699" t="s">
        <v>40</v>
      </c>
      <c r="K2699" t="s">
        <v>41</v>
      </c>
      <c r="L2699" t="s">
        <v>131</v>
      </c>
      <c r="M2699" t="s">
        <v>73</v>
      </c>
      <c r="N2699" t="s">
        <v>43</v>
      </c>
      <c r="O2699" t="s">
        <v>133</v>
      </c>
      <c r="P2699">
        <v>404</v>
      </c>
      <c r="Q2699">
        <v>404</v>
      </c>
      <c r="R2699">
        <v>71</v>
      </c>
      <c r="S2699" t="s">
        <v>56</v>
      </c>
      <c r="T2699">
        <v>7.0000000000000007E-2</v>
      </c>
      <c r="U2699">
        <v>880</v>
      </c>
      <c r="V2699" t="s">
        <v>113</v>
      </c>
      <c r="W2699">
        <v>0.879</v>
      </c>
      <c r="X2699">
        <v>15001</v>
      </c>
      <c r="Y2699" t="s">
        <v>47</v>
      </c>
      <c r="Z2699">
        <v>15</v>
      </c>
      <c r="AA2699">
        <v>354</v>
      </c>
      <c r="AB2699" t="s">
        <v>47</v>
      </c>
      <c r="AC2699">
        <v>0.35299999999999998</v>
      </c>
      <c r="AD2699">
        <v>639</v>
      </c>
      <c r="AE2699" t="s">
        <v>48</v>
      </c>
      <c r="AF2699">
        <v>0.63800000000000001</v>
      </c>
      <c r="AG2699">
        <v>878</v>
      </c>
      <c r="AH2699" t="s">
        <v>49</v>
      </c>
      <c r="AI2699">
        <v>0.877</v>
      </c>
      <c r="AJ2699" t="s">
        <v>50</v>
      </c>
    </row>
    <row r="2700" spans="1:36" x14ac:dyDescent="0.25">
      <c r="A2700" t="s">
        <v>129</v>
      </c>
      <c r="B2700">
        <v>855604639</v>
      </c>
      <c r="C2700" t="s">
        <v>130</v>
      </c>
      <c r="D2700" t="s">
        <v>130</v>
      </c>
      <c r="E2700" t="s">
        <v>99</v>
      </c>
      <c r="F2700" t="s">
        <v>100</v>
      </c>
      <c r="I2700" t="s">
        <v>39</v>
      </c>
      <c r="J2700" t="s">
        <v>40</v>
      </c>
      <c r="K2700" t="s">
        <v>41</v>
      </c>
      <c r="L2700" t="s">
        <v>131</v>
      </c>
      <c r="M2700" t="s">
        <v>73</v>
      </c>
      <c r="N2700" t="s">
        <v>43</v>
      </c>
      <c r="O2700" t="s">
        <v>132</v>
      </c>
      <c r="P2700">
        <v>404</v>
      </c>
      <c r="Q2700">
        <v>404</v>
      </c>
      <c r="R2700">
        <v>311</v>
      </c>
      <c r="S2700" t="s">
        <v>56</v>
      </c>
      <c r="T2700">
        <v>0.31</v>
      </c>
      <c r="U2700">
        <v>7</v>
      </c>
      <c r="V2700" t="s">
        <v>55</v>
      </c>
      <c r="W2700">
        <v>6.0000000000000001E-3</v>
      </c>
      <c r="X2700">
        <v>7001</v>
      </c>
      <c r="Y2700" t="s">
        <v>47</v>
      </c>
      <c r="Z2700">
        <v>7</v>
      </c>
      <c r="AA2700">
        <v>169</v>
      </c>
      <c r="AB2700" t="s">
        <v>47</v>
      </c>
      <c r="AC2700">
        <v>0.16800000000000001</v>
      </c>
      <c r="AD2700">
        <v>519</v>
      </c>
      <c r="AE2700" t="s">
        <v>48</v>
      </c>
      <c r="AF2700">
        <v>0.51800000000000002</v>
      </c>
      <c r="AG2700">
        <v>457</v>
      </c>
      <c r="AH2700" t="s">
        <v>57</v>
      </c>
      <c r="AI2700">
        <v>0.45600000000000002</v>
      </c>
      <c r="AJ2700" t="s">
        <v>1153</v>
      </c>
    </row>
    <row r="2701" spans="1:36" x14ac:dyDescent="0.25">
      <c r="A2701" t="s">
        <v>129</v>
      </c>
      <c r="B2701">
        <v>855604639</v>
      </c>
      <c r="C2701" t="s">
        <v>130</v>
      </c>
      <c r="D2701" t="s">
        <v>130</v>
      </c>
      <c r="E2701" t="s">
        <v>65</v>
      </c>
      <c r="F2701" t="s">
        <v>100</v>
      </c>
      <c r="I2701" t="s">
        <v>39</v>
      </c>
      <c r="J2701" t="s">
        <v>40</v>
      </c>
      <c r="K2701" t="s">
        <v>41</v>
      </c>
      <c r="L2701" t="s">
        <v>131</v>
      </c>
      <c r="M2701" t="s">
        <v>73</v>
      </c>
      <c r="N2701" t="s">
        <v>43</v>
      </c>
      <c r="O2701" t="s">
        <v>133</v>
      </c>
      <c r="P2701">
        <v>404</v>
      </c>
      <c r="Q2701">
        <v>404</v>
      </c>
      <c r="R2701">
        <v>71</v>
      </c>
      <c r="S2701" t="s">
        <v>56</v>
      </c>
      <c r="T2701">
        <v>7.0000000000000007E-2</v>
      </c>
      <c r="U2701">
        <v>880</v>
      </c>
      <c r="V2701" t="s">
        <v>113</v>
      </c>
      <c r="W2701">
        <v>0.879</v>
      </c>
      <c r="X2701">
        <v>15001</v>
      </c>
      <c r="Y2701" t="s">
        <v>47</v>
      </c>
      <c r="Z2701">
        <v>15</v>
      </c>
      <c r="AA2701">
        <v>354</v>
      </c>
      <c r="AB2701" t="s">
        <v>47</v>
      </c>
      <c r="AC2701">
        <v>0.35299999999999998</v>
      </c>
      <c r="AD2701">
        <v>639</v>
      </c>
      <c r="AE2701" t="s">
        <v>48</v>
      </c>
      <c r="AF2701">
        <v>0.63800000000000001</v>
      </c>
      <c r="AG2701">
        <v>878</v>
      </c>
      <c r="AH2701" t="s">
        <v>49</v>
      </c>
      <c r="AI2701">
        <v>0.877</v>
      </c>
      <c r="AJ2701" t="s">
        <v>1153</v>
      </c>
    </row>
    <row r="2702" spans="1:36" x14ac:dyDescent="0.25">
      <c r="A2702" t="s">
        <v>129</v>
      </c>
      <c r="B2702">
        <v>855604639</v>
      </c>
      <c r="C2702" t="s">
        <v>130</v>
      </c>
      <c r="D2702" t="s">
        <v>130</v>
      </c>
      <c r="E2702" t="s">
        <v>99</v>
      </c>
      <c r="F2702" t="s">
        <v>100</v>
      </c>
      <c r="I2702" t="s">
        <v>39</v>
      </c>
      <c r="J2702" t="s">
        <v>40</v>
      </c>
      <c r="K2702" t="s">
        <v>41</v>
      </c>
      <c r="L2702" t="s">
        <v>131</v>
      </c>
      <c r="M2702" t="s">
        <v>73</v>
      </c>
      <c r="N2702" t="s">
        <v>43</v>
      </c>
      <c r="O2702" t="s">
        <v>132</v>
      </c>
      <c r="P2702">
        <v>404</v>
      </c>
      <c r="Q2702">
        <v>404</v>
      </c>
      <c r="R2702">
        <v>311</v>
      </c>
      <c r="S2702" t="s">
        <v>56</v>
      </c>
      <c r="T2702">
        <v>0.31</v>
      </c>
      <c r="U2702">
        <v>7</v>
      </c>
      <c r="V2702" t="s">
        <v>55</v>
      </c>
      <c r="W2702">
        <v>6.0000000000000001E-3</v>
      </c>
      <c r="X2702">
        <v>7001</v>
      </c>
      <c r="Y2702" t="s">
        <v>47</v>
      </c>
      <c r="Z2702">
        <v>7</v>
      </c>
      <c r="AA2702">
        <v>169</v>
      </c>
      <c r="AB2702" t="s">
        <v>47</v>
      </c>
      <c r="AC2702">
        <v>0.16800000000000001</v>
      </c>
      <c r="AD2702">
        <v>519</v>
      </c>
      <c r="AE2702" t="s">
        <v>48</v>
      </c>
      <c r="AF2702">
        <v>0.51800000000000002</v>
      </c>
      <c r="AG2702">
        <v>457</v>
      </c>
      <c r="AH2702" t="s">
        <v>57</v>
      </c>
      <c r="AI2702">
        <v>0.45600000000000002</v>
      </c>
      <c r="AJ2702" t="s">
        <v>1154</v>
      </c>
    </row>
    <row r="2703" spans="1:36" x14ac:dyDescent="0.25">
      <c r="A2703" t="s">
        <v>129</v>
      </c>
      <c r="B2703">
        <v>855604639</v>
      </c>
      <c r="C2703" t="s">
        <v>130</v>
      </c>
      <c r="D2703" t="s">
        <v>130</v>
      </c>
      <c r="E2703" t="s">
        <v>65</v>
      </c>
      <c r="F2703" t="s">
        <v>100</v>
      </c>
      <c r="I2703" t="s">
        <v>39</v>
      </c>
      <c r="J2703" t="s">
        <v>40</v>
      </c>
      <c r="K2703" t="s">
        <v>41</v>
      </c>
      <c r="L2703" t="s">
        <v>131</v>
      </c>
      <c r="M2703" t="s">
        <v>73</v>
      </c>
      <c r="N2703" t="s">
        <v>43</v>
      </c>
      <c r="O2703" t="s">
        <v>133</v>
      </c>
      <c r="P2703">
        <v>404</v>
      </c>
      <c r="Q2703">
        <v>404</v>
      </c>
      <c r="R2703">
        <v>71</v>
      </c>
      <c r="S2703" t="s">
        <v>56</v>
      </c>
      <c r="T2703">
        <v>7.0000000000000007E-2</v>
      </c>
      <c r="U2703">
        <v>880</v>
      </c>
      <c r="V2703" t="s">
        <v>113</v>
      </c>
      <c r="W2703">
        <v>0.879</v>
      </c>
      <c r="X2703">
        <v>15001</v>
      </c>
      <c r="Y2703" t="s">
        <v>47</v>
      </c>
      <c r="Z2703">
        <v>15</v>
      </c>
      <c r="AA2703">
        <v>354</v>
      </c>
      <c r="AB2703" t="s">
        <v>47</v>
      </c>
      <c r="AC2703">
        <v>0.35299999999999998</v>
      </c>
      <c r="AD2703">
        <v>639</v>
      </c>
      <c r="AE2703" t="s">
        <v>48</v>
      </c>
      <c r="AF2703">
        <v>0.63800000000000001</v>
      </c>
      <c r="AG2703">
        <v>878</v>
      </c>
      <c r="AH2703" t="s">
        <v>49</v>
      </c>
      <c r="AI2703">
        <v>0.877</v>
      </c>
      <c r="AJ2703" t="s">
        <v>1154</v>
      </c>
    </row>
    <row r="2704" spans="1:36" x14ac:dyDescent="0.25">
      <c r="A2704" t="s">
        <v>120</v>
      </c>
      <c r="B2704">
        <v>860649750</v>
      </c>
      <c r="C2704" t="s">
        <v>121</v>
      </c>
      <c r="D2704" t="s">
        <v>121</v>
      </c>
      <c r="E2704" t="s">
        <v>37</v>
      </c>
      <c r="F2704" t="s">
        <v>122</v>
      </c>
      <c r="I2704" t="s">
        <v>39</v>
      </c>
      <c r="J2704" t="s">
        <v>40</v>
      </c>
      <c r="K2704" t="s">
        <v>41</v>
      </c>
      <c r="L2704" t="s">
        <v>78</v>
      </c>
      <c r="N2704" t="s">
        <v>43</v>
      </c>
      <c r="O2704" t="s">
        <v>123</v>
      </c>
      <c r="P2704">
        <v>405</v>
      </c>
      <c r="Q2704">
        <v>405</v>
      </c>
      <c r="R2704">
        <v>81</v>
      </c>
      <c r="S2704" t="s">
        <v>56</v>
      </c>
      <c r="T2704">
        <v>0.08</v>
      </c>
      <c r="U2704">
        <v>147</v>
      </c>
      <c r="V2704" t="s">
        <v>55</v>
      </c>
      <c r="W2704">
        <v>0.14599999999999999</v>
      </c>
      <c r="X2704">
        <v>1</v>
      </c>
      <c r="Y2704" t="s">
        <v>47</v>
      </c>
      <c r="Z2704">
        <v>0</v>
      </c>
      <c r="AA2704">
        <v>388</v>
      </c>
      <c r="AB2704" t="s">
        <v>47</v>
      </c>
      <c r="AC2704">
        <v>0.38700000000000001</v>
      </c>
      <c r="AD2704">
        <v>544</v>
      </c>
      <c r="AE2704" t="s">
        <v>48</v>
      </c>
      <c r="AF2704">
        <v>0.54300000000000004</v>
      </c>
      <c r="AG2704">
        <v>891</v>
      </c>
      <c r="AH2704" t="s">
        <v>49</v>
      </c>
      <c r="AI2704">
        <v>0.89</v>
      </c>
      <c r="AJ2704" t="s">
        <v>50</v>
      </c>
    </row>
    <row r="2705" spans="1:36" x14ac:dyDescent="0.25">
      <c r="A2705" t="s">
        <v>120</v>
      </c>
      <c r="B2705">
        <v>860649750</v>
      </c>
      <c r="C2705" t="s">
        <v>121</v>
      </c>
      <c r="D2705" t="s">
        <v>121</v>
      </c>
      <c r="E2705" t="s">
        <v>60</v>
      </c>
      <c r="F2705" t="s">
        <v>122</v>
      </c>
      <c r="I2705" t="s">
        <v>39</v>
      </c>
      <c r="J2705" t="s">
        <v>40</v>
      </c>
      <c r="K2705" t="s">
        <v>41</v>
      </c>
      <c r="L2705" t="s">
        <v>78</v>
      </c>
      <c r="N2705" t="s">
        <v>43</v>
      </c>
      <c r="O2705" t="s">
        <v>124</v>
      </c>
      <c r="P2705">
        <v>405</v>
      </c>
      <c r="Q2705">
        <v>405</v>
      </c>
      <c r="R2705">
        <v>21</v>
      </c>
      <c r="S2705" t="s">
        <v>45</v>
      </c>
      <c r="T2705">
        <v>0.02</v>
      </c>
      <c r="U2705">
        <v>832</v>
      </c>
      <c r="V2705" t="s">
        <v>113</v>
      </c>
      <c r="W2705">
        <v>0.83099999999999996</v>
      </c>
      <c r="X2705">
        <v>1</v>
      </c>
      <c r="Y2705" t="s">
        <v>47</v>
      </c>
      <c r="Z2705">
        <v>0</v>
      </c>
      <c r="AA2705">
        <v>414</v>
      </c>
      <c r="AB2705" t="s">
        <v>47</v>
      </c>
      <c r="AC2705">
        <v>0.41299999999999998</v>
      </c>
      <c r="AD2705">
        <v>747</v>
      </c>
      <c r="AE2705" t="s">
        <v>48</v>
      </c>
      <c r="AF2705">
        <v>0.746</v>
      </c>
      <c r="AG2705">
        <v>980</v>
      </c>
      <c r="AH2705" t="s">
        <v>80</v>
      </c>
      <c r="AI2705">
        <v>0.97899999999999998</v>
      </c>
      <c r="AJ2705" t="s">
        <v>50</v>
      </c>
    </row>
    <row r="2706" spans="1:36" x14ac:dyDescent="0.25">
      <c r="A2706" t="s">
        <v>120</v>
      </c>
      <c r="B2706">
        <v>860649750</v>
      </c>
      <c r="C2706" t="s">
        <v>121</v>
      </c>
      <c r="D2706" t="s">
        <v>121</v>
      </c>
      <c r="E2706" t="s">
        <v>37</v>
      </c>
      <c r="F2706" t="s">
        <v>122</v>
      </c>
      <c r="I2706" t="s">
        <v>39</v>
      </c>
      <c r="J2706" t="s">
        <v>40</v>
      </c>
      <c r="K2706" t="s">
        <v>41</v>
      </c>
      <c r="L2706" t="s">
        <v>78</v>
      </c>
      <c r="N2706" t="s">
        <v>43</v>
      </c>
      <c r="O2706" t="s">
        <v>123</v>
      </c>
      <c r="P2706">
        <v>405</v>
      </c>
      <c r="Q2706">
        <v>405</v>
      </c>
      <c r="R2706">
        <v>81</v>
      </c>
      <c r="S2706" t="s">
        <v>56</v>
      </c>
      <c r="T2706">
        <v>0.08</v>
      </c>
      <c r="U2706">
        <v>147</v>
      </c>
      <c r="V2706" t="s">
        <v>55</v>
      </c>
      <c r="W2706">
        <v>0.14599999999999999</v>
      </c>
      <c r="X2706">
        <v>1</v>
      </c>
      <c r="Y2706" t="s">
        <v>47</v>
      </c>
      <c r="Z2706">
        <v>0</v>
      </c>
      <c r="AA2706">
        <v>388</v>
      </c>
      <c r="AB2706" t="s">
        <v>47</v>
      </c>
      <c r="AC2706">
        <v>0.38700000000000001</v>
      </c>
      <c r="AD2706">
        <v>544</v>
      </c>
      <c r="AE2706" t="s">
        <v>48</v>
      </c>
      <c r="AF2706">
        <v>0.54300000000000004</v>
      </c>
      <c r="AG2706">
        <v>891</v>
      </c>
      <c r="AH2706" t="s">
        <v>49</v>
      </c>
      <c r="AI2706">
        <v>0.89</v>
      </c>
      <c r="AJ2706" t="s">
        <v>1153</v>
      </c>
    </row>
    <row r="2707" spans="1:36" x14ac:dyDescent="0.25">
      <c r="A2707" t="s">
        <v>120</v>
      </c>
      <c r="B2707">
        <v>860649750</v>
      </c>
      <c r="C2707" t="s">
        <v>121</v>
      </c>
      <c r="D2707" t="s">
        <v>121</v>
      </c>
      <c r="E2707" t="s">
        <v>60</v>
      </c>
      <c r="F2707" t="s">
        <v>122</v>
      </c>
      <c r="I2707" t="s">
        <v>39</v>
      </c>
      <c r="J2707" t="s">
        <v>40</v>
      </c>
      <c r="K2707" t="s">
        <v>41</v>
      </c>
      <c r="L2707" t="s">
        <v>78</v>
      </c>
      <c r="N2707" t="s">
        <v>43</v>
      </c>
      <c r="O2707" t="s">
        <v>124</v>
      </c>
      <c r="P2707">
        <v>405</v>
      </c>
      <c r="Q2707">
        <v>405</v>
      </c>
      <c r="R2707">
        <v>21</v>
      </c>
      <c r="S2707" t="s">
        <v>45</v>
      </c>
      <c r="T2707">
        <v>0.02</v>
      </c>
      <c r="U2707">
        <v>832</v>
      </c>
      <c r="V2707" t="s">
        <v>113</v>
      </c>
      <c r="W2707">
        <v>0.83099999999999996</v>
      </c>
      <c r="X2707">
        <v>1</v>
      </c>
      <c r="Y2707" t="s">
        <v>47</v>
      </c>
      <c r="Z2707">
        <v>0</v>
      </c>
      <c r="AA2707">
        <v>414</v>
      </c>
      <c r="AB2707" t="s">
        <v>47</v>
      </c>
      <c r="AC2707">
        <v>0.41299999999999998</v>
      </c>
      <c r="AD2707">
        <v>747</v>
      </c>
      <c r="AE2707" t="s">
        <v>48</v>
      </c>
      <c r="AF2707">
        <v>0.746</v>
      </c>
      <c r="AG2707">
        <v>980</v>
      </c>
      <c r="AH2707" t="s">
        <v>80</v>
      </c>
      <c r="AI2707">
        <v>0.97899999999999998</v>
      </c>
      <c r="AJ2707" t="s">
        <v>1153</v>
      </c>
    </row>
    <row r="2708" spans="1:36" x14ac:dyDescent="0.25">
      <c r="A2708" t="s">
        <v>120</v>
      </c>
      <c r="B2708">
        <v>860649750</v>
      </c>
      <c r="C2708" t="s">
        <v>121</v>
      </c>
      <c r="D2708" t="s">
        <v>121</v>
      </c>
      <c r="E2708" t="s">
        <v>37</v>
      </c>
      <c r="F2708" t="s">
        <v>122</v>
      </c>
      <c r="I2708" t="s">
        <v>39</v>
      </c>
      <c r="J2708" t="s">
        <v>40</v>
      </c>
      <c r="K2708" t="s">
        <v>41</v>
      </c>
      <c r="L2708" t="s">
        <v>78</v>
      </c>
      <c r="N2708" t="s">
        <v>43</v>
      </c>
      <c r="O2708" t="s">
        <v>123</v>
      </c>
      <c r="P2708">
        <v>405</v>
      </c>
      <c r="Q2708">
        <v>405</v>
      </c>
      <c r="R2708">
        <v>81</v>
      </c>
      <c r="S2708" t="s">
        <v>56</v>
      </c>
      <c r="T2708">
        <v>0.08</v>
      </c>
      <c r="U2708">
        <v>147</v>
      </c>
      <c r="V2708" t="s">
        <v>55</v>
      </c>
      <c r="W2708">
        <v>0.14599999999999999</v>
      </c>
      <c r="X2708">
        <v>1</v>
      </c>
      <c r="Y2708" t="s">
        <v>47</v>
      </c>
      <c r="Z2708">
        <v>0</v>
      </c>
      <c r="AA2708">
        <v>388</v>
      </c>
      <c r="AB2708" t="s">
        <v>47</v>
      </c>
      <c r="AC2708">
        <v>0.38700000000000001</v>
      </c>
      <c r="AD2708">
        <v>544</v>
      </c>
      <c r="AE2708" t="s">
        <v>48</v>
      </c>
      <c r="AF2708">
        <v>0.54300000000000004</v>
      </c>
      <c r="AG2708">
        <v>891</v>
      </c>
      <c r="AH2708" t="s">
        <v>49</v>
      </c>
      <c r="AI2708">
        <v>0.89</v>
      </c>
      <c r="AJ2708" t="s">
        <v>1154</v>
      </c>
    </row>
    <row r="2709" spans="1:36" x14ac:dyDescent="0.25">
      <c r="A2709" t="s">
        <v>120</v>
      </c>
      <c r="B2709">
        <v>860649750</v>
      </c>
      <c r="C2709" t="s">
        <v>121</v>
      </c>
      <c r="D2709" t="s">
        <v>121</v>
      </c>
      <c r="E2709" t="s">
        <v>60</v>
      </c>
      <c r="F2709" t="s">
        <v>122</v>
      </c>
      <c r="I2709" t="s">
        <v>39</v>
      </c>
      <c r="J2709" t="s">
        <v>40</v>
      </c>
      <c r="K2709" t="s">
        <v>41</v>
      </c>
      <c r="L2709" t="s">
        <v>78</v>
      </c>
      <c r="N2709" t="s">
        <v>43</v>
      </c>
      <c r="O2709" t="s">
        <v>124</v>
      </c>
      <c r="P2709">
        <v>405</v>
      </c>
      <c r="Q2709">
        <v>405</v>
      </c>
      <c r="R2709">
        <v>21</v>
      </c>
      <c r="S2709" t="s">
        <v>45</v>
      </c>
      <c r="T2709">
        <v>0.02</v>
      </c>
      <c r="U2709">
        <v>832</v>
      </c>
      <c r="V2709" t="s">
        <v>113</v>
      </c>
      <c r="W2709">
        <v>0.83099999999999996</v>
      </c>
      <c r="X2709">
        <v>1</v>
      </c>
      <c r="Y2709" t="s">
        <v>47</v>
      </c>
      <c r="Z2709">
        <v>0</v>
      </c>
      <c r="AA2709">
        <v>414</v>
      </c>
      <c r="AB2709" t="s">
        <v>47</v>
      </c>
      <c r="AC2709">
        <v>0.41299999999999998</v>
      </c>
      <c r="AD2709">
        <v>747</v>
      </c>
      <c r="AE2709" t="s">
        <v>48</v>
      </c>
      <c r="AF2709">
        <v>0.746</v>
      </c>
      <c r="AG2709">
        <v>980</v>
      </c>
      <c r="AH2709" t="s">
        <v>80</v>
      </c>
      <c r="AI2709">
        <v>0.97899999999999998</v>
      </c>
      <c r="AJ2709" t="s">
        <v>1154</v>
      </c>
    </row>
    <row r="2710" spans="1:36" x14ac:dyDescent="0.25">
      <c r="A2710" t="s">
        <v>91</v>
      </c>
      <c r="B2710">
        <v>872548050</v>
      </c>
      <c r="C2710" t="s">
        <v>92</v>
      </c>
      <c r="D2710" t="s">
        <v>92</v>
      </c>
      <c r="E2710" t="s">
        <v>65</v>
      </c>
      <c r="F2710" t="s">
        <v>93</v>
      </c>
      <c r="I2710" t="s">
        <v>39</v>
      </c>
      <c r="J2710" t="s">
        <v>40</v>
      </c>
      <c r="K2710" t="s">
        <v>41</v>
      </c>
      <c r="L2710" t="s">
        <v>94</v>
      </c>
      <c r="M2710" t="s">
        <v>95</v>
      </c>
      <c r="N2710" t="s">
        <v>43</v>
      </c>
      <c r="O2710" t="s">
        <v>96</v>
      </c>
      <c r="P2710">
        <v>405</v>
      </c>
      <c r="Q2710">
        <v>405</v>
      </c>
      <c r="S2710" t="s">
        <v>39</v>
      </c>
      <c r="V2710" t="s">
        <v>39</v>
      </c>
      <c r="X2710">
        <v>19001</v>
      </c>
      <c r="Y2710" t="s">
        <v>47</v>
      </c>
      <c r="Z2710">
        <v>19</v>
      </c>
      <c r="AA2710">
        <v>669</v>
      </c>
      <c r="AB2710" t="s">
        <v>75</v>
      </c>
      <c r="AC2710">
        <v>0.66800000000000004</v>
      </c>
      <c r="AD2710">
        <v>730</v>
      </c>
      <c r="AE2710" t="s">
        <v>48</v>
      </c>
      <c r="AF2710">
        <v>0.72899999999999998</v>
      </c>
      <c r="AG2710">
        <v>532</v>
      </c>
      <c r="AH2710" t="s">
        <v>49</v>
      </c>
      <c r="AI2710">
        <v>0.53100000000000003</v>
      </c>
      <c r="AJ2710" t="s">
        <v>1155</v>
      </c>
    </row>
    <row r="2711" spans="1:36" x14ac:dyDescent="0.25">
      <c r="A2711" t="s">
        <v>97</v>
      </c>
      <c r="B2711">
        <v>852756420</v>
      </c>
      <c r="C2711" t="s">
        <v>98</v>
      </c>
      <c r="D2711" t="s">
        <v>98</v>
      </c>
      <c r="E2711" t="s">
        <v>99</v>
      </c>
      <c r="F2711" t="s">
        <v>100</v>
      </c>
      <c r="I2711" t="s">
        <v>39</v>
      </c>
      <c r="J2711" t="s">
        <v>40</v>
      </c>
      <c r="K2711" t="s">
        <v>41</v>
      </c>
      <c r="L2711" t="s">
        <v>101</v>
      </c>
      <c r="M2711" t="s">
        <v>47</v>
      </c>
      <c r="N2711" t="s">
        <v>43</v>
      </c>
      <c r="O2711" t="s">
        <v>102</v>
      </c>
      <c r="P2711">
        <v>405</v>
      </c>
      <c r="Q2711">
        <v>405</v>
      </c>
      <c r="S2711" t="s">
        <v>39</v>
      </c>
      <c r="V2711" t="s">
        <v>39</v>
      </c>
      <c r="X2711">
        <v>1</v>
      </c>
      <c r="Y2711" t="s">
        <v>47</v>
      </c>
      <c r="Z2711">
        <v>0</v>
      </c>
      <c r="AA2711">
        <v>297</v>
      </c>
      <c r="AB2711" t="s">
        <v>47</v>
      </c>
      <c r="AC2711">
        <v>0.29599999999999999</v>
      </c>
      <c r="AD2711">
        <v>248</v>
      </c>
      <c r="AE2711" t="s">
        <v>56</v>
      </c>
      <c r="AF2711">
        <v>0.247</v>
      </c>
      <c r="AG2711">
        <v>49</v>
      </c>
      <c r="AH2711" t="s">
        <v>103</v>
      </c>
      <c r="AI2711">
        <v>4.8000000000000001E-2</v>
      </c>
      <c r="AJ2711" t="s">
        <v>1155</v>
      </c>
    </row>
    <row r="2712" spans="1:36" x14ac:dyDescent="0.25">
      <c r="A2712" t="s">
        <v>97</v>
      </c>
      <c r="B2712">
        <v>852756420</v>
      </c>
      <c r="C2712" t="s">
        <v>98</v>
      </c>
      <c r="D2712" t="s">
        <v>98</v>
      </c>
      <c r="E2712" t="s">
        <v>65</v>
      </c>
      <c r="F2712" t="s">
        <v>100</v>
      </c>
      <c r="I2712" t="s">
        <v>39</v>
      </c>
      <c r="J2712" t="s">
        <v>40</v>
      </c>
      <c r="K2712" t="s">
        <v>41</v>
      </c>
      <c r="L2712" t="s">
        <v>101</v>
      </c>
      <c r="M2712" t="s">
        <v>47</v>
      </c>
      <c r="N2712" t="s">
        <v>43</v>
      </c>
      <c r="O2712" t="s">
        <v>104</v>
      </c>
      <c r="P2712">
        <v>405</v>
      </c>
      <c r="Q2712">
        <v>405</v>
      </c>
      <c r="S2712" t="s">
        <v>39</v>
      </c>
      <c r="V2712" t="s">
        <v>39</v>
      </c>
      <c r="X2712">
        <v>1</v>
      </c>
      <c r="Y2712" t="s">
        <v>47</v>
      </c>
      <c r="Z2712">
        <v>0</v>
      </c>
      <c r="AA2712">
        <v>304</v>
      </c>
      <c r="AB2712" t="s">
        <v>47</v>
      </c>
      <c r="AC2712">
        <v>0.30299999999999999</v>
      </c>
      <c r="AD2712">
        <v>285</v>
      </c>
      <c r="AE2712" t="s">
        <v>56</v>
      </c>
      <c r="AF2712">
        <v>0.28399999999999997</v>
      </c>
      <c r="AG2712">
        <v>50</v>
      </c>
      <c r="AH2712" t="s">
        <v>103</v>
      </c>
      <c r="AI2712">
        <v>4.9000000000000002E-2</v>
      </c>
      <c r="AJ2712" t="s">
        <v>1155</v>
      </c>
    </row>
    <row r="2713" spans="1:36" x14ac:dyDescent="0.25">
      <c r="A2713" t="s">
        <v>86</v>
      </c>
      <c r="B2713">
        <v>881456077</v>
      </c>
      <c r="C2713" t="s">
        <v>87</v>
      </c>
      <c r="D2713" t="s">
        <v>87</v>
      </c>
      <c r="E2713" t="s">
        <v>60</v>
      </c>
      <c r="F2713" t="s">
        <v>88</v>
      </c>
      <c r="I2713" t="s">
        <v>39</v>
      </c>
      <c r="J2713" t="s">
        <v>40</v>
      </c>
      <c r="K2713" t="s">
        <v>41</v>
      </c>
      <c r="L2713" t="s">
        <v>89</v>
      </c>
      <c r="N2713" t="s">
        <v>43</v>
      </c>
      <c r="O2713" t="s">
        <v>90</v>
      </c>
      <c r="P2713">
        <v>406</v>
      </c>
      <c r="Q2713">
        <v>406</v>
      </c>
      <c r="S2713" t="s">
        <v>39</v>
      </c>
      <c r="V2713" t="s">
        <v>39</v>
      </c>
      <c r="X2713">
        <v>24001</v>
      </c>
      <c r="Y2713" t="s">
        <v>47</v>
      </c>
      <c r="Z2713">
        <v>24</v>
      </c>
      <c r="AA2713">
        <v>846</v>
      </c>
      <c r="AB2713" t="s">
        <v>75</v>
      </c>
      <c r="AC2713">
        <v>0.84499999999999997</v>
      </c>
      <c r="AD2713">
        <v>985</v>
      </c>
      <c r="AE2713" t="s">
        <v>48</v>
      </c>
      <c r="AF2713">
        <v>0.98399999999999999</v>
      </c>
      <c r="AG2713">
        <v>996</v>
      </c>
      <c r="AH2713" t="s">
        <v>80</v>
      </c>
      <c r="AI2713">
        <v>0.995</v>
      </c>
      <c r="AJ2713" t="s">
        <v>1155</v>
      </c>
    </row>
    <row r="2714" spans="1:36" x14ac:dyDescent="0.25">
      <c r="A2714" t="s">
        <v>114</v>
      </c>
      <c r="B2714">
        <v>881456318</v>
      </c>
      <c r="C2714" t="s">
        <v>115</v>
      </c>
      <c r="D2714" t="s">
        <v>115</v>
      </c>
      <c r="E2714" t="s">
        <v>37</v>
      </c>
      <c r="F2714" t="s">
        <v>71</v>
      </c>
      <c r="I2714" t="s">
        <v>39</v>
      </c>
      <c r="J2714" t="s">
        <v>40</v>
      </c>
      <c r="K2714" t="s">
        <v>41</v>
      </c>
      <c r="L2714" t="s">
        <v>89</v>
      </c>
      <c r="N2714" t="s">
        <v>43</v>
      </c>
      <c r="O2714" t="s">
        <v>74</v>
      </c>
      <c r="P2714">
        <v>406</v>
      </c>
      <c r="Q2714">
        <v>406</v>
      </c>
      <c r="R2714">
        <v>401</v>
      </c>
      <c r="S2714" t="s">
        <v>56</v>
      </c>
      <c r="T2714">
        <v>0.4</v>
      </c>
      <c r="U2714">
        <v>67</v>
      </c>
      <c r="V2714" t="s">
        <v>55</v>
      </c>
      <c r="W2714">
        <v>6.6000000000000003E-2</v>
      </c>
      <c r="X2714">
        <v>9001</v>
      </c>
      <c r="Y2714" t="s">
        <v>47</v>
      </c>
      <c r="Z2714">
        <v>9</v>
      </c>
      <c r="AA2714">
        <v>282</v>
      </c>
      <c r="AB2714" t="s">
        <v>47</v>
      </c>
      <c r="AC2714">
        <v>0.28100000000000003</v>
      </c>
      <c r="AD2714">
        <v>430</v>
      </c>
      <c r="AE2714" t="s">
        <v>56</v>
      </c>
      <c r="AF2714">
        <v>0.42899999999999999</v>
      </c>
      <c r="AG2714">
        <v>272</v>
      </c>
      <c r="AH2714" t="s">
        <v>57</v>
      </c>
      <c r="AI2714">
        <v>0.27100000000000002</v>
      </c>
      <c r="AJ2714" t="s">
        <v>50</v>
      </c>
    </row>
    <row r="2715" spans="1:36" x14ac:dyDescent="0.25">
      <c r="A2715" t="s">
        <v>114</v>
      </c>
      <c r="B2715">
        <v>881456318</v>
      </c>
      <c r="C2715" t="s">
        <v>115</v>
      </c>
      <c r="D2715" t="s">
        <v>115</v>
      </c>
      <c r="E2715" t="s">
        <v>37</v>
      </c>
      <c r="F2715" t="s">
        <v>71</v>
      </c>
      <c r="I2715" t="s">
        <v>39</v>
      </c>
      <c r="J2715" t="s">
        <v>40</v>
      </c>
      <c r="K2715" t="s">
        <v>41</v>
      </c>
      <c r="L2715" t="s">
        <v>89</v>
      </c>
      <c r="N2715" t="s">
        <v>43</v>
      </c>
      <c r="O2715" t="s">
        <v>74</v>
      </c>
      <c r="P2715">
        <v>406</v>
      </c>
      <c r="Q2715">
        <v>406</v>
      </c>
      <c r="R2715">
        <v>401</v>
      </c>
      <c r="S2715" t="s">
        <v>56</v>
      </c>
      <c r="T2715">
        <v>0.4</v>
      </c>
      <c r="U2715">
        <v>67</v>
      </c>
      <c r="V2715" t="s">
        <v>55</v>
      </c>
      <c r="W2715">
        <v>6.6000000000000003E-2</v>
      </c>
      <c r="X2715">
        <v>9001</v>
      </c>
      <c r="Y2715" t="s">
        <v>47</v>
      </c>
      <c r="Z2715">
        <v>9</v>
      </c>
      <c r="AA2715">
        <v>282</v>
      </c>
      <c r="AB2715" t="s">
        <v>47</v>
      </c>
      <c r="AC2715">
        <v>0.28100000000000003</v>
      </c>
      <c r="AD2715">
        <v>430</v>
      </c>
      <c r="AE2715" t="s">
        <v>56</v>
      </c>
      <c r="AF2715">
        <v>0.42899999999999999</v>
      </c>
      <c r="AG2715">
        <v>272</v>
      </c>
      <c r="AH2715" t="s">
        <v>57</v>
      </c>
      <c r="AI2715">
        <v>0.27100000000000002</v>
      </c>
      <c r="AJ2715" t="s">
        <v>1153</v>
      </c>
    </row>
    <row r="2716" spans="1:36" x14ac:dyDescent="0.25">
      <c r="A2716" t="s">
        <v>114</v>
      </c>
      <c r="B2716">
        <v>881456318</v>
      </c>
      <c r="C2716" t="s">
        <v>115</v>
      </c>
      <c r="D2716" t="s">
        <v>115</v>
      </c>
      <c r="E2716" t="s">
        <v>37</v>
      </c>
      <c r="F2716" t="s">
        <v>71</v>
      </c>
      <c r="I2716" t="s">
        <v>39</v>
      </c>
      <c r="J2716" t="s">
        <v>40</v>
      </c>
      <c r="K2716" t="s">
        <v>41</v>
      </c>
      <c r="L2716" t="s">
        <v>89</v>
      </c>
      <c r="N2716" t="s">
        <v>43</v>
      </c>
      <c r="O2716" t="s">
        <v>74</v>
      </c>
      <c r="P2716">
        <v>406</v>
      </c>
      <c r="Q2716">
        <v>406</v>
      </c>
      <c r="R2716">
        <v>401</v>
      </c>
      <c r="S2716" t="s">
        <v>56</v>
      </c>
      <c r="T2716">
        <v>0.4</v>
      </c>
      <c r="U2716">
        <v>67</v>
      </c>
      <c r="V2716" t="s">
        <v>55</v>
      </c>
      <c r="W2716">
        <v>6.6000000000000003E-2</v>
      </c>
      <c r="X2716">
        <v>9001</v>
      </c>
      <c r="Y2716" t="s">
        <v>47</v>
      </c>
      <c r="Z2716">
        <v>9</v>
      </c>
      <c r="AA2716">
        <v>282</v>
      </c>
      <c r="AB2716" t="s">
        <v>47</v>
      </c>
      <c r="AC2716">
        <v>0.28100000000000003</v>
      </c>
      <c r="AD2716">
        <v>430</v>
      </c>
      <c r="AE2716" t="s">
        <v>56</v>
      </c>
      <c r="AF2716">
        <v>0.42899999999999999</v>
      </c>
      <c r="AG2716">
        <v>272</v>
      </c>
      <c r="AH2716" t="s">
        <v>57</v>
      </c>
      <c r="AI2716">
        <v>0.27100000000000002</v>
      </c>
      <c r="AJ2716" t="s">
        <v>1154</v>
      </c>
    </row>
    <row r="2717" spans="1:36" x14ac:dyDescent="0.25">
      <c r="A2717" t="s">
        <v>116</v>
      </c>
      <c r="B2717">
        <v>855567227</v>
      </c>
      <c r="C2717" t="s">
        <v>117</v>
      </c>
      <c r="D2717" t="s">
        <v>117</v>
      </c>
      <c r="E2717" t="s">
        <v>60</v>
      </c>
      <c r="F2717" t="s">
        <v>61</v>
      </c>
      <c r="I2717" t="s">
        <v>39</v>
      </c>
      <c r="J2717" t="s">
        <v>40</v>
      </c>
      <c r="K2717" t="s">
        <v>41</v>
      </c>
      <c r="L2717" t="s">
        <v>118</v>
      </c>
      <c r="N2717" t="s">
        <v>43</v>
      </c>
      <c r="O2717" t="s">
        <v>119</v>
      </c>
      <c r="P2717">
        <v>406</v>
      </c>
      <c r="Q2717">
        <v>406</v>
      </c>
      <c r="R2717">
        <v>301</v>
      </c>
      <c r="S2717" t="s">
        <v>56</v>
      </c>
      <c r="T2717">
        <v>0.3</v>
      </c>
      <c r="U2717">
        <v>51</v>
      </c>
      <c r="V2717" t="s">
        <v>55</v>
      </c>
      <c r="W2717">
        <v>0.05</v>
      </c>
      <c r="X2717">
        <v>6001</v>
      </c>
      <c r="Y2717" t="s">
        <v>47</v>
      </c>
      <c r="Z2717">
        <v>6</v>
      </c>
      <c r="AA2717">
        <v>312</v>
      </c>
      <c r="AB2717" t="s">
        <v>47</v>
      </c>
      <c r="AC2717">
        <v>0.311</v>
      </c>
      <c r="AD2717">
        <v>458</v>
      </c>
      <c r="AE2717" t="s">
        <v>56</v>
      </c>
      <c r="AF2717">
        <v>0.45700000000000002</v>
      </c>
      <c r="AG2717">
        <v>232</v>
      </c>
      <c r="AH2717" t="s">
        <v>57</v>
      </c>
      <c r="AI2717">
        <v>0.23100000000000001</v>
      </c>
      <c r="AJ2717" t="s">
        <v>50</v>
      </c>
    </row>
    <row r="2718" spans="1:36" x14ac:dyDescent="0.25">
      <c r="A2718" t="s">
        <v>116</v>
      </c>
      <c r="B2718">
        <v>855567227</v>
      </c>
      <c r="C2718" t="s">
        <v>117</v>
      </c>
      <c r="D2718" t="s">
        <v>117</v>
      </c>
      <c r="E2718" t="s">
        <v>60</v>
      </c>
      <c r="F2718" t="s">
        <v>61</v>
      </c>
      <c r="I2718" t="s">
        <v>39</v>
      </c>
      <c r="J2718" t="s">
        <v>40</v>
      </c>
      <c r="K2718" t="s">
        <v>41</v>
      </c>
      <c r="L2718" t="s">
        <v>118</v>
      </c>
      <c r="N2718" t="s">
        <v>43</v>
      </c>
      <c r="O2718" t="s">
        <v>119</v>
      </c>
      <c r="P2718">
        <v>406</v>
      </c>
      <c r="Q2718">
        <v>406</v>
      </c>
      <c r="R2718">
        <v>301</v>
      </c>
      <c r="S2718" t="s">
        <v>56</v>
      </c>
      <c r="T2718">
        <v>0.3</v>
      </c>
      <c r="U2718">
        <v>51</v>
      </c>
      <c r="V2718" t="s">
        <v>55</v>
      </c>
      <c r="W2718">
        <v>0.05</v>
      </c>
      <c r="X2718">
        <v>6001</v>
      </c>
      <c r="Y2718" t="s">
        <v>47</v>
      </c>
      <c r="Z2718">
        <v>6</v>
      </c>
      <c r="AA2718">
        <v>312</v>
      </c>
      <c r="AB2718" t="s">
        <v>47</v>
      </c>
      <c r="AC2718">
        <v>0.311</v>
      </c>
      <c r="AD2718">
        <v>458</v>
      </c>
      <c r="AE2718" t="s">
        <v>56</v>
      </c>
      <c r="AF2718">
        <v>0.45700000000000002</v>
      </c>
      <c r="AG2718">
        <v>232</v>
      </c>
      <c r="AH2718" t="s">
        <v>57</v>
      </c>
      <c r="AI2718">
        <v>0.23100000000000001</v>
      </c>
      <c r="AJ2718" t="s">
        <v>1153</v>
      </c>
    </row>
    <row r="2719" spans="1:36" x14ac:dyDescent="0.25">
      <c r="A2719" t="s">
        <v>116</v>
      </c>
      <c r="B2719">
        <v>855567227</v>
      </c>
      <c r="C2719" t="s">
        <v>117</v>
      </c>
      <c r="D2719" t="s">
        <v>117</v>
      </c>
      <c r="E2719" t="s">
        <v>60</v>
      </c>
      <c r="F2719" t="s">
        <v>61</v>
      </c>
      <c r="I2719" t="s">
        <v>39</v>
      </c>
      <c r="J2719" t="s">
        <v>40</v>
      </c>
      <c r="K2719" t="s">
        <v>41</v>
      </c>
      <c r="L2719" t="s">
        <v>118</v>
      </c>
      <c r="N2719" t="s">
        <v>43</v>
      </c>
      <c r="O2719" t="s">
        <v>119</v>
      </c>
      <c r="P2719">
        <v>406</v>
      </c>
      <c r="Q2719">
        <v>406</v>
      </c>
      <c r="R2719">
        <v>301</v>
      </c>
      <c r="S2719" t="s">
        <v>56</v>
      </c>
      <c r="T2719">
        <v>0.3</v>
      </c>
      <c r="U2719">
        <v>51</v>
      </c>
      <c r="V2719" t="s">
        <v>55</v>
      </c>
      <c r="W2719">
        <v>0.05</v>
      </c>
      <c r="X2719">
        <v>6001</v>
      </c>
      <c r="Y2719" t="s">
        <v>47</v>
      </c>
      <c r="Z2719">
        <v>6</v>
      </c>
      <c r="AA2719">
        <v>312</v>
      </c>
      <c r="AB2719" t="s">
        <v>47</v>
      </c>
      <c r="AC2719">
        <v>0.311</v>
      </c>
      <c r="AD2719">
        <v>458</v>
      </c>
      <c r="AE2719" t="s">
        <v>56</v>
      </c>
      <c r="AF2719">
        <v>0.45700000000000002</v>
      </c>
      <c r="AG2719">
        <v>232</v>
      </c>
      <c r="AH2719" t="s">
        <v>57</v>
      </c>
      <c r="AI2719">
        <v>0.23100000000000001</v>
      </c>
      <c r="AJ2719" t="s">
        <v>1154</v>
      </c>
    </row>
    <row r="2720" spans="1:36" x14ac:dyDescent="0.25">
      <c r="A2720" t="s">
        <v>105</v>
      </c>
      <c r="B2720">
        <v>860747397</v>
      </c>
      <c r="C2720" t="s">
        <v>106</v>
      </c>
      <c r="D2720" t="s">
        <v>106</v>
      </c>
      <c r="E2720" t="s">
        <v>99</v>
      </c>
      <c r="F2720" t="s">
        <v>107</v>
      </c>
      <c r="I2720" t="s">
        <v>39</v>
      </c>
      <c r="J2720" t="s">
        <v>40</v>
      </c>
      <c r="K2720" t="s">
        <v>41</v>
      </c>
      <c r="L2720" t="s">
        <v>78</v>
      </c>
      <c r="N2720" t="s">
        <v>43</v>
      </c>
      <c r="O2720" t="s">
        <v>108</v>
      </c>
      <c r="P2720">
        <v>407</v>
      </c>
      <c r="Q2720">
        <v>407</v>
      </c>
      <c r="R2720">
        <v>1</v>
      </c>
      <c r="S2720" t="s">
        <v>45</v>
      </c>
      <c r="T2720">
        <v>0</v>
      </c>
      <c r="U2720">
        <v>997</v>
      </c>
      <c r="V2720" t="s">
        <v>46</v>
      </c>
      <c r="W2720">
        <v>0.996</v>
      </c>
      <c r="X2720">
        <v>24001</v>
      </c>
      <c r="Y2720" t="s">
        <v>47</v>
      </c>
      <c r="Z2720">
        <v>24</v>
      </c>
      <c r="AA2720">
        <v>808</v>
      </c>
      <c r="AB2720" t="s">
        <v>75</v>
      </c>
      <c r="AC2720">
        <v>0.80700000000000005</v>
      </c>
      <c r="AD2720">
        <v>926</v>
      </c>
      <c r="AE2720" t="s">
        <v>48</v>
      </c>
      <c r="AF2720">
        <v>0.92500000000000004</v>
      </c>
      <c r="AG2720">
        <v>995</v>
      </c>
      <c r="AH2720" t="s">
        <v>80</v>
      </c>
      <c r="AI2720">
        <v>0.99399999999999999</v>
      </c>
      <c r="AJ2720" t="s">
        <v>50</v>
      </c>
    </row>
    <row r="2721" spans="1:36" x14ac:dyDescent="0.25">
      <c r="A2721" t="s">
        <v>105</v>
      </c>
      <c r="B2721">
        <v>860747397</v>
      </c>
      <c r="C2721" t="s">
        <v>106</v>
      </c>
      <c r="D2721" t="s">
        <v>106</v>
      </c>
      <c r="E2721" t="s">
        <v>99</v>
      </c>
      <c r="F2721" t="s">
        <v>107</v>
      </c>
      <c r="I2721" t="s">
        <v>39</v>
      </c>
      <c r="J2721" t="s">
        <v>40</v>
      </c>
      <c r="K2721" t="s">
        <v>41</v>
      </c>
      <c r="L2721" t="s">
        <v>78</v>
      </c>
      <c r="N2721" t="s">
        <v>43</v>
      </c>
      <c r="O2721" t="s">
        <v>108</v>
      </c>
      <c r="P2721">
        <v>407</v>
      </c>
      <c r="Q2721">
        <v>407</v>
      </c>
      <c r="R2721">
        <v>1</v>
      </c>
      <c r="S2721" t="s">
        <v>45</v>
      </c>
      <c r="T2721">
        <v>0</v>
      </c>
      <c r="U2721">
        <v>997</v>
      </c>
      <c r="V2721" t="s">
        <v>46</v>
      </c>
      <c r="W2721">
        <v>0.996</v>
      </c>
      <c r="X2721">
        <v>24001</v>
      </c>
      <c r="Y2721" t="s">
        <v>47</v>
      </c>
      <c r="Z2721">
        <v>24</v>
      </c>
      <c r="AA2721">
        <v>808</v>
      </c>
      <c r="AB2721" t="s">
        <v>75</v>
      </c>
      <c r="AC2721">
        <v>0.80700000000000005</v>
      </c>
      <c r="AD2721">
        <v>926</v>
      </c>
      <c r="AE2721" t="s">
        <v>48</v>
      </c>
      <c r="AF2721">
        <v>0.92500000000000004</v>
      </c>
      <c r="AG2721">
        <v>995</v>
      </c>
      <c r="AH2721" t="s">
        <v>80</v>
      </c>
      <c r="AI2721">
        <v>0.99399999999999999</v>
      </c>
      <c r="AJ2721" t="s">
        <v>1153</v>
      </c>
    </row>
    <row r="2722" spans="1:36" x14ac:dyDescent="0.25">
      <c r="A2722" t="s">
        <v>105</v>
      </c>
      <c r="B2722">
        <v>860747397</v>
      </c>
      <c r="C2722" t="s">
        <v>106</v>
      </c>
      <c r="D2722" t="s">
        <v>106</v>
      </c>
      <c r="E2722" t="s">
        <v>99</v>
      </c>
      <c r="F2722" t="s">
        <v>107</v>
      </c>
      <c r="I2722" t="s">
        <v>39</v>
      </c>
      <c r="J2722" t="s">
        <v>40</v>
      </c>
      <c r="K2722" t="s">
        <v>41</v>
      </c>
      <c r="L2722" t="s">
        <v>78</v>
      </c>
      <c r="N2722" t="s">
        <v>43</v>
      </c>
      <c r="O2722" t="s">
        <v>108</v>
      </c>
      <c r="P2722">
        <v>407</v>
      </c>
      <c r="Q2722">
        <v>407</v>
      </c>
      <c r="R2722">
        <v>1</v>
      </c>
      <c r="S2722" t="s">
        <v>45</v>
      </c>
      <c r="T2722">
        <v>0</v>
      </c>
      <c r="U2722">
        <v>997</v>
      </c>
      <c r="V2722" t="s">
        <v>46</v>
      </c>
      <c r="W2722">
        <v>0.996</v>
      </c>
      <c r="X2722">
        <v>24001</v>
      </c>
      <c r="Y2722" t="s">
        <v>47</v>
      </c>
      <c r="Z2722">
        <v>24</v>
      </c>
      <c r="AA2722">
        <v>808</v>
      </c>
      <c r="AB2722" t="s">
        <v>75</v>
      </c>
      <c r="AC2722">
        <v>0.80700000000000005</v>
      </c>
      <c r="AD2722">
        <v>926</v>
      </c>
      <c r="AE2722" t="s">
        <v>48</v>
      </c>
      <c r="AF2722">
        <v>0.92500000000000004</v>
      </c>
      <c r="AG2722">
        <v>995</v>
      </c>
      <c r="AH2722" t="s">
        <v>80</v>
      </c>
      <c r="AI2722">
        <v>0.99399999999999999</v>
      </c>
      <c r="AJ2722" t="s">
        <v>1154</v>
      </c>
    </row>
    <row r="2723" spans="1:36" x14ac:dyDescent="0.25">
      <c r="A2723" t="s">
        <v>109</v>
      </c>
      <c r="B2723">
        <v>881456282</v>
      </c>
      <c r="C2723" t="s">
        <v>110</v>
      </c>
      <c r="D2723" t="s">
        <v>110</v>
      </c>
      <c r="E2723" t="s">
        <v>99</v>
      </c>
      <c r="F2723" t="s">
        <v>111</v>
      </c>
      <c r="I2723" t="s">
        <v>39</v>
      </c>
      <c r="J2723" t="s">
        <v>40</v>
      </c>
      <c r="K2723" t="s">
        <v>41</v>
      </c>
      <c r="L2723" t="s">
        <v>42</v>
      </c>
      <c r="N2723" t="s">
        <v>43</v>
      </c>
      <c r="O2723" t="s">
        <v>112</v>
      </c>
      <c r="P2723">
        <v>407</v>
      </c>
      <c r="Q2723">
        <v>407</v>
      </c>
      <c r="R2723">
        <v>1</v>
      </c>
      <c r="S2723" t="s">
        <v>45</v>
      </c>
      <c r="T2723">
        <v>0</v>
      </c>
      <c r="U2723">
        <v>891</v>
      </c>
      <c r="V2723" t="s">
        <v>113</v>
      </c>
      <c r="W2723">
        <v>0.89</v>
      </c>
      <c r="X2723">
        <v>19001</v>
      </c>
      <c r="Y2723" t="s">
        <v>47</v>
      </c>
      <c r="Z2723">
        <v>19</v>
      </c>
      <c r="AA2723">
        <v>643</v>
      </c>
      <c r="AB2723" t="s">
        <v>75</v>
      </c>
      <c r="AC2723">
        <v>0.64200000000000002</v>
      </c>
      <c r="AD2723">
        <v>829</v>
      </c>
      <c r="AE2723" t="s">
        <v>48</v>
      </c>
      <c r="AF2723">
        <v>0.82799999999999996</v>
      </c>
      <c r="AG2723">
        <v>916</v>
      </c>
      <c r="AH2723" t="s">
        <v>49</v>
      </c>
      <c r="AI2723">
        <v>0.91500000000000004</v>
      </c>
      <c r="AJ2723" t="s">
        <v>50</v>
      </c>
    </row>
    <row r="2724" spans="1:36" x14ac:dyDescent="0.25">
      <c r="A2724" t="s">
        <v>109</v>
      </c>
      <c r="B2724">
        <v>881456282</v>
      </c>
      <c r="C2724" t="s">
        <v>110</v>
      </c>
      <c r="D2724" t="s">
        <v>110</v>
      </c>
      <c r="E2724" t="s">
        <v>99</v>
      </c>
      <c r="F2724" t="s">
        <v>111</v>
      </c>
      <c r="I2724" t="s">
        <v>39</v>
      </c>
      <c r="J2724" t="s">
        <v>40</v>
      </c>
      <c r="K2724" t="s">
        <v>41</v>
      </c>
      <c r="L2724" t="s">
        <v>42</v>
      </c>
      <c r="N2724" t="s">
        <v>43</v>
      </c>
      <c r="O2724" t="s">
        <v>112</v>
      </c>
      <c r="P2724">
        <v>407</v>
      </c>
      <c r="Q2724">
        <v>407</v>
      </c>
      <c r="R2724">
        <v>1</v>
      </c>
      <c r="S2724" t="s">
        <v>45</v>
      </c>
      <c r="T2724">
        <v>0</v>
      </c>
      <c r="U2724">
        <v>891</v>
      </c>
      <c r="V2724" t="s">
        <v>113</v>
      </c>
      <c r="W2724">
        <v>0.89</v>
      </c>
      <c r="X2724">
        <v>19001</v>
      </c>
      <c r="Y2724" t="s">
        <v>47</v>
      </c>
      <c r="Z2724">
        <v>19</v>
      </c>
      <c r="AA2724">
        <v>643</v>
      </c>
      <c r="AB2724" t="s">
        <v>75</v>
      </c>
      <c r="AC2724">
        <v>0.64200000000000002</v>
      </c>
      <c r="AD2724">
        <v>829</v>
      </c>
      <c r="AE2724" t="s">
        <v>48</v>
      </c>
      <c r="AF2724">
        <v>0.82799999999999996</v>
      </c>
      <c r="AG2724">
        <v>916</v>
      </c>
      <c r="AH2724" t="s">
        <v>49</v>
      </c>
      <c r="AI2724">
        <v>0.91500000000000004</v>
      </c>
      <c r="AJ2724" t="s">
        <v>1153</v>
      </c>
    </row>
    <row r="2725" spans="1:36" x14ac:dyDescent="0.25">
      <c r="A2725" t="s">
        <v>109</v>
      </c>
      <c r="B2725">
        <v>881456282</v>
      </c>
      <c r="C2725" t="s">
        <v>110</v>
      </c>
      <c r="D2725" t="s">
        <v>110</v>
      </c>
      <c r="E2725" t="s">
        <v>99</v>
      </c>
      <c r="F2725" t="s">
        <v>111</v>
      </c>
      <c r="I2725" t="s">
        <v>39</v>
      </c>
      <c r="J2725" t="s">
        <v>40</v>
      </c>
      <c r="K2725" t="s">
        <v>41</v>
      </c>
      <c r="L2725" t="s">
        <v>42</v>
      </c>
      <c r="N2725" t="s">
        <v>43</v>
      </c>
      <c r="O2725" t="s">
        <v>112</v>
      </c>
      <c r="P2725">
        <v>407</v>
      </c>
      <c r="Q2725">
        <v>407</v>
      </c>
      <c r="R2725">
        <v>1</v>
      </c>
      <c r="S2725" t="s">
        <v>45</v>
      </c>
      <c r="T2725">
        <v>0</v>
      </c>
      <c r="U2725">
        <v>891</v>
      </c>
      <c r="V2725" t="s">
        <v>113</v>
      </c>
      <c r="W2725">
        <v>0.89</v>
      </c>
      <c r="X2725">
        <v>19001</v>
      </c>
      <c r="Y2725" t="s">
        <v>47</v>
      </c>
      <c r="Z2725">
        <v>19</v>
      </c>
      <c r="AA2725">
        <v>643</v>
      </c>
      <c r="AB2725" t="s">
        <v>75</v>
      </c>
      <c r="AC2725">
        <v>0.64200000000000002</v>
      </c>
      <c r="AD2725">
        <v>829</v>
      </c>
      <c r="AE2725" t="s">
        <v>48</v>
      </c>
      <c r="AF2725">
        <v>0.82799999999999996</v>
      </c>
      <c r="AG2725">
        <v>916</v>
      </c>
      <c r="AH2725" t="s">
        <v>49</v>
      </c>
      <c r="AI2725">
        <v>0.91500000000000004</v>
      </c>
      <c r="AJ2725" t="s">
        <v>1154</v>
      </c>
    </row>
    <row r="2726" spans="1:36" x14ac:dyDescent="0.25">
      <c r="A2726" t="s">
        <v>81</v>
      </c>
      <c r="B2726">
        <v>869699185</v>
      </c>
      <c r="C2726" t="s">
        <v>82</v>
      </c>
      <c r="D2726" t="s">
        <v>82</v>
      </c>
      <c r="E2726" t="s">
        <v>65</v>
      </c>
      <c r="F2726" t="s">
        <v>83</v>
      </c>
      <c r="I2726" t="s">
        <v>39</v>
      </c>
      <c r="J2726" t="s">
        <v>40</v>
      </c>
      <c r="K2726" t="s">
        <v>41</v>
      </c>
      <c r="L2726" t="s">
        <v>42</v>
      </c>
      <c r="N2726" t="s">
        <v>43</v>
      </c>
      <c r="O2726" t="s">
        <v>84</v>
      </c>
      <c r="P2726">
        <v>409</v>
      </c>
      <c r="Q2726">
        <v>409</v>
      </c>
      <c r="S2726" t="s">
        <v>39</v>
      </c>
      <c r="V2726" t="s">
        <v>39</v>
      </c>
      <c r="X2726">
        <v>13001</v>
      </c>
      <c r="Y2726" t="s">
        <v>47</v>
      </c>
      <c r="Z2726">
        <v>13</v>
      </c>
      <c r="AA2726">
        <v>307</v>
      </c>
      <c r="AB2726" t="s">
        <v>47</v>
      </c>
      <c r="AC2726">
        <v>0.30599999999999999</v>
      </c>
      <c r="AD2726">
        <v>478</v>
      </c>
      <c r="AE2726" t="s">
        <v>56</v>
      </c>
      <c r="AF2726">
        <v>0.47699999999999998</v>
      </c>
      <c r="AG2726">
        <v>757</v>
      </c>
      <c r="AH2726" t="s">
        <v>49</v>
      </c>
      <c r="AI2726">
        <v>0.75600000000000001</v>
      </c>
      <c r="AJ2726" t="s">
        <v>1155</v>
      </c>
    </row>
    <row r="2727" spans="1:36" x14ac:dyDescent="0.25">
      <c r="A2727" t="s">
        <v>81</v>
      </c>
      <c r="B2727">
        <v>869699185</v>
      </c>
      <c r="C2727" t="s">
        <v>82</v>
      </c>
      <c r="D2727" t="s">
        <v>82</v>
      </c>
      <c r="E2727" t="s">
        <v>60</v>
      </c>
      <c r="F2727" t="s">
        <v>83</v>
      </c>
      <c r="I2727" t="s">
        <v>39</v>
      </c>
      <c r="J2727" t="s">
        <v>40</v>
      </c>
      <c r="K2727" t="s">
        <v>41</v>
      </c>
      <c r="L2727" t="s">
        <v>42</v>
      </c>
      <c r="N2727" t="s">
        <v>43</v>
      </c>
      <c r="O2727" t="s">
        <v>85</v>
      </c>
      <c r="P2727">
        <v>409</v>
      </c>
      <c r="Q2727">
        <v>409</v>
      </c>
      <c r="S2727" t="s">
        <v>39</v>
      </c>
      <c r="V2727" t="s">
        <v>39</v>
      </c>
      <c r="X2727">
        <v>10001</v>
      </c>
      <c r="Y2727" t="s">
        <v>47</v>
      </c>
      <c r="Z2727">
        <v>10</v>
      </c>
      <c r="AA2727">
        <v>262</v>
      </c>
      <c r="AB2727" t="s">
        <v>47</v>
      </c>
      <c r="AC2727">
        <v>0.26100000000000001</v>
      </c>
      <c r="AD2727">
        <v>451</v>
      </c>
      <c r="AE2727" t="s">
        <v>56</v>
      </c>
      <c r="AF2727">
        <v>0.45</v>
      </c>
      <c r="AG2727">
        <v>418</v>
      </c>
      <c r="AH2727" t="s">
        <v>57</v>
      </c>
      <c r="AI2727">
        <v>0.41699999999999998</v>
      </c>
      <c r="AJ2727" t="s">
        <v>1155</v>
      </c>
    </row>
    <row r="2728" spans="1:36" x14ac:dyDescent="0.25">
      <c r="A2728" t="s">
        <v>91</v>
      </c>
      <c r="B2728">
        <v>872548050</v>
      </c>
      <c r="C2728" t="s">
        <v>92</v>
      </c>
      <c r="D2728" t="s">
        <v>92</v>
      </c>
      <c r="E2728" t="s">
        <v>65</v>
      </c>
      <c r="F2728" t="s">
        <v>93</v>
      </c>
      <c r="I2728" t="s">
        <v>39</v>
      </c>
      <c r="J2728" t="s">
        <v>40</v>
      </c>
      <c r="K2728" t="s">
        <v>41</v>
      </c>
      <c r="L2728" t="s">
        <v>94</v>
      </c>
      <c r="M2728" t="s">
        <v>95</v>
      </c>
      <c r="N2728" t="s">
        <v>43</v>
      </c>
      <c r="O2728" t="s">
        <v>96</v>
      </c>
      <c r="P2728">
        <v>409</v>
      </c>
      <c r="Q2728">
        <v>409</v>
      </c>
      <c r="R2728">
        <v>11</v>
      </c>
      <c r="S2728" t="s">
        <v>45</v>
      </c>
      <c r="T2728">
        <v>0.01</v>
      </c>
      <c r="U2728">
        <v>241</v>
      </c>
      <c r="V2728" t="s">
        <v>55</v>
      </c>
      <c r="W2728">
        <v>0.24</v>
      </c>
      <c r="X2728">
        <v>19001</v>
      </c>
      <c r="Y2728" t="s">
        <v>47</v>
      </c>
      <c r="Z2728">
        <v>19</v>
      </c>
      <c r="AA2728">
        <v>669</v>
      </c>
      <c r="AB2728" t="s">
        <v>75</v>
      </c>
      <c r="AC2728">
        <v>0.66800000000000004</v>
      </c>
      <c r="AD2728">
        <v>730</v>
      </c>
      <c r="AE2728" t="s">
        <v>48</v>
      </c>
      <c r="AF2728">
        <v>0.72899999999999998</v>
      </c>
      <c r="AG2728">
        <v>532</v>
      </c>
      <c r="AH2728" t="s">
        <v>49</v>
      </c>
      <c r="AI2728">
        <v>0.53100000000000003</v>
      </c>
      <c r="AJ2728" t="s">
        <v>50</v>
      </c>
    </row>
    <row r="2729" spans="1:36" x14ac:dyDescent="0.25">
      <c r="A2729" t="s">
        <v>91</v>
      </c>
      <c r="B2729">
        <v>872548050</v>
      </c>
      <c r="C2729" t="s">
        <v>92</v>
      </c>
      <c r="D2729" t="s">
        <v>92</v>
      </c>
      <c r="E2729" t="s">
        <v>65</v>
      </c>
      <c r="F2729" t="s">
        <v>93</v>
      </c>
      <c r="I2729" t="s">
        <v>39</v>
      </c>
      <c r="J2729" t="s">
        <v>40</v>
      </c>
      <c r="K2729" t="s">
        <v>41</v>
      </c>
      <c r="L2729" t="s">
        <v>94</v>
      </c>
      <c r="M2729" t="s">
        <v>95</v>
      </c>
      <c r="N2729" t="s">
        <v>43</v>
      </c>
      <c r="O2729" t="s">
        <v>96</v>
      </c>
      <c r="P2729">
        <v>409</v>
      </c>
      <c r="Q2729">
        <v>409</v>
      </c>
      <c r="R2729">
        <v>11</v>
      </c>
      <c r="S2729" t="s">
        <v>45</v>
      </c>
      <c r="T2729">
        <v>0.01</v>
      </c>
      <c r="U2729">
        <v>241</v>
      </c>
      <c r="V2729" t="s">
        <v>55</v>
      </c>
      <c r="W2729">
        <v>0.24</v>
      </c>
      <c r="X2729">
        <v>19001</v>
      </c>
      <c r="Y2729" t="s">
        <v>47</v>
      </c>
      <c r="Z2729">
        <v>19</v>
      </c>
      <c r="AA2729">
        <v>669</v>
      </c>
      <c r="AB2729" t="s">
        <v>75</v>
      </c>
      <c r="AC2729">
        <v>0.66800000000000004</v>
      </c>
      <c r="AD2729">
        <v>730</v>
      </c>
      <c r="AE2729" t="s">
        <v>48</v>
      </c>
      <c r="AF2729">
        <v>0.72899999999999998</v>
      </c>
      <c r="AG2729">
        <v>532</v>
      </c>
      <c r="AH2729" t="s">
        <v>49</v>
      </c>
      <c r="AI2729">
        <v>0.53100000000000003</v>
      </c>
      <c r="AJ2729" t="s">
        <v>1153</v>
      </c>
    </row>
    <row r="2730" spans="1:36" x14ac:dyDescent="0.25">
      <c r="A2730" t="s">
        <v>91</v>
      </c>
      <c r="B2730">
        <v>872548050</v>
      </c>
      <c r="C2730" t="s">
        <v>92</v>
      </c>
      <c r="D2730" t="s">
        <v>92</v>
      </c>
      <c r="E2730" t="s">
        <v>65</v>
      </c>
      <c r="F2730" t="s">
        <v>93</v>
      </c>
      <c r="I2730" t="s">
        <v>39</v>
      </c>
      <c r="J2730" t="s">
        <v>40</v>
      </c>
      <c r="K2730" t="s">
        <v>41</v>
      </c>
      <c r="L2730" t="s">
        <v>94</v>
      </c>
      <c r="M2730" t="s">
        <v>95</v>
      </c>
      <c r="N2730" t="s">
        <v>43</v>
      </c>
      <c r="O2730" t="s">
        <v>96</v>
      </c>
      <c r="P2730">
        <v>409</v>
      </c>
      <c r="Q2730">
        <v>409</v>
      </c>
      <c r="R2730">
        <v>11</v>
      </c>
      <c r="S2730" t="s">
        <v>45</v>
      </c>
      <c r="T2730">
        <v>0.01</v>
      </c>
      <c r="U2730">
        <v>241</v>
      </c>
      <c r="V2730" t="s">
        <v>55</v>
      </c>
      <c r="W2730">
        <v>0.24</v>
      </c>
      <c r="X2730">
        <v>19001</v>
      </c>
      <c r="Y2730" t="s">
        <v>47</v>
      </c>
      <c r="Z2730">
        <v>19</v>
      </c>
      <c r="AA2730">
        <v>669</v>
      </c>
      <c r="AB2730" t="s">
        <v>75</v>
      </c>
      <c r="AC2730">
        <v>0.66800000000000004</v>
      </c>
      <c r="AD2730">
        <v>730</v>
      </c>
      <c r="AE2730" t="s">
        <v>48</v>
      </c>
      <c r="AF2730">
        <v>0.72899999999999998</v>
      </c>
      <c r="AG2730">
        <v>532</v>
      </c>
      <c r="AH2730" t="s">
        <v>49</v>
      </c>
      <c r="AI2730">
        <v>0.53100000000000003</v>
      </c>
      <c r="AJ2730" t="s">
        <v>1154</v>
      </c>
    </row>
    <row r="2731" spans="1:36" x14ac:dyDescent="0.25">
      <c r="A2731" t="s">
        <v>97</v>
      </c>
      <c r="B2731">
        <v>852756420</v>
      </c>
      <c r="C2731" t="s">
        <v>98</v>
      </c>
      <c r="D2731" t="s">
        <v>98</v>
      </c>
      <c r="E2731" t="s">
        <v>99</v>
      </c>
      <c r="F2731" t="s">
        <v>100</v>
      </c>
      <c r="I2731" t="s">
        <v>39</v>
      </c>
      <c r="J2731" t="s">
        <v>40</v>
      </c>
      <c r="K2731" t="s">
        <v>41</v>
      </c>
      <c r="L2731" t="s">
        <v>101</v>
      </c>
      <c r="M2731" t="s">
        <v>47</v>
      </c>
      <c r="N2731" t="s">
        <v>43</v>
      </c>
      <c r="O2731" t="s">
        <v>102</v>
      </c>
      <c r="P2731">
        <v>409</v>
      </c>
      <c r="Q2731">
        <v>409</v>
      </c>
      <c r="R2731">
        <v>871</v>
      </c>
      <c r="S2731" t="s">
        <v>56</v>
      </c>
      <c r="T2731">
        <v>0.87</v>
      </c>
      <c r="U2731">
        <v>99</v>
      </c>
      <c r="V2731" t="s">
        <v>55</v>
      </c>
      <c r="W2731">
        <v>9.8000000000000004E-2</v>
      </c>
      <c r="X2731">
        <v>1</v>
      </c>
      <c r="Y2731" t="s">
        <v>47</v>
      </c>
      <c r="Z2731">
        <v>0</v>
      </c>
      <c r="AA2731">
        <v>297</v>
      </c>
      <c r="AB2731" t="s">
        <v>47</v>
      </c>
      <c r="AC2731">
        <v>0.29599999999999999</v>
      </c>
      <c r="AD2731">
        <v>248</v>
      </c>
      <c r="AE2731" t="s">
        <v>56</v>
      </c>
      <c r="AF2731">
        <v>0.247</v>
      </c>
      <c r="AG2731">
        <v>49</v>
      </c>
      <c r="AH2731" t="s">
        <v>103</v>
      </c>
      <c r="AI2731">
        <v>4.8000000000000001E-2</v>
      </c>
      <c r="AJ2731" t="s">
        <v>50</v>
      </c>
    </row>
    <row r="2732" spans="1:36" x14ac:dyDescent="0.25">
      <c r="A2732" t="s">
        <v>97</v>
      </c>
      <c r="B2732">
        <v>852756420</v>
      </c>
      <c r="C2732" t="s">
        <v>98</v>
      </c>
      <c r="D2732" t="s">
        <v>98</v>
      </c>
      <c r="E2732" t="s">
        <v>65</v>
      </c>
      <c r="F2732" t="s">
        <v>100</v>
      </c>
      <c r="I2732" t="s">
        <v>39</v>
      </c>
      <c r="J2732" t="s">
        <v>40</v>
      </c>
      <c r="K2732" t="s">
        <v>41</v>
      </c>
      <c r="L2732" t="s">
        <v>101</v>
      </c>
      <c r="M2732" t="s">
        <v>47</v>
      </c>
      <c r="N2732" t="s">
        <v>43</v>
      </c>
      <c r="O2732" t="s">
        <v>104</v>
      </c>
      <c r="P2732">
        <v>409</v>
      </c>
      <c r="Q2732">
        <v>409</v>
      </c>
      <c r="R2732">
        <v>401</v>
      </c>
      <c r="S2732" t="s">
        <v>56</v>
      </c>
      <c r="T2732">
        <v>0.4</v>
      </c>
      <c r="U2732">
        <v>2</v>
      </c>
      <c r="V2732" t="s">
        <v>55</v>
      </c>
      <c r="W2732">
        <v>1E-3</v>
      </c>
      <c r="X2732">
        <v>1</v>
      </c>
      <c r="Y2732" t="s">
        <v>47</v>
      </c>
      <c r="Z2732">
        <v>0</v>
      </c>
      <c r="AA2732">
        <v>304</v>
      </c>
      <c r="AB2732" t="s">
        <v>47</v>
      </c>
      <c r="AC2732">
        <v>0.30299999999999999</v>
      </c>
      <c r="AD2732">
        <v>285</v>
      </c>
      <c r="AE2732" t="s">
        <v>56</v>
      </c>
      <c r="AF2732">
        <v>0.28399999999999997</v>
      </c>
      <c r="AG2732">
        <v>50</v>
      </c>
      <c r="AH2732" t="s">
        <v>103</v>
      </c>
      <c r="AI2732">
        <v>4.9000000000000002E-2</v>
      </c>
      <c r="AJ2732" t="s">
        <v>50</v>
      </c>
    </row>
    <row r="2733" spans="1:36" x14ac:dyDescent="0.25">
      <c r="A2733" t="s">
        <v>97</v>
      </c>
      <c r="B2733">
        <v>852756420</v>
      </c>
      <c r="C2733" t="s">
        <v>98</v>
      </c>
      <c r="D2733" t="s">
        <v>98</v>
      </c>
      <c r="E2733" t="s">
        <v>99</v>
      </c>
      <c r="F2733" t="s">
        <v>100</v>
      </c>
      <c r="I2733" t="s">
        <v>39</v>
      </c>
      <c r="J2733" t="s">
        <v>40</v>
      </c>
      <c r="K2733" t="s">
        <v>41</v>
      </c>
      <c r="L2733" t="s">
        <v>101</v>
      </c>
      <c r="M2733" t="s">
        <v>47</v>
      </c>
      <c r="N2733" t="s">
        <v>43</v>
      </c>
      <c r="O2733" t="s">
        <v>102</v>
      </c>
      <c r="P2733">
        <v>409</v>
      </c>
      <c r="Q2733">
        <v>409</v>
      </c>
      <c r="R2733">
        <v>871</v>
      </c>
      <c r="S2733" t="s">
        <v>56</v>
      </c>
      <c r="T2733">
        <v>0.87</v>
      </c>
      <c r="U2733">
        <v>99</v>
      </c>
      <c r="V2733" t="s">
        <v>55</v>
      </c>
      <c r="W2733">
        <v>9.8000000000000004E-2</v>
      </c>
      <c r="X2733">
        <v>1</v>
      </c>
      <c r="Y2733" t="s">
        <v>47</v>
      </c>
      <c r="Z2733">
        <v>0</v>
      </c>
      <c r="AA2733">
        <v>297</v>
      </c>
      <c r="AB2733" t="s">
        <v>47</v>
      </c>
      <c r="AC2733">
        <v>0.29599999999999999</v>
      </c>
      <c r="AD2733">
        <v>248</v>
      </c>
      <c r="AE2733" t="s">
        <v>56</v>
      </c>
      <c r="AF2733">
        <v>0.247</v>
      </c>
      <c r="AG2733">
        <v>49</v>
      </c>
      <c r="AH2733" t="s">
        <v>103</v>
      </c>
      <c r="AI2733">
        <v>4.8000000000000001E-2</v>
      </c>
      <c r="AJ2733" t="s">
        <v>1153</v>
      </c>
    </row>
    <row r="2734" spans="1:36" x14ac:dyDescent="0.25">
      <c r="A2734" t="s">
        <v>97</v>
      </c>
      <c r="B2734">
        <v>852756420</v>
      </c>
      <c r="C2734" t="s">
        <v>98</v>
      </c>
      <c r="D2734" t="s">
        <v>98</v>
      </c>
      <c r="E2734" t="s">
        <v>65</v>
      </c>
      <c r="F2734" t="s">
        <v>100</v>
      </c>
      <c r="I2734" t="s">
        <v>39</v>
      </c>
      <c r="J2734" t="s">
        <v>40</v>
      </c>
      <c r="K2734" t="s">
        <v>41</v>
      </c>
      <c r="L2734" t="s">
        <v>101</v>
      </c>
      <c r="M2734" t="s">
        <v>47</v>
      </c>
      <c r="N2734" t="s">
        <v>43</v>
      </c>
      <c r="O2734" t="s">
        <v>104</v>
      </c>
      <c r="P2734">
        <v>409</v>
      </c>
      <c r="Q2734">
        <v>409</v>
      </c>
      <c r="R2734">
        <v>401</v>
      </c>
      <c r="S2734" t="s">
        <v>56</v>
      </c>
      <c r="T2734">
        <v>0.4</v>
      </c>
      <c r="U2734">
        <v>2</v>
      </c>
      <c r="V2734" t="s">
        <v>55</v>
      </c>
      <c r="W2734">
        <v>1E-3</v>
      </c>
      <c r="X2734">
        <v>1</v>
      </c>
      <c r="Y2734" t="s">
        <v>47</v>
      </c>
      <c r="Z2734">
        <v>0</v>
      </c>
      <c r="AA2734">
        <v>304</v>
      </c>
      <c r="AB2734" t="s">
        <v>47</v>
      </c>
      <c r="AC2734">
        <v>0.30299999999999999</v>
      </c>
      <c r="AD2734">
        <v>285</v>
      </c>
      <c r="AE2734" t="s">
        <v>56</v>
      </c>
      <c r="AF2734">
        <v>0.28399999999999997</v>
      </c>
      <c r="AG2734">
        <v>50</v>
      </c>
      <c r="AH2734" t="s">
        <v>103</v>
      </c>
      <c r="AI2734">
        <v>4.9000000000000002E-2</v>
      </c>
      <c r="AJ2734" t="s">
        <v>1153</v>
      </c>
    </row>
    <row r="2735" spans="1:36" x14ac:dyDescent="0.25">
      <c r="A2735" t="s">
        <v>97</v>
      </c>
      <c r="B2735">
        <v>852756420</v>
      </c>
      <c r="C2735" t="s">
        <v>98</v>
      </c>
      <c r="D2735" t="s">
        <v>98</v>
      </c>
      <c r="E2735" t="s">
        <v>99</v>
      </c>
      <c r="F2735" t="s">
        <v>100</v>
      </c>
      <c r="I2735" t="s">
        <v>39</v>
      </c>
      <c r="J2735" t="s">
        <v>40</v>
      </c>
      <c r="K2735" t="s">
        <v>41</v>
      </c>
      <c r="L2735" t="s">
        <v>101</v>
      </c>
      <c r="M2735" t="s">
        <v>47</v>
      </c>
      <c r="N2735" t="s">
        <v>43</v>
      </c>
      <c r="O2735" t="s">
        <v>102</v>
      </c>
      <c r="P2735">
        <v>409</v>
      </c>
      <c r="Q2735">
        <v>409</v>
      </c>
      <c r="R2735">
        <v>871</v>
      </c>
      <c r="S2735" t="s">
        <v>56</v>
      </c>
      <c r="T2735">
        <v>0.87</v>
      </c>
      <c r="U2735">
        <v>99</v>
      </c>
      <c r="V2735" t="s">
        <v>55</v>
      </c>
      <c r="W2735">
        <v>9.8000000000000004E-2</v>
      </c>
      <c r="X2735">
        <v>1</v>
      </c>
      <c r="Y2735" t="s">
        <v>47</v>
      </c>
      <c r="Z2735">
        <v>0</v>
      </c>
      <c r="AA2735">
        <v>297</v>
      </c>
      <c r="AB2735" t="s">
        <v>47</v>
      </c>
      <c r="AC2735">
        <v>0.29599999999999999</v>
      </c>
      <c r="AD2735">
        <v>248</v>
      </c>
      <c r="AE2735" t="s">
        <v>56</v>
      </c>
      <c r="AF2735">
        <v>0.247</v>
      </c>
      <c r="AG2735">
        <v>49</v>
      </c>
      <c r="AH2735" t="s">
        <v>103</v>
      </c>
      <c r="AI2735">
        <v>4.8000000000000001E-2</v>
      </c>
      <c r="AJ2735" t="s">
        <v>1154</v>
      </c>
    </row>
    <row r="2736" spans="1:36" x14ac:dyDescent="0.25">
      <c r="A2736" t="s">
        <v>97</v>
      </c>
      <c r="B2736">
        <v>852756420</v>
      </c>
      <c r="C2736" t="s">
        <v>98</v>
      </c>
      <c r="D2736" t="s">
        <v>98</v>
      </c>
      <c r="E2736" t="s">
        <v>65</v>
      </c>
      <c r="F2736" t="s">
        <v>100</v>
      </c>
      <c r="I2736" t="s">
        <v>39</v>
      </c>
      <c r="J2736" t="s">
        <v>40</v>
      </c>
      <c r="K2736" t="s">
        <v>41</v>
      </c>
      <c r="L2736" t="s">
        <v>101</v>
      </c>
      <c r="M2736" t="s">
        <v>47</v>
      </c>
      <c r="N2736" t="s">
        <v>43</v>
      </c>
      <c r="O2736" t="s">
        <v>104</v>
      </c>
      <c r="P2736">
        <v>409</v>
      </c>
      <c r="Q2736">
        <v>409</v>
      </c>
      <c r="R2736">
        <v>401</v>
      </c>
      <c r="S2736" t="s">
        <v>56</v>
      </c>
      <c r="T2736">
        <v>0.4</v>
      </c>
      <c r="U2736">
        <v>2</v>
      </c>
      <c r="V2736" t="s">
        <v>55</v>
      </c>
      <c r="W2736">
        <v>1E-3</v>
      </c>
      <c r="X2736">
        <v>1</v>
      </c>
      <c r="Y2736" t="s">
        <v>47</v>
      </c>
      <c r="Z2736">
        <v>0</v>
      </c>
      <c r="AA2736">
        <v>304</v>
      </c>
      <c r="AB2736" t="s">
        <v>47</v>
      </c>
      <c r="AC2736">
        <v>0.30299999999999999</v>
      </c>
      <c r="AD2736">
        <v>285</v>
      </c>
      <c r="AE2736" t="s">
        <v>56</v>
      </c>
      <c r="AF2736">
        <v>0.28399999999999997</v>
      </c>
      <c r="AG2736">
        <v>50</v>
      </c>
      <c r="AH2736" t="s">
        <v>103</v>
      </c>
      <c r="AI2736">
        <v>4.9000000000000002E-2</v>
      </c>
      <c r="AJ2736" t="s">
        <v>1154</v>
      </c>
    </row>
    <row r="2737" spans="1:36" x14ac:dyDescent="0.25">
      <c r="A2737" t="s">
        <v>76</v>
      </c>
      <c r="B2737">
        <v>870007704</v>
      </c>
      <c r="C2737" t="s">
        <v>77</v>
      </c>
      <c r="D2737" t="s">
        <v>77</v>
      </c>
      <c r="E2737" t="s">
        <v>37</v>
      </c>
      <c r="F2737" t="s">
        <v>38</v>
      </c>
      <c r="I2737" t="s">
        <v>39</v>
      </c>
      <c r="J2737" t="s">
        <v>40</v>
      </c>
      <c r="K2737" t="s">
        <v>41</v>
      </c>
      <c r="L2737" t="s">
        <v>78</v>
      </c>
      <c r="N2737" t="s">
        <v>43</v>
      </c>
      <c r="O2737" t="s">
        <v>79</v>
      </c>
      <c r="P2737">
        <v>410</v>
      </c>
      <c r="Q2737">
        <v>410</v>
      </c>
      <c r="S2737" t="s">
        <v>39</v>
      </c>
      <c r="V2737" t="s">
        <v>39</v>
      </c>
      <c r="X2737">
        <v>24001</v>
      </c>
      <c r="Y2737" t="s">
        <v>47</v>
      </c>
      <c r="Z2737">
        <v>24</v>
      </c>
      <c r="AA2737">
        <v>468</v>
      </c>
      <c r="AB2737" t="s">
        <v>47</v>
      </c>
      <c r="AC2737">
        <v>0.46700000000000003</v>
      </c>
      <c r="AD2737">
        <v>848</v>
      </c>
      <c r="AE2737" t="s">
        <v>48</v>
      </c>
      <c r="AF2737">
        <v>0.84699999999999998</v>
      </c>
      <c r="AG2737">
        <v>955</v>
      </c>
      <c r="AH2737" t="s">
        <v>80</v>
      </c>
      <c r="AI2737">
        <v>0.95399999999999996</v>
      </c>
      <c r="AJ2737" t="s">
        <v>1155</v>
      </c>
    </row>
    <row r="2738" spans="1:36" x14ac:dyDescent="0.25">
      <c r="A2738" t="s">
        <v>86</v>
      </c>
      <c r="B2738">
        <v>881456077</v>
      </c>
      <c r="C2738" t="s">
        <v>87</v>
      </c>
      <c r="D2738" t="s">
        <v>87</v>
      </c>
      <c r="E2738" t="s">
        <v>60</v>
      </c>
      <c r="F2738" t="s">
        <v>88</v>
      </c>
      <c r="I2738" t="s">
        <v>39</v>
      </c>
      <c r="J2738" t="s">
        <v>40</v>
      </c>
      <c r="K2738" t="s">
        <v>41</v>
      </c>
      <c r="L2738" t="s">
        <v>89</v>
      </c>
      <c r="N2738" t="s">
        <v>43</v>
      </c>
      <c r="O2738" t="s">
        <v>90</v>
      </c>
      <c r="P2738">
        <v>410</v>
      </c>
      <c r="Q2738">
        <v>410</v>
      </c>
      <c r="R2738">
        <v>1</v>
      </c>
      <c r="S2738" t="s">
        <v>45</v>
      </c>
      <c r="T2738">
        <v>0</v>
      </c>
      <c r="U2738">
        <v>998</v>
      </c>
      <c r="V2738" t="s">
        <v>46</v>
      </c>
      <c r="W2738">
        <v>0.997</v>
      </c>
      <c r="X2738">
        <v>24001</v>
      </c>
      <c r="Y2738" t="s">
        <v>47</v>
      </c>
      <c r="Z2738">
        <v>24</v>
      </c>
      <c r="AA2738">
        <v>846</v>
      </c>
      <c r="AB2738" t="s">
        <v>75</v>
      </c>
      <c r="AC2738">
        <v>0.84499999999999997</v>
      </c>
      <c r="AD2738">
        <v>985</v>
      </c>
      <c r="AE2738" t="s">
        <v>48</v>
      </c>
      <c r="AF2738">
        <v>0.98399999999999999</v>
      </c>
      <c r="AG2738">
        <v>996</v>
      </c>
      <c r="AH2738" t="s">
        <v>80</v>
      </c>
      <c r="AI2738">
        <v>0.995</v>
      </c>
      <c r="AJ2738" t="s">
        <v>50</v>
      </c>
    </row>
    <row r="2739" spans="1:36" x14ac:dyDescent="0.25">
      <c r="A2739" t="s">
        <v>86</v>
      </c>
      <c r="B2739">
        <v>881456077</v>
      </c>
      <c r="C2739" t="s">
        <v>87</v>
      </c>
      <c r="D2739" t="s">
        <v>87</v>
      </c>
      <c r="E2739" t="s">
        <v>60</v>
      </c>
      <c r="F2739" t="s">
        <v>88</v>
      </c>
      <c r="I2739" t="s">
        <v>39</v>
      </c>
      <c r="J2739" t="s">
        <v>40</v>
      </c>
      <c r="K2739" t="s">
        <v>41</v>
      </c>
      <c r="L2739" t="s">
        <v>89</v>
      </c>
      <c r="N2739" t="s">
        <v>43</v>
      </c>
      <c r="O2739" t="s">
        <v>90</v>
      </c>
      <c r="P2739">
        <v>410</v>
      </c>
      <c r="Q2739">
        <v>410</v>
      </c>
      <c r="R2739">
        <v>1</v>
      </c>
      <c r="S2739" t="s">
        <v>45</v>
      </c>
      <c r="T2739">
        <v>0</v>
      </c>
      <c r="U2739">
        <v>998</v>
      </c>
      <c r="V2739" t="s">
        <v>46</v>
      </c>
      <c r="W2739">
        <v>0.997</v>
      </c>
      <c r="X2739">
        <v>24001</v>
      </c>
      <c r="Y2739" t="s">
        <v>47</v>
      </c>
      <c r="Z2739">
        <v>24</v>
      </c>
      <c r="AA2739">
        <v>846</v>
      </c>
      <c r="AB2739" t="s">
        <v>75</v>
      </c>
      <c r="AC2739">
        <v>0.84499999999999997</v>
      </c>
      <c r="AD2739">
        <v>985</v>
      </c>
      <c r="AE2739" t="s">
        <v>48</v>
      </c>
      <c r="AF2739">
        <v>0.98399999999999999</v>
      </c>
      <c r="AG2739">
        <v>996</v>
      </c>
      <c r="AH2739" t="s">
        <v>80</v>
      </c>
      <c r="AI2739">
        <v>0.995</v>
      </c>
      <c r="AJ2739" t="s">
        <v>1153</v>
      </c>
    </row>
    <row r="2740" spans="1:36" x14ac:dyDescent="0.25">
      <c r="A2740" t="s">
        <v>86</v>
      </c>
      <c r="B2740">
        <v>881456077</v>
      </c>
      <c r="C2740" t="s">
        <v>87</v>
      </c>
      <c r="D2740" t="s">
        <v>87</v>
      </c>
      <c r="E2740" t="s">
        <v>60</v>
      </c>
      <c r="F2740" t="s">
        <v>88</v>
      </c>
      <c r="I2740" t="s">
        <v>39</v>
      </c>
      <c r="J2740" t="s">
        <v>40</v>
      </c>
      <c r="K2740" t="s">
        <v>41</v>
      </c>
      <c r="L2740" t="s">
        <v>89</v>
      </c>
      <c r="N2740" t="s">
        <v>43</v>
      </c>
      <c r="O2740" t="s">
        <v>90</v>
      </c>
      <c r="P2740">
        <v>410</v>
      </c>
      <c r="Q2740">
        <v>410</v>
      </c>
      <c r="R2740">
        <v>1</v>
      </c>
      <c r="S2740" t="s">
        <v>45</v>
      </c>
      <c r="T2740">
        <v>0</v>
      </c>
      <c r="U2740">
        <v>998</v>
      </c>
      <c r="V2740" t="s">
        <v>46</v>
      </c>
      <c r="W2740">
        <v>0.997</v>
      </c>
      <c r="X2740">
        <v>24001</v>
      </c>
      <c r="Y2740" t="s">
        <v>47</v>
      </c>
      <c r="Z2740">
        <v>24</v>
      </c>
      <c r="AA2740">
        <v>846</v>
      </c>
      <c r="AB2740" t="s">
        <v>75</v>
      </c>
      <c r="AC2740">
        <v>0.84499999999999997</v>
      </c>
      <c r="AD2740">
        <v>985</v>
      </c>
      <c r="AE2740" t="s">
        <v>48</v>
      </c>
      <c r="AF2740">
        <v>0.98399999999999999</v>
      </c>
      <c r="AG2740">
        <v>996</v>
      </c>
      <c r="AH2740" t="s">
        <v>80</v>
      </c>
      <c r="AI2740">
        <v>0.995</v>
      </c>
      <c r="AJ2740" t="s">
        <v>1154</v>
      </c>
    </row>
    <row r="2741" spans="1:36" x14ac:dyDescent="0.25">
      <c r="A2741" t="s">
        <v>69</v>
      </c>
      <c r="B2741">
        <v>886368162</v>
      </c>
      <c r="C2741" t="s">
        <v>70</v>
      </c>
      <c r="D2741" t="s">
        <v>70</v>
      </c>
      <c r="E2741" t="s">
        <v>37</v>
      </c>
      <c r="F2741" t="s">
        <v>71</v>
      </c>
      <c r="I2741" t="s">
        <v>39</v>
      </c>
      <c r="J2741" t="s">
        <v>40</v>
      </c>
      <c r="K2741" t="s">
        <v>41</v>
      </c>
      <c r="L2741" t="s">
        <v>72</v>
      </c>
      <c r="M2741" t="s">
        <v>73</v>
      </c>
      <c r="N2741" t="s">
        <v>43</v>
      </c>
      <c r="O2741" t="s">
        <v>74</v>
      </c>
      <c r="P2741">
        <v>411</v>
      </c>
      <c r="Q2741">
        <v>411</v>
      </c>
      <c r="S2741" t="s">
        <v>39</v>
      </c>
      <c r="V2741" t="s">
        <v>39</v>
      </c>
      <c r="X2741">
        <v>28001</v>
      </c>
      <c r="Y2741" t="s">
        <v>47</v>
      </c>
      <c r="Z2741">
        <v>28</v>
      </c>
      <c r="AA2741">
        <v>844</v>
      </c>
      <c r="AB2741" t="s">
        <v>75</v>
      </c>
      <c r="AC2741">
        <v>0.84299999999999997</v>
      </c>
      <c r="AD2741">
        <v>968</v>
      </c>
      <c r="AE2741" t="s">
        <v>48</v>
      </c>
      <c r="AF2741">
        <v>0.96699999999999997</v>
      </c>
      <c r="AG2741">
        <v>917</v>
      </c>
      <c r="AH2741" t="s">
        <v>49</v>
      </c>
      <c r="AI2741">
        <v>0.91600000000000004</v>
      </c>
      <c r="AJ2741" t="s">
        <v>1155</v>
      </c>
    </row>
    <row r="2742" spans="1:36" x14ac:dyDescent="0.25">
      <c r="A2742" t="s">
        <v>63</v>
      </c>
      <c r="B2742">
        <v>851709500</v>
      </c>
      <c r="C2742" t="s">
        <v>64</v>
      </c>
      <c r="D2742" t="s">
        <v>64</v>
      </c>
      <c r="E2742" t="s">
        <v>65</v>
      </c>
      <c r="F2742" t="s">
        <v>66</v>
      </c>
      <c r="I2742" t="s">
        <v>39</v>
      </c>
      <c r="J2742" t="s">
        <v>40</v>
      </c>
      <c r="K2742" t="s">
        <v>41</v>
      </c>
      <c r="L2742" t="s">
        <v>67</v>
      </c>
      <c r="N2742" t="s">
        <v>43</v>
      </c>
      <c r="O2742" t="s">
        <v>68</v>
      </c>
      <c r="P2742">
        <v>412</v>
      </c>
      <c r="Q2742">
        <v>412</v>
      </c>
      <c r="S2742" t="s">
        <v>39</v>
      </c>
      <c r="V2742" t="s">
        <v>39</v>
      </c>
      <c r="X2742">
        <v>23001</v>
      </c>
      <c r="Y2742" t="s">
        <v>47</v>
      </c>
      <c r="Z2742">
        <v>23</v>
      </c>
      <c r="AA2742">
        <v>320</v>
      </c>
      <c r="AB2742" t="s">
        <v>47</v>
      </c>
      <c r="AC2742">
        <v>0.31900000000000001</v>
      </c>
      <c r="AD2742">
        <v>647</v>
      </c>
      <c r="AE2742" t="s">
        <v>48</v>
      </c>
      <c r="AF2742">
        <v>0.64600000000000002</v>
      </c>
      <c r="AG2742">
        <v>906</v>
      </c>
      <c r="AH2742" t="s">
        <v>49</v>
      </c>
      <c r="AI2742">
        <v>0.90500000000000003</v>
      </c>
      <c r="AJ2742" t="s">
        <v>1155</v>
      </c>
    </row>
    <row r="2743" spans="1:36" x14ac:dyDescent="0.25">
      <c r="A2743" t="s">
        <v>81</v>
      </c>
      <c r="B2743">
        <v>869699185</v>
      </c>
      <c r="C2743" t="s">
        <v>82</v>
      </c>
      <c r="D2743" t="s">
        <v>82</v>
      </c>
      <c r="E2743" t="s">
        <v>65</v>
      </c>
      <c r="F2743" t="s">
        <v>83</v>
      </c>
      <c r="I2743" t="s">
        <v>39</v>
      </c>
      <c r="J2743" t="s">
        <v>40</v>
      </c>
      <c r="K2743" t="s">
        <v>41</v>
      </c>
      <c r="L2743" t="s">
        <v>42</v>
      </c>
      <c r="N2743" t="s">
        <v>43</v>
      </c>
      <c r="O2743" t="s">
        <v>84</v>
      </c>
      <c r="P2743">
        <v>413</v>
      </c>
      <c r="Q2743">
        <v>413</v>
      </c>
      <c r="R2743">
        <v>41</v>
      </c>
      <c r="S2743" t="s">
        <v>45</v>
      </c>
      <c r="T2743">
        <v>0.04</v>
      </c>
      <c r="U2743">
        <v>35</v>
      </c>
      <c r="V2743" t="s">
        <v>55</v>
      </c>
      <c r="W2743">
        <v>3.4000000000000002E-2</v>
      </c>
      <c r="X2743">
        <v>13001</v>
      </c>
      <c r="Y2743" t="s">
        <v>47</v>
      </c>
      <c r="Z2743">
        <v>13</v>
      </c>
      <c r="AA2743">
        <v>307</v>
      </c>
      <c r="AB2743" t="s">
        <v>47</v>
      </c>
      <c r="AC2743">
        <v>0.30599999999999999</v>
      </c>
      <c r="AD2743">
        <v>478</v>
      </c>
      <c r="AE2743" t="s">
        <v>56</v>
      </c>
      <c r="AF2743">
        <v>0.47699999999999998</v>
      </c>
      <c r="AG2743">
        <v>757</v>
      </c>
      <c r="AH2743" t="s">
        <v>49</v>
      </c>
      <c r="AI2743">
        <v>0.75600000000000001</v>
      </c>
      <c r="AJ2743" t="s">
        <v>50</v>
      </c>
    </row>
    <row r="2744" spans="1:36" x14ac:dyDescent="0.25">
      <c r="A2744" t="s">
        <v>81</v>
      </c>
      <c r="B2744">
        <v>869699185</v>
      </c>
      <c r="C2744" t="s">
        <v>82</v>
      </c>
      <c r="D2744" t="s">
        <v>82</v>
      </c>
      <c r="E2744" t="s">
        <v>60</v>
      </c>
      <c r="F2744" t="s">
        <v>83</v>
      </c>
      <c r="I2744" t="s">
        <v>39</v>
      </c>
      <c r="J2744" t="s">
        <v>40</v>
      </c>
      <c r="K2744" t="s">
        <v>41</v>
      </c>
      <c r="L2744" t="s">
        <v>42</v>
      </c>
      <c r="N2744" t="s">
        <v>43</v>
      </c>
      <c r="O2744" t="s">
        <v>85</v>
      </c>
      <c r="P2744">
        <v>413</v>
      </c>
      <c r="Q2744">
        <v>413</v>
      </c>
      <c r="R2744">
        <v>161</v>
      </c>
      <c r="S2744" t="s">
        <v>56</v>
      </c>
      <c r="T2744">
        <v>0.16</v>
      </c>
      <c r="U2744">
        <v>221</v>
      </c>
      <c r="V2744" t="s">
        <v>55</v>
      </c>
      <c r="W2744">
        <v>0.22</v>
      </c>
      <c r="X2744">
        <v>10001</v>
      </c>
      <c r="Y2744" t="s">
        <v>47</v>
      </c>
      <c r="Z2744">
        <v>10</v>
      </c>
      <c r="AA2744">
        <v>262</v>
      </c>
      <c r="AB2744" t="s">
        <v>47</v>
      </c>
      <c r="AC2744">
        <v>0.26100000000000001</v>
      </c>
      <c r="AD2744">
        <v>451</v>
      </c>
      <c r="AE2744" t="s">
        <v>56</v>
      </c>
      <c r="AF2744">
        <v>0.45</v>
      </c>
      <c r="AG2744">
        <v>418</v>
      </c>
      <c r="AH2744" t="s">
        <v>57</v>
      </c>
      <c r="AI2744">
        <v>0.41699999999999998</v>
      </c>
      <c r="AJ2744" t="s">
        <v>50</v>
      </c>
    </row>
    <row r="2745" spans="1:36" x14ac:dyDescent="0.25">
      <c r="A2745" t="s">
        <v>81</v>
      </c>
      <c r="B2745">
        <v>869699185</v>
      </c>
      <c r="C2745" t="s">
        <v>82</v>
      </c>
      <c r="D2745" t="s">
        <v>82</v>
      </c>
      <c r="E2745" t="s">
        <v>65</v>
      </c>
      <c r="F2745" t="s">
        <v>83</v>
      </c>
      <c r="I2745" t="s">
        <v>39</v>
      </c>
      <c r="J2745" t="s">
        <v>40</v>
      </c>
      <c r="K2745" t="s">
        <v>41</v>
      </c>
      <c r="L2745" t="s">
        <v>42</v>
      </c>
      <c r="N2745" t="s">
        <v>43</v>
      </c>
      <c r="O2745" t="s">
        <v>84</v>
      </c>
      <c r="P2745">
        <v>413</v>
      </c>
      <c r="Q2745">
        <v>413</v>
      </c>
      <c r="R2745">
        <v>41</v>
      </c>
      <c r="S2745" t="s">
        <v>45</v>
      </c>
      <c r="T2745">
        <v>0.04</v>
      </c>
      <c r="U2745">
        <v>35</v>
      </c>
      <c r="V2745" t="s">
        <v>55</v>
      </c>
      <c r="W2745">
        <v>3.4000000000000002E-2</v>
      </c>
      <c r="X2745">
        <v>13001</v>
      </c>
      <c r="Y2745" t="s">
        <v>47</v>
      </c>
      <c r="Z2745">
        <v>13</v>
      </c>
      <c r="AA2745">
        <v>307</v>
      </c>
      <c r="AB2745" t="s">
        <v>47</v>
      </c>
      <c r="AC2745">
        <v>0.30599999999999999</v>
      </c>
      <c r="AD2745">
        <v>478</v>
      </c>
      <c r="AE2745" t="s">
        <v>56</v>
      </c>
      <c r="AF2745">
        <v>0.47699999999999998</v>
      </c>
      <c r="AG2745">
        <v>757</v>
      </c>
      <c r="AH2745" t="s">
        <v>49</v>
      </c>
      <c r="AI2745">
        <v>0.75600000000000001</v>
      </c>
      <c r="AJ2745" t="s">
        <v>1153</v>
      </c>
    </row>
    <row r="2746" spans="1:36" x14ac:dyDescent="0.25">
      <c r="A2746" t="s">
        <v>81</v>
      </c>
      <c r="B2746">
        <v>869699185</v>
      </c>
      <c r="C2746" t="s">
        <v>82</v>
      </c>
      <c r="D2746" t="s">
        <v>82</v>
      </c>
      <c r="E2746" t="s">
        <v>60</v>
      </c>
      <c r="F2746" t="s">
        <v>83</v>
      </c>
      <c r="I2746" t="s">
        <v>39</v>
      </c>
      <c r="J2746" t="s">
        <v>40</v>
      </c>
      <c r="K2746" t="s">
        <v>41</v>
      </c>
      <c r="L2746" t="s">
        <v>42</v>
      </c>
      <c r="N2746" t="s">
        <v>43</v>
      </c>
      <c r="O2746" t="s">
        <v>85</v>
      </c>
      <c r="P2746">
        <v>413</v>
      </c>
      <c r="Q2746">
        <v>413</v>
      </c>
      <c r="R2746">
        <v>161</v>
      </c>
      <c r="S2746" t="s">
        <v>56</v>
      </c>
      <c r="T2746">
        <v>0.16</v>
      </c>
      <c r="U2746">
        <v>221</v>
      </c>
      <c r="V2746" t="s">
        <v>55</v>
      </c>
      <c r="W2746">
        <v>0.22</v>
      </c>
      <c r="X2746">
        <v>10001</v>
      </c>
      <c r="Y2746" t="s">
        <v>47</v>
      </c>
      <c r="Z2746">
        <v>10</v>
      </c>
      <c r="AA2746">
        <v>262</v>
      </c>
      <c r="AB2746" t="s">
        <v>47</v>
      </c>
      <c r="AC2746">
        <v>0.26100000000000001</v>
      </c>
      <c r="AD2746">
        <v>451</v>
      </c>
      <c r="AE2746" t="s">
        <v>56</v>
      </c>
      <c r="AF2746">
        <v>0.45</v>
      </c>
      <c r="AG2746">
        <v>418</v>
      </c>
      <c r="AH2746" t="s">
        <v>57</v>
      </c>
      <c r="AI2746">
        <v>0.41699999999999998</v>
      </c>
      <c r="AJ2746" t="s">
        <v>1153</v>
      </c>
    </row>
    <row r="2747" spans="1:36" x14ac:dyDescent="0.25">
      <c r="A2747" t="s">
        <v>81</v>
      </c>
      <c r="B2747">
        <v>869699185</v>
      </c>
      <c r="C2747" t="s">
        <v>82</v>
      </c>
      <c r="D2747" t="s">
        <v>82</v>
      </c>
      <c r="E2747" t="s">
        <v>65</v>
      </c>
      <c r="F2747" t="s">
        <v>83</v>
      </c>
      <c r="I2747" t="s">
        <v>39</v>
      </c>
      <c r="J2747" t="s">
        <v>40</v>
      </c>
      <c r="K2747" t="s">
        <v>41</v>
      </c>
      <c r="L2747" t="s">
        <v>42</v>
      </c>
      <c r="N2747" t="s">
        <v>43</v>
      </c>
      <c r="O2747" t="s">
        <v>84</v>
      </c>
      <c r="P2747">
        <v>413</v>
      </c>
      <c r="Q2747">
        <v>413</v>
      </c>
      <c r="R2747">
        <v>41</v>
      </c>
      <c r="S2747" t="s">
        <v>45</v>
      </c>
      <c r="T2747">
        <v>0.04</v>
      </c>
      <c r="U2747">
        <v>35</v>
      </c>
      <c r="V2747" t="s">
        <v>55</v>
      </c>
      <c r="W2747">
        <v>3.4000000000000002E-2</v>
      </c>
      <c r="X2747">
        <v>13001</v>
      </c>
      <c r="Y2747" t="s">
        <v>47</v>
      </c>
      <c r="Z2747">
        <v>13</v>
      </c>
      <c r="AA2747">
        <v>307</v>
      </c>
      <c r="AB2747" t="s">
        <v>47</v>
      </c>
      <c r="AC2747">
        <v>0.30599999999999999</v>
      </c>
      <c r="AD2747">
        <v>478</v>
      </c>
      <c r="AE2747" t="s">
        <v>56</v>
      </c>
      <c r="AF2747">
        <v>0.47699999999999998</v>
      </c>
      <c r="AG2747">
        <v>757</v>
      </c>
      <c r="AH2747" t="s">
        <v>49</v>
      </c>
      <c r="AI2747">
        <v>0.75600000000000001</v>
      </c>
      <c r="AJ2747" t="s">
        <v>1154</v>
      </c>
    </row>
    <row r="2748" spans="1:36" x14ac:dyDescent="0.25">
      <c r="A2748" t="s">
        <v>81</v>
      </c>
      <c r="B2748">
        <v>869699185</v>
      </c>
      <c r="C2748" t="s">
        <v>82</v>
      </c>
      <c r="D2748" t="s">
        <v>82</v>
      </c>
      <c r="E2748" t="s">
        <v>60</v>
      </c>
      <c r="F2748" t="s">
        <v>83</v>
      </c>
      <c r="I2748" t="s">
        <v>39</v>
      </c>
      <c r="J2748" t="s">
        <v>40</v>
      </c>
      <c r="K2748" t="s">
        <v>41</v>
      </c>
      <c r="L2748" t="s">
        <v>42</v>
      </c>
      <c r="N2748" t="s">
        <v>43</v>
      </c>
      <c r="O2748" t="s">
        <v>85</v>
      </c>
      <c r="P2748">
        <v>413</v>
      </c>
      <c r="Q2748">
        <v>413</v>
      </c>
      <c r="R2748">
        <v>161</v>
      </c>
      <c r="S2748" t="s">
        <v>56</v>
      </c>
      <c r="T2748">
        <v>0.16</v>
      </c>
      <c r="U2748">
        <v>221</v>
      </c>
      <c r="V2748" t="s">
        <v>55</v>
      </c>
      <c r="W2748">
        <v>0.22</v>
      </c>
      <c r="X2748">
        <v>10001</v>
      </c>
      <c r="Y2748" t="s">
        <v>47</v>
      </c>
      <c r="Z2748">
        <v>10</v>
      </c>
      <c r="AA2748">
        <v>262</v>
      </c>
      <c r="AB2748" t="s">
        <v>47</v>
      </c>
      <c r="AC2748">
        <v>0.26100000000000001</v>
      </c>
      <c r="AD2748">
        <v>451</v>
      </c>
      <c r="AE2748" t="s">
        <v>56</v>
      </c>
      <c r="AF2748">
        <v>0.45</v>
      </c>
      <c r="AG2748">
        <v>418</v>
      </c>
      <c r="AH2748" t="s">
        <v>57</v>
      </c>
      <c r="AI2748">
        <v>0.41699999999999998</v>
      </c>
      <c r="AJ2748" t="s">
        <v>1154</v>
      </c>
    </row>
    <row r="2749" spans="1:36" x14ac:dyDescent="0.25">
      <c r="A2749" t="s">
        <v>58</v>
      </c>
      <c r="B2749">
        <v>881455834</v>
      </c>
      <c r="C2749" t="s">
        <v>59</v>
      </c>
      <c r="D2749" t="s">
        <v>59</v>
      </c>
      <c r="E2749" t="s">
        <v>60</v>
      </c>
      <c r="F2749" t="s">
        <v>61</v>
      </c>
      <c r="I2749" t="s">
        <v>39</v>
      </c>
      <c r="J2749" t="s">
        <v>40</v>
      </c>
      <c r="K2749" t="s">
        <v>41</v>
      </c>
      <c r="L2749" t="s">
        <v>42</v>
      </c>
      <c r="N2749" t="s">
        <v>43</v>
      </c>
      <c r="O2749" t="s">
        <v>62</v>
      </c>
      <c r="P2749">
        <v>413</v>
      </c>
      <c r="Q2749">
        <v>413</v>
      </c>
      <c r="S2749" t="s">
        <v>39</v>
      </c>
      <c r="V2749" t="s">
        <v>39</v>
      </c>
      <c r="X2749">
        <v>12001</v>
      </c>
      <c r="Y2749" t="s">
        <v>47</v>
      </c>
      <c r="Z2749">
        <v>12</v>
      </c>
      <c r="AA2749">
        <v>162</v>
      </c>
      <c r="AB2749" t="s">
        <v>47</v>
      </c>
      <c r="AC2749">
        <v>0.161</v>
      </c>
      <c r="AD2749">
        <v>334</v>
      </c>
      <c r="AE2749" t="s">
        <v>56</v>
      </c>
      <c r="AF2749">
        <v>0.33300000000000002</v>
      </c>
      <c r="AG2749">
        <v>325</v>
      </c>
      <c r="AH2749" t="s">
        <v>57</v>
      </c>
      <c r="AI2749">
        <v>0.32400000000000001</v>
      </c>
      <c r="AJ2749" t="s">
        <v>1155</v>
      </c>
    </row>
    <row r="2750" spans="1:36" x14ac:dyDescent="0.25">
      <c r="A2750" t="s">
        <v>51</v>
      </c>
      <c r="B2750">
        <v>853220073</v>
      </c>
      <c r="C2750" t="s">
        <v>52</v>
      </c>
      <c r="D2750" t="s">
        <v>52</v>
      </c>
      <c r="E2750" t="s">
        <v>37</v>
      </c>
      <c r="F2750" t="s">
        <v>38</v>
      </c>
      <c r="I2750" t="s">
        <v>39</v>
      </c>
      <c r="J2750" t="s">
        <v>40</v>
      </c>
      <c r="K2750" t="s">
        <v>41</v>
      </c>
      <c r="L2750" t="s">
        <v>53</v>
      </c>
      <c r="N2750" t="s">
        <v>43</v>
      </c>
      <c r="O2750" t="s">
        <v>54</v>
      </c>
      <c r="P2750">
        <v>413</v>
      </c>
      <c r="Q2750">
        <v>413</v>
      </c>
      <c r="S2750" t="s">
        <v>39</v>
      </c>
      <c r="V2750" t="s">
        <v>39</v>
      </c>
      <c r="X2750">
        <v>17001</v>
      </c>
      <c r="Y2750" t="s">
        <v>47</v>
      </c>
      <c r="Z2750">
        <v>17</v>
      </c>
      <c r="AA2750">
        <v>162</v>
      </c>
      <c r="AB2750" t="s">
        <v>47</v>
      </c>
      <c r="AC2750">
        <v>0.161</v>
      </c>
      <c r="AD2750">
        <v>402</v>
      </c>
      <c r="AE2750" t="s">
        <v>56</v>
      </c>
      <c r="AF2750">
        <v>0.40100000000000002</v>
      </c>
      <c r="AG2750">
        <v>289</v>
      </c>
      <c r="AH2750" t="s">
        <v>57</v>
      </c>
      <c r="AI2750">
        <v>0.28799999999999998</v>
      </c>
      <c r="AJ2750" t="s">
        <v>1155</v>
      </c>
    </row>
    <row r="2751" spans="1:36" x14ac:dyDescent="0.25">
      <c r="A2751" t="s">
        <v>76</v>
      </c>
      <c r="B2751">
        <v>870007704</v>
      </c>
      <c r="C2751" t="s">
        <v>77</v>
      </c>
      <c r="D2751" t="s">
        <v>77</v>
      </c>
      <c r="E2751" t="s">
        <v>37</v>
      </c>
      <c r="F2751" t="s">
        <v>38</v>
      </c>
      <c r="I2751" t="s">
        <v>39</v>
      </c>
      <c r="J2751" t="s">
        <v>40</v>
      </c>
      <c r="K2751" t="s">
        <v>41</v>
      </c>
      <c r="L2751" t="s">
        <v>78</v>
      </c>
      <c r="N2751" t="s">
        <v>43</v>
      </c>
      <c r="O2751" t="s">
        <v>79</v>
      </c>
      <c r="P2751">
        <v>414</v>
      </c>
      <c r="Q2751">
        <v>414</v>
      </c>
      <c r="R2751">
        <v>1</v>
      </c>
      <c r="S2751" t="s">
        <v>45</v>
      </c>
      <c r="T2751">
        <v>0</v>
      </c>
      <c r="U2751">
        <v>997</v>
      </c>
      <c r="V2751" t="s">
        <v>46</v>
      </c>
      <c r="W2751">
        <v>0.996</v>
      </c>
      <c r="X2751">
        <v>24001</v>
      </c>
      <c r="Y2751" t="s">
        <v>47</v>
      </c>
      <c r="Z2751">
        <v>24</v>
      </c>
      <c r="AA2751">
        <v>468</v>
      </c>
      <c r="AB2751" t="s">
        <v>47</v>
      </c>
      <c r="AC2751">
        <v>0.46700000000000003</v>
      </c>
      <c r="AD2751">
        <v>848</v>
      </c>
      <c r="AE2751" t="s">
        <v>48</v>
      </c>
      <c r="AF2751">
        <v>0.84699999999999998</v>
      </c>
      <c r="AG2751">
        <v>955</v>
      </c>
      <c r="AH2751" t="s">
        <v>80</v>
      </c>
      <c r="AI2751">
        <v>0.95399999999999996</v>
      </c>
      <c r="AJ2751" t="s">
        <v>50</v>
      </c>
    </row>
    <row r="2752" spans="1:36" x14ac:dyDescent="0.25">
      <c r="A2752" t="s">
        <v>76</v>
      </c>
      <c r="B2752">
        <v>870007704</v>
      </c>
      <c r="C2752" t="s">
        <v>77</v>
      </c>
      <c r="D2752" t="s">
        <v>77</v>
      </c>
      <c r="E2752" t="s">
        <v>37</v>
      </c>
      <c r="F2752" t="s">
        <v>38</v>
      </c>
      <c r="I2752" t="s">
        <v>39</v>
      </c>
      <c r="J2752" t="s">
        <v>40</v>
      </c>
      <c r="K2752" t="s">
        <v>41</v>
      </c>
      <c r="L2752" t="s">
        <v>78</v>
      </c>
      <c r="N2752" t="s">
        <v>43</v>
      </c>
      <c r="O2752" t="s">
        <v>79</v>
      </c>
      <c r="P2752">
        <v>414</v>
      </c>
      <c r="Q2752">
        <v>414</v>
      </c>
      <c r="R2752">
        <v>1</v>
      </c>
      <c r="S2752" t="s">
        <v>45</v>
      </c>
      <c r="T2752">
        <v>0</v>
      </c>
      <c r="U2752">
        <v>997</v>
      </c>
      <c r="V2752" t="s">
        <v>46</v>
      </c>
      <c r="W2752">
        <v>0.996</v>
      </c>
      <c r="X2752">
        <v>24001</v>
      </c>
      <c r="Y2752" t="s">
        <v>47</v>
      </c>
      <c r="Z2752">
        <v>24</v>
      </c>
      <c r="AA2752">
        <v>468</v>
      </c>
      <c r="AB2752" t="s">
        <v>47</v>
      </c>
      <c r="AC2752">
        <v>0.46700000000000003</v>
      </c>
      <c r="AD2752">
        <v>848</v>
      </c>
      <c r="AE2752" t="s">
        <v>48</v>
      </c>
      <c r="AF2752">
        <v>0.84699999999999998</v>
      </c>
      <c r="AG2752">
        <v>955</v>
      </c>
      <c r="AH2752" t="s">
        <v>80</v>
      </c>
      <c r="AI2752">
        <v>0.95399999999999996</v>
      </c>
      <c r="AJ2752" t="s">
        <v>1153</v>
      </c>
    </row>
    <row r="2753" spans="1:36" x14ac:dyDescent="0.25">
      <c r="A2753" t="s">
        <v>76</v>
      </c>
      <c r="B2753">
        <v>870007704</v>
      </c>
      <c r="C2753" t="s">
        <v>77</v>
      </c>
      <c r="D2753" t="s">
        <v>77</v>
      </c>
      <c r="E2753" t="s">
        <v>37</v>
      </c>
      <c r="F2753" t="s">
        <v>38</v>
      </c>
      <c r="I2753" t="s">
        <v>39</v>
      </c>
      <c r="J2753" t="s">
        <v>40</v>
      </c>
      <c r="K2753" t="s">
        <v>41</v>
      </c>
      <c r="L2753" t="s">
        <v>78</v>
      </c>
      <c r="N2753" t="s">
        <v>43</v>
      </c>
      <c r="O2753" t="s">
        <v>79</v>
      </c>
      <c r="P2753">
        <v>414</v>
      </c>
      <c r="Q2753">
        <v>414</v>
      </c>
      <c r="R2753">
        <v>1</v>
      </c>
      <c r="S2753" t="s">
        <v>45</v>
      </c>
      <c r="T2753">
        <v>0</v>
      </c>
      <c r="U2753">
        <v>997</v>
      </c>
      <c r="V2753" t="s">
        <v>46</v>
      </c>
      <c r="W2753">
        <v>0.996</v>
      </c>
      <c r="X2753">
        <v>24001</v>
      </c>
      <c r="Y2753" t="s">
        <v>47</v>
      </c>
      <c r="Z2753">
        <v>24</v>
      </c>
      <c r="AA2753">
        <v>468</v>
      </c>
      <c r="AB2753" t="s">
        <v>47</v>
      </c>
      <c r="AC2753">
        <v>0.46700000000000003</v>
      </c>
      <c r="AD2753">
        <v>848</v>
      </c>
      <c r="AE2753" t="s">
        <v>48</v>
      </c>
      <c r="AF2753">
        <v>0.84699999999999998</v>
      </c>
      <c r="AG2753">
        <v>955</v>
      </c>
      <c r="AH2753" t="s">
        <v>80</v>
      </c>
      <c r="AI2753">
        <v>0.95399999999999996</v>
      </c>
      <c r="AJ2753" t="s">
        <v>1154</v>
      </c>
    </row>
    <row r="2754" spans="1:36" x14ac:dyDescent="0.25">
      <c r="A2754" t="s">
        <v>35</v>
      </c>
      <c r="B2754">
        <v>872999713</v>
      </c>
      <c r="C2754" t="s">
        <v>36</v>
      </c>
      <c r="D2754" t="s">
        <v>36</v>
      </c>
      <c r="E2754" t="s">
        <v>37</v>
      </c>
      <c r="F2754" t="s">
        <v>38</v>
      </c>
      <c r="I2754" t="s">
        <v>39</v>
      </c>
      <c r="J2754" t="s">
        <v>40</v>
      </c>
      <c r="K2754" t="s">
        <v>41</v>
      </c>
      <c r="L2754" t="s">
        <v>42</v>
      </c>
      <c r="N2754" t="s">
        <v>43</v>
      </c>
      <c r="O2754" t="s">
        <v>44</v>
      </c>
      <c r="P2754">
        <v>414</v>
      </c>
      <c r="Q2754">
        <v>414</v>
      </c>
      <c r="S2754" t="s">
        <v>39</v>
      </c>
      <c r="V2754" t="s">
        <v>39</v>
      </c>
      <c r="X2754">
        <v>20001</v>
      </c>
      <c r="Y2754" t="s">
        <v>47</v>
      </c>
      <c r="Z2754">
        <v>20</v>
      </c>
      <c r="AA2754">
        <v>307</v>
      </c>
      <c r="AB2754" t="s">
        <v>47</v>
      </c>
      <c r="AC2754">
        <v>0.30599999999999999</v>
      </c>
      <c r="AD2754">
        <v>653</v>
      </c>
      <c r="AE2754" t="s">
        <v>48</v>
      </c>
      <c r="AF2754">
        <v>0.65200000000000002</v>
      </c>
      <c r="AG2754">
        <v>796</v>
      </c>
      <c r="AH2754" t="s">
        <v>49</v>
      </c>
      <c r="AI2754">
        <v>0.79500000000000004</v>
      </c>
      <c r="AJ2754" t="s">
        <v>1155</v>
      </c>
    </row>
    <row r="2755" spans="1:36" x14ac:dyDescent="0.25">
      <c r="A2755" t="s">
        <v>69</v>
      </c>
      <c r="B2755">
        <v>886368162</v>
      </c>
      <c r="C2755" t="s">
        <v>70</v>
      </c>
      <c r="D2755" t="s">
        <v>70</v>
      </c>
      <c r="E2755" t="s">
        <v>37</v>
      </c>
      <c r="F2755" t="s">
        <v>71</v>
      </c>
      <c r="I2755" t="s">
        <v>39</v>
      </c>
      <c r="J2755" t="s">
        <v>40</v>
      </c>
      <c r="K2755" t="s">
        <v>41</v>
      </c>
      <c r="L2755" t="s">
        <v>72</v>
      </c>
      <c r="M2755" t="s">
        <v>73</v>
      </c>
      <c r="N2755" t="s">
        <v>43</v>
      </c>
      <c r="O2755" t="s">
        <v>74</v>
      </c>
      <c r="P2755">
        <v>415</v>
      </c>
      <c r="Q2755">
        <v>415</v>
      </c>
      <c r="R2755">
        <v>1</v>
      </c>
      <c r="S2755" t="s">
        <v>45</v>
      </c>
      <c r="T2755">
        <v>0</v>
      </c>
      <c r="U2755">
        <v>1001</v>
      </c>
      <c r="V2755" t="s">
        <v>46</v>
      </c>
      <c r="W2755">
        <v>1</v>
      </c>
      <c r="X2755">
        <v>28001</v>
      </c>
      <c r="Y2755" t="s">
        <v>47</v>
      </c>
      <c r="Z2755">
        <v>28</v>
      </c>
      <c r="AA2755">
        <v>844</v>
      </c>
      <c r="AB2755" t="s">
        <v>75</v>
      </c>
      <c r="AC2755">
        <v>0.84299999999999997</v>
      </c>
      <c r="AD2755">
        <v>968</v>
      </c>
      <c r="AE2755" t="s">
        <v>48</v>
      </c>
      <c r="AF2755">
        <v>0.96699999999999997</v>
      </c>
      <c r="AG2755">
        <v>917</v>
      </c>
      <c r="AH2755" t="s">
        <v>49</v>
      </c>
      <c r="AI2755">
        <v>0.91600000000000004</v>
      </c>
      <c r="AJ2755" t="s">
        <v>50</v>
      </c>
    </row>
    <row r="2756" spans="1:36" x14ac:dyDescent="0.25">
      <c r="A2756" t="s">
        <v>69</v>
      </c>
      <c r="B2756">
        <v>886368162</v>
      </c>
      <c r="C2756" t="s">
        <v>70</v>
      </c>
      <c r="D2756" t="s">
        <v>70</v>
      </c>
      <c r="E2756" t="s">
        <v>37</v>
      </c>
      <c r="F2756" t="s">
        <v>71</v>
      </c>
      <c r="I2756" t="s">
        <v>39</v>
      </c>
      <c r="J2756" t="s">
        <v>40</v>
      </c>
      <c r="K2756" t="s">
        <v>41</v>
      </c>
      <c r="L2756" t="s">
        <v>72</v>
      </c>
      <c r="M2756" t="s">
        <v>73</v>
      </c>
      <c r="N2756" t="s">
        <v>43</v>
      </c>
      <c r="O2756" t="s">
        <v>74</v>
      </c>
      <c r="P2756">
        <v>415</v>
      </c>
      <c r="Q2756">
        <v>415</v>
      </c>
      <c r="R2756">
        <v>1</v>
      </c>
      <c r="S2756" t="s">
        <v>45</v>
      </c>
      <c r="T2756">
        <v>0</v>
      </c>
      <c r="U2756">
        <v>1001</v>
      </c>
      <c r="V2756" t="s">
        <v>46</v>
      </c>
      <c r="W2756">
        <v>1</v>
      </c>
      <c r="X2756">
        <v>28001</v>
      </c>
      <c r="Y2756" t="s">
        <v>47</v>
      </c>
      <c r="Z2756">
        <v>28</v>
      </c>
      <c r="AA2756">
        <v>844</v>
      </c>
      <c r="AB2756" t="s">
        <v>75</v>
      </c>
      <c r="AC2756">
        <v>0.84299999999999997</v>
      </c>
      <c r="AD2756">
        <v>968</v>
      </c>
      <c r="AE2756" t="s">
        <v>48</v>
      </c>
      <c r="AF2756">
        <v>0.96699999999999997</v>
      </c>
      <c r="AG2756">
        <v>917</v>
      </c>
      <c r="AH2756" t="s">
        <v>49</v>
      </c>
      <c r="AI2756">
        <v>0.91600000000000004</v>
      </c>
      <c r="AJ2756" t="s">
        <v>1153</v>
      </c>
    </row>
    <row r="2757" spans="1:36" x14ac:dyDescent="0.25">
      <c r="A2757" t="s">
        <v>69</v>
      </c>
      <c r="B2757">
        <v>886368162</v>
      </c>
      <c r="C2757" t="s">
        <v>70</v>
      </c>
      <c r="D2757" t="s">
        <v>70</v>
      </c>
      <c r="E2757" t="s">
        <v>37</v>
      </c>
      <c r="F2757" t="s">
        <v>71</v>
      </c>
      <c r="I2757" t="s">
        <v>39</v>
      </c>
      <c r="J2757" t="s">
        <v>40</v>
      </c>
      <c r="K2757" t="s">
        <v>41</v>
      </c>
      <c r="L2757" t="s">
        <v>72</v>
      </c>
      <c r="M2757" t="s">
        <v>73</v>
      </c>
      <c r="N2757" t="s">
        <v>43</v>
      </c>
      <c r="O2757" t="s">
        <v>74</v>
      </c>
      <c r="P2757">
        <v>415</v>
      </c>
      <c r="Q2757">
        <v>415</v>
      </c>
      <c r="R2757">
        <v>1</v>
      </c>
      <c r="S2757" t="s">
        <v>45</v>
      </c>
      <c r="T2757">
        <v>0</v>
      </c>
      <c r="U2757">
        <v>1001</v>
      </c>
      <c r="V2757" t="s">
        <v>46</v>
      </c>
      <c r="W2757">
        <v>1</v>
      </c>
      <c r="X2757">
        <v>28001</v>
      </c>
      <c r="Y2757" t="s">
        <v>47</v>
      </c>
      <c r="Z2757">
        <v>28</v>
      </c>
      <c r="AA2757">
        <v>844</v>
      </c>
      <c r="AB2757" t="s">
        <v>75</v>
      </c>
      <c r="AC2757">
        <v>0.84299999999999997</v>
      </c>
      <c r="AD2757">
        <v>968</v>
      </c>
      <c r="AE2757" t="s">
        <v>48</v>
      </c>
      <c r="AF2757">
        <v>0.96699999999999997</v>
      </c>
      <c r="AG2757">
        <v>917</v>
      </c>
      <c r="AH2757" t="s">
        <v>49</v>
      </c>
      <c r="AI2757">
        <v>0.91600000000000004</v>
      </c>
      <c r="AJ2757" t="s">
        <v>1154</v>
      </c>
    </row>
    <row r="2758" spans="1:36" x14ac:dyDescent="0.25">
      <c r="A2758" t="s">
        <v>63</v>
      </c>
      <c r="B2758">
        <v>851709500</v>
      </c>
      <c r="C2758" t="s">
        <v>64</v>
      </c>
      <c r="D2758" t="s">
        <v>64</v>
      </c>
      <c r="E2758" t="s">
        <v>65</v>
      </c>
      <c r="F2758" t="s">
        <v>66</v>
      </c>
      <c r="I2758" t="s">
        <v>39</v>
      </c>
      <c r="J2758" t="s">
        <v>40</v>
      </c>
      <c r="K2758" t="s">
        <v>41</v>
      </c>
      <c r="L2758" t="s">
        <v>67</v>
      </c>
      <c r="N2758" t="s">
        <v>43</v>
      </c>
      <c r="O2758" t="s">
        <v>68</v>
      </c>
      <c r="P2758">
        <v>416</v>
      </c>
      <c r="Q2758">
        <v>416</v>
      </c>
      <c r="R2758">
        <v>1</v>
      </c>
      <c r="S2758" t="s">
        <v>45</v>
      </c>
      <c r="T2758">
        <v>0</v>
      </c>
      <c r="U2758">
        <v>993</v>
      </c>
      <c r="V2758" t="s">
        <v>46</v>
      </c>
      <c r="W2758">
        <v>0.99199999999999999</v>
      </c>
      <c r="X2758">
        <v>23001</v>
      </c>
      <c r="Y2758" t="s">
        <v>47</v>
      </c>
      <c r="Z2758">
        <v>23</v>
      </c>
      <c r="AA2758">
        <v>320</v>
      </c>
      <c r="AB2758" t="s">
        <v>47</v>
      </c>
      <c r="AC2758">
        <v>0.31900000000000001</v>
      </c>
      <c r="AD2758">
        <v>647</v>
      </c>
      <c r="AE2758" t="s">
        <v>48</v>
      </c>
      <c r="AF2758">
        <v>0.64600000000000002</v>
      </c>
      <c r="AG2758">
        <v>906</v>
      </c>
      <c r="AH2758" t="s">
        <v>49</v>
      </c>
      <c r="AI2758">
        <v>0.90500000000000003</v>
      </c>
      <c r="AJ2758" t="s">
        <v>50</v>
      </c>
    </row>
    <row r="2759" spans="1:36" x14ac:dyDescent="0.25">
      <c r="A2759" t="s">
        <v>63</v>
      </c>
      <c r="B2759">
        <v>851709500</v>
      </c>
      <c r="C2759" t="s">
        <v>64</v>
      </c>
      <c r="D2759" t="s">
        <v>64</v>
      </c>
      <c r="E2759" t="s">
        <v>65</v>
      </c>
      <c r="F2759" t="s">
        <v>66</v>
      </c>
      <c r="I2759" t="s">
        <v>39</v>
      </c>
      <c r="J2759" t="s">
        <v>40</v>
      </c>
      <c r="K2759" t="s">
        <v>41</v>
      </c>
      <c r="L2759" t="s">
        <v>67</v>
      </c>
      <c r="N2759" t="s">
        <v>43</v>
      </c>
      <c r="O2759" t="s">
        <v>68</v>
      </c>
      <c r="P2759">
        <v>416</v>
      </c>
      <c r="Q2759">
        <v>416</v>
      </c>
      <c r="R2759">
        <v>1</v>
      </c>
      <c r="S2759" t="s">
        <v>45</v>
      </c>
      <c r="T2759">
        <v>0</v>
      </c>
      <c r="U2759">
        <v>993</v>
      </c>
      <c r="V2759" t="s">
        <v>46</v>
      </c>
      <c r="W2759">
        <v>0.99199999999999999</v>
      </c>
      <c r="X2759">
        <v>23001</v>
      </c>
      <c r="Y2759" t="s">
        <v>47</v>
      </c>
      <c r="Z2759">
        <v>23</v>
      </c>
      <c r="AA2759">
        <v>320</v>
      </c>
      <c r="AB2759" t="s">
        <v>47</v>
      </c>
      <c r="AC2759">
        <v>0.31900000000000001</v>
      </c>
      <c r="AD2759">
        <v>647</v>
      </c>
      <c r="AE2759" t="s">
        <v>48</v>
      </c>
      <c r="AF2759">
        <v>0.64600000000000002</v>
      </c>
      <c r="AG2759">
        <v>906</v>
      </c>
      <c r="AH2759" t="s">
        <v>49</v>
      </c>
      <c r="AI2759">
        <v>0.90500000000000003</v>
      </c>
      <c r="AJ2759" t="s">
        <v>1153</v>
      </c>
    </row>
    <row r="2760" spans="1:36" x14ac:dyDescent="0.25">
      <c r="A2760" t="s">
        <v>63</v>
      </c>
      <c r="B2760">
        <v>851709500</v>
      </c>
      <c r="C2760" t="s">
        <v>64</v>
      </c>
      <c r="D2760" t="s">
        <v>64</v>
      </c>
      <c r="E2760" t="s">
        <v>65</v>
      </c>
      <c r="F2760" t="s">
        <v>66</v>
      </c>
      <c r="I2760" t="s">
        <v>39</v>
      </c>
      <c r="J2760" t="s">
        <v>40</v>
      </c>
      <c r="K2760" t="s">
        <v>41</v>
      </c>
      <c r="L2760" t="s">
        <v>67</v>
      </c>
      <c r="N2760" t="s">
        <v>43</v>
      </c>
      <c r="O2760" t="s">
        <v>68</v>
      </c>
      <c r="P2760">
        <v>416</v>
      </c>
      <c r="Q2760">
        <v>416</v>
      </c>
      <c r="R2760">
        <v>1</v>
      </c>
      <c r="S2760" t="s">
        <v>45</v>
      </c>
      <c r="T2760">
        <v>0</v>
      </c>
      <c r="U2760">
        <v>993</v>
      </c>
      <c r="V2760" t="s">
        <v>46</v>
      </c>
      <c r="W2760">
        <v>0.99199999999999999</v>
      </c>
      <c r="X2760">
        <v>23001</v>
      </c>
      <c r="Y2760" t="s">
        <v>47</v>
      </c>
      <c r="Z2760">
        <v>23</v>
      </c>
      <c r="AA2760">
        <v>320</v>
      </c>
      <c r="AB2760" t="s">
        <v>47</v>
      </c>
      <c r="AC2760">
        <v>0.31900000000000001</v>
      </c>
      <c r="AD2760">
        <v>647</v>
      </c>
      <c r="AE2760" t="s">
        <v>48</v>
      </c>
      <c r="AF2760">
        <v>0.64600000000000002</v>
      </c>
      <c r="AG2760">
        <v>906</v>
      </c>
      <c r="AH2760" t="s">
        <v>49</v>
      </c>
      <c r="AI2760">
        <v>0.90500000000000003</v>
      </c>
      <c r="AJ2760" t="s">
        <v>1154</v>
      </c>
    </row>
    <row r="2761" spans="1:36" x14ac:dyDescent="0.25">
      <c r="A2761" t="s">
        <v>58</v>
      </c>
      <c r="B2761">
        <v>881455834</v>
      </c>
      <c r="C2761" t="s">
        <v>59</v>
      </c>
      <c r="D2761" t="s">
        <v>59</v>
      </c>
      <c r="E2761" t="s">
        <v>60</v>
      </c>
      <c r="F2761" t="s">
        <v>61</v>
      </c>
      <c r="I2761" t="s">
        <v>39</v>
      </c>
      <c r="J2761" t="s">
        <v>40</v>
      </c>
      <c r="K2761" t="s">
        <v>41</v>
      </c>
      <c r="L2761" t="s">
        <v>42</v>
      </c>
      <c r="N2761" t="s">
        <v>43</v>
      </c>
      <c r="O2761" t="s">
        <v>62</v>
      </c>
      <c r="P2761">
        <v>417</v>
      </c>
      <c r="Q2761">
        <v>417</v>
      </c>
      <c r="R2761">
        <v>151</v>
      </c>
      <c r="S2761" t="s">
        <v>56</v>
      </c>
      <c r="T2761">
        <v>0.15</v>
      </c>
      <c r="U2761">
        <v>1</v>
      </c>
      <c r="V2761" t="s">
        <v>55</v>
      </c>
      <c r="W2761">
        <v>0</v>
      </c>
      <c r="X2761">
        <v>12001</v>
      </c>
      <c r="Y2761" t="s">
        <v>47</v>
      </c>
      <c r="Z2761">
        <v>12</v>
      </c>
      <c r="AA2761">
        <v>162</v>
      </c>
      <c r="AB2761" t="s">
        <v>47</v>
      </c>
      <c r="AC2761">
        <v>0.161</v>
      </c>
      <c r="AD2761">
        <v>334</v>
      </c>
      <c r="AE2761" t="s">
        <v>56</v>
      </c>
      <c r="AF2761">
        <v>0.33300000000000002</v>
      </c>
      <c r="AG2761">
        <v>325</v>
      </c>
      <c r="AH2761" t="s">
        <v>57</v>
      </c>
      <c r="AI2761">
        <v>0.32400000000000001</v>
      </c>
      <c r="AJ2761" t="s">
        <v>50</v>
      </c>
    </row>
    <row r="2762" spans="1:36" x14ac:dyDescent="0.25">
      <c r="A2762" t="s">
        <v>58</v>
      </c>
      <c r="B2762">
        <v>881455834</v>
      </c>
      <c r="C2762" t="s">
        <v>59</v>
      </c>
      <c r="D2762" t="s">
        <v>59</v>
      </c>
      <c r="E2762" t="s">
        <v>60</v>
      </c>
      <c r="F2762" t="s">
        <v>61</v>
      </c>
      <c r="I2762" t="s">
        <v>39</v>
      </c>
      <c r="J2762" t="s">
        <v>40</v>
      </c>
      <c r="K2762" t="s">
        <v>41</v>
      </c>
      <c r="L2762" t="s">
        <v>42</v>
      </c>
      <c r="N2762" t="s">
        <v>43</v>
      </c>
      <c r="O2762" t="s">
        <v>62</v>
      </c>
      <c r="P2762">
        <v>417</v>
      </c>
      <c r="Q2762">
        <v>417</v>
      </c>
      <c r="R2762">
        <v>151</v>
      </c>
      <c r="S2762" t="s">
        <v>56</v>
      </c>
      <c r="T2762">
        <v>0.15</v>
      </c>
      <c r="U2762">
        <v>1</v>
      </c>
      <c r="V2762" t="s">
        <v>55</v>
      </c>
      <c r="W2762">
        <v>0</v>
      </c>
      <c r="X2762">
        <v>12001</v>
      </c>
      <c r="Y2762" t="s">
        <v>47</v>
      </c>
      <c r="Z2762">
        <v>12</v>
      </c>
      <c r="AA2762">
        <v>162</v>
      </c>
      <c r="AB2762" t="s">
        <v>47</v>
      </c>
      <c r="AC2762">
        <v>0.161</v>
      </c>
      <c r="AD2762">
        <v>334</v>
      </c>
      <c r="AE2762" t="s">
        <v>56</v>
      </c>
      <c r="AF2762">
        <v>0.33300000000000002</v>
      </c>
      <c r="AG2762">
        <v>325</v>
      </c>
      <c r="AH2762" t="s">
        <v>57</v>
      </c>
      <c r="AI2762">
        <v>0.32400000000000001</v>
      </c>
      <c r="AJ2762" t="s">
        <v>1153</v>
      </c>
    </row>
    <row r="2763" spans="1:36" x14ac:dyDescent="0.25">
      <c r="A2763" t="s">
        <v>58</v>
      </c>
      <c r="B2763">
        <v>881455834</v>
      </c>
      <c r="C2763" t="s">
        <v>59</v>
      </c>
      <c r="D2763" t="s">
        <v>59</v>
      </c>
      <c r="E2763" t="s">
        <v>60</v>
      </c>
      <c r="F2763" t="s">
        <v>61</v>
      </c>
      <c r="I2763" t="s">
        <v>39</v>
      </c>
      <c r="J2763" t="s">
        <v>40</v>
      </c>
      <c r="K2763" t="s">
        <v>41</v>
      </c>
      <c r="L2763" t="s">
        <v>42</v>
      </c>
      <c r="N2763" t="s">
        <v>43</v>
      </c>
      <c r="O2763" t="s">
        <v>62</v>
      </c>
      <c r="P2763">
        <v>417</v>
      </c>
      <c r="Q2763">
        <v>417</v>
      </c>
      <c r="R2763">
        <v>151</v>
      </c>
      <c r="S2763" t="s">
        <v>56</v>
      </c>
      <c r="T2763">
        <v>0.15</v>
      </c>
      <c r="U2763">
        <v>1</v>
      </c>
      <c r="V2763" t="s">
        <v>55</v>
      </c>
      <c r="W2763">
        <v>0</v>
      </c>
      <c r="X2763">
        <v>12001</v>
      </c>
      <c r="Y2763" t="s">
        <v>47</v>
      </c>
      <c r="Z2763">
        <v>12</v>
      </c>
      <c r="AA2763">
        <v>162</v>
      </c>
      <c r="AB2763" t="s">
        <v>47</v>
      </c>
      <c r="AC2763">
        <v>0.161</v>
      </c>
      <c r="AD2763">
        <v>334</v>
      </c>
      <c r="AE2763" t="s">
        <v>56</v>
      </c>
      <c r="AF2763">
        <v>0.33300000000000002</v>
      </c>
      <c r="AG2763">
        <v>325</v>
      </c>
      <c r="AH2763" t="s">
        <v>57</v>
      </c>
      <c r="AI2763">
        <v>0.32400000000000001</v>
      </c>
      <c r="AJ2763" t="s">
        <v>1154</v>
      </c>
    </row>
    <row r="2764" spans="1:36" x14ac:dyDescent="0.25">
      <c r="A2764" t="s">
        <v>51</v>
      </c>
      <c r="B2764">
        <v>853220073</v>
      </c>
      <c r="C2764" t="s">
        <v>52</v>
      </c>
      <c r="D2764" t="s">
        <v>52</v>
      </c>
      <c r="E2764" t="s">
        <v>37</v>
      </c>
      <c r="F2764" t="s">
        <v>38</v>
      </c>
      <c r="I2764" t="s">
        <v>39</v>
      </c>
      <c r="J2764" t="s">
        <v>40</v>
      </c>
      <c r="K2764" t="s">
        <v>41</v>
      </c>
      <c r="L2764" t="s">
        <v>53</v>
      </c>
      <c r="N2764" t="s">
        <v>43</v>
      </c>
      <c r="O2764" t="s">
        <v>54</v>
      </c>
      <c r="P2764">
        <v>417</v>
      </c>
      <c r="Q2764">
        <v>417</v>
      </c>
      <c r="R2764">
        <v>21</v>
      </c>
      <c r="S2764" t="s">
        <v>45</v>
      </c>
      <c r="T2764">
        <v>0.02</v>
      </c>
      <c r="U2764">
        <v>26</v>
      </c>
      <c r="V2764" t="s">
        <v>55</v>
      </c>
      <c r="W2764">
        <v>2.5000000000000001E-2</v>
      </c>
      <c r="X2764">
        <v>17001</v>
      </c>
      <c r="Y2764" t="s">
        <v>47</v>
      </c>
      <c r="Z2764">
        <v>17</v>
      </c>
      <c r="AA2764">
        <v>162</v>
      </c>
      <c r="AB2764" t="s">
        <v>47</v>
      </c>
      <c r="AC2764">
        <v>0.161</v>
      </c>
      <c r="AD2764">
        <v>402</v>
      </c>
      <c r="AE2764" t="s">
        <v>56</v>
      </c>
      <c r="AF2764">
        <v>0.40100000000000002</v>
      </c>
      <c r="AG2764">
        <v>289</v>
      </c>
      <c r="AH2764" t="s">
        <v>57</v>
      </c>
      <c r="AI2764">
        <v>0.28799999999999998</v>
      </c>
      <c r="AJ2764" t="s">
        <v>50</v>
      </c>
    </row>
    <row r="2765" spans="1:36" x14ac:dyDescent="0.25">
      <c r="A2765" t="s">
        <v>51</v>
      </c>
      <c r="B2765">
        <v>853220073</v>
      </c>
      <c r="C2765" t="s">
        <v>52</v>
      </c>
      <c r="D2765" t="s">
        <v>52</v>
      </c>
      <c r="E2765" t="s">
        <v>37</v>
      </c>
      <c r="F2765" t="s">
        <v>38</v>
      </c>
      <c r="I2765" t="s">
        <v>39</v>
      </c>
      <c r="J2765" t="s">
        <v>40</v>
      </c>
      <c r="K2765" t="s">
        <v>41</v>
      </c>
      <c r="L2765" t="s">
        <v>53</v>
      </c>
      <c r="N2765" t="s">
        <v>43</v>
      </c>
      <c r="O2765" t="s">
        <v>54</v>
      </c>
      <c r="P2765">
        <v>417</v>
      </c>
      <c r="Q2765">
        <v>417</v>
      </c>
      <c r="R2765">
        <v>21</v>
      </c>
      <c r="S2765" t="s">
        <v>45</v>
      </c>
      <c r="T2765">
        <v>0.02</v>
      </c>
      <c r="U2765">
        <v>26</v>
      </c>
      <c r="V2765" t="s">
        <v>55</v>
      </c>
      <c r="W2765">
        <v>2.5000000000000001E-2</v>
      </c>
      <c r="X2765">
        <v>17001</v>
      </c>
      <c r="Y2765" t="s">
        <v>47</v>
      </c>
      <c r="Z2765">
        <v>17</v>
      </c>
      <c r="AA2765">
        <v>162</v>
      </c>
      <c r="AB2765" t="s">
        <v>47</v>
      </c>
      <c r="AC2765">
        <v>0.161</v>
      </c>
      <c r="AD2765">
        <v>402</v>
      </c>
      <c r="AE2765" t="s">
        <v>56</v>
      </c>
      <c r="AF2765">
        <v>0.40100000000000002</v>
      </c>
      <c r="AG2765">
        <v>289</v>
      </c>
      <c r="AH2765" t="s">
        <v>57</v>
      </c>
      <c r="AI2765">
        <v>0.28799999999999998</v>
      </c>
      <c r="AJ2765" t="s">
        <v>1153</v>
      </c>
    </row>
    <row r="2766" spans="1:36" x14ac:dyDescent="0.25">
      <c r="A2766" t="s">
        <v>51</v>
      </c>
      <c r="B2766">
        <v>853220073</v>
      </c>
      <c r="C2766" t="s">
        <v>52</v>
      </c>
      <c r="D2766" t="s">
        <v>52</v>
      </c>
      <c r="E2766" t="s">
        <v>37</v>
      </c>
      <c r="F2766" t="s">
        <v>38</v>
      </c>
      <c r="I2766" t="s">
        <v>39</v>
      </c>
      <c r="J2766" t="s">
        <v>40</v>
      </c>
      <c r="K2766" t="s">
        <v>41</v>
      </c>
      <c r="L2766" t="s">
        <v>53</v>
      </c>
      <c r="N2766" t="s">
        <v>43</v>
      </c>
      <c r="O2766" t="s">
        <v>54</v>
      </c>
      <c r="P2766">
        <v>417</v>
      </c>
      <c r="Q2766">
        <v>417</v>
      </c>
      <c r="R2766">
        <v>21</v>
      </c>
      <c r="S2766" t="s">
        <v>45</v>
      </c>
      <c r="T2766">
        <v>0.02</v>
      </c>
      <c r="U2766">
        <v>26</v>
      </c>
      <c r="V2766" t="s">
        <v>55</v>
      </c>
      <c r="W2766">
        <v>2.5000000000000001E-2</v>
      </c>
      <c r="X2766">
        <v>17001</v>
      </c>
      <c r="Y2766" t="s">
        <v>47</v>
      </c>
      <c r="Z2766">
        <v>17</v>
      </c>
      <c r="AA2766">
        <v>162</v>
      </c>
      <c r="AB2766" t="s">
        <v>47</v>
      </c>
      <c r="AC2766">
        <v>0.161</v>
      </c>
      <c r="AD2766">
        <v>402</v>
      </c>
      <c r="AE2766" t="s">
        <v>56</v>
      </c>
      <c r="AF2766">
        <v>0.40100000000000002</v>
      </c>
      <c r="AG2766">
        <v>289</v>
      </c>
      <c r="AH2766" t="s">
        <v>57</v>
      </c>
      <c r="AI2766">
        <v>0.28799999999999998</v>
      </c>
      <c r="AJ2766" t="s">
        <v>1154</v>
      </c>
    </row>
    <row r="2767" spans="1:36" x14ac:dyDescent="0.25">
      <c r="A2767" t="s">
        <v>35</v>
      </c>
      <c r="B2767">
        <v>872999713</v>
      </c>
      <c r="C2767" t="s">
        <v>36</v>
      </c>
      <c r="D2767" t="s">
        <v>36</v>
      </c>
      <c r="E2767" t="s">
        <v>37</v>
      </c>
      <c r="F2767" t="s">
        <v>38</v>
      </c>
      <c r="I2767" t="s">
        <v>39</v>
      </c>
      <c r="J2767" t="s">
        <v>40</v>
      </c>
      <c r="K2767" t="s">
        <v>41</v>
      </c>
      <c r="L2767" t="s">
        <v>42</v>
      </c>
      <c r="N2767" t="s">
        <v>43</v>
      </c>
      <c r="O2767" t="s">
        <v>44</v>
      </c>
      <c r="P2767">
        <v>418</v>
      </c>
      <c r="Q2767">
        <v>418</v>
      </c>
      <c r="R2767">
        <v>1</v>
      </c>
      <c r="S2767" t="s">
        <v>45</v>
      </c>
      <c r="T2767">
        <v>0</v>
      </c>
      <c r="U2767">
        <v>997</v>
      </c>
      <c r="V2767" t="s">
        <v>46</v>
      </c>
      <c r="W2767">
        <v>0.996</v>
      </c>
      <c r="X2767">
        <v>20001</v>
      </c>
      <c r="Y2767" t="s">
        <v>47</v>
      </c>
      <c r="Z2767">
        <v>20</v>
      </c>
      <c r="AA2767">
        <v>307</v>
      </c>
      <c r="AB2767" t="s">
        <v>47</v>
      </c>
      <c r="AC2767">
        <v>0.30599999999999999</v>
      </c>
      <c r="AD2767">
        <v>653</v>
      </c>
      <c r="AE2767" t="s">
        <v>48</v>
      </c>
      <c r="AF2767">
        <v>0.65200000000000002</v>
      </c>
      <c r="AG2767">
        <v>796</v>
      </c>
      <c r="AH2767" t="s">
        <v>49</v>
      </c>
      <c r="AI2767">
        <v>0.79500000000000004</v>
      </c>
      <c r="AJ2767" t="s">
        <v>50</v>
      </c>
    </row>
    <row r="2768" spans="1:36" x14ac:dyDescent="0.25">
      <c r="A2768" t="s">
        <v>35</v>
      </c>
      <c r="B2768">
        <v>872999713</v>
      </c>
      <c r="C2768" t="s">
        <v>36</v>
      </c>
      <c r="D2768" t="s">
        <v>36</v>
      </c>
      <c r="E2768" t="s">
        <v>37</v>
      </c>
      <c r="F2768" t="s">
        <v>38</v>
      </c>
      <c r="I2768" t="s">
        <v>39</v>
      </c>
      <c r="J2768" t="s">
        <v>40</v>
      </c>
      <c r="K2768" t="s">
        <v>41</v>
      </c>
      <c r="L2768" t="s">
        <v>42</v>
      </c>
      <c r="N2768" t="s">
        <v>43</v>
      </c>
      <c r="O2768" t="s">
        <v>44</v>
      </c>
      <c r="P2768">
        <v>418</v>
      </c>
      <c r="Q2768">
        <v>418</v>
      </c>
      <c r="R2768">
        <v>1</v>
      </c>
      <c r="S2768" t="s">
        <v>45</v>
      </c>
      <c r="T2768">
        <v>0</v>
      </c>
      <c r="U2768">
        <v>997</v>
      </c>
      <c r="V2768" t="s">
        <v>46</v>
      </c>
      <c r="W2768">
        <v>0.996</v>
      </c>
      <c r="X2768">
        <v>20001</v>
      </c>
      <c r="Y2768" t="s">
        <v>47</v>
      </c>
      <c r="Z2768">
        <v>20</v>
      </c>
      <c r="AA2768">
        <v>307</v>
      </c>
      <c r="AB2768" t="s">
        <v>47</v>
      </c>
      <c r="AC2768">
        <v>0.30599999999999999</v>
      </c>
      <c r="AD2768">
        <v>653</v>
      </c>
      <c r="AE2768" t="s">
        <v>48</v>
      </c>
      <c r="AF2768">
        <v>0.65200000000000002</v>
      </c>
      <c r="AG2768">
        <v>796</v>
      </c>
      <c r="AH2768" t="s">
        <v>49</v>
      </c>
      <c r="AI2768">
        <v>0.79500000000000004</v>
      </c>
      <c r="AJ2768" t="s">
        <v>1153</v>
      </c>
    </row>
    <row r="2769" spans="1:36" x14ac:dyDescent="0.25">
      <c r="A2769" t="s">
        <v>35</v>
      </c>
      <c r="B2769">
        <v>872999713</v>
      </c>
      <c r="C2769" t="s">
        <v>36</v>
      </c>
      <c r="D2769" t="s">
        <v>36</v>
      </c>
      <c r="E2769" t="s">
        <v>37</v>
      </c>
      <c r="F2769" t="s">
        <v>38</v>
      </c>
      <c r="I2769" t="s">
        <v>39</v>
      </c>
      <c r="J2769" t="s">
        <v>40</v>
      </c>
      <c r="K2769" t="s">
        <v>41</v>
      </c>
      <c r="L2769" t="s">
        <v>42</v>
      </c>
      <c r="N2769" t="s">
        <v>43</v>
      </c>
      <c r="O2769" t="s">
        <v>44</v>
      </c>
      <c r="P2769">
        <v>418</v>
      </c>
      <c r="Q2769">
        <v>418</v>
      </c>
      <c r="R2769">
        <v>1</v>
      </c>
      <c r="S2769" t="s">
        <v>45</v>
      </c>
      <c r="T2769">
        <v>0</v>
      </c>
      <c r="U2769">
        <v>997</v>
      </c>
      <c r="V2769" t="s">
        <v>46</v>
      </c>
      <c r="W2769">
        <v>0.996</v>
      </c>
      <c r="X2769">
        <v>20001</v>
      </c>
      <c r="Y2769" t="s">
        <v>47</v>
      </c>
      <c r="Z2769">
        <v>20</v>
      </c>
      <c r="AA2769">
        <v>307</v>
      </c>
      <c r="AB2769" t="s">
        <v>47</v>
      </c>
      <c r="AC2769">
        <v>0.30599999999999999</v>
      </c>
      <c r="AD2769">
        <v>653</v>
      </c>
      <c r="AE2769" t="s">
        <v>48</v>
      </c>
      <c r="AF2769">
        <v>0.65200000000000002</v>
      </c>
      <c r="AG2769">
        <v>796</v>
      </c>
      <c r="AH2769" t="s">
        <v>49</v>
      </c>
      <c r="AI2769">
        <v>0.79500000000000004</v>
      </c>
      <c r="AJ2769" t="s">
        <v>1154</v>
      </c>
    </row>
  </sheetData>
  <sortState xmlns:xlrd2="http://schemas.microsoft.com/office/spreadsheetml/2017/richdata2" ref="A2:AJ2769">
    <sortCondition ref="P1:P2769"/>
  </sortState>
  <customSheetViews>
    <customSheetView guid="{13E00259-D325-4D27-B6D0-F1F28B665E89}" showPageBreaks="1" topLeftCell="A1893">
      <selection activeCell="C1902" sqref="C190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79EE8-1006-4E14-A481-EDFAB582CF6C}">
  <dimension ref="A1:AS9"/>
  <sheetViews>
    <sheetView tabSelected="1" topLeftCell="AC1" workbookViewId="0">
      <selection activeCell="AL11" sqref="AL11"/>
    </sheetView>
  </sheetViews>
  <sheetFormatPr defaultRowHeight="15" x14ac:dyDescent="0.25"/>
  <cols>
    <col min="40" max="40" width="11.28515625" customWidth="1"/>
    <col min="41" max="41" width="13.28515625" customWidth="1"/>
    <col min="42" max="43" width="12.5703125" customWidth="1"/>
    <col min="45" max="45" width="13.140625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M1" t="s">
        <v>1175</v>
      </c>
      <c r="AN1" t="s">
        <v>1177</v>
      </c>
      <c r="AO1" t="s">
        <v>1179</v>
      </c>
      <c r="AP1" t="s">
        <v>1178</v>
      </c>
      <c r="AQ1" t="s">
        <v>1176</v>
      </c>
    </row>
    <row r="2" spans="1:45" s="5" customFormat="1" x14ac:dyDescent="0.25">
      <c r="A2" s="5" t="s">
        <v>971</v>
      </c>
      <c r="B2" s="5">
        <v>853197771</v>
      </c>
      <c r="C2" s="5" t="s">
        <v>972</v>
      </c>
      <c r="D2" s="5" t="s">
        <v>972</v>
      </c>
      <c r="E2" s="5" t="s">
        <v>37</v>
      </c>
      <c r="F2" s="5" t="s">
        <v>122</v>
      </c>
      <c r="I2" s="5" t="s">
        <v>39</v>
      </c>
      <c r="J2" s="5" t="s">
        <v>40</v>
      </c>
      <c r="K2" s="5" t="s">
        <v>41</v>
      </c>
      <c r="L2" s="5" t="s">
        <v>177</v>
      </c>
      <c r="M2" s="5" t="s">
        <v>73</v>
      </c>
      <c r="N2" s="5" t="s">
        <v>43</v>
      </c>
      <c r="O2" s="5" t="s">
        <v>123</v>
      </c>
      <c r="P2" s="5">
        <v>69</v>
      </c>
      <c r="Q2" s="5">
        <v>69</v>
      </c>
      <c r="R2" s="5">
        <v>21</v>
      </c>
      <c r="S2" s="5" t="s">
        <v>45</v>
      </c>
      <c r="T2" s="5">
        <v>0.02</v>
      </c>
      <c r="U2" s="5">
        <v>958</v>
      </c>
      <c r="V2" s="5" t="s">
        <v>46</v>
      </c>
      <c r="W2" s="5">
        <v>0.95699999999999996</v>
      </c>
      <c r="X2" s="5">
        <v>23001</v>
      </c>
      <c r="Y2" s="5" t="s">
        <v>47</v>
      </c>
      <c r="Z2" s="5">
        <v>23</v>
      </c>
      <c r="AA2" s="5">
        <v>404</v>
      </c>
      <c r="AB2" s="5" t="s">
        <v>47</v>
      </c>
      <c r="AC2" s="5">
        <v>0.40300000000000002</v>
      </c>
      <c r="AD2" s="5">
        <v>770</v>
      </c>
      <c r="AE2" s="5" t="s">
        <v>48</v>
      </c>
      <c r="AF2" s="5">
        <v>0.76900000000000002</v>
      </c>
      <c r="AG2" s="5">
        <v>955</v>
      </c>
      <c r="AH2" s="5" t="s">
        <v>80</v>
      </c>
      <c r="AI2" s="5">
        <v>0.95399999999999996</v>
      </c>
      <c r="AJ2" s="5" t="s">
        <v>50</v>
      </c>
      <c r="AM2" s="5">
        <f>AVERAGE(T2:T5)</f>
        <v>1.7500000000000002E-2</v>
      </c>
      <c r="AN2" s="5">
        <f>AVERAGE(Z2:Z5)</f>
        <v>23</v>
      </c>
      <c r="AO2" s="5">
        <f>AVERAGE(W2:W5)</f>
        <v>0.93599999999999994</v>
      </c>
      <c r="AP2" s="5">
        <f>AVERAGE(AC2:AC5)</f>
        <v>0.40300000000000002</v>
      </c>
      <c r="AQ2" s="5">
        <f>AVERAGE(AF2:AF5)</f>
        <v>0.76900000000000002</v>
      </c>
    </row>
    <row r="3" spans="1:45" s="5" customFormat="1" x14ac:dyDescent="0.25">
      <c r="A3" s="5" t="s">
        <v>971</v>
      </c>
      <c r="B3" s="5">
        <v>853197771</v>
      </c>
      <c r="C3" s="5" t="s">
        <v>972</v>
      </c>
      <c r="D3" s="5" t="s">
        <v>972</v>
      </c>
      <c r="E3" s="5" t="s">
        <v>37</v>
      </c>
      <c r="F3" s="5" t="s">
        <v>122</v>
      </c>
      <c r="I3" s="5" t="s">
        <v>39</v>
      </c>
      <c r="J3" s="5" t="s">
        <v>40</v>
      </c>
      <c r="K3" s="5" t="s">
        <v>41</v>
      </c>
      <c r="L3" s="5" t="s">
        <v>177</v>
      </c>
      <c r="M3" s="5" t="s">
        <v>73</v>
      </c>
      <c r="N3" s="5" t="s">
        <v>43</v>
      </c>
      <c r="O3" s="5" t="s">
        <v>123</v>
      </c>
      <c r="P3" s="5">
        <v>69</v>
      </c>
      <c r="Q3" s="5">
        <v>69</v>
      </c>
      <c r="R3" s="5">
        <v>11</v>
      </c>
      <c r="S3" s="5" t="s">
        <v>45</v>
      </c>
      <c r="T3" s="5">
        <v>0.01</v>
      </c>
      <c r="U3" s="5">
        <v>874</v>
      </c>
      <c r="V3" s="5" t="s">
        <v>113</v>
      </c>
      <c r="W3" s="5">
        <v>0.873</v>
      </c>
      <c r="X3" s="5">
        <v>23001</v>
      </c>
      <c r="Y3" s="5" t="s">
        <v>47</v>
      </c>
      <c r="Z3" s="5">
        <v>23</v>
      </c>
      <c r="AA3" s="5">
        <v>404</v>
      </c>
      <c r="AB3" s="5" t="s">
        <v>47</v>
      </c>
      <c r="AC3" s="5">
        <v>0.40300000000000002</v>
      </c>
      <c r="AD3" s="5">
        <v>770</v>
      </c>
      <c r="AE3" s="5" t="s">
        <v>48</v>
      </c>
      <c r="AF3" s="5">
        <v>0.76900000000000002</v>
      </c>
      <c r="AG3" s="5">
        <v>955</v>
      </c>
      <c r="AH3" s="5" t="s">
        <v>80</v>
      </c>
      <c r="AI3" s="5">
        <v>0.95399999999999996</v>
      </c>
      <c r="AJ3" s="5" t="s">
        <v>1141</v>
      </c>
      <c r="AM3" s="5">
        <f>1-AM2</f>
        <v>0.98250000000000004</v>
      </c>
      <c r="AN3" s="5">
        <f>1-(AN2/50)</f>
        <v>0.54</v>
      </c>
      <c r="AS3" s="5" t="s">
        <v>1180</v>
      </c>
    </row>
    <row r="4" spans="1:45" s="5" customFormat="1" x14ac:dyDescent="0.25">
      <c r="A4" s="5" t="s">
        <v>971</v>
      </c>
      <c r="B4" s="5">
        <v>853197771</v>
      </c>
      <c r="C4" s="5" t="s">
        <v>972</v>
      </c>
      <c r="D4" s="5" t="s">
        <v>972</v>
      </c>
      <c r="E4" s="5" t="s">
        <v>37</v>
      </c>
      <c r="F4" s="5" t="s">
        <v>122</v>
      </c>
      <c r="I4" s="5" t="s">
        <v>39</v>
      </c>
      <c r="J4" s="5" t="s">
        <v>40</v>
      </c>
      <c r="K4" s="5" t="s">
        <v>41</v>
      </c>
      <c r="L4" s="5" t="s">
        <v>177</v>
      </c>
      <c r="M4" s="5" t="s">
        <v>73</v>
      </c>
      <c r="N4" s="5" t="s">
        <v>43</v>
      </c>
      <c r="O4" s="5" t="s">
        <v>123</v>
      </c>
      <c r="P4" s="5">
        <v>69</v>
      </c>
      <c r="Q4" s="5">
        <v>69</v>
      </c>
      <c r="R4" s="5">
        <v>21</v>
      </c>
      <c r="S4" s="5" t="s">
        <v>45</v>
      </c>
      <c r="T4" s="5">
        <v>0.02</v>
      </c>
      <c r="U4" s="5">
        <v>958</v>
      </c>
      <c r="V4" s="5" t="s">
        <v>46</v>
      </c>
      <c r="W4" s="5">
        <v>0.95699999999999996</v>
      </c>
      <c r="X4" s="5">
        <v>23001</v>
      </c>
      <c r="Y4" s="5" t="s">
        <v>47</v>
      </c>
      <c r="Z4" s="5">
        <v>23</v>
      </c>
      <c r="AA4" s="5">
        <v>404</v>
      </c>
      <c r="AB4" s="5" t="s">
        <v>47</v>
      </c>
      <c r="AC4" s="5">
        <v>0.40300000000000002</v>
      </c>
      <c r="AD4" s="5">
        <v>770</v>
      </c>
      <c r="AE4" s="5" t="s">
        <v>48</v>
      </c>
      <c r="AF4" s="5">
        <v>0.76900000000000002</v>
      </c>
      <c r="AG4" s="5">
        <v>955</v>
      </c>
      <c r="AH4" s="5" t="s">
        <v>80</v>
      </c>
      <c r="AI4" s="5">
        <v>0.95399999999999996</v>
      </c>
      <c r="AJ4" s="5" t="s">
        <v>1153</v>
      </c>
    </row>
    <row r="5" spans="1:45" s="5" customFormat="1" x14ac:dyDescent="0.25">
      <c r="A5" s="5" t="s">
        <v>971</v>
      </c>
      <c r="B5" s="5">
        <v>853197771</v>
      </c>
      <c r="C5" s="5" t="s">
        <v>972</v>
      </c>
      <c r="D5" s="5" t="s">
        <v>972</v>
      </c>
      <c r="E5" s="5" t="s">
        <v>37</v>
      </c>
      <c r="F5" s="5" t="s">
        <v>122</v>
      </c>
      <c r="I5" s="5" t="s">
        <v>39</v>
      </c>
      <c r="J5" s="5" t="s">
        <v>40</v>
      </c>
      <c r="K5" s="5" t="s">
        <v>41</v>
      </c>
      <c r="L5" s="5" t="s">
        <v>177</v>
      </c>
      <c r="M5" s="5" t="s">
        <v>73</v>
      </c>
      <c r="N5" s="5" t="s">
        <v>43</v>
      </c>
      <c r="O5" s="5" t="s">
        <v>123</v>
      </c>
      <c r="P5" s="5">
        <v>69</v>
      </c>
      <c r="Q5" s="5">
        <v>69</v>
      </c>
      <c r="R5" s="5">
        <v>21</v>
      </c>
      <c r="S5" s="5" t="s">
        <v>45</v>
      </c>
      <c r="T5" s="5">
        <v>0.02</v>
      </c>
      <c r="U5" s="5">
        <v>958</v>
      </c>
      <c r="V5" s="5" t="s">
        <v>46</v>
      </c>
      <c r="W5" s="5">
        <v>0.95699999999999996</v>
      </c>
      <c r="X5" s="5">
        <v>23001</v>
      </c>
      <c r="Y5" s="5" t="s">
        <v>47</v>
      </c>
      <c r="Z5" s="5">
        <v>23</v>
      </c>
      <c r="AA5" s="5">
        <v>404</v>
      </c>
      <c r="AB5" s="5" t="s">
        <v>47</v>
      </c>
      <c r="AC5" s="5">
        <v>0.40300000000000002</v>
      </c>
      <c r="AD5" s="5">
        <v>770</v>
      </c>
      <c r="AE5" s="5" t="s">
        <v>48</v>
      </c>
      <c r="AF5" s="5">
        <v>0.76900000000000002</v>
      </c>
      <c r="AG5" s="5">
        <v>955</v>
      </c>
      <c r="AH5" s="5" t="s">
        <v>80</v>
      </c>
      <c r="AI5" s="5">
        <v>0.95399999999999996</v>
      </c>
      <c r="AJ5" s="5" t="s">
        <v>1154</v>
      </c>
    </row>
    <row r="6" spans="1:45" s="4" customFormat="1" x14ac:dyDescent="0.25">
      <c r="A6" s="4" t="s">
        <v>953</v>
      </c>
      <c r="B6" s="4">
        <v>851977446</v>
      </c>
      <c r="C6" s="4" t="s">
        <v>954</v>
      </c>
      <c r="D6" s="4" t="s">
        <v>954</v>
      </c>
      <c r="E6" s="4" t="s">
        <v>37</v>
      </c>
      <c r="F6" s="4" t="s">
        <v>71</v>
      </c>
      <c r="I6" s="4" t="s">
        <v>39</v>
      </c>
      <c r="J6" s="4" t="s">
        <v>40</v>
      </c>
      <c r="K6" s="4" t="s">
        <v>41</v>
      </c>
      <c r="L6" s="4" t="s">
        <v>955</v>
      </c>
      <c r="M6" s="4" t="s">
        <v>816</v>
      </c>
      <c r="N6" s="4" t="s">
        <v>43</v>
      </c>
      <c r="O6" s="4" t="s">
        <v>123</v>
      </c>
      <c r="P6" s="4">
        <v>77</v>
      </c>
      <c r="Q6" s="4">
        <v>77</v>
      </c>
      <c r="R6" s="4">
        <v>1</v>
      </c>
      <c r="S6" s="4" t="s">
        <v>45</v>
      </c>
      <c r="T6" s="4">
        <v>0</v>
      </c>
      <c r="U6" s="4">
        <v>1000</v>
      </c>
      <c r="V6" s="4" t="s">
        <v>46</v>
      </c>
      <c r="W6" s="4">
        <v>0.999</v>
      </c>
      <c r="X6" s="4">
        <v>29001</v>
      </c>
      <c r="Y6" s="4" t="s">
        <v>47</v>
      </c>
      <c r="Z6" s="4">
        <v>29</v>
      </c>
      <c r="AA6" s="4">
        <v>968</v>
      </c>
      <c r="AB6" s="4" t="s">
        <v>75</v>
      </c>
      <c r="AC6" s="4">
        <v>0.96699999999999997</v>
      </c>
      <c r="AD6" s="4">
        <v>961</v>
      </c>
      <c r="AE6" s="4" t="s">
        <v>48</v>
      </c>
      <c r="AF6" s="4">
        <v>0.96</v>
      </c>
      <c r="AG6" s="4">
        <v>996</v>
      </c>
      <c r="AH6" s="4" t="s">
        <v>80</v>
      </c>
      <c r="AI6" s="4">
        <v>0.995</v>
      </c>
      <c r="AJ6" s="4" t="s">
        <v>50</v>
      </c>
      <c r="AM6" s="4">
        <f>AVERAGE(T6:T9)</f>
        <v>0</v>
      </c>
      <c r="AN6" s="4">
        <f>AVERAGE(Z6:Z9)</f>
        <v>29</v>
      </c>
      <c r="AO6" s="4">
        <f>AVERAGE(W6:W9)</f>
        <v>0.999</v>
      </c>
      <c r="AP6" s="4">
        <f>AVERAGE(AC6:AC9)</f>
        <v>0.96699999999999997</v>
      </c>
      <c r="AQ6" s="4">
        <f>AVERAGE(AF6:AF9)</f>
        <v>0.96</v>
      </c>
    </row>
    <row r="7" spans="1:45" s="4" customFormat="1" x14ac:dyDescent="0.25">
      <c r="A7" s="4" t="s">
        <v>953</v>
      </c>
      <c r="B7" s="4">
        <v>851977446</v>
      </c>
      <c r="C7" s="4" t="s">
        <v>954</v>
      </c>
      <c r="D7" s="4" t="s">
        <v>954</v>
      </c>
      <c r="E7" s="4" t="s">
        <v>37</v>
      </c>
      <c r="F7" s="4" t="s">
        <v>71</v>
      </c>
      <c r="I7" s="4" t="s">
        <v>39</v>
      </c>
      <c r="J7" s="4" t="s">
        <v>40</v>
      </c>
      <c r="K7" s="4" t="s">
        <v>41</v>
      </c>
      <c r="L7" s="4" t="s">
        <v>955</v>
      </c>
      <c r="M7" s="4" t="s">
        <v>816</v>
      </c>
      <c r="N7" s="4" t="s">
        <v>43</v>
      </c>
      <c r="O7" s="4" t="s">
        <v>123</v>
      </c>
      <c r="P7" s="4">
        <v>77</v>
      </c>
      <c r="Q7" s="4">
        <v>77</v>
      </c>
      <c r="R7" s="4">
        <v>1</v>
      </c>
      <c r="S7" s="4" t="s">
        <v>45</v>
      </c>
      <c r="T7" s="4">
        <v>0</v>
      </c>
      <c r="U7" s="4">
        <v>1000</v>
      </c>
      <c r="V7" s="4" t="s">
        <v>46</v>
      </c>
      <c r="W7" s="4">
        <v>0.999</v>
      </c>
      <c r="X7" s="4">
        <v>29001</v>
      </c>
      <c r="Y7" s="4" t="s">
        <v>47</v>
      </c>
      <c r="Z7" s="4">
        <v>29</v>
      </c>
      <c r="AA7" s="4">
        <v>968</v>
      </c>
      <c r="AB7" s="4" t="s">
        <v>75</v>
      </c>
      <c r="AC7" s="4">
        <v>0.96699999999999997</v>
      </c>
      <c r="AD7" s="4">
        <v>961</v>
      </c>
      <c r="AE7" s="4" t="s">
        <v>48</v>
      </c>
      <c r="AF7" s="4">
        <v>0.96</v>
      </c>
      <c r="AG7" s="4">
        <v>996</v>
      </c>
      <c r="AH7" s="4" t="s">
        <v>80</v>
      </c>
      <c r="AI7" s="4">
        <v>0.995</v>
      </c>
      <c r="AJ7" s="4" t="s">
        <v>1141</v>
      </c>
      <c r="AM7" s="4">
        <f>1-AM6</f>
        <v>1</v>
      </c>
      <c r="AN7" s="4">
        <f>1-(AN6/50)</f>
        <v>0.42000000000000004</v>
      </c>
      <c r="AS7" s="4" t="s">
        <v>1180</v>
      </c>
    </row>
    <row r="8" spans="1:45" s="4" customFormat="1" x14ac:dyDescent="0.25">
      <c r="A8" s="4" t="s">
        <v>953</v>
      </c>
      <c r="B8" s="4">
        <v>851977446</v>
      </c>
      <c r="C8" s="4" t="s">
        <v>954</v>
      </c>
      <c r="D8" s="4" t="s">
        <v>954</v>
      </c>
      <c r="E8" s="4" t="s">
        <v>37</v>
      </c>
      <c r="F8" s="4" t="s">
        <v>71</v>
      </c>
      <c r="I8" s="4" t="s">
        <v>39</v>
      </c>
      <c r="J8" s="4" t="s">
        <v>40</v>
      </c>
      <c r="K8" s="4" t="s">
        <v>41</v>
      </c>
      <c r="L8" s="4" t="s">
        <v>955</v>
      </c>
      <c r="M8" s="4" t="s">
        <v>816</v>
      </c>
      <c r="N8" s="4" t="s">
        <v>43</v>
      </c>
      <c r="O8" s="4" t="s">
        <v>123</v>
      </c>
      <c r="P8" s="4">
        <v>77</v>
      </c>
      <c r="Q8" s="4">
        <v>77</v>
      </c>
      <c r="R8" s="4">
        <v>1</v>
      </c>
      <c r="S8" s="4" t="s">
        <v>45</v>
      </c>
      <c r="T8" s="4">
        <v>0</v>
      </c>
      <c r="U8" s="4">
        <v>1000</v>
      </c>
      <c r="V8" s="4" t="s">
        <v>46</v>
      </c>
      <c r="W8" s="4">
        <v>0.999</v>
      </c>
      <c r="X8" s="4">
        <v>29001</v>
      </c>
      <c r="Y8" s="4" t="s">
        <v>47</v>
      </c>
      <c r="Z8" s="4">
        <v>29</v>
      </c>
      <c r="AA8" s="4">
        <v>968</v>
      </c>
      <c r="AB8" s="4" t="s">
        <v>75</v>
      </c>
      <c r="AC8" s="4">
        <v>0.96699999999999997</v>
      </c>
      <c r="AD8" s="4">
        <v>961</v>
      </c>
      <c r="AE8" s="4" t="s">
        <v>48</v>
      </c>
      <c r="AF8" s="4">
        <v>0.96</v>
      </c>
      <c r="AG8" s="4">
        <v>996</v>
      </c>
      <c r="AH8" s="4" t="s">
        <v>80</v>
      </c>
      <c r="AI8" s="4">
        <v>0.995</v>
      </c>
      <c r="AJ8" s="4" t="s">
        <v>1153</v>
      </c>
    </row>
    <row r="9" spans="1:45" s="4" customFormat="1" x14ac:dyDescent="0.25">
      <c r="A9" s="4" t="s">
        <v>953</v>
      </c>
      <c r="B9" s="4">
        <v>851977446</v>
      </c>
      <c r="C9" s="4" t="s">
        <v>954</v>
      </c>
      <c r="D9" s="4" t="s">
        <v>954</v>
      </c>
      <c r="E9" s="4" t="s">
        <v>37</v>
      </c>
      <c r="F9" s="4" t="s">
        <v>71</v>
      </c>
      <c r="I9" s="4" t="s">
        <v>39</v>
      </c>
      <c r="J9" s="4" t="s">
        <v>40</v>
      </c>
      <c r="K9" s="4" t="s">
        <v>41</v>
      </c>
      <c r="L9" s="4" t="s">
        <v>955</v>
      </c>
      <c r="M9" s="4" t="s">
        <v>816</v>
      </c>
      <c r="N9" s="4" t="s">
        <v>43</v>
      </c>
      <c r="O9" s="4" t="s">
        <v>123</v>
      </c>
      <c r="P9" s="4">
        <v>77</v>
      </c>
      <c r="Q9" s="4">
        <v>77</v>
      </c>
      <c r="R9" s="4">
        <v>1</v>
      </c>
      <c r="S9" s="4" t="s">
        <v>45</v>
      </c>
      <c r="T9" s="4">
        <v>0</v>
      </c>
      <c r="U9" s="4">
        <v>1000</v>
      </c>
      <c r="V9" s="4" t="s">
        <v>46</v>
      </c>
      <c r="W9" s="4">
        <v>0.999</v>
      </c>
      <c r="X9" s="4">
        <v>29001</v>
      </c>
      <c r="Y9" s="4" t="s">
        <v>47</v>
      </c>
      <c r="Z9" s="4">
        <v>29</v>
      </c>
      <c r="AA9" s="4">
        <v>968</v>
      </c>
      <c r="AB9" s="4" t="s">
        <v>75</v>
      </c>
      <c r="AC9" s="4">
        <v>0.96699999999999997</v>
      </c>
      <c r="AD9" s="4">
        <v>961</v>
      </c>
      <c r="AE9" s="4" t="s">
        <v>48</v>
      </c>
      <c r="AF9" s="4">
        <v>0.96</v>
      </c>
      <c r="AG9" s="4">
        <v>996</v>
      </c>
      <c r="AH9" s="4" t="s">
        <v>80</v>
      </c>
      <c r="AI9" s="4">
        <v>0.995</v>
      </c>
      <c r="AJ9" s="4" t="s">
        <v>1154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E3EEA-415C-41B3-A5E0-60B80D8AAC2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3A3E-5268-4EC6-AAF3-F8C612E4D0F9}">
  <dimension ref="A1:H2769"/>
  <sheetViews>
    <sheetView zoomScale="70" workbookViewId="0">
      <selection activeCell="F4" sqref="F4"/>
    </sheetView>
  </sheetViews>
  <sheetFormatPr defaultRowHeight="15" x14ac:dyDescent="0.25"/>
  <cols>
    <col min="1" max="1" width="18.42578125" bestFit="1" customWidth="1"/>
    <col min="2" max="2" width="8.85546875" bestFit="1" customWidth="1"/>
  </cols>
  <sheetData>
    <row r="1" spans="1:8" x14ac:dyDescent="0.25">
      <c r="A1" t="s">
        <v>39</v>
      </c>
    </row>
    <row r="2" spans="1:8" x14ac:dyDescent="0.25">
      <c r="A2" t="s">
        <v>39</v>
      </c>
      <c r="F2" t="s">
        <v>1173</v>
      </c>
      <c r="G2">
        <f>COUNTIF(A:A, "*benign*")</f>
        <v>1188</v>
      </c>
      <c r="H2" s="1">
        <f>G2/$G$5</f>
        <v>0.42996742671009774</v>
      </c>
    </row>
    <row r="3" spans="1:8" x14ac:dyDescent="0.25">
      <c r="A3" t="s">
        <v>39</v>
      </c>
      <c r="F3" s="2" t="s">
        <v>1172</v>
      </c>
      <c r="G3">
        <f>COUNTIF(A:A, "*-*")</f>
        <v>786</v>
      </c>
      <c r="H3" s="1">
        <f t="shared" ref="H3:H4" si="0">G3/$G$5</f>
        <v>0.28447339847991315</v>
      </c>
    </row>
    <row r="4" spans="1:8" x14ac:dyDescent="0.25">
      <c r="A4" t="s">
        <v>39</v>
      </c>
      <c r="F4" t="s">
        <v>1174</v>
      </c>
      <c r="G4">
        <f>COUNTIF(A:A, "*damaging*")</f>
        <v>789</v>
      </c>
      <c r="H4" s="1">
        <f t="shared" si="0"/>
        <v>0.28555917480998916</v>
      </c>
    </row>
    <row r="5" spans="1:8" x14ac:dyDescent="0.25">
      <c r="A5" t="s">
        <v>39</v>
      </c>
      <c r="F5" t="s">
        <v>1171</v>
      </c>
      <c r="G5">
        <f>SUM(G2:G4)</f>
        <v>2763</v>
      </c>
    </row>
    <row r="6" spans="1:8" x14ac:dyDescent="0.25">
      <c r="A6" t="s">
        <v>39</v>
      </c>
    </row>
    <row r="7" spans="1:8" x14ac:dyDescent="0.25">
      <c r="A7" t="s">
        <v>39</v>
      </c>
    </row>
    <row r="8" spans="1:8" x14ac:dyDescent="0.25">
      <c r="A8" t="s">
        <v>39</v>
      </c>
    </row>
    <row r="9" spans="1:8" x14ac:dyDescent="0.25">
      <c r="A9" t="s">
        <v>39</v>
      </c>
    </row>
    <row r="10" spans="1:8" x14ac:dyDescent="0.25">
      <c r="A10" t="s">
        <v>39</v>
      </c>
    </row>
    <row r="11" spans="1:8" x14ac:dyDescent="0.25">
      <c r="A11" t="s">
        <v>39</v>
      </c>
    </row>
    <row r="12" spans="1:8" x14ac:dyDescent="0.25">
      <c r="A12" t="s">
        <v>39</v>
      </c>
    </row>
    <row r="13" spans="1:8" x14ac:dyDescent="0.25">
      <c r="A13" t="s">
        <v>39</v>
      </c>
    </row>
    <row r="14" spans="1:8" x14ac:dyDescent="0.25">
      <c r="A14" t="s">
        <v>39</v>
      </c>
    </row>
    <row r="15" spans="1:8" x14ac:dyDescent="0.25">
      <c r="A15" t="s">
        <v>39</v>
      </c>
    </row>
    <row r="16" spans="1:8" x14ac:dyDescent="0.25">
      <c r="A16" t="s">
        <v>39</v>
      </c>
    </row>
    <row r="17" spans="1:1" x14ac:dyDescent="0.25">
      <c r="A17" t="s">
        <v>39</v>
      </c>
    </row>
    <row r="18" spans="1:1" x14ac:dyDescent="0.25">
      <c r="A18" t="s">
        <v>39</v>
      </c>
    </row>
    <row r="19" spans="1:1" x14ac:dyDescent="0.25">
      <c r="A19" t="s">
        <v>39</v>
      </c>
    </row>
    <row r="20" spans="1:1" x14ac:dyDescent="0.25">
      <c r="A20" t="s">
        <v>39</v>
      </c>
    </row>
    <row r="21" spans="1:1" x14ac:dyDescent="0.25">
      <c r="A21" t="s">
        <v>39</v>
      </c>
    </row>
    <row r="22" spans="1:1" x14ac:dyDescent="0.25">
      <c r="A22" t="s">
        <v>39</v>
      </c>
    </row>
    <row r="23" spans="1:1" x14ac:dyDescent="0.25">
      <c r="A23" t="s">
        <v>39</v>
      </c>
    </row>
    <row r="24" spans="1:1" x14ac:dyDescent="0.25">
      <c r="A24" t="s">
        <v>39</v>
      </c>
    </row>
    <row r="25" spans="1:1" x14ac:dyDescent="0.25">
      <c r="A25" t="s">
        <v>39</v>
      </c>
    </row>
    <row r="26" spans="1:1" x14ac:dyDescent="0.25">
      <c r="A26" t="s">
        <v>39</v>
      </c>
    </row>
    <row r="27" spans="1:1" x14ac:dyDescent="0.25">
      <c r="A27" t="s">
        <v>39</v>
      </c>
    </row>
    <row r="28" spans="1:1" x14ac:dyDescent="0.25">
      <c r="A28" t="s">
        <v>39</v>
      </c>
    </row>
    <row r="29" spans="1:1" x14ac:dyDescent="0.25">
      <c r="A29" t="s">
        <v>39</v>
      </c>
    </row>
    <row r="30" spans="1:1" x14ac:dyDescent="0.25">
      <c r="A30" t="s">
        <v>39</v>
      </c>
    </row>
    <row r="31" spans="1:1" x14ac:dyDescent="0.25">
      <c r="A31" t="s">
        <v>39</v>
      </c>
    </row>
    <row r="32" spans="1:1" x14ac:dyDescent="0.25">
      <c r="A32" t="s">
        <v>39</v>
      </c>
    </row>
    <row r="33" spans="1:1" x14ac:dyDescent="0.25">
      <c r="A33" t="s">
        <v>39</v>
      </c>
    </row>
    <row r="34" spans="1:1" x14ac:dyDescent="0.25">
      <c r="A34" t="s">
        <v>39</v>
      </c>
    </row>
    <row r="35" spans="1:1" x14ac:dyDescent="0.25">
      <c r="A35" t="s">
        <v>39</v>
      </c>
    </row>
    <row r="36" spans="1:1" x14ac:dyDescent="0.25">
      <c r="A36" t="s">
        <v>39</v>
      </c>
    </row>
    <row r="37" spans="1:1" x14ac:dyDescent="0.25">
      <c r="A37" t="s">
        <v>39</v>
      </c>
    </row>
    <row r="38" spans="1:1" x14ac:dyDescent="0.25">
      <c r="A38" t="s">
        <v>39</v>
      </c>
    </row>
    <row r="39" spans="1:1" x14ac:dyDescent="0.25">
      <c r="A39" t="s">
        <v>39</v>
      </c>
    </row>
    <row r="40" spans="1:1" x14ac:dyDescent="0.25">
      <c r="A40" t="s">
        <v>39</v>
      </c>
    </row>
    <row r="41" spans="1:1" x14ac:dyDescent="0.25">
      <c r="A41" t="s">
        <v>39</v>
      </c>
    </row>
    <row r="42" spans="1:1" x14ac:dyDescent="0.25">
      <c r="A42" t="s">
        <v>39</v>
      </c>
    </row>
    <row r="43" spans="1:1" x14ac:dyDescent="0.25">
      <c r="A43" t="s">
        <v>39</v>
      </c>
    </row>
    <row r="44" spans="1:1" x14ac:dyDescent="0.25">
      <c r="A44" t="s">
        <v>39</v>
      </c>
    </row>
    <row r="45" spans="1:1" x14ac:dyDescent="0.25">
      <c r="A45" t="s">
        <v>39</v>
      </c>
    </row>
    <row r="46" spans="1:1" x14ac:dyDescent="0.25">
      <c r="A46" t="s">
        <v>39</v>
      </c>
    </row>
    <row r="47" spans="1:1" x14ac:dyDescent="0.25">
      <c r="A47" t="s">
        <v>39</v>
      </c>
    </row>
    <row r="48" spans="1:1" x14ac:dyDescent="0.25">
      <c r="A48" t="s">
        <v>39</v>
      </c>
    </row>
    <row r="49" spans="1:1" x14ac:dyDescent="0.25">
      <c r="A49" t="s">
        <v>39</v>
      </c>
    </row>
    <row r="50" spans="1:1" x14ac:dyDescent="0.25">
      <c r="A50" t="s">
        <v>39</v>
      </c>
    </row>
    <row r="51" spans="1:1" x14ac:dyDescent="0.25">
      <c r="A51" t="s">
        <v>39</v>
      </c>
    </row>
    <row r="52" spans="1:1" x14ac:dyDescent="0.25">
      <c r="A52" t="s">
        <v>39</v>
      </c>
    </row>
    <row r="53" spans="1:1" x14ac:dyDescent="0.25">
      <c r="A53" t="s">
        <v>39</v>
      </c>
    </row>
    <row r="54" spans="1:1" x14ac:dyDescent="0.25">
      <c r="A54" t="s">
        <v>39</v>
      </c>
    </row>
    <row r="55" spans="1:1" x14ac:dyDescent="0.25">
      <c r="A55" t="s">
        <v>39</v>
      </c>
    </row>
    <row r="56" spans="1:1" x14ac:dyDescent="0.25">
      <c r="A56" t="s">
        <v>39</v>
      </c>
    </row>
    <row r="57" spans="1:1" x14ac:dyDescent="0.25">
      <c r="A57" t="s">
        <v>39</v>
      </c>
    </row>
    <row r="58" spans="1:1" x14ac:dyDescent="0.25">
      <c r="A58" t="s">
        <v>39</v>
      </c>
    </row>
    <row r="59" spans="1:1" x14ac:dyDescent="0.25">
      <c r="A59" t="s">
        <v>39</v>
      </c>
    </row>
    <row r="60" spans="1:1" x14ac:dyDescent="0.25">
      <c r="A60" t="s">
        <v>39</v>
      </c>
    </row>
    <row r="61" spans="1:1" x14ac:dyDescent="0.25">
      <c r="A61" t="s">
        <v>39</v>
      </c>
    </row>
    <row r="62" spans="1:1" x14ac:dyDescent="0.25">
      <c r="A62" t="s">
        <v>39</v>
      </c>
    </row>
    <row r="63" spans="1:1" x14ac:dyDescent="0.25">
      <c r="A63" t="s">
        <v>39</v>
      </c>
    </row>
    <row r="64" spans="1:1" x14ac:dyDescent="0.25">
      <c r="A64" t="s">
        <v>39</v>
      </c>
    </row>
    <row r="65" spans="1:1" x14ac:dyDescent="0.25">
      <c r="A65" t="s">
        <v>39</v>
      </c>
    </row>
    <row r="66" spans="1:1" x14ac:dyDescent="0.25">
      <c r="A66" t="s">
        <v>39</v>
      </c>
    </row>
    <row r="67" spans="1:1" x14ac:dyDescent="0.25">
      <c r="A67" t="s">
        <v>39</v>
      </c>
    </row>
    <row r="68" spans="1:1" x14ac:dyDescent="0.25">
      <c r="A68" t="s">
        <v>39</v>
      </c>
    </row>
    <row r="69" spans="1:1" x14ac:dyDescent="0.25">
      <c r="A69" t="s">
        <v>39</v>
      </c>
    </row>
    <row r="70" spans="1:1" x14ac:dyDescent="0.25">
      <c r="A70" t="s">
        <v>39</v>
      </c>
    </row>
    <row r="71" spans="1:1" x14ac:dyDescent="0.25">
      <c r="A71" t="s">
        <v>39</v>
      </c>
    </row>
    <row r="72" spans="1:1" x14ac:dyDescent="0.25">
      <c r="A72" t="s">
        <v>39</v>
      </c>
    </row>
    <row r="73" spans="1:1" x14ac:dyDescent="0.25">
      <c r="A73" t="s">
        <v>39</v>
      </c>
    </row>
    <row r="74" spans="1:1" x14ac:dyDescent="0.25">
      <c r="A74" t="s">
        <v>39</v>
      </c>
    </row>
    <row r="75" spans="1:1" x14ac:dyDescent="0.25">
      <c r="A75" t="s">
        <v>39</v>
      </c>
    </row>
    <row r="76" spans="1:1" x14ac:dyDescent="0.25">
      <c r="A76" t="s">
        <v>39</v>
      </c>
    </row>
    <row r="77" spans="1:1" x14ac:dyDescent="0.25">
      <c r="A77" t="s">
        <v>39</v>
      </c>
    </row>
    <row r="78" spans="1:1" x14ac:dyDescent="0.25">
      <c r="A78" t="s">
        <v>39</v>
      </c>
    </row>
    <row r="79" spans="1:1" x14ac:dyDescent="0.25">
      <c r="A79" t="s">
        <v>39</v>
      </c>
    </row>
    <row r="80" spans="1:1" x14ac:dyDescent="0.25">
      <c r="A80" t="s">
        <v>39</v>
      </c>
    </row>
    <row r="81" spans="1:1" x14ac:dyDescent="0.25">
      <c r="A81" t="s">
        <v>39</v>
      </c>
    </row>
    <row r="82" spans="1:1" x14ac:dyDescent="0.25">
      <c r="A82" t="s">
        <v>39</v>
      </c>
    </row>
    <row r="83" spans="1:1" x14ac:dyDescent="0.25">
      <c r="A83" t="s">
        <v>39</v>
      </c>
    </row>
    <row r="84" spans="1:1" x14ac:dyDescent="0.25">
      <c r="A84" t="s">
        <v>39</v>
      </c>
    </row>
    <row r="85" spans="1:1" x14ac:dyDescent="0.25">
      <c r="A85" t="s">
        <v>39</v>
      </c>
    </row>
    <row r="86" spans="1:1" x14ac:dyDescent="0.25">
      <c r="A86" t="s">
        <v>39</v>
      </c>
    </row>
    <row r="87" spans="1:1" x14ac:dyDescent="0.25">
      <c r="A87" t="s">
        <v>39</v>
      </c>
    </row>
    <row r="88" spans="1:1" x14ac:dyDescent="0.25">
      <c r="A88" t="s">
        <v>39</v>
      </c>
    </row>
    <row r="89" spans="1:1" x14ac:dyDescent="0.25">
      <c r="A89" t="s">
        <v>39</v>
      </c>
    </row>
    <row r="90" spans="1:1" x14ac:dyDescent="0.25">
      <c r="A90" t="s">
        <v>39</v>
      </c>
    </row>
    <row r="91" spans="1:1" x14ac:dyDescent="0.25">
      <c r="A91" t="s">
        <v>39</v>
      </c>
    </row>
    <row r="92" spans="1:1" x14ac:dyDescent="0.25">
      <c r="A92" t="s">
        <v>39</v>
      </c>
    </row>
    <row r="93" spans="1:1" x14ac:dyDescent="0.25">
      <c r="A93" t="s">
        <v>39</v>
      </c>
    </row>
    <row r="94" spans="1:1" x14ac:dyDescent="0.25">
      <c r="A94" t="s">
        <v>39</v>
      </c>
    </row>
    <row r="95" spans="1:1" x14ac:dyDescent="0.25">
      <c r="A95" t="s">
        <v>39</v>
      </c>
    </row>
    <row r="96" spans="1:1" x14ac:dyDescent="0.25">
      <c r="A96" t="s">
        <v>39</v>
      </c>
    </row>
    <row r="97" spans="1:1" x14ac:dyDescent="0.25">
      <c r="A97" t="s">
        <v>39</v>
      </c>
    </row>
    <row r="98" spans="1:1" x14ac:dyDescent="0.25">
      <c r="A98" t="s">
        <v>39</v>
      </c>
    </row>
    <row r="99" spans="1:1" x14ac:dyDescent="0.25">
      <c r="A99" t="s">
        <v>39</v>
      </c>
    </row>
    <row r="100" spans="1:1" x14ac:dyDescent="0.25">
      <c r="A100" t="s">
        <v>39</v>
      </c>
    </row>
    <row r="101" spans="1:1" x14ac:dyDescent="0.25">
      <c r="A101" t="s">
        <v>39</v>
      </c>
    </row>
    <row r="102" spans="1:1" x14ac:dyDescent="0.25">
      <c r="A102" t="s">
        <v>39</v>
      </c>
    </row>
    <row r="103" spans="1:1" x14ac:dyDescent="0.25">
      <c r="A103" t="s">
        <v>39</v>
      </c>
    </row>
    <row r="104" spans="1:1" x14ac:dyDescent="0.25">
      <c r="A104" t="s">
        <v>39</v>
      </c>
    </row>
    <row r="105" spans="1:1" x14ac:dyDescent="0.25">
      <c r="A105" t="s">
        <v>39</v>
      </c>
    </row>
    <row r="106" spans="1:1" x14ac:dyDescent="0.25">
      <c r="A106" t="s">
        <v>39</v>
      </c>
    </row>
    <row r="107" spans="1:1" x14ac:dyDescent="0.25">
      <c r="A107" t="s">
        <v>39</v>
      </c>
    </row>
    <row r="108" spans="1:1" x14ac:dyDescent="0.25">
      <c r="A108" t="s">
        <v>39</v>
      </c>
    </row>
    <row r="109" spans="1:1" x14ac:dyDescent="0.25">
      <c r="A109" t="s">
        <v>39</v>
      </c>
    </row>
    <row r="110" spans="1:1" x14ac:dyDescent="0.25">
      <c r="A110" t="s">
        <v>39</v>
      </c>
    </row>
    <row r="111" spans="1:1" x14ac:dyDescent="0.25">
      <c r="A111" t="s">
        <v>39</v>
      </c>
    </row>
    <row r="112" spans="1:1" x14ac:dyDescent="0.25">
      <c r="A112" t="s">
        <v>39</v>
      </c>
    </row>
    <row r="113" spans="1:1" x14ac:dyDescent="0.25">
      <c r="A113" t="s">
        <v>39</v>
      </c>
    </row>
    <row r="114" spans="1:1" x14ac:dyDescent="0.25">
      <c r="A114" t="s">
        <v>39</v>
      </c>
    </row>
    <row r="115" spans="1:1" x14ac:dyDescent="0.25">
      <c r="A115" t="s">
        <v>39</v>
      </c>
    </row>
    <row r="116" spans="1:1" x14ac:dyDescent="0.25">
      <c r="A116" t="s">
        <v>39</v>
      </c>
    </row>
    <row r="117" spans="1:1" x14ac:dyDescent="0.25">
      <c r="A117" t="s">
        <v>39</v>
      </c>
    </row>
    <row r="118" spans="1:1" x14ac:dyDescent="0.25">
      <c r="A118" t="s">
        <v>39</v>
      </c>
    </row>
    <row r="119" spans="1:1" x14ac:dyDescent="0.25">
      <c r="A119" t="s">
        <v>39</v>
      </c>
    </row>
    <row r="120" spans="1:1" x14ac:dyDescent="0.25">
      <c r="A120" t="s">
        <v>39</v>
      </c>
    </row>
    <row r="121" spans="1:1" x14ac:dyDescent="0.25">
      <c r="A121" t="s">
        <v>39</v>
      </c>
    </row>
    <row r="122" spans="1:1" x14ac:dyDescent="0.25">
      <c r="A122" t="s">
        <v>39</v>
      </c>
    </row>
    <row r="123" spans="1:1" x14ac:dyDescent="0.25">
      <c r="A123" t="s">
        <v>39</v>
      </c>
    </row>
    <row r="124" spans="1:1" x14ac:dyDescent="0.25">
      <c r="A124" t="s">
        <v>39</v>
      </c>
    </row>
    <row r="125" spans="1:1" x14ac:dyDescent="0.25">
      <c r="A125" t="s">
        <v>39</v>
      </c>
    </row>
    <row r="126" spans="1:1" x14ac:dyDescent="0.25">
      <c r="A126" t="s">
        <v>39</v>
      </c>
    </row>
    <row r="127" spans="1:1" x14ac:dyDescent="0.25">
      <c r="A127" t="s">
        <v>39</v>
      </c>
    </row>
    <row r="128" spans="1:1" x14ac:dyDescent="0.25">
      <c r="A128" t="s">
        <v>39</v>
      </c>
    </row>
    <row r="129" spans="1:1" x14ac:dyDescent="0.25">
      <c r="A129" t="s">
        <v>39</v>
      </c>
    </row>
    <row r="130" spans="1:1" x14ac:dyDescent="0.25">
      <c r="A130" t="s">
        <v>39</v>
      </c>
    </row>
    <row r="131" spans="1:1" x14ac:dyDescent="0.25">
      <c r="A131" t="s">
        <v>39</v>
      </c>
    </row>
    <row r="132" spans="1:1" x14ac:dyDescent="0.25">
      <c r="A132" t="s">
        <v>39</v>
      </c>
    </row>
    <row r="133" spans="1:1" x14ac:dyDescent="0.25">
      <c r="A133" t="s">
        <v>39</v>
      </c>
    </row>
    <row r="134" spans="1:1" x14ac:dyDescent="0.25">
      <c r="A134" t="s">
        <v>39</v>
      </c>
    </row>
    <row r="135" spans="1:1" x14ac:dyDescent="0.25">
      <c r="A135" t="s">
        <v>39</v>
      </c>
    </row>
    <row r="136" spans="1:1" x14ac:dyDescent="0.25">
      <c r="A136" t="s">
        <v>39</v>
      </c>
    </row>
    <row r="137" spans="1:1" x14ac:dyDescent="0.25">
      <c r="A137" t="s">
        <v>39</v>
      </c>
    </row>
    <row r="138" spans="1:1" x14ac:dyDescent="0.25">
      <c r="A138" t="s">
        <v>39</v>
      </c>
    </row>
    <row r="139" spans="1:1" x14ac:dyDescent="0.25">
      <c r="A139" t="s">
        <v>39</v>
      </c>
    </row>
    <row r="140" spans="1:1" x14ac:dyDescent="0.25">
      <c r="A140" t="s">
        <v>39</v>
      </c>
    </row>
    <row r="141" spans="1:1" x14ac:dyDescent="0.25">
      <c r="A141" t="s">
        <v>39</v>
      </c>
    </row>
    <row r="142" spans="1:1" x14ac:dyDescent="0.25">
      <c r="A142" t="s">
        <v>39</v>
      </c>
    </row>
    <row r="143" spans="1:1" x14ac:dyDescent="0.25">
      <c r="A143" t="s">
        <v>39</v>
      </c>
    </row>
    <row r="144" spans="1:1" x14ac:dyDescent="0.25">
      <c r="A144" t="s">
        <v>39</v>
      </c>
    </row>
    <row r="145" spans="1:1" x14ac:dyDescent="0.25">
      <c r="A145" t="s">
        <v>39</v>
      </c>
    </row>
    <row r="146" spans="1:1" x14ac:dyDescent="0.25">
      <c r="A146" t="s">
        <v>39</v>
      </c>
    </row>
    <row r="147" spans="1:1" x14ac:dyDescent="0.25">
      <c r="A147" t="s">
        <v>39</v>
      </c>
    </row>
    <row r="148" spans="1:1" x14ac:dyDescent="0.25">
      <c r="A148" t="s">
        <v>39</v>
      </c>
    </row>
    <row r="149" spans="1:1" x14ac:dyDescent="0.25">
      <c r="A149" t="s">
        <v>39</v>
      </c>
    </row>
    <row r="150" spans="1:1" x14ac:dyDescent="0.25">
      <c r="A150" t="s">
        <v>39</v>
      </c>
    </row>
    <row r="151" spans="1:1" x14ac:dyDescent="0.25">
      <c r="A151" t="s">
        <v>39</v>
      </c>
    </row>
    <row r="152" spans="1:1" x14ac:dyDescent="0.25">
      <c r="A152" t="s">
        <v>39</v>
      </c>
    </row>
    <row r="153" spans="1:1" x14ac:dyDescent="0.25">
      <c r="A153" t="s">
        <v>39</v>
      </c>
    </row>
    <row r="154" spans="1:1" x14ac:dyDescent="0.25">
      <c r="A154" t="s">
        <v>39</v>
      </c>
    </row>
    <row r="155" spans="1:1" x14ac:dyDescent="0.25">
      <c r="A155" t="s">
        <v>39</v>
      </c>
    </row>
    <row r="156" spans="1:1" x14ac:dyDescent="0.25">
      <c r="A156" t="s">
        <v>39</v>
      </c>
    </row>
    <row r="157" spans="1:1" x14ac:dyDescent="0.25">
      <c r="A157" t="s">
        <v>39</v>
      </c>
    </row>
    <row r="158" spans="1:1" x14ac:dyDescent="0.25">
      <c r="A158" t="s">
        <v>39</v>
      </c>
    </row>
    <row r="159" spans="1:1" x14ac:dyDescent="0.25">
      <c r="A159" t="s">
        <v>39</v>
      </c>
    </row>
    <row r="160" spans="1:1" x14ac:dyDescent="0.25">
      <c r="A160" t="s">
        <v>39</v>
      </c>
    </row>
    <row r="161" spans="1:1" x14ac:dyDescent="0.25">
      <c r="A161" t="s">
        <v>39</v>
      </c>
    </row>
    <row r="162" spans="1:1" x14ac:dyDescent="0.25">
      <c r="A162" t="s">
        <v>39</v>
      </c>
    </row>
    <row r="163" spans="1:1" x14ac:dyDescent="0.25">
      <c r="A163" t="s">
        <v>39</v>
      </c>
    </row>
    <row r="164" spans="1:1" x14ac:dyDescent="0.25">
      <c r="A164" t="s">
        <v>39</v>
      </c>
    </row>
    <row r="165" spans="1:1" x14ac:dyDescent="0.25">
      <c r="A165" t="s">
        <v>39</v>
      </c>
    </row>
    <row r="166" spans="1:1" x14ac:dyDescent="0.25">
      <c r="A166" t="s">
        <v>39</v>
      </c>
    </row>
    <row r="167" spans="1:1" x14ac:dyDescent="0.25">
      <c r="A167" t="s">
        <v>39</v>
      </c>
    </row>
    <row r="168" spans="1:1" x14ac:dyDescent="0.25">
      <c r="A168" t="s">
        <v>39</v>
      </c>
    </row>
    <row r="169" spans="1:1" x14ac:dyDescent="0.25">
      <c r="A169" t="s">
        <v>39</v>
      </c>
    </row>
    <row r="170" spans="1:1" x14ac:dyDescent="0.25">
      <c r="A170" t="s">
        <v>39</v>
      </c>
    </row>
    <row r="171" spans="1:1" x14ac:dyDescent="0.25">
      <c r="A171" t="s">
        <v>39</v>
      </c>
    </row>
    <row r="172" spans="1:1" x14ac:dyDescent="0.25">
      <c r="A172" t="s">
        <v>39</v>
      </c>
    </row>
    <row r="173" spans="1:1" x14ac:dyDescent="0.25">
      <c r="A173" t="s">
        <v>39</v>
      </c>
    </row>
    <row r="174" spans="1:1" x14ac:dyDescent="0.25">
      <c r="A174" t="s">
        <v>39</v>
      </c>
    </row>
    <row r="175" spans="1:1" x14ac:dyDescent="0.25">
      <c r="A175" t="s">
        <v>39</v>
      </c>
    </row>
    <row r="176" spans="1:1" x14ac:dyDescent="0.25">
      <c r="A176" t="s">
        <v>39</v>
      </c>
    </row>
    <row r="177" spans="1:1" x14ac:dyDescent="0.25">
      <c r="A177" t="s">
        <v>39</v>
      </c>
    </row>
    <row r="178" spans="1:1" x14ac:dyDescent="0.25">
      <c r="A178" t="s">
        <v>39</v>
      </c>
    </row>
    <row r="179" spans="1:1" x14ac:dyDescent="0.25">
      <c r="A179" t="s">
        <v>39</v>
      </c>
    </row>
    <row r="180" spans="1:1" x14ac:dyDescent="0.25">
      <c r="A180" t="s">
        <v>39</v>
      </c>
    </row>
    <row r="181" spans="1:1" x14ac:dyDescent="0.25">
      <c r="A181" t="s">
        <v>39</v>
      </c>
    </row>
    <row r="182" spans="1:1" x14ac:dyDescent="0.25">
      <c r="A182" t="s">
        <v>39</v>
      </c>
    </row>
    <row r="183" spans="1:1" x14ac:dyDescent="0.25">
      <c r="A183" t="s">
        <v>39</v>
      </c>
    </row>
    <row r="184" spans="1:1" x14ac:dyDescent="0.25">
      <c r="A184" t="s">
        <v>39</v>
      </c>
    </row>
    <row r="185" spans="1:1" x14ac:dyDescent="0.25">
      <c r="A185" t="s">
        <v>39</v>
      </c>
    </row>
    <row r="186" spans="1:1" x14ac:dyDescent="0.25">
      <c r="A186" t="s">
        <v>39</v>
      </c>
    </row>
    <row r="187" spans="1:1" x14ac:dyDescent="0.25">
      <c r="A187" t="s">
        <v>39</v>
      </c>
    </row>
    <row r="188" spans="1:1" x14ac:dyDescent="0.25">
      <c r="A188" t="s">
        <v>39</v>
      </c>
    </row>
    <row r="189" spans="1:1" x14ac:dyDescent="0.25">
      <c r="A189" t="s">
        <v>39</v>
      </c>
    </row>
    <row r="190" spans="1:1" x14ac:dyDescent="0.25">
      <c r="A190" t="s">
        <v>39</v>
      </c>
    </row>
    <row r="191" spans="1:1" x14ac:dyDescent="0.25">
      <c r="A191" t="s">
        <v>39</v>
      </c>
    </row>
    <row r="192" spans="1:1" x14ac:dyDescent="0.25">
      <c r="A192" t="s">
        <v>39</v>
      </c>
    </row>
    <row r="193" spans="1:1" x14ac:dyDescent="0.25">
      <c r="A193" t="s">
        <v>39</v>
      </c>
    </row>
    <row r="194" spans="1:1" x14ac:dyDescent="0.25">
      <c r="A194" t="s">
        <v>39</v>
      </c>
    </row>
    <row r="195" spans="1:1" x14ac:dyDescent="0.25">
      <c r="A195" t="s">
        <v>39</v>
      </c>
    </row>
    <row r="196" spans="1:1" x14ac:dyDescent="0.25">
      <c r="A196" t="s">
        <v>39</v>
      </c>
    </row>
    <row r="197" spans="1:1" x14ac:dyDescent="0.25">
      <c r="A197" t="s">
        <v>39</v>
      </c>
    </row>
    <row r="198" spans="1:1" x14ac:dyDescent="0.25">
      <c r="A198" t="s">
        <v>39</v>
      </c>
    </row>
    <row r="199" spans="1:1" x14ac:dyDescent="0.25">
      <c r="A199" t="s">
        <v>39</v>
      </c>
    </row>
    <row r="200" spans="1:1" x14ac:dyDescent="0.25">
      <c r="A200" t="s">
        <v>39</v>
      </c>
    </row>
    <row r="201" spans="1:1" x14ac:dyDescent="0.25">
      <c r="A201" t="s">
        <v>39</v>
      </c>
    </row>
    <row r="202" spans="1:1" x14ac:dyDescent="0.25">
      <c r="A202" t="s">
        <v>39</v>
      </c>
    </row>
    <row r="203" spans="1:1" x14ac:dyDescent="0.25">
      <c r="A203" t="s">
        <v>39</v>
      </c>
    </row>
    <row r="204" spans="1:1" x14ac:dyDescent="0.25">
      <c r="A204" t="s">
        <v>39</v>
      </c>
    </row>
    <row r="205" spans="1:1" x14ac:dyDescent="0.25">
      <c r="A205" t="s">
        <v>39</v>
      </c>
    </row>
    <row r="206" spans="1:1" x14ac:dyDescent="0.25">
      <c r="A206" t="s">
        <v>39</v>
      </c>
    </row>
    <row r="207" spans="1:1" x14ac:dyDescent="0.25">
      <c r="A207" t="s">
        <v>39</v>
      </c>
    </row>
    <row r="208" spans="1:1" x14ac:dyDescent="0.25">
      <c r="A208" t="s">
        <v>39</v>
      </c>
    </row>
    <row r="209" spans="1:1" x14ac:dyDescent="0.25">
      <c r="A209" t="s">
        <v>39</v>
      </c>
    </row>
    <row r="210" spans="1:1" x14ac:dyDescent="0.25">
      <c r="A210" t="s">
        <v>39</v>
      </c>
    </row>
    <row r="211" spans="1:1" x14ac:dyDescent="0.25">
      <c r="A211" t="s">
        <v>39</v>
      </c>
    </row>
    <row r="212" spans="1:1" x14ac:dyDescent="0.25">
      <c r="A212" t="s">
        <v>39</v>
      </c>
    </row>
    <row r="213" spans="1:1" x14ac:dyDescent="0.25">
      <c r="A213" t="s">
        <v>39</v>
      </c>
    </row>
    <row r="214" spans="1:1" x14ac:dyDescent="0.25">
      <c r="A214" t="s">
        <v>39</v>
      </c>
    </row>
    <row r="215" spans="1:1" x14ac:dyDescent="0.25">
      <c r="A215" t="s">
        <v>39</v>
      </c>
    </row>
    <row r="216" spans="1:1" x14ac:dyDescent="0.25">
      <c r="A216" t="s">
        <v>39</v>
      </c>
    </row>
    <row r="217" spans="1:1" x14ac:dyDescent="0.25">
      <c r="A217" t="s">
        <v>39</v>
      </c>
    </row>
    <row r="218" spans="1:1" x14ac:dyDescent="0.25">
      <c r="A218" t="s">
        <v>39</v>
      </c>
    </row>
    <row r="219" spans="1:1" x14ac:dyDescent="0.25">
      <c r="A219" t="s">
        <v>39</v>
      </c>
    </row>
    <row r="220" spans="1:1" x14ac:dyDescent="0.25">
      <c r="A220" t="s">
        <v>39</v>
      </c>
    </row>
    <row r="221" spans="1:1" x14ac:dyDescent="0.25">
      <c r="A221" t="s">
        <v>39</v>
      </c>
    </row>
    <row r="222" spans="1:1" x14ac:dyDescent="0.25">
      <c r="A222" t="s">
        <v>39</v>
      </c>
    </row>
    <row r="223" spans="1:1" x14ac:dyDescent="0.25">
      <c r="A223" t="s">
        <v>39</v>
      </c>
    </row>
    <row r="224" spans="1:1" x14ac:dyDescent="0.25">
      <c r="A224" t="s">
        <v>39</v>
      </c>
    </row>
    <row r="225" spans="1:1" x14ac:dyDescent="0.25">
      <c r="A225" t="s">
        <v>39</v>
      </c>
    </row>
    <row r="226" spans="1:1" x14ac:dyDescent="0.25">
      <c r="A226" t="s">
        <v>39</v>
      </c>
    </row>
    <row r="227" spans="1:1" x14ac:dyDescent="0.25">
      <c r="A227" t="s">
        <v>39</v>
      </c>
    </row>
    <row r="228" spans="1:1" x14ac:dyDescent="0.25">
      <c r="A228" t="s">
        <v>39</v>
      </c>
    </row>
    <row r="229" spans="1:1" x14ac:dyDescent="0.25">
      <c r="A229" t="s">
        <v>39</v>
      </c>
    </row>
    <row r="230" spans="1:1" x14ac:dyDescent="0.25">
      <c r="A230" t="s">
        <v>39</v>
      </c>
    </row>
    <row r="231" spans="1:1" x14ac:dyDescent="0.25">
      <c r="A231" t="s">
        <v>39</v>
      </c>
    </row>
    <row r="232" spans="1:1" x14ac:dyDescent="0.25">
      <c r="A232" t="s">
        <v>39</v>
      </c>
    </row>
    <row r="233" spans="1:1" x14ac:dyDescent="0.25">
      <c r="A233" t="s">
        <v>39</v>
      </c>
    </row>
    <row r="234" spans="1:1" x14ac:dyDescent="0.25">
      <c r="A234" t="s">
        <v>39</v>
      </c>
    </row>
    <row r="235" spans="1:1" x14ac:dyDescent="0.25">
      <c r="A235" t="s">
        <v>39</v>
      </c>
    </row>
    <row r="236" spans="1:1" x14ac:dyDescent="0.25">
      <c r="A236" t="s">
        <v>39</v>
      </c>
    </row>
    <row r="237" spans="1:1" x14ac:dyDescent="0.25">
      <c r="A237" t="s">
        <v>39</v>
      </c>
    </row>
    <row r="238" spans="1:1" x14ac:dyDescent="0.25">
      <c r="A238" t="s">
        <v>39</v>
      </c>
    </row>
    <row r="239" spans="1:1" x14ac:dyDescent="0.25">
      <c r="A239" t="s">
        <v>39</v>
      </c>
    </row>
    <row r="240" spans="1:1" x14ac:dyDescent="0.25">
      <c r="A240" t="s">
        <v>39</v>
      </c>
    </row>
    <row r="241" spans="1:1" x14ac:dyDescent="0.25">
      <c r="A241" t="s">
        <v>39</v>
      </c>
    </row>
    <row r="242" spans="1:1" x14ac:dyDescent="0.25">
      <c r="A242" t="s">
        <v>39</v>
      </c>
    </row>
    <row r="243" spans="1:1" x14ac:dyDescent="0.25">
      <c r="A243" t="s">
        <v>39</v>
      </c>
    </row>
    <row r="244" spans="1:1" x14ac:dyDescent="0.25">
      <c r="A244" t="s">
        <v>39</v>
      </c>
    </row>
    <row r="245" spans="1:1" x14ac:dyDescent="0.25">
      <c r="A245" t="s">
        <v>39</v>
      </c>
    </row>
    <row r="246" spans="1:1" x14ac:dyDescent="0.25">
      <c r="A246" t="s">
        <v>39</v>
      </c>
    </row>
    <row r="247" spans="1:1" x14ac:dyDescent="0.25">
      <c r="A247" t="s">
        <v>39</v>
      </c>
    </row>
    <row r="248" spans="1:1" x14ac:dyDescent="0.25">
      <c r="A248" t="s">
        <v>39</v>
      </c>
    </row>
    <row r="249" spans="1:1" x14ac:dyDescent="0.25">
      <c r="A249" t="s">
        <v>39</v>
      </c>
    </row>
    <row r="250" spans="1:1" x14ac:dyDescent="0.25">
      <c r="A250" t="s">
        <v>39</v>
      </c>
    </row>
    <row r="251" spans="1:1" x14ac:dyDescent="0.25">
      <c r="A251" t="s">
        <v>39</v>
      </c>
    </row>
    <row r="252" spans="1:1" x14ac:dyDescent="0.25">
      <c r="A252" t="s">
        <v>39</v>
      </c>
    </row>
    <row r="253" spans="1:1" x14ac:dyDescent="0.25">
      <c r="A253" t="s">
        <v>39</v>
      </c>
    </row>
    <row r="254" spans="1:1" x14ac:dyDescent="0.25">
      <c r="A254" t="s">
        <v>39</v>
      </c>
    </row>
    <row r="255" spans="1:1" x14ac:dyDescent="0.25">
      <c r="A255" t="s">
        <v>39</v>
      </c>
    </row>
    <row r="256" spans="1:1" x14ac:dyDescent="0.25">
      <c r="A256" t="s">
        <v>39</v>
      </c>
    </row>
    <row r="257" spans="1:1" x14ac:dyDescent="0.25">
      <c r="A257" t="s">
        <v>39</v>
      </c>
    </row>
    <row r="258" spans="1:1" x14ac:dyDescent="0.25">
      <c r="A258" t="s">
        <v>39</v>
      </c>
    </row>
    <row r="259" spans="1:1" x14ac:dyDescent="0.25">
      <c r="A259" t="s">
        <v>39</v>
      </c>
    </row>
    <row r="260" spans="1:1" x14ac:dyDescent="0.25">
      <c r="A260" t="s">
        <v>39</v>
      </c>
    </row>
    <row r="261" spans="1:1" x14ac:dyDescent="0.25">
      <c r="A261" t="s">
        <v>39</v>
      </c>
    </row>
    <row r="262" spans="1:1" x14ac:dyDescent="0.25">
      <c r="A262" t="s">
        <v>39</v>
      </c>
    </row>
    <row r="263" spans="1:1" x14ac:dyDescent="0.25">
      <c r="A263" t="s">
        <v>39</v>
      </c>
    </row>
    <row r="264" spans="1:1" x14ac:dyDescent="0.25">
      <c r="A264" t="s">
        <v>39</v>
      </c>
    </row>
    <row r="265" spans="1:1" x14ac:dyDescent="0.25">
      <c r="A265" t="s">
        <v>39</v>
      </c>
    </row>
    <row r="266" spans="1:1" x14ac:dyDescent="0.25">
      <c r="A266" t="s">
        <v>39</v>
      </c>
    </row>
    <row r="267" spans="1:1" x14ac:dyDescent="0.25">
      <c r="A267" t="s">
        <v>39</v>
      </c>
    </row>
    <row r="268" spans="1:1" x14ac:dyDescent="0.25">
      <c r="A268" t="s">
        <v>39</v>
      </c>
    </row>
    <row r="269" spans="1:1" x14ac:dyDescent="0.25">
      <c r="A269" t="s">
        <v>39</v>
      </c>
    </row>
    <row r="270" spans="1:1" x14ac:dyDescent="0.25">
      <c r="A270" t="s">
        <v>39</v>
      </c>
    </row>
    <row r="271" spans="1:1" x14ac:dyDescent="0.25">
      <c r="A271" t="s">
        <v>39</v>
      </c>
    </row>
    <row r="272" spans="1:1" x14ac:dyDescent="0.25">
      <c r="A272" t="s">
        <v>39</v>
      </c>
    </row>
    <row r="273" spans="1:1" x14ac:dyDescent="0.25">
      <c r="A273" t="s">
        <v>39</v>
      </c>
    </row>
    <row r="274" spans="1:1" x14ac:dyDescent="0.25">
      <c r="A274" t="s">
        <v>39</v>
      </c>
    </row>
    <row r="275" spans="1:1" x14ac:dyDescent="0.25">
      <c r="A275" t="s">
        <v>39</v>
      </c>
    </row>
    <row r="276" spans="1:1" x14ac:dyDescent="0.25">
      <c r="A276" t="s">
        <v>39</v>
      </c>
    </row>
    <row r="277" spans="1:1" x14ac:dyDescent="0.25">
      <c r="A277" t="s">
        <v>39</v>
      </c>
    </row>
    <row r="278" spans="1:1" x14ac:dyDescent="0.25">
      <c r="A278" t="s">
        <v>39</v>
      </c>
    </row>
    <row r="279" spans="1:1" x14ac:dyDescent="0.25">
      <c r="A279" t="s">
        <v>39</v>
      </c>
    </row>
    <row r="280" spans="1:1" x14ac:dyDescent="0.25">
      <c r="A280" t="s">
        <v>39</v>
      </c>
    </row>
    <row r="281" spans="1:1" x14ac:dyDescent="0.25">
      <c r="A281" t="s">
        <v>39</v>
      </c>
    </row>
    <row r="282" spans="1:1" x14ac:dyDescent="0.25">
      <c r="A282" t="s">
        <v>39</v>
      </c>
    </row>
    <row r="283" spans="1:1" x14ac:dyDescent="0.25">
      <c r="A283" t="s">
        <v>39</v>
      </c>
    </row>
    <row r="284" spans="1:1" x14ac:dyDescent="0.25">
      <c r="A284" t="s">
        <v>39</v>
      </c>
    </row>
    <row r="285" spans="1:1" x14ac:dyDescent="0.25">
      <c r="A285" t="s">
        <v>39</v>
      </c>
    </row>
    <row r="286" spans="1:1" x14ac:dyDescent="0.25">
      <c r="A286" t="s">
        <v>39</v>
      </c>
    </row>
    <row r="287" spans="1:1" x14ac:dyDescent="0.25">
      <c r="A287" t="s">
        <v>39</v>
      </c>
    </row>
    <row r="288" spans="1:1" x14ac:dyDescent="0.25">
      <c r="A288" t="s">
        <v>39</v>
      </c>
    </row>
    <row r="289" spans="1:1" x14ac:dyDescent="0.25">
      <c r="A289" t="s">
        <v>39</v>
      </c>
    </row>
    <row r="290" spans="1:1" x14ac:dyDescent="0.25">
      <c r="A290" t="s">
        <v>39</v>
      </c>
    </row>
    <row r="291" spans="1:1" x14ac:dyDescent="0.25">
      <c r="A291" t="s">
        <v>39</v>
      </c>
    </row>
    <row r="292" spans="1:1" x14ac:dyDescent="0.25">
      <c r="A292" t="s">
        <v>39</v>
      </c>
    </row>
    <row r="293" spans="1:1" x14ac:dyDescent="0.25">
      <c r="A293" t="s">
        <v>39</v>
      </c>
    </row>
    <row r="294" spans="1:1" x14ac:dyDescent="0.25">
      <c r="A294" t="s">
        <v>39</v>
      </c>
    </row>
    <row r="295" spans="1:1" x14ac:dyDescent="0.25">
      <c r="A295" t="s">
        <v>39</v>
      </c>
    </row>
    <row r="296" spans="1:1" x14ac:dyDescent="0.25">
      <c r="A296" t="s">
        <v>39</v>
      </c>
    </row>
    <row r="297" spans="1:1" x14ac:dyDescent="0.25">
      <c r="A297" t="s">
        <v>39</v>
      </c>
    </row>
    <row r="298" spans="1:1" x14ac:dyDescent="0.25">
      <c r="A298" t="s">
        <v>39</v>
      </c>
    </row>
    <row r="299" spans="1:1" x14ac:dyDescent="0.25">
      <c r="A299" t="s">
        <v>39</v>
      </c>
    </row>
    <row r="300" spans="1:1" x14ac:dyDescent="0.25">
      <c r="A300" t="s">
        <v>39</v>
      </c>
    </row>
    <row r="301" spans="1:1" x14ac:dyDescent="0.25">
      <c r="A301" t="s">
        <v>39</v>
      </c>
    </row>
    <row r="302" spans="1:1" x14ac:dyDescent="0.25">
      <c r="A302" t="s">
        <v>39</v>
      </c>
    </row>
    <row r="303" spans="1:1" x14ac:dyDescent="0.25">
      <c r="A303" t="s">
        <v>39</v>
      </c>
    </row>
    <row r="304" spans="1:1" x14ac:dyDescent="0.25">
      <c r="A304" t="s">
        <v>39</v>
      </c>
    </row>
    <row r="305" spans="1:1" x14ac:dyDescent="0.25">
      <c r="A305" t="s">
        <v>39</v>
      </c>
    </row>
    <row r="306" spans="1:1" x14ac:dyDescent="0.25">
      <c r="A306" t="s">
        <v>39</v>
      </c>
    </row>
    <row r="307" spans="1:1" x14ac:dyDescent="0.25">
      <c r="A307" t="s">
        <v>39</v>
      </c>
    </row>
    <row r="308" spans="1:1" x14ac:dyDescent="0.25">
      <c r="A308" t="s">
        <v>39</v>
      </c>
    </row>
    <row r="309" spans="1:1" x14ac:dyDescent="0.25">
      <c r="A309" t="s">
        <v>39</v>
      </c>
    </row>
    <row r="310" spans="1:1" x14ac:dyDescent="0.25">
      <c r="A310" t="s">
        <v>39</v>
      </c>
    </row>
    <row r="311" spans="1:1" x14ac:dyDescent="0.25">
      <c r="A311" t="s">
        <v>39</v>
      </c>
    </row>
    <row r="312" spans="1:1" x14ac:dyDescent="0.25">
      <c r="A312" t="s">
        <v>39</v>
      </c>
    </row>
    <row r="313" spans="1:1" x14ac:dyDescent="0.25">
      <c r="A313" t="s">
        <v>39</v>
      </c>
    </row>
    <row r="314" spans="1:1" x14ac:dyDescent="0.25">
      <c r="A314" t="s">
        <v>39</v>
      </c>
    </row>
    <row r="315" spans="1:1" x14ac:dyDescent="0.25">
      <c r="A315" t="s">
        <v>39</v>
      </c>
    </row>
    <row r="316" spans="1:1" x14ac:dyDescent="0.25">
      <c r="A316" t="s">
        <v>39</v>
      </c>
    </row>
    <row r="317" spans="1:1" x14ac:dyDescent="0.25">
      <c r="A317" t="s">
        <v>39</v>
      </c>
    </row>
    <row r="318" spans="1:1" x14ac:dyDescent="0.25">
      <c r="A318" t="s">
        <v>39</v>
      </c>
    </row>
    <row r="319" spans="1:1" x14ac:dyDescent="0.25">
      <c r="A319" t="s">
        <v>39</v>
      </c>
    </row>
    <row r="320" spans="1:1" x14ac:dyDescent="0.25">
      <c r="A320" t="s">
        <v>39</v>
      </c>
    </row>
    <row r="321" spans="1:1" x14ac:dyDescent="0.25">
      <c r="A321" t="s">
        <v>39</v>
      </c>
    </row>
    <row r="322" spans="1:1" x14ac:dyDescent="0.25">
      <c r="A322" t="s">
        <v>39</v>
      </c>
    </row>
    <row r="323" spans="1:1" x14ac:dyDescent="0.25">
      <c r="A323" t="s">
        <v>39</v>
      </c>
    </row>
    <row r="324" spans="1:1" x14ac:dyDescent="0.25">
      <c r="A324" t="s">
        <v>39</v>
      </c>
    </row>
    <row r="325" spans="1:1" x14ac:dyDescent="0.25">
      <c r="A325" t="s">
        <v>39</v>
      </c>
    </row>
    <row r="326" spans="1:1" x14ac:dyDescent="0.25">
      <c r="A326" t="s">
        <v>39</v>
      </c>
    </row>
    <row r="327" spans="1:1" x14ac:dyDescent="0.25">
      <c r="A327" t="s">
        <v>39</v>
      </c>
    </row>
    <row r="328" spans="1:1" x14ac:dyDescent="0.25">
      <c r="A328" t="s">
        <v>39</v>
      </c>
    </row>
    <row r="329" spans="1:1" x14ac:dyDescent="0.25">
      <c r="A329" t="s">
        <v>39</v>
      </c>
    </row>
    <row r="330" spans="1:1" x14ac:dyDescent="0.25">
      <c r="A330" t="s">
        <v>39</v>
      </c>
    </row>
    <row r="331" spans="1:1" x14ac:dyDescent="0.25">
      <c r="A331" t="s">
        <v>39</v>
      </c>
    </row>
    <row r="332" spans="1:1" x14ac:dyDescent="0.25">
      <c r="A332" t="s">
        <v>39</v>
      </c>
    </row>
    <row r="333" spans="1:1" x14ac:dyDescent="0.25">
      <c r="A333" t="s">
        <v>39</v>
      </c>
    </row>
    <row r="334" spans="1:1" x14ac:dyDescent="0.25">
      <c r="A334" t="s">
        <v>39</v>
      </c>
    </row>
    <row r="335" spans="1:1" x14ac:dyDescent="0.25">
      <c r="A335" t="s">
        <v>39</v>
      </c>
    </row>
    <row r="336" spans="1:1" x14ac:dyDescent="0.25">
      <c r="A336" t="s">
        <v>39</v>
      </c>
    </row>
    <row r="337" spans="1:1" x14ac:dyDescent="0.25">
      <c r="A337" t="s">
        <v>39</v>
      </c>
    </row>
    <row r="338" spans="1:1" x14ac:dyDescent="0.25">
      <c r="A338" t="s">
        <v>39</v>
      </c>
    </row>
    <row r="339" spans="1:1" x14ac:dyDescent="0.25">
      <c r="A339" t="s">
        <v>39</v>
      </c>
    </row>
    <row r="340" spans="1:1" x14ac:dyDescent="0.25">
      <c r="A340" t="s">
        <v>39</v>
      </c>
    </row>
    <row r="341" spans="1:1" x14ac:dyDescent="0.25">
      <c r="A341" t="s">
        <v>39</v>
      </c>
    </row>
    <row r="342" spans="1:1" x14ac:dyDescent="0.25">
      <c r="A342" t="s">
        <v>39</v>
      </c>
    </row>
    <row r="343" spans="1:1" x14ac:dyDescent="0.25">
      <c r="A343" t="s">
        <v>39</v>
      </c>
    </row>
    <row r="344" spans="1:1" x14ac:dyDescent="0.25">
      <c r="A344" t="s">
        <v>39</v>
      </c>
    </row>
    <row r="345" spans="1:1" x14ac:dyDescent="0.25">
      <c r="A345" t="s">
        <v>39</v>
      </c>
    </row>
    <row r="346" spans="1:1" x14ac:dyDescent="0.25">
      <c r="A346" t="s">
        <v>39</v>
      </c>
    </row>
    <row r="347" spans="1:1" x14ac:dyDescent="0.25">
      <c r="A347" t="s">
        <v>39</v>
      </c>
    </row>
    <row r="348" spans="1:1" x14ac:dyDescent="0.25">
      <c r="A348" t="s">
        <v>39</v>
      </c>
    </row>
    <row r="349" spans="1:1" x14ac:dyDescent="0.25">
      <c r="A349" t="s">
        <v>39</v>
      </c>
    </row>
    <row r="350" spans="1:1" x14ac:dyDescent="0.25">
      <c r="A350" t="s">
        <v>39</v>
      </c>
    </row>
    <row r="351" spans="1:1" x14ac:dyDescent="0.25">
      <c r="A351" t="s">
        <v>39</v>
      </c>
    </row>
    <row r="352" spans="1:1" x14ac:dyDescent="0.25">
      <c r="A352" t="s">
        <v>39</v>
      </c>
    </row>
    <row r="353" spans="1:1" x14ac:dyDescent="0.25">
      <c r="A353" t="s">
        <v>39</v>
      </c>
    </row>
    <row r="354" spans="1:1" x14ac:dyDescent="0.25">
      <c r="A354" t="s">
        <v>39</v>
      </c>
    </row>
    <row r="355" spans="1:1" x14ac:dyDescent="0.25">
      <c r="A355" t="s">
        <v>39</v>
      </c>
    </row>
    <row r="356" spans="1:1" x14ac:dyDescent="0.25">
      <c r="A356" t="s">
        <v>39</v>
      </c>
    </row>
    <row r="357" spans="1:1" x14ac:dyDescent="0.25">
      <c r="A357" t="s">
        <v>39</v>
      </c>
    </row>
    <row r="358" spans="1:1" x14ac:dyDescent="0.25">
      <c r="A358" t="s">
        <v>39</v>
      </c>
    </row>
    <row r="359" spans="1:1" x14ac:dyDescent="0.25">
      <c r="A359" t="s">
        <v>39</v>
      </c>
    </row>
    <row r="360" spans="1:1" x14ac:dyDescent="0.25">
      <c r="A360" t="s">
        <v>39</v>
      </c>
    </row>
    <row r="361" spans="1:1" x14ac:dyDescent="0.25">
      <c r="A361" t="s">
        <v>39</v>
      </c>
    </row>
    <row r="362" spans="1:1" x14ac:dyDescent="0.25">
      <c r="A362" t="s">
        <v>39</v>
      </c>
    </row>
    <row r="363" spans="1:1" x14ac:dyDescent="0.25">
      <c r="A363" t="s">
        <v>39</v>
      </c>
    </row>
    <row r="364" spans="1:1" x14ac:dyDescent="0.25">
      <c r="A364" t="s">
        <v>39</v>
      </c>
    </row>
    <row r="365" spans="1:1" x14ac:dyDescent="0.25">
      <c r="A365" t="s">
        <v>39</v>
      </c>
    </row>
    <row r="366" spans="1:1" x14ac:dyDescent="0.25">
      <c r="A366" t="s">
        <v>39</v>
      </c>
    </row>
    <row r="367" spans="1:1" x14ac:dyDescent="0.25">
      <c r="A367" t="s">
        <v>39</v>
      </c>
    </row>
    <row r="368" spans="1:1" x14ac:dyDescent="0.25">
      <c r="A368" t="s">
        <v>39</v>
      </c>
    </row>
    <row r="369" spans="1:1" x14ac:dyDescent="0.25">
      <c r="A369" t="s">
        <v>39</v>
      </c>
    </row>
    <row r="370" spans="1:1" x14ac:dyDescent="0.25">
      <c r="A370" t="s">
        <v>39</v>
      </c>
    </row>
    <row r="371" spans="1:1" x14ac:dyDescent="0.25">
      <c r="A371" t="s">
        <v>39</v>
      </c>
    </row>
    <row r="372" spans="1:1" x14ac:dyDescent="0.25">
      <c r="A372" t="s">
        <v>39</v>
      </c>
    </row>
    <row r="373" spans="1:1" x14ac:dyDescent="0.25">
      <c r="A373" t="s">
        <v>39</v>
      </c>
    </row>
    <row r="374" spans="1:1" x14ac:dyDescent="0.25">
      <c r="A374" t="s">
        <v>39</v>
      </c>
    </row>
    <row r="375" spans="1:1" x14ac:dyDescent="0.25">
      <c r="A375" t="s">
        <v>39</v>
      </c>
    </row>
    <row r="376" spans="1:1" x14ac:dyDescent="0.25">
      <c r="A376" t="s">
        <v>39</v>
      </c>
    </row>
    <row r="377" spans="1:1" x14ac:dyDescent="0.25">
      <c r="A377" t="s">
        <v>39</v>
      </c>
    </row>
    <row r="378" spans="1:1" x14ac:dyDescent="0.25">
      <c r="A378" t="s">
        <v>39</v>
      </c>
    </row>
    <row r="379" spans="1:1" x14ac:dyDescent="0.25">
      <c r="A379" t="s">
        <v>39</v>
      </c>
    </row>
    <row r="380" spans="1:1" x14ac:dyDescent="0.25">
      <c r="A380" t="s">
        <v>39</v>
      </c>
    </row>
    <row r="381" spans="1:1" x14ac:dyDescent="0.25">
      <c r="A381" t="s">
        <v>39</v>
      </c>
    </row>
    <row r="382" spans="1:1" x14ac:dyDescent="0.25">
      <c r="A382" t="s">
        <v>39</v>
      </c>
    </row>
    <row r="383" spans="1:1" x14ac:dyDescent="0.25">
      <c r="A383" t="s">
        <v>39</v>
      </c>
    </row>
    <row r="384" spans="1:1" x14ac:dyDescent="0.25">
      <c r="A384" t="s">
        <v>39</v>
      </c>
    </row>
    <row r="385" spans="1:1" x14ac:dyDescent="0.25">
      <c r="A385" t="s">
        <v>39</v>
      </c>
    </row>
    <row r="386" spans="1:1" x14ac:dyDescent="0.25">
      <c r="A386" t="s">
        <v>39</v>
      </c>
    </row>
    <row r="387" spans="1:1" x14ac:dyDescent="0.25">
      <c r="A387" t="s">
        <v>39</v>
      </c>
    </row>
    <row r="388" spans="1:1" x14ac:dyDescent="0.25">
      <c r="A388" t="s">
        <v>39</v>
      </c>
    </row>
    <row r="389" spans="1:1" x14ac:dyDescent="0.25">
      <c r="A389" t="s">
        <v>39</v>
      </c>
    </row>
    <row r="390" spans="1:1" x14ac:dyDescent="0.25">
      <c r="A390" t="s">
        <v>39</v>
      </c>
    </row>
    <row r="391" spans="1:1" x14ac:dyDescent="0.25">
      <c r="A391" t="s">
        <v>39</v>
      </c>
    </row>
    <row r="392" spans="1:1" x14ac:dyDescent="0.25">
      <c r="A392" t="s">
        <v>39</v>
      </c>
    </row>
    <row r="393" spans="1:1" x14ac:dyDescent="0.25">
      <c r="A393" t="s">
        <v>39</v>
      </c>
    </row>
    <row r="394" spans="1:1" x14ac:dyDescent="0.25">
      <c r="A394" t="s">
        <v>39</v>
      </c>
    </row>
    <row r="395" spans="1:1" x14ac:dyDescent="0.25">
      <c r="A395" t="s">
        <v>39</v>
      </c>
    </row>
    <row r="396" spans="1:1" x14ac:dyDescent="0.25">
      <c r="A396" t="s">
        <v>39</v>
      </c>
    </row>
    <row r="397" spans="1:1" x14ac:dyDescent="0.25">
      <c r="A397" t="s">
        <v>39</v>
      </c>
    </row>
    <row r="398" spans="1:1" x14ac:dyDescent="0.25">
      <c r="A398" t="s">
        <v>39</v>
      </c>
    </row>
    <row r="399" spans="1:1" x14ac:dyDescent="0.25">
      <c r="A399" t="s">
        <v>39</v>
      </c>
    </row>
    <row r="400" spans="1:1" x14ac:dyDescent="0.25">
      <c r="A400" t="s">
        <v>39</v>
      </c>
    </row>
    <row r="401" spans="1:1" x14ac:dyDescent="0.25">
      <c r="A401" t="s">
        <v>39</v>
      </c>
    </row>
    <row r="402" spans="1:1" x14ac:dyDescent="0.25">
      <c r="A402" t="s">
        <v>39</v>
      </c>
    </row>
    <row r="403" spans="1:1" x14ac:dyDescent="0.25">
      <c r="A403" t="s">
        <v>39</v>
      </c>
    </row>
    <row r="404" spans="1:1" x14ac:dyDescent="0.25">
      <c r="A404" t="s">
        <v>39</v>
      </c>
    </row>
    <row r="405" spans="1:1" x14ac:dyDescent="0.25">
      <c r="A405" t="s">
        <v>39</v>
      </c>
    </row>
    <row r="406" spans="1:1" x14ac:dyDescent="0.25">
      <c r="A406" t="s">
        <v>39</v>
      </c>
    </row>
    <row r="407" spans="1:1" x14ac:dyDescent="0.25">
      <c r="A407" t="s">
        <v>39</v>
      </c>
    </row>
    <row r="408" spans="1:1" x14ac:dyDescent="0.25">
      <c r="A408" t="s">
        <v>39</v>
      </c>
    </row>
    <row r="409" spans="1:1" x14ac:dyDescent="0.25">
      <c r="A409" t="s">
        <v>39</v>
      </c>
    </row>
    <row r="410" spans="1:1" x14ac:dyDescent="0.25">
      <c r="A410" t="s">
        <v>39</v>
      </c>
    </row>
    <row r="411" spans="1:1" x14ac:dyDescent="0.25">
      <c r="A411" t="s">
        <v>39</v>
      </c>
    </row>
    <row r="412" spans="1:1" x14ac:dyDescent="0.25">
      <c r="A412" t="s">
        <v>39</v>
      </c>
    </row>
    <row r="413" spans="1:1" x14ac:dyDescent="0.25">
      <c r="A413" t="s">
        <v>39</v>
      </c>
    </row>
    <row r="414" spans="1:1" x14ac:dyDescent="0.25">
      <c r="A414" t="s">
        <v>39</v>
      </c>
    </row>
    <row r="415" spans="1:1" x14ac:dyDescent="0.25">
      <c r="A415" t="s">
        <v>39</v>
      </c>
    </row>
    <row r="416" spans="1:1" x14ac:dyDescent="0.25">
      <c r="A416" t="s">
        <v>39</v>
      </c>
    </row>
    <row r="417" spans="1:1" x14ac:dyDescent="0.25">
      <c r="A417" t="s">
        <v>39</v>
      </c>
    </row>
    <row r="418" spans="1:1" x14ac:dyDescent="0.25">
      <c r="A418" t="s">
        <v>39</v>
      </c>
    </row>
    <row r="419" spans="1:1" x14ac:dyDescent="0.25">
      <c r="A419" t="s">
        <v>39</v>
      </c>
    </row>
    <row r="420" spans="1:1" x14ac:dyDescent="0.25">
      <c r="A420" t="s">
        <v>39</v>
      </c>
    </row>
    <row r="421" spans="1:1" x14ac:dyDescent="0.25">
      <c r="A421" t="s">
        <v>39</v>
      </c>
    </row>
    <row r="422" spans="1:1" x14ac:dyDescent="0.25">
      <c r="A422" t="s">
        <v>39</v>
      </c>
    </row>
    <row r="423" spans="1:1" x14ac:dyDescent="0.25">
      <c r="A423" t="s">
        <v>39</v>
      </c>
    </row>
    <row r="424" spans="1:1" x14ac:dyDescent="0.25">
      <c r="A424" t="s">
        <v>39</v>
      </c>
    </row>
    <row r="425" spans="1:1" x14ac:dyDescent="0.25">
      <c r="A425" t="s">
        <v>39</v>
      </c>
    </row>
    <row r="426" spans="1:1" x14ac:dyDescent="0.25">
      <c r="A426" t="s">
        <v>39</v>
      </c>
    </row>
    <row r="427" spans="1:1" x14ac:dyDescent="0.25">
      <c r="A427" t="s">
        <v>39</v>
      </c>
    </row>
    <row r="428" spans="1:1" x14ac:dyDescent="0.25">
      <c r="A428" t="s">
        <v>39</v>
      </c>
    </row>
    <row r="429" spans="1:1" x14ac:dyDescent="0.25">
      <c r="A429" t="s">
        <v>39</v>
      </c>
    </row>
    <row r="430" spans="1:1" x14ac:dyDescent="0.25">
      <c r="A430" t="s">
        <v>39</v>
      </c>
    </row>
    <row r="431" spans="1:1" x14ac:dyDescent="0.25">
      <c r="A431" t="s">
        <v>39</v>
      </c>
    </row>
    <row r="432" spans="1:1" x14ac:dyDescent="0.25">
      <c r="A432" t="s">
        <v>39</v>
      </c>
    </row>
    <row r="433" spans="1:1" x14ac:dyDescent="0.25">
      <c r="A433" t="s">
        <v>39</v>
      </c>
    </row>
    <row r="434" spans="1:1" x14ac:dyDescent="0.25">
      <c r="A434" t="s">
        <v>39</v>
      </c>
    </row>
    <row r="435" spans="1:1" x14ac:dyDescent="0.25">
      <c r="A435" t="s">
        <v>39</v>
      </c>
    </row>
    <row r="436" spans="1:1" x14ac:dyDescent="0.25">
      <c r="A436" t="s">
        <v>39</v>
      </c>
    </row>
    <row r="437" spans="1:1" x14ac:dyDescent="0.25">
      <c r="A437" t="s">
        <v>39</v>
      </c>
    </row>
    <row r="438" spans="1:1" x14ac:dyDescent="0.25">
      <c r="A438" t="s">
        <v>39</v>
      </c>
    </row>
    <row r="439" spans="1:1" x14ac:dyDescent="0.25">
      <c r="A439" t="s">
        <v>39</v>
      </c>
    </row>
    <row r="440" spans="1:1" x14ac:dyDescent="0.25">
      <c r="A440" t="s">
        <v>39</v>
      </c>
    </row>
    <row r="441" spans="1:1" x14ac:dyDescent="0.25">
      <c r="A441" t="s">
        <v>39</v>
      </c>
    </row>
    <row r="442" spans="1:1" x14ac:dyDescent="0.25">
      <c r="A442" t="s">
        <v>39</v>
      </c>
    </row>
    <row r="443" spans="1:1" x14ac:dyDescent="0.25">
      <c r="A443" t="s">
        <v>39</v>
      </c>
    </row>
    <row r="444" spans="1:1" x14ac:dyDescent="0.25">
      <c r="A444" t="s">
        <v>39</v>
      </c>
    </row>
    <row r="445" spans="1:1" x14ac:dyDescent="0.25">
      <c r="A445" t="s">
        <v>39</v>
      </c>
    </row>
    <row r="446" spans="1:1" x14ac:dyDescent="0.25">
      <c r="A446" t="s">
        <v>39</v>
      </c>
    </row>
    <row r="447" spans="1:1" x14ac:dyDescent="0.25">
      <c r="A447" t="s">
        <v>39</v>
      </c>
    </row>
    <row r="448" spans="1:1" x14ac:dyDescent="0.25">
      <c r="A448" t="s">
        <v>39</v>
      </c>
    </row>
    <row r="449" spans="1:1" x14ac:dyDescent="0.25">
      <c r="A449" t="s">
        <v>39</v>
      </c>
    </row>
    <row r="450" spans="1:1" x14ac:dyDescent="0.25">
      <c r="A450" t="s">
        <v>39</v>
      </c>
    </row>
    <row r="451" spans="1:1" x14ac:dyDescent="0.25">
      <c r="A451" t="s">
        <v>39</v>
      </c>
    </row>
    <row r="452" spans="1:1" x14ac:dyDescent="0.25">
      <c r="A452" t="s">
        <v>39</v>
      </c>
    </row>
    <row r="453" spans="1:1" x14ac:dyDescent="0.25">
      <c r="A453" t="s">
        <v>39</v>
      </c>
    </row>
    <row r="454" spans="1:1" x14ac:dyDescent="0.25">
      <c r="A454" t="s">
        <v>39</v>
      </c>
    </row>
    <row r="455" spans="1:1" x14ac:dyDescent="0.25">
      <c r="A455" t="s">
        <v>39</v>
      </c>
    </row>
    <row r="456" spans="1:1" x14ac:dyDescent="0.25">
      <c r="A456" t="s">
        <v>39</v>
      </c>
    </row>
    <row r="457" spans="1:1" x14ac:dyDescent="0.25">
      <c r="A457" t="s">
        <v>39</v>
      </c>
    </row>
    <row r="458" spans="1:1" x14ac:dyDescent="0.25">
      <c r="A458" t="s">
        <v>39</v>
      </c>
    </row>
    <row r="459" spans="1:1" x14ac:dyDescent="0.25">
      <c r="A459" t="s">
        <v>39</v>
      </c>
    </row>
    <row r="460" spans="1:1" x14ac:dyDescent="0.25">
      <c r="A460" t="s">
        <v>39</v>
      </c>
    </row>
    <row r="461" spans="1:1" x14ac:dyDescent="0.25">
      <c r="A461" t="s">
        <v>39</v>
      </c>
    </row>
    <row r="462" spans="1:1" x14ac:dyDescent="0.25">
      <c r="A462" t="s">
        <v>39</v>
      </c>
    </row>
    <row r="463" spans="1:1" x14ac:dyDescent="0.25">
      <c r="A463" t="s">
        <v>39</v>
      </c>
    </row>
    <row r="464" spans="1:1" x14ac:dyDescent="0.25">
      <c r="A464" t="s">
        <v>39</v>
      </c>
    </row>
    <row r="465" spans="1:1" x14ac:dyDescent="0.25">
      <c r="A465" t="s">
        <v>39</v>
      </c>
    </row>
    <row r="466" spans="1:1" x14ac:dyDescent="0.25">
      <c r="A466" t="s">
        <v>39</v>
      </c>
    </row>
    <row r="467" spans="1:1" x14ac:dyDescent="0.25">
      <c r="A467" t="s">
        <v>39</v>
      </c>
    </row>
    <row r="468" spans="1:1" x14ac:dyDescent="0.25">
      <c r="A468" t="s">
        <v>39</v>
      </c>
    </row>
    <row r="469" spans="1:1" x14ac:dyDescent="0.25">
      <c r="A469" t="s">
        <v>39</v>
      </c>
    </row>
    <row r="470" spans="1:1" x14ac:dyDescent="0.25">
      <c r="A470" t="s">
        <v>39</v>
      </c>
    </row>
    <row r="471" spans="1:1" x14ac:dyDescent="0.25">
      <c r="A471" t="s">
        <v>39</v>
      </c>
    </row>
    <row r="472" spans="1:1" x14ac:dyDescent="0.25">
      <c r="A472" t="s">
        <v>39</v>
      </c>
    </row>
    <row r="473" spans="1:1" x14ac:dyDescent="0.25">
      <c r="A473" t="s">
        <v>39</v>
      </c>
    </row>
    <row r="474" spans="1:1" x14ac:dyDescent="0.25">
      <c r="A474" t="s">
        <v>39</v>
      </c>
    </row>
    <row r="475" spans="1:1" x14ac:dyDescent="0.25">
      <c r="A475" t="s">
        <v>39</v>
      </c>
    </row>
    <row r="476" spans="1:1" x14ac:dyDescent="0.25">
      <c r="A476" t="s">
        <v>39</v>
      </c>
    </row>
    <row r="477" spans="1:1" x14ac:dyDescent="0.25">
      <c r="A477" t="s">
        <v>39</v>
      </c>
    </row>
    <row r="478" spans="1:1" x14ac:dyDescent="0.25">
      <c r="A478" t="s">
        <v>39</v>
      </c>
    </row>
    <row r="479" spans="1:1" x14ac:dyDescent="0.25">
      <c r="A479" t="s">
        <v>39</v>
      </c>
    </row>
    <row r="480" spans="1:1" x14ac:dyDescent="0.25">
      <c r="A480" t="s">
        <v>39</v>
      </c>
    </row>
    <row r="481" spans="1:1" x14ac:dyDescent="0.25">
      <c r="A481" t="s">
        <v>39</v>
      </c>
    </row>
    <row r="482" spans="1:1" x14ac:dyDescent="0.25">
      <c r="A482" t="s">
        <v>39</v>
      </c>
    </row>
    <row r="483" spans="1:1" x14ac:dyDescent="0.25">
      <c r="A483" t="s">
        <v>39</v>
      </c>
    </row>
    <row r="484" spans="1:1" x14ac:dyDescent="0.25">
      <c r="A484" t="s">
        <v>39</v>
      </c>
    </row>
    <row r="485" spans="1:1" x14ac:dyDescent="0.25">
      <c r="A485" t="s">
        <v>39</v>
      </c>
    </row>
    <row r="486" spans="1:1" x14ac:dyDescent="0.25">
      <c r="A486" t="s">
        <v>39</v>
      </c>
    </row>
    <row r="487" spans="1:1" x14ac:dyDescent="0.25">
      <c r="A487" t="s">
        <v>39</v>
      </c>
    </row>
    <row r="488" spans="1:1" x14ac:dyDescent="0.25">
      <c r="A488" t="s">
        <v>39</v>
      </c>
    </row>
    <row r="489" spans="1:1" x14ac:dyDescent="0.25">
      <c r="A489" t="s">
        <v>39</v>
      </c>
    </row>
    <row r="490" spans="1:1" x14ac:dyDescent="0.25">
      <c r="A490" t="s">
        <v>39</v>
      </c>
    </row>
    <row r="491" spans="1:1" x14ac:dyDescent="0.25">
      <c r="A491" t="s">
        <v>39</v>
      </c>
    </row>
    <row r="492" spans="1:1" x14ac:dyDescent="0.25">
      <c r="A492" t="s">
        <v>39</v>
      </c>
    </row>
    <row r="493" spans="1:1" x14ac:dyDescent="0.25">
      <c r="A493" t="s">
        <v>39</v>
      </c>
    </row>
    <row r="494" spans="1:1" x14ac:dyDescent="0.25">
      <c r="A494" t="s">
        <v>39</v>
      </c>
    </row>
    <row r="495" spans="1:1" x14ac:dyDescent="0.25">
      <c r="A495" t="s">
        <v>39</v>
      </c>
    </row>
    <row r="496" spans="1:1" x14ac:dyDescent="0.25">
      <c r="A496" t="s">
        <v>39</v>
      </c>
    </row>
    <row r="497" spans="1:1" x14ac:dyDescent="0.25">
      <c r="A497" t="s">
        <v>39</v>
      </c>
    </row>
    <row r="498" spans="1:1" x14ac:dyDescent="0.25">
      <c r="A498" t="s">
        <v>39</v>
      </c>
    </row>
    <row r="499" spans="1:1" x14ac:dyDescent="0.25">
      <c r="A499" t="s">
        <v>39</v>
      </c>
    </row>
    <row r="500" spans="1:1" x14ac:dyDescent="0.25">
      <c r="A500" t="s">
        <v>39</v>
      </c>
    </row>
    <row r="501" spans="1:1" x14ac:dyDescent="0.25">
      <c r="A501" t="s">
        <v>39</v>
      </c>
    </row>
    <row r="502" spans="1:1" x14ac:dyDescent="0.25">
      <c r="A502" t="s">
        <v>39</v>
      </c>
    </row>
    <row r="503" spans="1:1" x14ac:dyDescent="0.25">
      <c r="A503" t="s">
        <v>39</v>
      </c>
    </row>
    <row r="504" spans="1:1" x14ac:dyDescent="0.25">
      <c r="A504" t="s">
        <v>39</v>
      </c>
    </row>
    <row r="505" spans="1:1" x14ac:dyDescent="0.25">
      <c r="A505" t="s">
        <v>39</v>
      </c>
    </row>
    <row r="506" spans="1:1" x14ac:dyDescent="0.25">
      <c r="A506" t="s">
        <v>39</v>
      </c>
    </row>
    <row r="507" spans="1:1" x14ac:dyDescent="0.25">
      <c r="A507" t="s">
        <v>39</v>
      </c>
    </row>
    <row r="508" spans="1:1" x14ac:dyDescent="0.25">
      <c r="A508" t="s">
        <v>39</v>
      </c>
    </row>
    <row r="509" spans="1:1" x14ac:dyDescent="0.25">
      <c r="A509" t="s">
        <v>39</v>
      </c>
    </row>
    <row r="510" spans="1:1" x14ac:dyDescent="0.25">
      <c r="A510" t="s">
        <v>39</v>
      </c>
    </row>
    <row r="511" spans="1:1" x14ac:dyDescent="0.25">
      <c r="A511" t="s">
        <v>39</v>
      </c>
    </row>
    <row r="512" spans="1:1" x14ac:dyDescent="0.25">
      <c r="A512" t="s">
        <v>39</v>
      </c>
    </row>
    <row r="513" spans="1:1" x14ac:dyDescent="0.25">
      <c r="A513" t="s">
        <v>39</v>
      </c>
    </row>
    <row r="514" spans="1:1" x14ac:dyDescent="0.25">
      <c r="A514" t="s">
        <v>39</v>
      </c>
    </row>
    <row r="515" spans="1:1" x14ac:dyDescent="0.25">
      <c r="A515" t="s">
        <v>39</v>
      </c>
    </row>
    <row r="516" spans="1:1" x14ac:dyDescent="0.25">
      <c r="A516" t="s">
        <v>39</v>
      </c>
    </row>
    <row r="517" spans="1:1" x14ac:dyDescent="0.25">
      <c r="A517" t="s">
        <v>39</v>
      </c>
    </row>
    <row r="518" spans="1:1" x14ac:dyDescent="0.25">
      <c r="A518" t="s">
        <v>39</v>
      </c>
    </row>
    <row r="519" spans="1:1" x14ac:dyDescent="0.25">
      <c r="A519" t="s">
        <v>39</v>
      </c>
    </row>
    <row r="520" spans="1:1" x14ac:dyDescent="0.25">
      <c r="A520" t="s">
        <v>39</v>
      </c>
    </row>
    <row r="521" spans="1:1" x14ac:dyDescent="0.25">
      <c r="A521" t="s">
        <v>39</v>
      </c>
    </row>
    <row r="522" spans="1:1" x14ac:dyDescent="0.25">
      <c r="A522" t="s">
        <v>39</v>
      </c>
    </row>
    <row r="523" spans="1:1" x14ac:dyDescent="0.25">
      <c r="A523" t="s">
        <v>39</v>
      </c>
    </row>
    <row r="524" spans="1:1" x14ac:dyDescent="0.25">
      <c r="A524" t="s">
        <v>39</v>
      </c>
    </row>
    <row r="525" spans="1:1" x14ac:dyDescent="0.25">
      <c r="A525" t="s">
        <v>39</v>
      </c>
    </row>
    <row r="526" spans="1:1" x14ac:dyDescent="0.25">
      <c r="A526" t="s">
        <v>39</v>
      </c>
    </row>
    <row r="527" spans="1:1" x14ac:dyDescent="0.25">
      <c r="A527" t="s">
        <v>39</v>
      </c>
    </row>
    <row r="528" spans="1:1" x14ac:dyDescent="0.25">
      <c r="A528" t="s">
        <v>39</v>
      </c>
    </row>
    <row r="529" spans="1:1" x14ac:dyDescent="0.25">
      <c r="A529" t="s">
        <v>39</v>
      </c>
    </row>
    <row r="530" spans="1:1" x14ac:dyDescent="0.25">
      <c r="A530" t="s">
        <v>39</v>
      </c>
    </row>
    <row r="531" spans="1:1" x14ac:dyDescent="0.25">
      <c r="A531" t="s">
        <v>39</v>
      </c>
    </row>
    <row r="532" spans="1:1" x14ac:dyDescent="0.25">
      <c r="A532" t="s">
        <v>39</v>
      </c>
    </row>
    <row r="533" spans="1:1" x14ac:dyDescent="0.25">
      <c r="A533" t="s">
        <v>39</v>
      </c>
    </row>
    <row r="534" spans="1:1" x14ac:dyDescent="0.25">
      <c r="A534" t="s">
        <v>39</v>
      </c>
    </row>
    <row r="535" spans="1:1" x14ac:dyDescent="0.25">
      <c r="A535" t="s">
        <v>39</v>
      </c>
    </row>
    <row r="536" spans="1:1" x14ac:dyDescent="0.25">
      <c r="A536" t="s">
        <v>39</v>
      </c>
    </row>
    <row r="537" spans="1:1" x14ac:dyDescent="0.25">
      <c r="A537" t="s">
        <v>39</v>
      </c>
    </row>
    <row r="538" spans="1:1" x14ac:dyDescent="0.25">
      <c r="A538" t="s">
        <v>39</v>
      </c>
    </row>
    <row r="539" spans="1:1" x14ac:dyDescent="0.25">
      <c r="A539" t="s">
        <v>39</v>
      </c>
    </row>
    <row r="540" spans="1:1" x14ac:dyDescent="0.25">
      <c r="A540" t="s">
        <v>39</v>
      </c>
    </row>
    <row r="541" spans="1:1" x14ac:dyDescent="0.25">
      <c r="A541" t="s">
        <v>39</v>
      </c>
    </row>
    <row r="542" spans="1:1" x14ac:dyDescent="0.25">
      <c r="A542" t="s">
        <v>39</v>
      </c>
    </row>
    <row r="543" spans="1:1" x14ac:dyDescent="0.25">
      <c r="A543" t="s">
        <v>39</v>
      </c>
    </row>
    <row r="544" spans="1:1" x14ac:dyDescent="0.25">
      <c r="A544" t="s">
        <v>39</v>
      </c>
    </row>
    <row r="545" spans="1:1" x14ac:dyDescent="0.25">
      <c r="A545" t="s">
        <v>39</v>
      </c>
    </row>
    <row r="546" spans="1:1" x14ac:dyDescent="0.25">
      <c r="A546" t="s">
        <v>39</v>
      </c>
    </row>
    <row r="547" spans="1:1" x14ac:dyDescent="0.25">
      <c r="A547" t="s">
        <v>39</v>
      </c>
    </row>
    <row r="548" spans="1:1" x14ac:dyDescent="0.25">
      <c r="A548" t="s">
        <v>39</v>
      </c>
    </row>
    <row r="549" spans="1:1" x14ac:dyDescent="0.25">
      <c r="A549" t="s">
        <v>39</v>
      </c>
    </row>
    <row r="550" spans="1:1" x14ac:dyDescent="0.25">
      <c r="A550" t="s">
        <v>39</v>
      </c>
    </row>
    <row r="551" spans="1:1" x14ac:dyDescent="0.25">
      <c r="A551" t="s">
        <v>39</v>
      </c>
    </row>
    <row r="552" spans="1:1" x14ac:dyDescent="0.25">
      <c r="A552" t="s">
        <v>39</v>
      </c>
    </row>
    <row r="553" spans="1:1" x14ac:dyDescent="0.25">
      <c r="A553" t="s">
        <v>39</v>
      </c>
    </row>
    <row r="554" spans="1:1" x14ac:dyDescent="0.25">
      <c r="A554" t="s">
        <v>39</v>
      </c>
    </row>
    <row r="555" spans="1:1" x14ac:dyDescent="0.25">
      <c r="A555" t="s">
        <v>39</v>
      </c>
    </row>
    <row r="556" spans="1:1" x14ac:dyDescent="0.25">
      <c r="A556" t="s">
        <v>39</v>
      </c>
    </row>
    <row r="557" spans="1:1" x14ac:dyDescent="0.25">
      <c r="A557" t="s">
        <v>39</v>
      </c>
    </row>
    <row r="558" spans="1:1" x14ac:dyDescent="0.25">
      <c r="A558" t="s">
        <v>39</v>
      </c>
    </row>
    <row r="559" spans="1:1" x14ac:dyDescent="0.25">
      <c r="A559" t="s">
        <v>39</v>
      </c>
    </row>
    <row r="560" spans="1:1" x14ac:dyDescent="0.25">
      <c r="A560" t="s">
        <v>39</v>
      </c>
    </row>
    <row r="561" spans="1:1" x14ac:dyDescent="0.25">
      <c r="A561" t="s">
        <v>39</v>
      </c>
    </row>
    <row r="562" spans="1:1" x14ac:dyDescent="0.25">
      <c r="A562" t="s">
        <v>39</v>
      </c>
    </row>
    <row r="563" spans="1:1" x14ac:dyDescent="0.25">
      <c r="A563" t="s">
        <v>39</v>
      </c>
    </row>
    <row r="564" spans="1:1" x14ac:dyDescent="0.25">
      <c r="A564" t="s">
        <v>39</v>
      </c>
    </row>
    <row r="565" spans="1:1" x14ac:dyDescent="0.25">
      <c r="A565" t="s">
        <v>39</v>
      </c>
    </row>
    <row r="566" spans="1:1" x14ac:dyDescent="0.25">
      <c r="A566" t="s">
        <v>39</v>
      </c>
    </row>
    <row r="567" spans="1:1" x14ac:dyDescent="0.25">
      <c r="A567" t="s">
        <v>39</v>
      </c>
    </row>
    <row r="568" spans="1:1" x14ac:dyDescent="0.25">
      <c r="A568" t="s">
        <v>39</v>
      </c>
    </row>
    <row r="569" spans="1:1" x14ac:dyDescent="0.25">
      <c r="A569" t="s">
        <v>39</v>
      </c>
    </row>
    <row r="570" spans="1:1" x14ac:dyDescent="0.25">
      <c r="A570" t="s">
        <v>39</v>
      </c>
    </row>
    <row r="571" spans="1:1" x14ac:dyDescent="0.25">
      <c r="A571" t="s">
        <v>39</v>
      </c>
    </row>
    <row r="572" spans="1:1" x14ac:dyDescent="0.25">
      <c r="A572" t="s">
        <v>39</v>
      </c>
    </row>
    <row r="573" spans="1:1" x14ac:dyDescent="0.25">
      <c r="A573" t="s">
        <v>39</v>
      </c>
    </row>
    <row r="574" spans="1:1" x14ac:dyDescent="0.25">
      <c r="A574" t="s">
        <v>39</v>
      </c>
    </row>
    <row r="575" spans="1:1" x14ac:dyDescent="0.25">
      <c r="A575" t="s">
        <v>39</v>
      </c>
    </row>
    <row r="576" spans="1:1" x14ac:dyDescent="0.25">
      <c r="A576" t="s">
        <v>39</v>
      </c>
    </row>
    <row r="577" spans="1:1" x14ac:dyDescent="0.25">
      <c r="A577" t="s">
        <v>39</v>
      </c>
    </row>
    <row r="578" spans="1:1" x14ac:dyDescent="0.25">
      <c r="A578" t="s">
        <v>39</v>
      </c>
    </row>
    <row r="579" spans="1:1" x14ac:dyDescent="0.25">
      <c r="A579" t="s">
        <v>39</v>
      </c>
    </row>
    <row r="580" spans="1:1" x14ac:dyDescent="0.25">
      <c r="A580" t="s">
        <v>39</v>
      </c>
    </row>
    <row r="581" spans="1:1" x14ac:dyDescent="0.25">
      <c r="A581" t="s">
        <v>39</v>
      </c>
    </row>
    <row r="582" spans="1:1" x14ac:dyDescent="0.25">
      <c r="A582" t="s">
        <v>39</v>
      </c>
    </row>
    <row r="583" spans="1:1" x14ac:dyDescent="0.25">
      <c r="A583" t="s">
        <v>39</v>
      </c>
    </row>
    <row r="584" spans="1:1" x14ac:dyDescent="0.25">
      <c r="A584" t="s">
        <v>39</v>
      </c>
    </row>
    <row r="585" spans="1:1" x14ac:dyDescent="0.25">
      <c r="A585" t="s">
        <v>39</v>
      </c>
    </row>
    <row r="586" spans="1:1" x14ac:dyDescent="0.25">
      <c r="A586" t="s">
        <v>39</v>
      </c>
    </row>
    <row r="587" spans="1:1" x14ac:dyDescent="0.25">
      <c r="A587" t="s">
        <v>39</v>
      </c>
    </row>
    <row r="588" spans="1:1" x14ac:dyDescent="0.25">
      <c r="A588" t="s">
        <v>39</v>
      </c>
    </row>
    <row r="589" spans="1:1" x14ac:dyDescent="0.25">
      <c r="A589" t="s">
        <v>39</v>
      </c>
    </row>
    <row r="590" spans="1:1" x14ac:dyDescent="0.25">
      <c r="A590" t="s">
        <v>39</v>
      </c>
    </row>
    <row r="591" spans="1:1" x14ac:dyDescent="0.25">
      <c r="A591" t="s">
        <v>39</v>
      </c>
    </row>
    <row r="592" spans="1:1" x14ac:dyDescent="0.25">
      <c r="A592" t="s">
        <v>39</v>
      </c>
    </row>
    <row r="593" spans="1:1" x14ac:dyDescent="0.25">
      <c r="A593" t="s">
        <v>39</v>
      </c>
    </row>
    <row r="594" spans="1:1" x14ac:dyDescent="0.25">
      <c r="A594" t="s">
        <v>39</v>
      </c>
    </row>
    <row r="595" spans="1:1" x14ac:dyDescent="0.25">
      <c r="A595" t="s">
        <v>39</v>
      </c>
    </row>
    <row r="596" spans="1:1" x14ac:dyDescent="0.25">
      <c r="A596" t="s">
        <v>39</v>
      </c>
    </row>
    <row r="597" spans="1:1" x14ac:dyDescent="0.25">
      <c r="A597" t="s">
        <v>39</v>
      </c>
    </row>
    <row r="598" spans="1:1" x14ac:dyDescent="0.25">
      <c r="A598" t="s">
        <v>39</v>
      </c>
    </row>
    <row r="599" spans="1:1" x14ac:dyDescent="0.25">
      <c r="A599" t="s">
        <v>39</v>
      </c>
    </row>
    <row r="600" spans="1:1" x14ac:dyDescent="0.25">
      <c r="A600" t="s">
        <v>39</v>
      </c>
    </row>
    <row r="601" spans="1:1" x14ac:dyDescent="0.25">
      <c r="A601" t="s">
        <v>39</v>
      </c>
    </row>
    <row r="602" spans="1:1" x14ac:dyDescent="0.25">
      <c r="A602" t="s">
        <v>39</v>
      </c>
    </row>
    <row r="603" spans="1:1" x14ac:dyDescent="0.25">
      <c r="A603" t="s">
        <v>39</v>
      </c>
    </row>
    <row r="604" spans="1:1" x14ac:dyDescent="0.25">
      <c r="A604" t="s">
        <v>39</v>
      </c>
    </row>
    <row r="605" spans="1:1" x14ac:dyDescent="0.25">
      <c r="A605" t="s">
        <v>39</v>
      </c>
    </row>
    <row r="606" spans="1:1" x14ac:dyDescent="0.25">
      <c r="A606" t="s">
        <v>39</v>
      </c>
    </row>
    <row r="607" spans="1:1" x14ac:dyDescent="0.25">
      <c r="A607" t="s">
        <v>39</v>
      </c>
    </row>
    <row r="608" spans="1:1" x14ac:dyDescent="0.25">
      <c r="A608" t="s">
        <v>39</v>
      </c>
    </row>
    <row r="609" spans="1:1" x14ac:dyDescent="0.25">
      <c r="A609" t="s">
        <v>39</v>
      </c>
    </row>
    <row r="610" spans="1:1" x14ac:dyDescent="0.25">
      <c r="A610" t="s">
        <v>39</v>
      </c>
    </row>
    <row r="611" spans="1:1" x14ac:dyDescent="0.25">
      <c r="A611" t="s">
        <v>39</v>
      </c>
    </row>
    <row r="612" spans="1:1" x14ac:dyDescent="0.25">
      <c r="A612" t="s">
        <v>39</v>
      </c>
    </row>
    <row r="613" spans="1:1" x14ac:dyDescent="0.25">
      <c r="A613" t="s">
        <v>39</v>
      </c>
    </row>
    <row r="614" spans="1:1" x14ac:dyDescent="0.25">
      <c r="A614" t="s">
        <v>39</v>
      </c>
    </row>
    <row r="615" spans="1:1" x14ac:dyDescent="0.25">
      <c r="A615" t="s">
        <v>39</v>
      </c>
    </row>
    <row r="616" spans="1:1" x14ac:dyDescent="0.25">
      <c r="A616" t="s">
        <v>39</v>
      </c>
    </row>
    <row r="617" spans="1:1" x14ac:dyDescent="0.25">
      <c r="A617" t="s">
        <v>39</v>
      </c>
    </row>
    <row r="618" spans="1:1" x14ac:dyDescent="0.25">
      <c r="A618" t="s">
        <v>39</v>
      </c>
    </row>
    <row r="619" spans="1:1" x14ac:dyDescent="0.25">
      <c r="A619" t="s">
        <v>39</v>
      </c>
    </row>
    <row r="620" spans="1:1" x14ac:dyDescent="0.25">
      <c r="A620" t="s">
        <v>39</v>
      </c>
    </row>
    <row r="621" spans="1:1" x14ac:dyDescent="0.25">
      <c r="A621" t="s">
        <v>39</v>
      </c>
    </row>
    <row r="622" spans="1:1" x14ac:dyDescent="0.25">
      <c r="A622" t="s">
        <v>39</v>
      </c>
    </row>
    <row r="623" spans="1:1" x14ac:dyDescent="0.25">
      <c r="A623" t="s">
        <v>39</v>
      </c>
    </row>
    <row r="624" spans="1:1" x14ac:dyDescent="0.25">
      <c r="A624" t="s">
        <v>39</v>
      </c>
    </row>
    <row r="625" spans="1:1" x14ac:dyDescent="0.25">
      <c r="A625" t="s">
        <v>39</v>
      </c>
    </row>
    <row r="626" spans="1:1" x14ac:dyDescent="0.25">
      <c r="A626" t="s">
        <v>39</v>
      </c>
    </row>
    <row r="627" spans="1:1" x14ac:dyDescent="0.25">
      <c r="A627" t="s">
        <v>39</v>
      </c>
    </row>
    <row r="628" spans="1:1" x14ac:dyDescent="0.25">
      <c r="A628" t="s">
        <v>39</v>
      </c>
    </row>
    <row r="629" spans="1:1" x14ac:dyDescent="0.25">
      <c r="A629" t="s">
        <v>39</v>
      </c>
    </row>
    <row r="630" spans="1:1" x14ac:dyDescent="0.25">
      <c r="A630" t="s">
        <v>39</v>
      </c>
    </row>
    <row r="631" spans="1:1" x14ac:dyDescent="0.25">
      <c r="A631" t="s">
        <v>39</v>
      </c>
    </row>
    <row r="632" spans="1:1" x14ac:dyDescent="0.25">
      <c r="A632" t="s">
        <v>39</v>
      </c>
    </row>
    <row r="633" spans="1:1" x14ac:dyDescent="0.25">
      <c r="A633" t="s">
        <v>39</v>
      </c>
    </row>
    <row r="634" spans="1:1" x14ac:dyDescent="0.25">
      <c r="A634" t="s">
        <v>39</v>
      </c>
    </row>
    <row r="635" spans="1:1" x14ac:dyDescent="0.25">
      <c r="A635" t="s">
        <v>39</v>
      </c>
    </row>
    <row r="636" spans="1:1" x14ac:dyDescent="0.25">
      <c r="A636" t="s">
        <v>39</v>
      </c>
    </row>
    <row r="637" spans="1:1" x14ac:dyDescent="0.25">
      <c r="A637" t="s">
        <v>39</v>
      </c>
    </row>
    <row r="638" spans="1:1" x14ac:dyDescent="0.25">
      <c r="A638" t="s">
        <v>39</v>
      </c>
    </row>
    <row r="639" spans="1:1" x14ac:dyDescent="0.25">
      <c r="A639" t="s">
        <v>39</v>
      </c>
    </row>
    <row r="640" spans="1:1" x14ac:dyDescent="0.25">
      <c r="A640" t="s">
        <v>39</v>
      </c>
    </row>
    <row r="641" spans="1:1" x14ac:dyDescent="0.25">
      <c r="A641" t="s">
        <v>39</v>
      </c>
    </row>
    <row r="642" spans="1:1" x14ac:dyDescent="0.25">
      <c r="A642" t="s">
        <v>39</v>
      </c>
    </row>
    <row r="643" spans="1:1" x14ac:dyDescent="0.25">
      <c r="A643" t="s">
        <v>39</v>
      </c>
    </row>
    <row r="644" spans="1:1" x14ac:dyDescent="0.25">
      <c r="A644" t="s">
        <v>39</v>
      </c>
    </row>
    <row r="645" spans="1:1" x14ac:dyDescent="0.25">
      <c r="A645" t="s">
        <v>39</v>
      </c>
    </row>
    <row r="646" spans="1:1" x14ac:dyDescent="0.25">
      <c r="A646" t="s">
        <v>39</v>
      </c>
    </row>
    <row r="647" spans="1:1" x14ac:dyDescent="0.25">
      <c r="A647" t="s">
        <v>39</v>
      </c>
    </row>
    <row r="648" spans="1:1" x14ac:dyDescent="0.25">
      <c r="A648" t="s">
        <v>39</v>
      </c>
    </row>
    <row r="649" spans="1:1" x14ac:dyDescent="0.25">
      <c r="A649" t="s">
        <v>39</v>
      </c>
    </row>
    <row r="650" spans="1:1" x14ac:dyDescent="0.25">
      <c r="A650" t="s">
        <v>39</v>
      </c>
    </row>
    <row r="651" spans="1:1" x14ac:dyDescent="0.25">
      <c r="A651" t="s">
        <v>39</v>
      </c>
    </row>
    <row r="652" spans="1:1" x14ac:dyDescent="0.25">
      <c r="A652" t="s">
        <v>39</v>
      </c>
    </row>
    <row r="653" spans="1:1" x14ac:dyDescent="0.25">
      <c r="A653" t="s">
        <v>39</v>
      </c>
    </row>
    <row r="654" spans="1:1" x14ac:dyDescent="0.25">
      <c r="A654" t="s">
        <v>39</v>
      </c>
    </row>
    <row r="655" spans="1:1" x14ac:dyDescent="0.25">
      <c r="A655" t="s">
        <v>39</v>
      </c>
    </row>
    <row r="656" spans="1:1" x14ac:dyDescent="0.25">
      <c r="A656" t="s">
        <v>39</v>
      </c>
    </row>
    <row r="657" spans="1:1" x14ac:dyDescent="0.25">
      <c r="A657" t="s">
        <v>39</v>
      </c>
    </row>
    <row r="658" spans="1:1" x14ac:dyDescent="0.25">
      <c r="A658" t="s">
        <v>39</v>
      </c>
    </row>
    <row r="659" spans="1:1" x14ac:dyDescent="0.25">
      <c r="A659" t="s">
        <v>39</v>
      </c>
    </row>
    <row r="660" spans="1:1" x14ac:dyDescent="0.25">
      <c r="A660" t="s">
        <v>39</v>
      </c>
    </row>
    <row r="661" spans="1:1" x14ac:dyDescent="0.25">
      <c r="A661" t="s">
        <v>39</v>
      </c>
    </row>
    <row r="662" spans="1:1" x14ac:dyDescent="0.25">
      <c r="A662" t="s">
        <v>39</v>
      </c>
    </row>
    <row r="663" spans="1:1" x14ac:dyDescent="0.25">
      <c r="A663" t="s">
        <v>39</v>
      </c>
    </row>
    <row r="664" spans="1:1" x14ac:dyDescent="0.25">
      <c r="A664" t="s">
        <v>39</v>
      </c>
    </row>
    <row r="665" spans="1:1" x14ac:dyDescent="0.25">
      <c r="A665" t="s">
        <v>39</v>
      </c>
    </row>
    <row r="666" spans="1:1" x14ac:dyDescent="0.25">
      <c r="A666" t="s">
        <v>39</v>
      </c>
    </row>
    <row r="667" spans="1:1" x14ac:dyDescent="0.25">
      <c r="A667" t="s">
        <v>39</v>
      </c>
    </row>
    <row r="668" spans="1:1" x14ac:dyDescent="0.25">
      <c r="A668" t="s">
        <v>39</v>
      </c>
    </row>
    <row r="669" spans="1:1" x14ac:dyDescent="0.25">
      <c r="A669" t="s">
        <v>39</v>
      </c>
    </row>
    <row r="670" spans="1:1" x14ac:dyDescent="0.25">
      <c r="A670" t="s">
        <v>39</v>
      </c>
    </row>
    <row r="671" spans="1:1" x14ac:dyDescent="0.25">
      <c r="A671" t="s">
        <v>39</v>
      </c>
    </row>
    <row r="672" spans="1:1" x14ac:dyDescent="0.25">
      <c r="A672" t="s">
        <v>39</v>
      </c>
    </row>
    <row r="673" spans="1:1" x14ac:dyDescent="0.25">
      <c r="A673" t="s">
        <v>39</v>
      </c>
    </row>
    <row r="674" spans="1:1" x14ac:dyDescent="0.25">
      <c r="A674" t="s">
        <v>39</v>
      </c>
    </row>
    <row r="675" spans="1:1" x14ac:dyDescent="0.25">
      <c r="A675" t="s">
        <v>39</v>
      </c>
    </row>
    <row r="676" spans="1:1" x14ac:dyDescent="0.25">
      <c r="A676" t="s">
        <v>39</v>
      </c>
    </row>
    <row r="677" spans="1:1" x14ac:dyDescent="0.25">
      <c r="A677" t="s">
        <v>39</v>
      </c>
    </row>
    <row r="678" spans="1:1" x14ac:dyDescent="0.25">
      <c r="A678" t="s">
        <v>39</v>
      </c>
    </row>
    <row r="679" spans="1:1" x14ac:dyDescent="0.25">
      <c r="A679" t="s">
        <v>39</v>
      </c>
    </row>
    <row r="680" spans="1:1" x14ac:dyDescent="0.25">
      <c r="A680" t="s">
        <v>39</v>
      </c>
    </row>
    <row r="681" spans="1:1" x14ac:dyDescent="0.25">
      <c r="A681" t="s">
        <v>39</v>
      </c>
    </row>
    <row r="682" spans="1:1" x14ac:dyDescent="0.25">
      <c r="A682" t="s">
        <v>39</v>
      </c>
    </row>
    <row r="683" spans="1:1" x14ac:dyDescent="0.25">
      <c r="A683" t="s">
        <v>39</v>
      </c>
    </row>
    <row r="684" spans="1:1" x14ac:dyDescent="0.25">
      <c r="A684" t="s">
        <v>39</v>
      </c>
    </row>
    <row r="685" spans="1:1" x14ac:dyDescent="0.25">
      <c r="A685" t="s">
        <v>39</v>
      </c>
    </row>
    <row r="686" spans="1:1" x14ac:dyDescent="0.25">
      <c r="A686" t="s">
        <v>39</v>
      </c>
    </row>
    <row r="687" spans="1:1" x14ac:dyDescent="0.25">
      <c r="A687" t="s">
        <v>39</v>
      </c>
    </row>
    <row r="688" spans="1:1" x14ac:dyDescent="0.25">
      <c r="A688" t="s">
        <v>39</v>
      </c>
    </row>
    <row r="689" spans="1:1" x14ac:dyDescent="0.25">
      <c r="A689" t="s">
        <v>39</v>
      </c>
    </row>
    <row r="690" spans="1:1" x14ac:dyDescent="0.25">
      <c r="A690" t="s">
        <v>39</v>
      </c>
    </row>
    <row r="691" spans="1:1" x14ac:dyDescent="0.25">
      <c r="A691" t="s">
        <v>39</v>
      </c>
    </row>
    <row r="692" spans="1:1" x14ac:dyDescent="0.25">
      <c r="A692" t="s">
        <v>39</v>
      </c>
    </row>
    <row r="693" spans="1:1" x14ac:dyDescent="0.25">
      <c r="A693" t="s">
        <v>39</v>
      </c>
    </row>
    <row r="694" spans="1:1" x14ac:dyDescent="0.25">
      <c r="A694" t="s">
        <v>39</v>
      </c>
    </row>
    <row r="695" spans="1:1" x14ac:dyDescent="0.25">
      <c r="A695" t="s">
        <v>39</v>
      </c>
    </row>
    <row r="696" spans="1:1" x14ac:dyDescent="0.25">
      <c r="A696" t="s">
        <v>39</v>
      </c>
    </row>
    <row r="697" spans="1:1" x14ac:dyDescent="0.25">
      <c r="A697" t="s">
        <v>39</v>
      </c>
    </row>
    <row r="698" spans="1:1" x14ac:dyDescent="0.25">
      <c r="A698" t="s">
        <v>39</v>
      </c>
    </row>
    <row r="699" spans="1:1" x14ac:dyDescent="0.25">
      <c r="A699" t="s">
        <v>39</v>
      </c>
    </row>
    <row r="700" spans="1:1" x14ac:dyDescent="0.25">
      <c r="A700" t="s">
        <v>39</v>
      </c>
    </row>
    <row r="701" spans="1:1" x14ac:dyDescent="0.25">
      <c r="A701" t="s">
        <v>39</v>
      </c>
    </row>
    <row r="702" spans="1:1" x14ac:dyDescent="0.25">
      <c r="A702" t="s">
        <v>39</v>
      </c>
    </row>
    <row r="703" spans="1:1" x14ac:dyDescent="0.25">
      <c r="A703" t="s">
        <v>39</v>
      </c>
    </row>
    <row r="704" spans="1:1" x14ac:dyDescent="0.25">
      <c r="A704" t="s">
        <v>39</v>
      </c>
    </row>
    <row r="705" spans="1:1" x14ac:dyDescent="0.25">
      <c r="A705" t="s">
        <v>39</v>
      </c>
    </row>
    <row r="706" spans="1:1" x14ac:dyDescent="0.25">
      <c r="A706" t="s">
        <v>39</v>
      </c>
    </row>
    <row r="707" spans="1:1" x14ac:dyDescent="0.25">
      <c r="A707" t="s">
        <v>39</v>
      </c>
    </row>
    <row r="708" spans="1:1" x14ac:dyDescent="0.25">
      <c r="A708" t="s">
        <v>39</v>
      </c>
    </row>
    <row r="709" spans="1:1" x14ac:dyDescent="0.25">
      <c r="A709" t="s">
        <v>39</v>
      </c>
    </row>
    <row r="710" spans="1:1" x14ac:dyDescent="0.25">
      <c r="A710" t="s">
        <v>39</v>
      </c>
    </row>
    <row r="711" spans="1:1" x14ac:dyDescent="0.25">
      <c r="A711" t="s">
        <v>39</v>
      </c>
    </row>
    <row r="712" spans="1:1" x14ac:dyDescent="0.25">
      <c r="A712" t="s">
        <v>39</v>
      </c>
    </row>
    <row r="713" spans="1:1" x14ac:dyDescent="0.25">
      <c r="A713" t="s">
        <v>39</v>
      </c>
    </row>
    <row r="714" spans="1:1" x14ac:dyDescent="0.25">
      <c r="A714" t="s">
        <v>39</v>
      </c>
    </row>
    <row r="715" spans="1:1" x14ac:dyDescent="0.25">
      <c r="A715" t="s">
        <v>39</v>
      </c>
    </row>
    <row r="716" spans="1:1" x14ac:dyDescent="0.25">
      <c r="A716" t="s">
        <v>39</v>
      </c>
    </row>
    <row r="717" spans="1:1" x14ac:dyDescent="0.25">
      <c r="A717" t="s">
        <v>39</v>
      </c>
    </row>
    <row r="718" spans="1:1" x14ac:dyDescent="0.25">
      <c r="A718" t="s">
        <v>39</v>
      </c>
    </row>
    <row r="719" spans="1:1" x14ac:dyDescent="0.25">
      <c r="A719" t="s">
        <v>39</v>
      </c>
    </row>
    <row r="720" spans="1:1" x14ac:dyDescent="0.25">
      <c r="A720" t="s">
        <v>39</v>
      </c>
    </row>
    <row r="721" spans="1:1" x14ac:dyDescent="0.25">
      <c r="A721" t="s">
        <v>39</v>
      </c>
    </row>
    <row r="722" spans="1:1" x14ac:dyDescent="0.25">
      <c r="A722" t="s">
        <v>39</v>
      </c>
    </row>
    <row r="723" spans="1:1" x14ac:dyDescent="0.25">
      <c r="A723" t="s">
        <v>39</v>
      </c>
    </row>
    <row r="724" spans="1:1" x14ac:dyDescent="0.25">
      <c r="A724" t="s">
        <v>39</v>
      </c>
    </row>
    <row r="725" spans="1:1" x14ac:dyDescent="0.25">
      <c r="A725" t="s">
        <v>39</v>
      </c>
    </row>
    <row r="726" spans="1:1" x14ac:dyDescent="0.25">
      <c r="A726" t="s">
        <v>39</v>
      </c>
    </row>
    <row r="727" spans="1:1" x14ac:dyDescent="0.25">
      <c r="A727" t="s">
        <v>39</v>
      </c>
    </row>
    <row r="728" spans="1:1" x14ac:dyDescent="0.25">
      <c r="A728" t="s">
        <v>39</v>
      </c>
    </row>
    <row r="729" spans="1:1" x14ac:dyDescent="0.25">
      <c r="A729" t="s">
        <v>39</v>
      </c>
    </row>
    <row r="730" spans="1:1" x14ac:dyDescent="0.25">
      <c r="A730" t="s">
        <v>39</v>
      </c>
    </row>
    <row r="731" spans="1:1" x14ac:dyDescent="0.25">
      <c r="A731" t="s">
        <v>39</v>
      </c>
    </row>
    <row r="732" spans="1:1" x14ac:dyDescent="0.25">
      <c r="A732" t="s">
        <v>39</v>
      </c>
    </row>
    <row r="733" spans="1:1" x14ac:dyDescent="0.25">
      <c r="A733" t="s">
        <v>39</v>
      </c>
    </row>
    <row r="734" spans="1:1" x14ac:dyDescent="0.25">
      <c r="A734" t="s">
        <v>39</v>
      </c>
    </row>
    <row r="735" spans="1:1" x14ac:dyDescent="0.25">
      <c r="A735" t="s">
        <v>39</v>
      </c>
    </row>
    <row r="736" spans="1:1" x14ac:dyDescent="0.25">
      <c r="A736" t="s">
        <v>39</v>
      </c>
    </row>
    <row r="737" spans="1:1" x14ac:dyDescent="0.25">
      <c r="A737" t="s">
        <v>39</v>
      </c>
    </row>
    <row r="738" spans="1:1" x14ac:dyDescent="0.25">
      <c r="A738" t="s">
        <v>39</v>
      </c>
    </row>
    <row r="739" spans="1:1" x14ac:dyDescent="0.25">
      <c r="A739" t="s">
        <v>39</v>
      </c>
    </row>
    <row r="740" spans="1:1" x14ac:dyDescent="0.25">
      <c r="A740" t="s">
        <v>39</v>
      </c>
    </row>
    <row r="741" spans="1:1" x14ac:dyDescent="0.25">
      <c r="A741" t="s">
        <v>39</v>
      </c>
    </row>
    <row r="742" spans="1:1" x14ac:dyDescent="0.25">
      <c r="A742" t="s">
        <v>39</v>
      </c>
    </row>
    <row r="743" spans="1:1" x14ac:dyDescent="0.25">
      <c r="A743" t="s">
        <v>39</v>
      </c>
    </row>
    <row r="744" spans="1:1" x14ac:dyDescent="0.25">
      <c r="A744" t="s">
        <v>39</v>
      </c>
    </row>
    <row r="745" spans="1:1" x14ac:dyDescent="0.25">
      <c r="A745" t="s">
        <v>39</v>
      </c>
    </row>
    <row r="746" spans="1:1" x14ac:dyDescent="0.25">
      <c r="A746" t="s">
        <v>39</v>
      </c>
    </row>
    <row r="747" spans="1:1" x14ac:dyDescent="0.25">
      <c r="A747" t="s">
        <v>39</v>
      </c>
    </row>
    <row r="748" spans="1:1" x14ac:dyDescent="0.25">
      <c r="A748" t="s">
        <v>39</v>
      </c>
    </row>
    <row r="749" spans="1:1" x14ac:dyDescent="0.25">
      <c r="A749" t="s">
        <v>39</v>
      </c>
    </row>
    <row r="750" spans="1:1" x14ac:dyDescent="0.25">
      <c r="A750" t="s">
        <v>39</v>
      </c>
    </row>
    <row r="751" spans="1:1" x14ac:dyDescent="0.25">
      <c r="A751" t="s">
        <v>39</v>
      </c>
    </row>
    <row r="752" spans="1:1" x14ac:dyDescent="0.25">
      <c r="A752" t="s">
        <v>39</v>
      </c>
    </row>
    <row r="753" spans="1:1" x14ac:dyDescent="0.25">
      <c r="A753" t="s">
        <v>39</v>
      </c>
    </row>
    <row r="754" spans="1:1" x14ac:dyDescent="0.25">
      <c r="A754" t="s">
        <v>39</v>
      </c>
    </row>
    <row r="755" spans="1:1" x14ac:dyDescent="0.25">
      <c r="A755" t="s">
        <v>39</v>
      </c>
    </row>
    <row r="756" spans="1:1" x14ac:dyDescent="0.25">
      <c r="A756" t="s">
        <v>39</v>
      </c>
    </row>
    <row r="757" spans="1:1" x14ac:dyDescent="0.25">
      <c r="A757" t="s">
        <v>39</v>
      </c>
    </row>
    <row r="758" spans="1:1" x14ac:dyDescent="0.25">
      <c r="A758" t="s">
        <v>39</v>
      </c>
    </row>
    <row r="759" spans="1:1" x14ac:dyDescent="0.25">
      <c r="A759" t="s">
        <v>39</v>
      </c>
    </row>
    <row r="760" spans="1:1" x14ac:dyDescent="0.25">
      <c r="A760" t="s">
        <v>39</v>
      </c>
    </row>
    <row r="761" spans="1:1" x14ac:dyDescent="0.25">
      <c r="A761" t="s">
        <v>39</v>
      </c>
    </row>
    <row r="762" spans="1:1" x14ac:dyDescent="0.25">
      <c r="A762" t="s">
        <v>39</v>
      </c>
    </row>
    <row r="763" spans="1:1" x14ac:dyDescent="0.25">
      <c r="A763" t="s">
        <v>39</v>
      </c>
    </row>
    <row r="764" spans="1:1" x14ac:dyDescent="0.25">
      <c r="A764" t="s">
        <v>39</v>
      </c>
    </row>
    <row r="765" spans="1:1" x14ac:dyDescent="0.25">
      <c r="A765" t="s">
        <v>39</v>
      </c>
    </row>
    <row r="766" spans="1:1" x14ac:dyDescent="0.25">
      <c r="A766" t="s">
        <v>39</v>
      </c>
    </row>
    <row r="767" spans="1:1" x14ac:dyDescent="0.25">
      <c r="A767" t="s">
        <v>39</v>
      </c>
    </row>
    <row r="768" spans="1:1" x14ac:dyDescent="0.25">
      <c r="A768" t="s">
        <v>39</v>
      </c>
    </row>
    <row r="769" spans="1:1" x14ac:dyDescent="0.25">
      <c r="A769" t="s">
        <v>39</v>
      </c>
    </row>
    <row r="770" spans="1:1" x14ac:dyDescent="0.25">
      <c r="A770" t="s">
        <v>39</v>
      </c>
    </row>
    <row r="771" spans="1:1" x14ac:dyDescent="0.25">
      <c r="A771" t="s">
        <v>39</v>
      </c>
    </row>
    <row r="772" spans="1:1" x14ac:dyDescent="0.25">
      <c r="A772" t="s">
        <v>39</v>
      </c>
    </row>
    <row r="773" spans="1:1" x14ac:dyDescent="0.25">
      <c r="A773" t="s">
        <v>39</v>
      </c>
    </row>
    <row r="774" spans="1:1" x14ac:dyDescent="0.25">
      <c r="A774" t="s">
        <v>39</v>
      </c>
    </row>
    <row r="775" spans="1:1" x14ac:dyDescent="0.25">
      <c r="A775" t="s">
        <v>39</v>
      </c>
    </row>
    <row r="776" spans="1:1" x14ac:dyDescent="0.25">
      <c r="A776" t="s">
        <v>39</v>
      </c>
    </row>
    <row r="777" spans="1:1" x14ac:dyDescent="0.25">
      <c r="A777" t="s">
        <v>39</v>
      </c>
    </row>
    <row r="778" spans="1:1" x14ac:dyDescent="0.25">
      <c r="A778" t="s">
        <v>39</v>
      </c>
    </row>
    <row r="779" spans="1:1" x14ac:dyDescent="0.25">
      <c r="A779" t="s">
        <v>39</v>
      </c>
    </row>
    <row r="780" spans="1:1" x14ac:dyDescent="0.25">
      <c r="A780" t="s">
        <v>39</v>
      </c>
    </row>
    <row r="781" spans="1:1" x14ac:dyDescent="0.25">
      <c r="A781" t="s">
        <v>39</v>
      </c>
    </row>
    <row r="782" spans="1:1" x14ac:dyDescent="0.25">
      <c r="A782" t="s">
        <v>39</v>
      </c>
    </row>
    <row r="783" spans="1:1" x14ac:dyDescent="0.25">
      <c r="A783" t="s">
        <v>39</v>
      </c>
    </row>
    <row r="784" spans="1:1" x14ac:dyDescent="0.25">
      <c r="A784" t="s">
        <v>39</v>
      </c>
    </row>
    <row r="785" spans="1:1" x14ac:dyDescent="0.25">
      <c r="A785" t="s">
        <v>39</v>
      </c>
    </row>
    <row r="786" spans="1:1" x14ac:dyDescent="0.25">
      <c r="A786" t="s">
        <v>39</v>
      </c>
    </row>
    <row r="787" spans="1:1" x14ac:dyDescent="0.25">
      <c r="A787" t="s">
        <v>55</v>
      </c>
    </row>
    <row r="788" spans="1:1" x14ac:dyDescent="0.25">
      <c r="A788" t="s">
        <v>55</v>
      </c>
    </row>
    <row r="789" spans="1:1" x14ac:dyDescent="0.25">
      <c r="A789" t="s">
        <v>55</v>
      </c>
    </row>
    <row r="790" spans="1:1" x14ac:dyDescent="0.25">
      <c r="A790" t="s">
        <v>55</v>
      </c>
    </row>
    <row r="791" spans="1:1" x14ac:dyDescent="0.25">
      <c r="A791" t="s">
        <v>55</v>
      </c>
    </row>
    <row r="792" spans="1:1" x14ac:dyDescent="0.25">
      <c r="A792" t="s">
        <v>55</v>
      </c>
    </row>
    <row r="793" spans="1:1" x14ac:dyDescent="0.25">
      <c r="A793" t="s">
        <v>55</v>
      </c>
    </row>
    <row r="794" spans="1:1" x14ac:dyDescent="0.25">
      <c r="A794" t="s">
        <v>55</v>
      </c>
    </row>
    <row r="795" spans="1:1" x14ac:dyDescent="0.25">
      <c r="A795" t="s">
        <v>55</v>
      </c>
    </row>
    <row r="796" spans="1:1" x14ac:dyDescent="0.25">
      <c r="A796" t="s">
        <v>55</v>
      </c>
    </row>
    <row r="797" spans="1:1" x14ac:dyDescent="0.25">
      <c r="A797" t="s">
        <v>55</v>
      </c>
    </row>
    <row r="798" spans="1:1" x14ac:dyDescent="0.25">
      <c r="A798" t="s">
        <v>55</v>
      </c>
    </row>
    <row r="799" spans="1:1" x14ac:dyDescent="0.25">
      <c r="A799" t="s">
        <v>55</v>
      </c>
    </row>
    <row r="800" spans="1:1" x14ac:dyDescent="0.25">
      <c r="A800" t="s">
        <v>55</v>
      </c>
    </row>
    <row r="801" spans="1:1" x14ac:dyDescent="0.25">
      <c r="A801" t="s">
        <v>55</v>
      </c>
    </row>
    <row r="802" spans="1:1" x14ac:dyDescent="0.25">
      <c r="A802" t="s">
        <v>55</v>
      </c>
    </row>
    <row r="803" spans="1:1" x14ac:dyDescent="0.25">
      <c r="A803" t="s">
        <v>55</v>
      </c>
    </row>
    <row r="804" spans="1:1" x14ac:dyDescent="0.25">
      <c r="A804" t="s">
        <v>55</v>
      </c>
    </row>
    <row r="805" spans="1:1" x14ac:dyDescent="0.25">
      <c r="A805" t="s">
        <v>55</v>
      </c>
    </row>
    <row r="806" spans="1:1" x14ac:dyDescent="0.25">
      <c r="A806" t="s">
        <v>55</v>
      </c>
    </row>
    <row r="807" spans="1:1" x14ac:dyDescent="0.25">
      <c r="A807" t="s">
        <v>55</v>
      </c>
    </row>
    <row r="808" spans="1:1" x14ac:dyDescent="0.25">
      <c r="A808" t="s">
        <v>55</v>
      </c>
    </row>
    <row r="809" spans="1:1" x14ac:dyDescent="0.25">
      <c r="A809" t="s">
        <v>55</v>
      </c>
    </row>
    <row r="810" spans="1:1" x14ac:dyDescent="0.25">
      <c r="A810" t="s">
        <v>55</v>
      </c>
    </row>
    <row r="811" spans="1:1" x14ac:dyDescent="0.25">
      <c r="A811" t="s">
        <v>55</v>
      </c>
    </row>
    <row r="812" spans="1:1" x14ac:dyDescent="0.25">
      <c r="A812" t="s">
        <v>55</v>
      </c>
    </row>
    <row r="813" spans="1:1" x14ac:dyDescent="0.25">
      <c r="A813" t="s">
        <v>55</v>
      </c>
    </row>
    <row r="814" spans="1:1" x14ac:dyDescent="0.25">
      <c r="A814" t="s">
        <v>55</v>
      </c>
    </row>
    <row r="815" spans="1:1" x14ac:dyDescent="0.25">
      <c r="A815" t="s">
        <v>55</v>
      </c>
    </row>
    <row r="816" spans="1:1" x14ac:dyDescent="0.25">
      <c r="A816" t="s">
        <v>55</v>
      </c>
    </row>
    <row r="817" spans="1:1" x14ac:dyDescent="0.25">
      <c r="A817" t="s">
        <v>55</v>
      </c>
    </row>
    <row r="818" spans="1:1" x14ac:dyDescent="0.25">
      <c r="A818" t="s">
        <v>55</v>
      </c>
    </row>
    <row r="819" spans="1:1" x14ac:dyDescent="0.25">
      <c r="A819" t="s">
        <v>55</v>
      </c>
    </row>
    <row r="820" spans="1:1" x14ac:dyDescent="0.25">
      <c r="A820" t="s">
        <v>55</v>
      </c>
    </row>
    <row r="821" spans="1:1" x14ac:dyDescent="0.25">
      <c r="A821" t="s">
        <v>55</v>
      </c>
    </row>
    <row r="822" spans="1:1" x14ac:dyDescent="0.25">
      <c r="A822" t="s">
        <v>55</v>
      </c>
    </row>
    <row r="823" spans="1:1" x14ac:dyDescent="0.25">
      <c r="A823" t="s">
        <v>55</v>
      </c>
    </row>
    <row r="824" spans="1:1" x14ac:dyDescent="0.25">
      <c r="A824" t="s">
        <v>55</v>
      </c>
    </row>
    <row r="825" spans="1:1" x14ac:dyDescent="0.25">
      <c r="A825" t="s">
        <v>55</v>
      </c>
    </row>
    <row r="826" spans="1:1" x14ac:dyDescent="0.25">
      <c r="A826" t="s">
        <v>55</v>
      </c>
    </row>
    <row r="827" spans="1:1" x14ac:dyDescent="0.25">
      <c r="A827" t="s">
        <v>55</v>
      </c>
    </row>
    <row r="828" spans="1:1" x14ac:dyDescent="0.25">
      <c r="A828" t="s">
        <v>55</v>
      </c>
    </row>
    <row r="829" spans="1:1" x14ac:dyDescent="0.25">
      <c r="A829" t="s">
        <v>55</v>
      </c>
    </row>
    <row r="830" spans="1:1" x14ac:dyDescent="0.25">
      <c r="A830" t="s">
        <v>55</v>
      </c>
    </row>
    <row r="831" spans="1:1" x14ac:dyDescent="0.25">
      <c r="A831" t="s">
        <v>55</v>
      </c>
    </row>
    <row r="832" spans="1:1" x14ac:dyDescent="0.25">
      <c r="A832" t="s">
        <v>55</v>
      </c>
    </row>
    <row r="833" spans="1:1" x14ac:dyDescent="0.25">
      <c r="A833" t="s">
        <v>55</v>
      </c>
    </row>
    <row r="834" spans="1:1" x14ac:dyDescent="0.25">
      <c r="A834" t="s">
        <v>55</v>
      </c>
    </row>
    <row r="835" spans="1:1" x14ac:dyDescent="0.25">
      <c r="A835" t="s">
        <v>55</v>
      </c>
    </row>
    <row r="836" spans="1:1" x14ac:dyDescent="0.25">
      <c r="A836" t="s">
        <v>55</v>
      </c>
    </row>
    <row r="837" spans="1:1" x14ac:dyDescent="0.25">
      <c r="A837" t="s">
        <v>55</v>
      </c>
    </row>
    <row r="838" spans="1:1" x14ac:dyDescent="0.25">
      <c r="A838" t="s">
        <v>55</v>
      </c>
    </row>
    <row r="839" spans="1:1" x14ac:dyDescent="0.25">
      <c r="A839" t="s">
        <v>55</v>
      </c>
    </row>
    <row r="840" spans="1:1" x14ac:dyDescent="0.25">
      <c r="A840" t="s">
        <v>55</v>
      </c>
    </row>
    <row r="841" spans="1:1" x14ac:dyDescent="0.25">
      <c r="A841" t="s">
        <v>55</v>
      </c>
    </row>
    <row r="842" spans="1:1" x14ac:dyDescent="0.25">
      <c r="A842" t="s">
        <v>55</v>
      </c>
    </row>
    <row r="843" spans="1:1" x14ac:dyDescent="0.25">
      <c r="A843" t="s">
        <v>55</v>
      </c>
    </row>
    <row r="844" spans="1:1" x14ac:dyDescent="0.25">
      <c r="A844" t="s">
        <v>55</v>
      </c>
    </row>
    <row r="845" spans="1:1" x14ac:dyDescent="0.25">
      <c r="A845" t="s">
        <v>55</v>
      </c>
    </row>
    <row r="846" spans="1:1" x14ac:dyDescent="0.25">
      <c r="A846" t="s">
        <v>55</v>
      </c>
    </row>
    <row r="847" spans="1:1" x14ac:dyDescent="0.25">
      <c r="A847" t="s">
        <v>55</v>
      </c>
    </row>
    <row r="848" spans="1:1" x14ac:dyDescent="0.25">
      <c r="A848" t="s">
        <v>55</v>
      </c>
    </row>
    <row r="849" spans="1:1" x14ac:dyDescent="0.25">
      <c r="A849" t="s">
        <v>55</v>
      </c>
    </row>
    <row r="850" spans="1:1" x14ac:dyDescent="0.25">
      <c r="A850" t="s">
        <v>55</v>
      </c>
    </row>
    <row r="851" spans="1:1" x14ac:dyDescent="0.25">
      <c r="A851" t="s">
        <v>55</v>
      </c>
    </row>
    <row r="852" spans="1:1" x14ac:dyDescent="0.25">
      <c r="A852" t="s">
        <v>55</v>
      </c>
    </row>
    <row r="853" spans="1:1" x14ac:dyDescent="0.25">
      <c r="A853" t="s">
        <v>55</v>
      </c>
    </row>
    <row r="854" spans="1:1" x14ac:dyDescent="0.25">
      <c r="A854" t="s">
        <v>55</v>
      </c>
    </row>
    <row r="855" spans="1:1" x14ac:dyDescent="0.25">
      <c r="A855" t="s">
        <v>55</v>
      </c>
    </row>
    <row r="856" spans="1:1" x14ac:dyDescent="0.25">
      <c r="A856" t="s">
        <v>55</v>
      </c>
    </row>
    <row r="857" spans="1:1" x14ac:dyDescent="0.25">
      <c r="A857" t="s">
        <v>55</v>
      </c>
    </row>
    <row r="858" spans="1:1" x14ac:dyDescent="0.25">
      <c r="A858" t="s">
        <v>55</v>
      </c>
    </row>
    <row r="859" spans="1:1" x14ac:dyDescent="0.25">
      <c r="A859" t="s">
        <v>55</v>
      </c>
    </row>
    <row r="860" spans="1:1" x14ac:dyDescent="0.25">
      <c r="A860" t="s">
        <v>55</v>
      </c>
    </row>
    <row r="861" spans="1:1" x14ac:dyDescent="0.25">
      <c r="A861" t="s">
        <v>55</v>
      </c>
    </row>
    <row r="862" spans="1:1" x14ac:dyDescent="0.25">
      <c r="A862" t="s">
        <v>55</v>
      </c>
    </row>
    <row r="863" spans="1:1" x14ac:dyDescent="0.25">
      <c r="A863" t="s">
        <v>55</v>
      </c>
    </row>
    <row r="864" spans="1:1" x14ac:dyDescent="0.25">
      <c r="A864" t="s">
        <v>55</v>
      </c>
    </row>
    <row r="865" spans="1:1" x14ac:dyDescent="0.25">
      <c r="A865" t="s">
        <v>55</v>
      </c>
    </row>
    <row r="866" spans="1:1" x14ac:dyDescent="0.25">
      <c r="A866" t="s">
        <v>55</v>
      </c>
    </row>
    <row r="867" spans="1:1" x14ac:dyDescent="0.25">
      <c r="A867" t="s">
        <v>55</v>
      </c>
    </row>
    <row r="868" spans="1:1" x14ac:dyDescent="0.25">
      <c r="A868" t="s">
        <v>55</v>
      </c>
    </row>
    <row r="869" spans="1:1" x14ac:dyDescent="0.25">
      <c r="A869" t="s">
        <v>55</v>
      </c>
    </row>
    <row r="870" spans="1:1" x14ac:dyDescent="0.25">
      <c r="A870" t="s">
        <v>55</v>
      </c>
    </row>
    <row r="871" spans="1:1" x14ac:dyDescent="0.25">
      <c r="A871" t="s">
        <v>55</v>
      </c>
    </row>
    <row r="872" spans="1:1" x14ac:dyDescent="0.25">
      <c r="A872" t="s">
        <v>55</v>
      </c>
    </row>
    <row r="873" spans="1:1" x14ac:dyDescent="0.25">
      <c r="A873" t="s">
        <v>55</v>
      </c>
    </row>
    <row r="874" spans="1:1" x14ac:dyDescent="0.25">
      <c r="A874" t="s">
        <v>55</v>
      </c>
    </row>
    <row r="875" spans="1:1" x14ac:dyDescent="0.25">
      <c r="A875" t="s">
        <v>55</v>
      </c>
    </row>
    <row r="876" spans="1:1" x14ac:dyDescent="0.25">
      <c r="A876" t="s">
        <v>55</v>
      </c>
    </row>
    <row r="877" spans="1:1" x14ac:dyDescent="0.25">
      <c r="A877" t="s">
        <v>55</v>
      </c>
    </row>
    <row r="878" spans="1:1" x14ac:dyDescent="0.25">
      <c r="A878" t="s">
        <v>55</v>
      </c>
    </row>
    <row r="879" spans="1:1" x14ac:dyDescent="0.25">
      <c r="A879" t="s">
        <v>55</v>
      </c>
    </row>
    <row r="880" spans="1:1" x14ac:dyDescent="0.25">
      <c r="A880" t="s">
        <v>55</v>
      </c>
    </row>
    <row r="881" spans="1:1" x14ac:dyDescent="0.25">
      <c r="A881" t="s">
        <v>55</v>
      </c>
    </row>
    <row r="882" spans="1:1" x14ac:dyDescent="0.25">
      <c r="A882" t="s">
        <v>55</v>
      </c>
    </row>
    <row r="883" spans="1:1" x14ac:dyDescent="0.25">
      <c r="A883" t="s">
        <v>55</v>
      </c>
    </row>
    <row r="884" spans="1:1" x14ac:dyDescent="0.25">
      <c r="A884" t="s">
        <v>55</v>
      </c>
    </row>
    <row r="885" spans="1:1" x14ac:dyDescent="0.25">
      <c r="A885" t="s">
        <v>55</v>
      </c>
    </row>
    <row r="886" spans="1:1" x14ac:dyDescent="0.25">
      <c r="A886" t="s">
        <v>55</v>
      </c>
    </row>
    <row r="887" spans="1:1" x14ac:dyDescent="0.25">
      <c r="A887" t="s">
        <v>55</v>
      </c>
    </row>
    <row r="888" spans="1:1" x14ac:dyDescent="0.25">
      <c r="A888" t="s">
        <v>55</v>
      </c>
    </row>
    <row r="889" spans="1:1" x14ac:dyDescent="0.25">
      <c r="A889" t="s">
        <v>55</v>
      </c>
    </row>
    <row r="890" spans="1:1" x14ac:dyDescent="0.25">
      <c r="A890" t="s">
        <v>55</v>
      </c>
    </row>
    <row r="891" spans="1:1" x14ac:dyDescent="0.25">
      <c r="A891" t="s">
        <v>55</v>
      </c>
    </row>
    <row r="892" spans="1:1" x14ac:dyDescent="0.25">
      <c r="A892" t="s">
        <v>55</v>
      </c>
    </row>
    <row r="893" spans="1:1" x14ac:dyDescent="0.25">
      <c r="A893" t="s">
        <v>55</v>
      </c>
    </row>
    <row r="894" spans="1:1" x14ac:dyDescent="0.25">
      <c r="A894" t="s">
        <v>55</v>
      </c>
    </row>
    <row r="895" spans="1:1" x14ac:dyDescent="0.25">
      <c r="A895" t="s">
        <v>55</v>
      </c>
    </row>
    <row r="896" spans="1:1" x14ac:dyDescent="0.25">
      <c r="A896" t="s">
        <v>55</v>
      </c>
    </row>
    <row r="897" spans="1:1" x14ac:dyDescent="0.25">
      <c r="A897" t="s">
        <v>55</v>
      </c>
    </row>
    <row r="898" spans="1:1" x14ac:dyDescent="0.25">
      <c r="A898" t="s">
        <v>55</v>
      </c>
    </row>
    <row r="899" spans="1:1" x14ac:dyDescent="0.25">
      <c r="A899" t="s">
        <v>55</v>
      </c>
    </row>
    <row r="900" spans="1:1" x14ac:dyDescent="0.25">
      <c r="A900" t="s">
        <v>55</v>
      </c>
    </row>
    <row r="901" spans="1:1" x14ac:dyDescent="0.25">
      <c r="A901" t="s">
        <v>55</v>
      </c>
    </row>
    <row r="902" spans="1:1" x14ac:dyDescent="0.25">
      <c r="A902" t="s">
        <v>55</v>
      </c>
    </row>
    <row r="903" spans="1:1" x14ac:dyDescent="0.25">
      <c r="A903" t="s">
        <v>55</v>
      </c>
    </row>
    <row r="904" spans="1:1" x14ac:dyDescent="0.25">
      <c r="A904" t="s">
        <v>55</v>
      </c>
    </row>
    <row r="905" spans="1:1" x14ac:dyDescent="0.25">
      <c r="A905" t="s">
        <v>55</v>
      </c>
    </row>
    <row r="906" spans="1:1" x14ac:dyDescent="0.25">
      <c r="A906" t="s">
        <v>55</v>
      </c>
    </row>
    <row r="907" spans="1:1" x14ac:dyDescent="0.25">
      <c r="A907" t="s">
        <v>55</v>
      </c>
    </row>
    <row r="908" spans="1:1" x14ac:dyDescent="0.25">
      <c r="A908" t="s">
        <v>55</v>
      </c>
    </row>
    <row r="909" spans="1:1" x14ac:dyDescent="0.25">
      <c r="A909" t="s">
        <v>55</v>
      </c>
    </row>
    <row r="910" spans="1:1" x14ac:dyDescent="0.25">
      <c r="A910" t="s">
        <v>55</v>
      </c>
    </row>
    <row r="911" spans="1:1" x14ac:dyDescent="0.25">
      <c r="A911" t="s">
        <v>55</v>
      </c>
    </row>
    <row r="912" spans="1:1" x14ac:dyDescent="0.25">
      <c r="A912" t="s">
        <v>55</v>
      </c>
    </row>
    <row r="913" spans="1:1" x14ac:dyDescent="0.25">
      <c r="A913" t="s">
        <v>55</v>
      </c>
    </row>
    <row r="914" spans="1:1" x14ac:dyDescent="0.25">
      <c r="A914" t="s">
        <v>55</v>
      </c>
    </row>
    <row r="915" spans="1:1" x14ac:dyDescent="0.25">
      <c r="A915" t="s">
        <v>55</v>
      </c>
    </row>
    <row r="916" spans="1:1" x14ac:dyDescent="0.25">
      <c r="A916" t="s">
        <v>55</v>
      </c>
    </row>
    <row r="917" spans="1:1" x14ac:dyDescent="0.25">
      <c r="A917" t="s">
        <v>55</v>
      </c>
    </row>
    <row r="918" spans="1:1" x14ac:dyDescent="0.25">
      <c r="A918" t="s">
        <v>55</v>
      </c>
    </row>
    <row r="919" spans="1:1" x14ac:dyDescent="0.25">
      <c r="A919" t="s">
        <v>55</v>
      </c>
    </row>
    <row r="920" spans="1:1" x14ac:dyDescent="0.25">
      <c r="A920" t="s">
        <v>55</v>
      </c>
    </row>
    <row r="921" spans="1:1" x14ac:dyDescent="0.25">
      <c r="A921" t="s">
        <v>55</v>
      </c>
    </row>
    <row r="922" spans="1:1" x14ac:dyDescent="0.25">
      <c r="A922" t="s">
        <v>55</v>
      </c>
    </row>
    <row r="923" spans="1:1" x14ac:dyDescent="0.25">
      <c r="A923" t="s">
        <v>55</v>
      </c>
    </row>
    <row r="924" spans="1:1" x14ac:dyDescent="0.25">
      <c r="A924" t="s">
        <v>55</v>
      </c>
    </row>
    <row r="925" spans="1:1" x14ac:dyDescent="0.25">
      <c r="A925" t="s">
        <v>55</v>
      </c>
    </row>
    <row r="926" spans="1:1" x14ac:dyDescent="0.25">
      <c r="A926" t="s">
        <v>55</v>
      </c>
    </row>
    <row r="927" spans="1:1" x14ac:dyDescent="0.25">
      <c r="A927" t="s">
        <v>55</v>
      </c>
    </row>
    <row r="928" spans="1:1" x14ac:dyDescent="0.25">
      <c r="A928" t="s">
        <v>55</v>
      </c>
    </row>
    <row r="929" spans="1:1" x14ac:dyDescent="0.25">
      <c r="A929" t="s">
        <v>55</v>
      </c>
    </row>
    <row r="930" spans="1:1" x14ac:dyDescent="0.25">
      <c r="A930" t="s">
        <v>55</v>
      </c>
    </row>
    <row r="931" spans="1:1" x14ac:dyDescent="0.25">
      <c r="A931" t="s">
        <v>55</v>
      </c>
    </row>
    <row r="932" spans="1:1" x14ac:dyDescent="0.25">
      <c r="A932" t="s">
        <v>55</v>
      </c>
    </row>
    <row r="933" spans="1:1" x14ac:dyDescent="0.25">
      <c r="A933" t="s">
        <v>55</v>
      </c>
    </row>
    <row r="934" spans="1:1" x14ac:dyDescent="0.25">
      <c r="A934" t="s">
        <v>55</v>
      </c>
    </row>
    <row r="935" spans="1:1" x14ac:dyDescent="0.25">
      <c r="A935" t="s">
        <v>55</v>
      </c>
    </row>
    <row r="936" spans="1:1" x14ac:dyDescent="0.25">
      <c r="A936" t="s">
        <v>55</v>
      </c>
    </row>
    <row r="937" spans="1:1" x14ac:dyDescent="0.25">
      <c r="A937" t="s">
        <v>55</v>
      </c>
    </row>
    <row r="938" spans="1:1" x14ac:dyDescent="0.25">
      <c r="A938" t="s">
        <v>55</v>
      </c>
    </row>
    <row r="939" spans="1:1" x14ac:dyDescent="0.25">
      <c r="A939" t="s">
        <v>55</v>
      </c>
    </row>
    <row r="940" spans="1:1" x14ac:dyDescent="0.25">
      <c r="A940" t="s">
        <v>55</v>
      </c>
    </row>
    <row r="941" spans="1:1" x14ac:dyDescent="0.25">
      <c r="A941" t="s">
        <v>55</v>
      </c>
    </row>
    <row r="942" spans="1:1" x14ac:dyDescent="0.25">
      <c r="A942" t="s">
        <v>55</v>
      </c>
    </row>
    <row r="943" spans="1:1" x14ac:dyDescent="0.25">
      <c r="A943" t="s">
        <v>55</v>
      </c>
    </row>
    <row r="944" spans="1:1" x14ac:dyDescent="0.25">
      <c r="A944" t="s">
        <v>55</v>
      </c>
    </row>
    <row r="945" spans="1:1" x14ac:dyDescent="0.25">
      <c r="A945" t="s">
        <v>55</v>
      </c>
    </row>
    <row r="946" spans="1:1" x14ac:dyDescent="0.25">
      <c r="A946" t="s">
        <v>55</v>
      </c>
    </row>
    <row r="947" spans="1:1" x14ac:dyDescent="0.25">
      <c r="A947" t="s">
        <v>55</v>
      </c>
    </row>
    <row r="948" spans="1:1" x14ac:dyDescent="0.25">
      <c r="A948" t="s">
        <v>55</v>
      </c>
    </row>
    <row r="949" spans="1:1" x14ac:dyDescent="0.25">
      <c r="A949" t="s">
        <v>55</v>
      </c>
    </row>
    <row r="950" spans="1:1" x14ac:dyDescent="0.25">
      <c r="A950" t="s">
        <v>55</v>
      </c>
    </row>
    <row r="951" spans="1:1" x14ac:dyDescent="0.25">
      <c r="A951" t="s">
        <v>55</v>
      </c>
    </row>
    <row r="952" spans="1:1" x14ac:dyDescent="0.25">
      <c r="A952" t="s">
        <v>55</v>
      </c>
    </row>
    <row r="953" spans="1:1" x14ac:dyDescent="0.25">
      <c r="A953" t="s">
        <v>55</v>
      </c>
    </row>
    <row r="954" spans="1:1" x14ac:dyDescent="0.25">
      <c r="A954" t="s">
        <v>55</v>
      </c>
    </row>
    <row r="955" spans="1:1" x14ac:dyDescent="0.25">
      <c r="A955" t="s">
        <v>55</v>
      </c>
    </row>
    <row r="956" spans="1:1" x14ac:dyDescent="0.25">
      <c r="A956" t="s">
        <v>55</v>
      </c>
    </row>
    <row r="957" spans="1:1" x14ac:dyDescent="0.25">
      <c r="A957" t="s">
        <v>55</v>
      </c>
    </row>
    <row r="958" spans="1:1" x14ac:dyDescent="0.25">
      <c r="A958" t="s">
        <v>55</v>
      </c>
    </row>
    <row r="959" spans="1:1" x14ac:dyDescent="0.25">
      <c r="A959" t="s">
        <v>55</v>
      </c>
    </row>
    <row r="960" spans="1:1" x14ac:dyDescent="0.25">
      <c r="A960" t="s">
        <v>55</v>
      </c>
    </row>
    <row r="961" spans="1:1" x14ac:dyDescent="0.25">
      <c r="A961" t="s">
        <v>55</v>
      </c>
    </row>
    <row r="962" spans="1:1" x14ac:dyDescent="0.25">
      <c r="A962" t="s">
        <v>55</v>
      </c>
    </row>
    <row r="963" spans="1:1" x14ac:dyDescent="0.25">
      <c r="A963" t="s">
        <v>55</v>
      </c>
    </row>
    <row r="964" spans="1:1" x14ac:dyDescent="0.25">
      <c r="A964" t="s">
        <v>55</v>
      </c>
    </row>
    <row r="965" spans="1:1" x14ac:dyDescent="0.25">
      <c r="A965" t="s">
        <v>55</v>
      </c>
    </row>
    <row r="966" spans="1:1" x14ac:dyDescent="0.25">
      <c r="A966" t="s">
        <v>55</v>
      </c>
    </row>
    <row r="967" spans="1:1" x14ac:dyDescent="0.25">
      <c r="A967" t="s">
        <v>55</v>
      </c>
    </row>
    <row r="968" spans="1:1" x14ac:dyDescent="0.25">
      <c r="A968" t="s">
        <v>55</v>
      </c>
    </row>
    <row r="969" spans="1:1" x14ac:dyDescent="0.25">
      <c r="A969" t="s">
        <v>55</v>
      </c>
    </row>
    <row r="970" spans="1:1" x14ac:dyDescent="0.25">
      <c r="A970" t="s">
        <v>55</v>
      </c>
    </row>
    <row r="971" spans="1:1" x14ac:dyDescent="0.25">
      <c r="A971" t="s">
        <v>55</v>
      </c>
    </row>
    <row r="972" spans="1:1" x14ac:dyDescent="0.25">
      <c r="A972" t="s">
        <v>55</v>
      </c>
    </row>
    <row r="973" spans="1:1" x14ac:dyDescent="0.25">
      <c r="A973" t="s">
        <v>55</v>
      </c>
    </row>
    <row r="974" spans="1:1" x14ac:dyDescent="0.25">
      <c r="A974" t="s">
        <v>55</v>
      </c>
    </row>
    <row r="975" spans="1:1" x14ac:dyDescent="0.25">
      <c r="A975" t="s">
        <v>55</v>
      </c>
    </row>
    <row r="976" spans="1:1" x14ac:dyDescent="0.25">
      <c r="A976" t="s">
        <v>55</v>
      </c>
    </row>
    <row r="977" spans="1:1" x14ac:dyDescent="0.25">
      <c r="A977" t="s">
        <v>55</v>
      </c>
    </row>
    <row r="978" spans="1:1" x14ac:dyDescent="0.25">
      <c r="A978" t="s">
        <v>55</v>
      </c>
    </row>
    <row r="979" spans="1:1" x14ac:dyDescent="0.25">
      <c r="A979" t="s">
        <v>55</v>
      </c>
    </row>
    <row r="980" spans="1:1" x14ac:dyDescent="0.25">
      <c r="A980" t="s">
        <v>55</v>
      </c>
    </row>
    <row r="981" spans="1:1" x14ac:dyDescent="0.25">
      <c r="A981" t="s">
        <v>55</v>
      </c>
    </row>
    <row r="982" spans="1:1" x14ac:dyDescent="0.25">
      <c r="A982" t="s">
        <v>55</v>
      </c>
    </row>
    <row r="983" spans="1:1" x14ac:dyDescent="0.25">
      <c r="A983" t="s">
        <v>55</v>
      </c>
    </row>
    <row r="984" spans="1:1" x14ac:dyDescent="0.25">
      <c r="A984" t="s">
        <v>55</v>
      </c>
    </row>
    <row r="985" spans="1:1" x14ac:dyDescent="0.25">
      <c r="A985" t="s">
        <v>55</v>
      </c>
    </row>
    <row r="986" spans="1:1" x14ac:dyDescent="0.25">
      <c r="A986" t="s">
        <v>55</v>
      </c>
    </row>
    <row r="987" spans="1:1" x14ac:dyDescent="0.25">
      <c r="A987" t="s">
        <v>55</v>
      </c>
    </row>
    <row r="988" spans="1:1" x14ac:dyDescent="0.25">
      <c r="A988" t="s">
        <v>55</v>
      </c>
    </row>
    <row r="989" spans="1:1" x14ac:dyDescent="0.25">
      <c r="A989" t="s">
        <v>55</v>
      </c>
    </row>
    <row r="990" spans="1:1" x14ac:dyDescent="0.25">
      <c r="A990" t="s">
        <v>55</v>
      </c>
    </row>
    <row r="991" spans="1:1" x14ac:dyDescent="0.25">
      <c r="A991" t="s">
        <v>55</v>
      </c>
    </row>
    <row r="992" spans="1:1" x14ac:dyDescent="0.25">
      <c r="A992" t="s">
        <v>55</v>
      </c>
    </row>
    <row r="993" spans="1:1" x14ac:dyDescent="0.25">
      <c r="A993" t="s">
        <v>55</v>
      </c>
    </row>
    <row r="994" spans="1:1" x14ac:dyDescent="0.25">
      <c r="A994" t="s">
        <v>55</v>
      </c>
    </row>
    <row r="995" spans="1:1" x14ac:dyDescent="0.25">
      <c r="A995" t="s">
        <v>55</v>
      </c>
    </row>
    <row r="996" spans="1:1" x14ac:dyDescent="0.25">
      <c r="A996" t="s">
        <v>55</v>
      </c>
    </row>
    <row r="997" spans="1:1" x14ac:dyDescent="0.25">
      <c r="A997" t="s">
        <v>55</v>
      </c>
    </row>
    <row r="998" spans="1:1" x14ac:dyDescent="0.25">
      <c r="A998" t="s">
        <v>55</v>
      </c>
    </row>
    <row r="999" spans="1:1" x14ac:dyDescent="0.25">
      <c r="A999" t="s">
        <v>55</v>
      </c>
    </row>
    <row r="1000" spans="1:1" x14ac:dyDescent="0.25">
      <c r="A1000" t="s">
        <v>55</v>
      </c>
    </row>
    <row r="1001" spans="1:1" x14ac:dyDescent="0.25">
      <c r="A1001" t="s">
        <v>55</v>
      </c>
    </row>
    <row r="1002" spans="1:1" x14ac:dyDescent="0.25">
      <c r="A1002" t="s">
        <v>55</v>
      </c>
    </row>
    <row r="1003" spans="1:1" x14ac:dyDescent="0.25">
      <c r="A1003" t="s">
        <v>55</v>
      </c>
    </row>
    <row r="1004" spans="1:1" x14ac:dyDescent="0.25">
      <c r="A1004" t="s">
        <v>55</v>
      </c>
    </row>
    <row r="1005" spans="1:1" x14ac:dyDescent="0.25">
      <c r="A1005" t="s">
        <v>55</v>
      </c>
    </row>
    <row r="1006" spans="1:1" x14ac:dyDescent="0.25">
      <c r="A1006" t="s">
        <v>55</v>
      </c>
    </row>
    <row r="1007" spans="1:1" x14ac:dyDescent="0.25">
      <c r="A1007" t="s">
        <v>55</v>
      </c>
    </row>
    <row r="1008" spans="1:1" x14ac:dyDescent="0.25">
      <c r="A1008" t="s">
        <v>55</v>
      </c>
    </row>
    <row r="1009" spans="1:1" x14ac:dyDescent="0.25">
      <c r="A1009" t="s">
        <v>55</v>
      </c>
    </row>
    <row r="1010" spans="1:1" x14ac:dyDescent="0.25">
      <c r="A1010" t="s">
        <v>55</v>
      </c>
    </row>
    <row r="1011" spans="1:1" x14ac:dyDescent="0.25">
      <c r="A1011" t="s">
        <v>55</v>
      </c>
    </row>
    <row r="1012" spans="1:1" x14ac:dyDescent="0.25">
      <c r="A1012" t="s">
        <v>55</v>
      </c>
    </row>
    <row r="1013" spans="1:1" x14ac:dyDescent="0.25">
      <c r="A1013" t="s">
        <v>55</v>
      </c>
    </row>
    <row r="1014" spans="1:1" x14ac:dyDescent="0.25">
      <c r="A1014" t="s">
        <v>55</v>
      </c>
    </row>
    <row r="1015" spans="1:1" x14ac:dyDescent="0.25">
      <c r="A1015" t="s">
        <v>55</v>
      </c>
    </row>
    <row r="1016" spans="1:1" x14ac:dyDescent="0.25">
      <c r="A1016" t="s">
        <v>55</v>
      </c>
    </row>
    <row r="1017" spans="1:1" x14ac:dyDescent="0.25">
      <c r="A1017" t="s">
        <v>55</v>
      </c>
    </row>
    <row r="1018" spans="1:1" x14ac:dyDescent="0.25">
      <c r="A1018" t="s">
        <v>55</v>
      </c>
    </row>
    <row r="1019" spans="1:1" x14ac:dyDescent="0.25">
      <c r="A1019" t="s">
        <v>55</v>
      </c>
    </row>
    <row r="1020" spans="1:1" x14ac:dyDescent="0.25">
      <c r="A1020" t="s">
        <v>55</v>
      </c>
    </row>
    <row r="1021" spans="1:1" x14ac:dyDescent="0.25">
      <c r="A1021" t="s">
        <v>55</v>
      </c>
    </row>
    <row r="1022" spans="1:1" x14ac:dyDescent="0.25">
      <c r="A1022" t="s">
        <v>55</v>
      </c>
    </row>
    <row r="1023" spans="1:1" x14ac:dyDescent="0.25">
      <c r="A1023" t="s">
        <v>55</v>
      </c>
    </row>
    <row r="1024" spans="1:1" x14ac:dyDescent="0.25">
      <c r="A1024" t="s">
        <v>55</v>
      </c>
    </row>
    <row r="1025" spans="1:1" x14ac:dyDescent="0.25">
      <c r="A1025" t="s">
        <v>55</v>
      </c>
    </row>
    <row r="1026" spans="1:1" x14ac:dyDescent="0.25">
      <c r="A1026" t="s">
        <v>55</v>
      </c>
    </row>
    <row r="1027" spans="1:1" x14ac:dyDescent="0.25">
      <c r="A1027" t="s">
        <v>55</v>
      </c>
    </row>
    <row r="1028" spans="1:1" x14ac:dyDescent="0.25">
      <c r="A1028" t="s">
        <v>55</v>
      </c>
    </row>
    <row r="1029" spans="1:1" x14ac:dyDescent="0.25">
      <c r="A1029" t="s">
        <v>55</v>
      </c>
    </row>
    <row r="1030" spans="1:1" x14ac:dyDescent="0.25">
      <c r="A1030" t="s">
        <v>55</v>
      </c>
    </row>
    <row r="1031" spans="1:1" x14ac:dyDescent="0.25">
      <c r="A1031" t="s">
        <v>55</v>
      </c>
    </row>
    <row r="1032" spans="1:1" x14ac:dyDescent="0.25">
      <c r="A1032" t="s">
        <v>55</v>
      </c>
    </row>
    <row r="1033" spans="1:1" x14ac:dyDescent="0.25">
      <c r="A1033" t="s">
        <v>55</v>
      </c>
    </row>
    <row r="1034" spans="1:1" x14ac:dyDescent="0.25">
      <c r="A1034" t="s">
        <v>55</v>
      </c>
    </row>
    <row r="1035" spans="1:1" x14ac:dyDescent="0.25">
      <c r="A1035" t="s">
        <v>55</v>
      </c>
    </row>
    <row r="1036" spans="1:1" x14ac:dyDescent="0.25">
      <c r="A1036" t="s">
        <v>55</v>
      </c>
    </row>
    <row r="1037" spans="1:1" x14ac:dyDescent="0.25">
      <c r="A1037" t="s">
        <v>55</v>
      </c>
    </row>
    <row r="1038" spans="1:1" x14ac:dyDescent="0.25">
      <c r="A1038" t="s">
        <v>55</v>
      </c>
    </row>
    <row r="1039" spans="1:1" x14ac:dyDescent="0.25">
      <c r="A1039" t="s">
        <v>55</v>
      </c>
    </row>
    <row r="1040" spans="1:1" x14ac:dyDescent="0.25">
      <c r="A1040" t="s">
        <v>55</v>
      </c>
    </row>
    <row r="1041" spans="1:1" x14ac:dyDescent="0.25">
      <c r="A1041" t="s">
        <v>55</v>
      </c>
    </row>
    <row r="1042" spans="1:1" x14ac:dyDescent="0.25">
      <c r="A1042" t="s">
        <v>55</v>
      </c>
    </row>
    <row r="1043" spans="1:1" x14ac:dyDescent="0.25">
      <c r="A1043" t="s">
        <v>55</v>
      </c>
    </row>
    <row r="1044" spans="1:1" x14ac:dyDescent="0.25">
      <c r="A1044" t="s">
        <v>55</v>
      </c>
    </row>
    <row r="1045" spans="1:1" x14ac:dyDescent="0.25">
      <c r="A1045" t="s">
        <v>55</v>
      </c>
    </row>
    <row r="1046" spans="1:1" x14ac:dyDescent="0.25">
      <c r="A1046" t="s">
        <v>55</v>
      </c>
    </row>
    <row r="1047" spans="1:1" x14ac:dyDescent="0.25">
      <c r="A1047" t="s">
        <v>55</v>
      </c>
    </row>
    <row r="1048" spans="1:1" x14ac:dyDescent="0.25">
      <c r="A1048" t="s">
        <v>55</v>
      </c>
    </row>
    <row r="1049" spans="1:1" x14ac:dyDescent="0.25">
      <c r="A1049" t="s">
        <v>55</v>
      </c>
    </row>
    <row r="1050" spans="1:1" x14ac:dyDescent="0.25">
      <c r="A1050" t="s">
        <v>55</v>
      </c>
    </row>
    <row r="1051" spans="1:1" x14ac:dyDescent="0.25">
      <c r="A1051" t="s">
        <v>55</v>
      </c>
    </row>
    <row r="1052" spans="1:1" x14ac:dyDescent="0.25">
      <c r="A1052" t="s">
        <v>55</v>
      </c>
    </row>
    <row r="1053" spans="1:1" x14ac:dyDescent="0.25">
      <c r="A1053" t="s">
        <v>55</v>
      </c>
    </row>
    <row r="1054" spans="1:1" x14ac:dyDescent="0.25">
      <c r="A1054" t="s">
        <v>55</v>
      </c>
    </row>
    <row r="1055" spans="1:1" x14ac:dyDescent="0.25">
      <c r="A1055" t="s">
        <v>55</v>
      </c>
    </row>
    <row r="1056" spans="1:1" x14ac:dyDescent="0.25">
      <c r="A1056" t="s">
        <v>55</v>
      </c>
    </row>
    <row r="1057" spans="1:1" x14ac:dyDescent="0.25">
      <c r="A1057" t="s">
        <v>55</v>
      </c>
    </row>
    <row r="1058" spans="1:1" x14ac:dyDescent="0.25">
      <c r="A1058" t="s">
        <v>55</v>
      </c>
    </row>
    <row r="1059" spans="1:1" x14ac:dyDescent="0.25">
      <c r="A1059" t="s">
        <v>55</v>
      </c>
    </row>
    <row r="1060" spans="1:1" x14ac:dyDescent="0.25">
      <c r="A1060" t="s">
        <v>55</v>
      </c>
    </row>
    <row r="1061" spans="1:1" x14ac:dyDescent="0.25">
      <c r="A1061" t="s">
        <v>55</v>
      </c>
    </row>
    <row r="1062" spans="1:1" x14ac:dyDescent="0.25">
      <c r="A1062" t="s">
        <v>55</v>
      </c>
    </row>
    <row r="1063" spans="1:1" x14ac:dyDescent="0.25">
      <c r="A1063" t="s">
        <v>55</v>
      </c>
    </row>
    <row r="1064" spans="1:1" x14ac:dyDescent="0.25">
      <c r="A1064" t="s">
        <v>55</v>
      </c>
    </row>
    <row r="1065" spans="1:1" x14ac:dyDescent="0.25">
      <c r="A1065" t="s">
        <v>55</v>
      </c>
    </row>
    <row r="1066" spans="1:1" x14ac:dyDescent="0.25">
      <c r="A1066" t="s">
        <v>55</v>
      </c>
    </row>
    <row r="1067" spans="1:1" x14ac:dyDescent="0.25">
      <c r="A1067" t="s">
        <v>55</v>
      </c>
    </row>
    <row r="1068" spans="1:1" x14ac:dyDescent="0.25">
      <c r="A1068" t="s">
        <v>55</v>
      </c>
    </row>
    <row r="1069" spans="1:1" x14ac:dyDescent="0.25">
      <c r="A1069" t="s">
        <v>55</v>
      </c>
    </row>
    <row r="1070" spans="1:1" x14ac:dyDescent="0.25">
      <c r="A1070" t="s">
        <v>55</v>
      </c>
    </row>
    <row r="1071" spans="1:1" x14ac:dyDescent="0.25">
      <c r="A1071" t="s">
        <v>55</v>
      </c>
    </row>
    <row r="1072" spans="1:1" x14ac:dyDescent="0.25">
      <c r="A1072" t="s">
        <v>55</v>
      </c>
    </row>
    <row r="1073" spans="1:1" x14ac:dyDescent="0.25">
      <c r="A1073" t="s">
        <v>55</v>
      </c>
    </row>
    <row r="1074" spans="1:1" x14ac:dyDescent="0.25">
      <c r="A1074" t="s">
        <v>55</v>
      </c>
    </row>
    <row r="1075" spans="1:1" x14ac:dyDescent="0.25">
      <c r="A1075" t="s">
        <v>55</v>
      </c>
    </row>
    <row r="1076" spans="1:1" x14ac:dyDescent="0.25">
      <c r="A1076" t="s">
        <v>55</v>
      </c>
    </row>
    <row r="1077" spans="1:1" x14ac:dyDescent="0.25">
      <c r="A1077" t="s">
        <v>55</v>
      </c>
    </row>
    <row r="1078" spans="1:1" x14ac:dyDescent="0.25">
      <c r="A1078" t="s">
        <v>55</v>
      </c>
    </row>
    <row r="1079" spans="1:1" x14ac:dyDescent="0.25">
      <c r="A1079" t="s">
        <v>55</v>
      </c>
    </row>
    <row r="1080" spans="1:1" x14ac:dyDescent="0.25">
      <c r="A1080" t="s">
        <v>55</v>
      </c>
    </row>
    <row r="1081" spans="1:1" x14ac:dyDescent="0.25">
      <c r="A1081" t="s">
        <v>55</v>
      </c>
    </row>
    <row r="1082" spans="1:1" x14ac:dyDescent="0.25">
      <c r="A1082" t="s">
        <v>55</v>
      </c>
    </row>
    <row r="1083" spans="1:1" x14ac:dyDescent="0.25">
      <c r="A1083" t="s">
        <v>55</v>
      </c>
    </row>
    <row r="1084" spans="1:1" x14ac:dyDescent="0.25">
      <c r="A1084" t="s">
        <v>55</v>
      </c>
    </row>
    <row r="1085" spans="1:1" x14ac:dyDescent="0.25">
      <c r="A1085" t="s">
        <v>55</v>
      </c>
    </row>
    <row r="1086" spans="1:1" x14ac:dyDescent="0.25">
      <c r="A1086" t="s">
        <v>55</v>
      </c>
    </row>
    <row r="1087" spans="1:1" x14ac:dyDescent="0.25">
      <c r="A1087" t="s">
        <v>55</v>
      </c>
    </row>
    <row r="1088" spans="1:1" x14ac:dyDescent="0.25">
      <c r="A1088" t="s">
        <v>55</v>
      </c>
    </row>
    <row r="1089" spans="1:1" x14ac:dyDescent="0.25">
      <c r="A1089" t="s">
        <v>55</v>
      </c>
    </row>
    <row r="1090" spans="1:1" x14ac:dyDescent="0.25">
      <c r="A1090" t="s">
        <v>55</v>
      </c>
    </row>
    <row r="1091" spans="1:1" x14ac:dyDescent="0.25">
      <c r="A1091" t="s">
        <v>55</v>
      </c>
    </row>
    <row r="1092" spans="1:1" x14ac:dyDescent="0.25">
      <c r="A1092" t="s">
        <v>55</v>
      </c>
    </row>
    <row r="1093" spans="1:1" x14ac:dyDescent="0.25">
      <c r="A1093" t="s">
        <v>55</v>
      </c>
    </row>
    <row r="1094" spans="1:1" x14ac:dyDescent="0.25">
      <c r="A1094" t="s">
        <v>55</v>
      </c>
    </row>
    <row r="1095" spans="1:1" x14ac:dyDescent="0.25">
      <c r="A1095" t="s">
        <v>55</v>
      </c>
    </row>
    <row r="1096" spans="1:1" x14ac:dyDescent="0.25">
      <c r="A1096" t="s">
        <v>55</v>
      </c>
    </row>
    <row r="1097" spans="1:1" x14ac:dyDescent="0.25">
      <c r="A1097" t="s">
        <v>55</v>
      </c>
    </row>
    <row r="1098" spans="1:1" x14ac:dyDescent="0.25">
      <c r="A1098" t="s">
        <v>55</v>
      </c>
    </row>
    <row r="1099" spans="1:1" x14ac:dyDescent="0.25">
      <c r="A1099" t="s">
        <v>55</v>
      </c>
    </row>
    <row r="1100" spans="1:1" x14ac:dyDescent="0.25">
      <c r="A1100" t="s">
        <v>55</v>
      </c>
    </row>
    <row r="1101" spans="1:1" x14ac:dyDescent="0.25">
      <c r="A1101" t="s">
        <v>55</v>
      </c>
    </row>
    <row r="1102" spans="1:1" x14ac:dyDescent="0.25">
      <c r="A1102" t="s">
        <v>55</v>
      </c>
    </row>
    <row r="1103" spans="1:1" x14ac:dyDescent="0.25">
      <c r="A1103" t="s">
        <v>55</v>
      </c>
    </row>
    <row r="1104" spans="1:1" x14ac:dyDescent="0.25">
      <c r="A1104" t="s">
        <v>55</v>
      </c>
    </row>
    <row r="1105" spans="1:1" x14ac:dyDescent="0.25">
      <c r="A1105" t="s">
        <v>55</v>
      </c>
    </row>
    <row r="1106" spans="1:1" x14ac:dyDescent="0.25">
      <c r="A1106" t="s">
        <v>55</v>
      </c>
    </row>
    <row r="1107" spans="1:1" x14ac:dyDescent="0.25">
      <c r="A1107" t="s">
        <v>55</v>
      </c>
    </row>
    <row r="1108" spans="1:1" x14ac:dyDescent="0.25">
      <c r="A1108" t="s">
        <v>55</v>
      </c>
    </row>
    <row r="1109" spans="1:1" x14ac:dyDescent="0.25">
      <c r="A1109" t="s">
        <v>55</v>
      </c>
    </row>
    <row r="1110" spans="1:1" x14ac:dyDescent="0.25">
      <c r="A1110" t="s">
        <v>55</v>
      </c>
    </row>
    <row r="1111" spans="1:1" x14ac:dyDescent="0.25">
      <c r="A1111" t="s">
        <v>55</v>
      </c>
    </row>
    <row r="1112" spans="1:1" x14ac:dyDescent="0.25">
      <c r="A1112" t="s">
        <v>55</v>
      </c>
    </row>
    <row r="1113" spans="1:1" x14ac:dyDescent="0.25">
      <c r="A1113" t="s">
        <v>55</v>
      </c>
    </row>
    <row r="1114" spans="1:1" x14ac:dyDescent="0.25">
      <c r="A1114" t="s">
        <v>55</v>
      </c>
    </row>
    <row r="1115" spans="1:1" x14ac:dyDescent="0.25">
      <c r="A1115" t="s">
        <v>55</v>
      </c>
    </row>
    <row r="1116" spans="1:1" x14ac:dyDescent="0.25">
      <c r="A1116" t="s">
        <v>55</v>
      </c>
    </row>
    <row r="1117" spans="1:1" x14ac:dyDescent="0.25">
      <c r="A1117" t="s">
        <v>55</v>
      </c>
    </row>
    <row r="1118" spans="1:1" x14ac:dyDescent="0.25">
      <c r="A1118" t="s">
        <v>55</v>
      </c>
    </row>
    <row r="1119" spans="1:1" x14ac:dyDescent="0.25">
      <c r="A1119" t="s">
        <v>55</v>
      </c>
    </row>
    <row r="1120" spans="1:1" x14ac:dyDescent="0.25">
      <c r="A1120" t="s">
        <v>55</v>
      </c>
    </row>
    <row r="1121" spans="1:1" x14ac:dyDescent="0.25">
      <c r="A1121" t="s">
        <v>55</v>
      </c>
    </row>
    <row r="1122" spans="1:1" x14ac:dyDescent="0.25">
      <c r="A1122" t="s">
        <v>55</v>
      </c>
    </row>
    <row r="1123" spans="1:1" x14ac:dyDescent="0.25">
      <c r="A1123" t="s">
        <v>55</v>
      </c>
    </row>
    <row r="1124" spans="1:1" x14ac:dyDescent="0.25">
      <c r="A1124" t="s">
        <v>55</v>
      </c>
    </row>
    <row r="1125" spans="1:1" x14ac:dyDescent="0.25">
      <c r="A1125" t="s">
        <v>55</v>
      </c>
    </row>
    <row r="1126" spans="1:1" x14ac:dyDescent="0.25">
      <c r="A1126" t="s">
        <v>55</v>
      </c>
    </row>
    <row r="1127" spans="1:1" x14ac:dyDescent="0.25">
      <c r="A1127" t="s">
        <v>55</v>
      </c>
    </row>
    <row r="1128" spans="1:1" x14ac:dyDescent="0.25">
      <c r="A1128" t="s">
        <v>55</v>
      </c>
    </row>
    <row r="1129" spans="1:1" x14ac:dyDescent="0.25">
      <c r="A1129" t="s">
        <v>55</v>
      </c>
    </row>
    <row r="1130" spans="1:1" x14ac:dyDescent="0.25">
      <c r="A1130" t="s">
        <v>55</v>
      </c>
    </row>
    <row r="1131" spans="1:1" x14ac:dyDescent="0.25">
      <c r="A1131" t="s">
        <v>55</v>
      </c>
    </row>
    <row r="1132" spans="1:1" x14ac:dyDescent="0.25">
      <c r="A1132" t="s">
        <v>55</v>
      </c>
    </row>
    <row r="1133" spans="1:1" x14ac:dyDescent="0.25">
      <c r="A1133" t="s">
        <v>55</v>
      </c>
    </row>
    <row r="1134" spans="1:1" x14ac:dyDescent="0.25">
      <c r="A1134" t="s">
        <v>55</v>
      </c>
    </row>
    <row r="1135" spans="1:1" x14ac:dyDescent="0.25">
      <c r="A1135" t="s">
        <v>55</v>
      </c>
    </row>
    <row r="1136" spans="1:1" x14ac:dyDescent="0.25">
      <c r="A1136" t="s">
        <v>55</v>
      </c>
    </row>
    <row r="1137" spans="1:1" x14ac:dyDescent="0.25">
      <c r="A1137" t="s">
        <v>55</v>
      </c>
    </row>
    <row r="1138" spans="1:1" x14ac:dyDescent="0.25">
      <c r="A1138" t="s">
        <v>55</v>
      </c>
    </row>
    <row r="1139" spans="1:1" x14ac:dyDescent="0.25">
      <c r="A1139" t="s">
        <v>55</v>
      </c>
    </row>
    <row r="1140" spans="1:1" x14ac:dyDescent="0.25">
      <c r="A1140" t="s">
        <v>55</v>
      </c>
    </row>
    <row r="1141" spans="1:1" x14ac:dyDescent="0.25">
      <c r="A1141" t="s">
        <v>55</v>
      </c>
    </row>
    <row r="1142" spans="1:1" x14ac:dyDescent="0.25">
      <c r="A1142" t="s">
        <v>55</v>
      </c>
    </row>
    <row r="1143" spans="1:1" x14ac:dyDescent="0.25">
      <c r="A1143" t="s">
        <v>55</v>
      </c>
    </row>
    <row r="1144" spans="1:1" x14ac:dyDescent="0.25">
      <c r="A1144" t="s">
        <v>55</v>
      </c>
    </row>
    <row r="1145" spans="1:1" x14ac:dyDescent="0.25">
      <c r="A1145" t="s">
        <v>55</v>
      </c>
    </row>
    <row r="1146" spans="1:1" x14ac:dyDescent="0.25">
      <c r="A1146" t="s">
        <v>55</v>
      </c>
    </row>
    <row r="1147" spans="1:1" x14ac:dyDescent="0.25">
      <c r="A1147" t="s">
        <v>55</v>
      </c>
    </row>
    <row r="1148" spans="1:1" x14ac:dyDescent="0.25">
      <c r="A1148" t="s">
        <v>55</v>
      </c>
    </row>
    <row r="1149" spans="1:1" x14ac:dyDescent="0.25">
      <c r="A1149" t="s">
        <v>55</v>
      </c>
    </row>
    <row r="1150" spans="1:1" x14ac:dyDescent="0.25">
      <c r="A1150" t="s">
        <v>55</v>
      </c>
    </row>
    <row r="1151" spans="1:1" x14ac:dyDescent="0.25">
      <c r="A1151" t="s">
        <v>55</v>
      </c>
    </row>
    <row r="1152" spans="1:1" x14ac:dyDescent="0.25">
      <c r="A1152" t="s">
        <v>55</v>
      </c>
    </row>
    <row r="1153" spans="1:1" x14ac:dyDescent="0.25">
      <c r="A1153" t="s">
        <v>55</v>
      </c>
    </row>
    <row r="1154" spans="1:1" x14ac:dyDescent="0.25">
      <c r="A1154" t="s">
        <v>55</v>
      </c>
    </row>
    <row r="1155" spans="1:1" x14ac:dyDescent="0.25">
      <c r="A1155" t="s">
        <v>55</v>
      </c>
    </row>
    <row r="1156" spans="1:1" x14ac:dyDescent="0.25">
      <c r="A1156" t="s">
        <v>55</v>
      </c>
    </row>
    <row r="1157" spans="1:1" x14ac:dyDescent="0.25">
      <c r="A1157" t="s">
        <v>55</v>
      </c>
    </row>
    <row r="1158" spans="1:1" x14ac:dyDescent="0.25">
      <c r="A1158" t="s">
        <v>55</v>
      </c>
    </row>
    <row r="1159" spans="1:1" x14ac:dyDescent="0.25">
      <c r="A1159" t="s">
        <v>55</v>
      </c>
    </row>
    <row r="1160" spans="1:1" x14ac:dyDescent="0.25">
      <c r="A1160" t="s">
        <v>55</v>
      </c>
    </row>
    <row r="1161" spans="1:1" x14ac:dyDescent="0.25">
      <c r="A1161" t="s">
        <v>55</v>
      </c>
    </row>
    <row r="1162" spans="1:1" x14ac:dyDescent="0.25">
      <c r="A1162" t="s">
        <v>55</v>
      </c>
    </row>
    <row r="1163" spans="1:1" x14ac:dyDescent="0.25">
      <c r="A1163" t="s">
        <v>55</v>
      </c>
    </row>
    <row r="1164" spans="1:1" x14ac:dyDescent="0.25">
      <c r="A1164" t="s">
        <v>55</v>
      </c>
    </row>
    <row r="1165" spans="1:1" x14ac:dyDescent="0.25">
      <c r="A1165" t="s">
        <v>55</v>
      </c>
    </row>
    <row r="1166" spans="1:1" x14ac:dyDescent="0.25">
      <c r="A1166" t="s">
        <v>55</v>
      </c>
    </row>
    <row r="1167" spans="1:1" x14ac:dyDescent="0.25">
      <c r="A1167" t="s">
        <v>55</v>
      </c>
    </row>
    <row r="1168" spans="1:1" x14ac:dyDescent="0.25">
      <c r="A1168" t="s">
        <v>55</v>
      </c>
    </row>
    <row r="1169" spans="1:1" x14ac:dyDescent="0.25">
      <c r="A1169" t="s">
        <v>55</v>
      </c>
    </row>
    <row r="1170" spans="1:1" x14ac:dyDescent="0.25">
      <c r="A1170" t="s">
        <v>55</v>
      </c>
    </row>
    <row r="1171" spans="1:1" x14ac:dyDescent="0.25">
      <c r="A1171" t="s">
        <v>55</v>
      </c>
    </row>
    <row r="1172" spans="1:1" x14ac:dyDescent="0.25">
      <c r="A1172" t="s">
        <v>55</v>
      </c>
    </row>
    <row r="1173" spans="1:1" x14ac:dyDescent="0.25">
      <c r="A1173" t="s">
        <v>55</v>
      </c>
    </row>
    <row r="1174" spans="1:1" x14ac:dyDescent="0.25">
      <c r="A1174" t="s">
        <v>55</v>
      </c>
    </row>
    <row r="1175" spans="1:1" x14ac:dyDescent="0.25">
      <c r="A1175" t="s">
        <v>55</v>
      </c>
    </row>
    <row r="1176" spans="1:1" x14ac:dyDescent="0.25">
      <c r="A1176" t="s">
        <v>55</v>
      </c>
    </row>
    <row r="1177" spans="1:1" x14ac:dyDescent="0.25">
      <c r="A1177" t="s">
        <v>55</v>
      </c>
    </row>
    <row r="1178" spans="1:1" x14ac:dyDescent="0.25">
      <c r="A1178" t="s">
        <v>55</v>
      </c>
    </row>
    <row r="1179" spans="1:1" x14ac:dyDescent="0.25">
      <c r="A1179" t="s">
        <v>55</v>
      </c>
    </row>
    <row r="1180" spans="1:1" x14ac:dyDescent="0.25">
      <c r="A1180" t="s">
        <v>55</v>
      </c>
    </row>
    <row r="1181" spans="1:1" x14ac:dyDescent="0.25">
      <c r="A1181" t="s">
        <v>55</v>
      </c>
    </row>
    <row r="1182" spans="1:1" x14ac:dyDescent="0.25">
      <c r="A1182" t="s">
        <v>55</v>
      </c>
    </row>
    <row r="1183" spans="1:1" x14ac:dyDescent="0.25">
      <c r="A1183" t="s">
        <v>55</v>
      </c>
    </row>
    <row r="1184" spans="1:1" x14ac:dyDescent="0.25">
      <c r="A1184" t="s">
        <v>55</v>
      </c>
    </row>
    <row r="1185" spans="1:1" x14ac:dyDescent="0.25">
      <c r="A1185" t="s">
        <v>55</v>
      </c>
    </row>
    <row r="1186" spans="1:1" x14ac:dyDescent="0.25">
      <c r="A1186" t="s">
        <v>55</v>
      </c>
    </row>
    <row r="1187" spans="1:1" x14ac:dyDescent="0.25">
      <c r="A1187" t="s">
        <v>55</v>
      </c>
    </row>
    <row r="1188" spans="1:1" x14ac:dyDescent="0.25">
      <c r="A1188" t="s">
        <v>55</v>
      </c>
    </row>
    <row r="1189" spans="1:1" x14ac:dyDescent="0.25">
      <c r="A1189" t="s">
        <v>55</v>
      </c>
    </row>
    <row r="1190" spans="1:1" x14ac:dyDescent="0.25">
      <c r="A1190" t="s">
        <v>55</v>
      </c>
    </row>
    <row r="1191" spans="1:1" x14ac:dyDescent="0.25">
      <c r="A1191" t="s">
        <v>55</v>
      </c>
    </row>
    <row r="1192" spans="1:1" x14ac:dyDescent="0.25">
      <c r="A1192" t="s">
        <v>55</v>
      </c>
    </row>
    <row r="1193" spans="1:1" x14ac:dyDescent="0.25">
      <c r="A1193" t="s">
        <v>55</v>
      </c>
    </row>
    <row r="1194" spans="1:1" x14ac:dyDescent="0.25">
      <c r="A1194" t="s">
        <v>55</v>
      </c>
    </row>
    <row r="1195" spans="1:1" x14ac:dyDescent="0.25">
      <c r="A1195" t="s">
        <v>55</v>
      </c>
    </row>
    <row r="1196" spans="1:1" x14ac:dyDescent="0.25">
      <c r="A1196" t="s">
        <v>55</v>
      </c>
    </row>
    <row r="1197" spans="1:1" x14ac:dyDescent="0.25">
      <c r="A1197" t="s">
        <v>55</v>
      </c>
    </row>
    <row r="1198" spans="1:1" x14ac:dyDescent="0.25">
      <c r="A1198" t="s">
        <v>55</v>
      </c>
    </row>
    <row r="1199" spans="1:1" x14ac:dyDescent="0.25">
      <c r="A1199" t="s">
        <v>55</v>
      </c>
    </row>
    <row r="1200" spans="1:1" x14ac:dyDescent="0.25">
      <c r="A1200" t="s">
        <v>55</v>
      </c>
    </row>
    <row r="1201" spans="1:1" x14ac:dyDescent="0.25">
      <c r="A1201" t="s">
        <v>55</v>
      </c>
    </row>
    <row r="1202" spans="1:1" x14ac:dyDescent="0.25">
      <c r="A1202" t="s">
        <v>55</v>
      </c>
    </row>
    <row r="1203" spans="1:1" x14ac:dyDescent="0.25">
      <c r="A1203" t="s">
        <v>55</v>
      </c>
    </row>
    <row r="1204" spans="1:1" x14ac:dyDescent="0.25">
      <c r="A1204" t="s">
        <v>55</v>
      </c>
    </row>
    <row r="1205" spans="1:1" x14ac:dyDescent="0.25">
      <c r="A1205" t="s">
        <v>55</v>
      </c>
    </row>
    <row r="1206" spans="1:1" x14ac:dyDescent="0.25">
      <c r="A1206" t="s">
        <v>55</v>
      </c>
    </row>
    <row r="1207" spans="1:1" x14ac:dyDescent="0.25">
      <c r="A1207" t="s">
        <v>55</v>
      </c>
    </row>
    <row r="1208" spans="1:1" x14ac:dyDescent="0.25">
      <c r="A1208" t="s">
        <v>55</v>
      </c>
    </row>
    <row r="1209" spans="1:1" x14ac:dyDescent="0.25">
      <c r="A1209" t="s">
        <v>55</v>
      </c>
    </row>
    <row r="1210" spans="1:1" x14ac:dyDescent="0.25">
      <c r="A1210" t="s">
        <v>55</v>
      </c>
    </row>
    <row r="1211" spans="1:1" x14ac:dyDescent="0.25">
      <c r="A1211" t="s">
        <v>55</v>
      </c>
    </row>
    <row r="1212" spans="1:1" x14ac:dyDescent="0.25">
      <c r="A1212" t="s">
        <v>55</v>
      </c>
    </row>
    <row r="1213" spans="1:1" x14ac:dyDescent="0.25">
      <c r="A1213" t="s">
        <v>55</v>
      </c>
    </row>
    <row r="1214" spans="1:1" x14ac:dyDescent="0.25">
      <c r="A1214" t="s">
        <v>55</v>
      </c>
    </row>
    <row r="1215" spans="1:1" x14ac:dyDescent="0.25">
      <c r="A1215" t="s">
        <v>55</v>
      </c>
    </row>
    <row r="1216" spans="1:1" x14ac:dyDescent="0.25">
      <c r="A1216" t="s">
        <v>55</v>
      </c>
    </row>
    <row r="1217" spans="1:1" x14ac:dyDescent="0.25">
      <c r="A1217" t="s">
        <v>55</v>
      </c>
    </row>
    <row r="1218" spans="1:1" x14ac:dyDescent="0.25">
      <c r="A1218" t="s">
        <v>55</v>
      </c>
    </row>
    <row r="1219" spans="1:1" x14ac:dyDescent="0.25">
      <c r="A1219" t="s">
        <v>55</v>
      </c>
    </row>
    <row r="1220" spans="1:1" x14ac:dyDescent="0.25">
      <c r="A1220" t="s">
        <v>55</v>
      </c>
    </row>
    <row r="1221" spans="1:1" x14ac:dyDescent="0.25">
      <c r="A1221" t="s">
        <v>55</v>
      </c>
    </row>
    <row r="1222" spans="1:1" x14ac:dyDescent="0.25">
      <c r="A1222" t="s">
        <v>55</v>
      </c>
    </row>
    <row r="1223" spans="1:1" x14ac:dyDescent="0.25">
      <c r="A1223" t="s">
        <v>55</v>
      </c>
    </row>
    <row r="1224" spans="1:1" x14ac:dyDescent="0.25">
      <c r="A1224" t="s">
        <v>55</v>
      </c>
    </row>
    <row r="1225" spans="1:1" x14ac:dyDescent="0.25">
      <c r="A1225" t="s">
        <v>55</v>
      </c>
    </row>
    <row r="1226" spans="1:1" x14ac:dyDescent="0.25">
      <c r="A1226" t="s">
        <v>55</v>
      </c>
    </row>
    <row r="1227" spans="1:1" x14ac:dyDescent="0.25">
      <c r="A1227" t="s">
        <v>55</v>
      </c>
    </row>
    <row r="1228" spans="1:1" x14ac:dyDescent="0.25">
      <c r="A1228" t="s">
        <v>55</v>
      </c>
    </row>
    <row r="1229" spans="1:1" x14ac:dyDescent="0.25">
      <c r="A1229" t="s">
        <v>55</v>
      </c>
    </row>
    <row r="1230" spans="1:1" x14ac:dyDescent="0.25">
      <c r="A1230" t="s">
        <v>55</v>
      </c>
    </row>
    <row r="1231" spans="1:1" x14ac:dyDescent="0.25">
      <c r="A1231" t="s">
        <v>55</v>
      </c>
    </row>
    <row r="1232" spans="1:1" x14ac:dyDescent="0.25">
      <c r="A1232" t="s">
        <v>55</v>
      </c>
    </row>
    <row r="1233" spans="1:1" x14ac:dyDescent="0.25">
      <c r="A1233" t="s">
        <v>55</v>
      </c>
    </row>
    <row r="1234" spans="1:1" x14ac:dyDescent="0.25">
      <c r="A1234" t="s">
        <v>55</v>
      </c>
    </row>
    <row r="1235" spans="1:1" x14ac:dyDescent="0.25">
      <c r="A1235" t="s">
        <v>55</v>
      </c>
    </row>
    <row r="1236" spans="1:1" x14ac:dyDescent="0.25">
      <c r="A1236" t="s">
        <v>55</v>
      </c>
    </row>
    <row r="1237" spans="1:1" x14ac:dyDescent="0.25">
      <c r="A1237" t="s">
        <v>55</v>
      </c>
    </row>
    <row r="1238" spans="1:1" x14ac:dyDescent="0.25">
      <c r="A1238" t="s">
        <v>55</v>
      </c>
    </row>
    <row r="1239" spans="1:1" x14ac:dyDescent="0.25">
      <c r="A1239" t="s">
        <v>55</v>
      </c>
    </row>
    <row r="1240" spans="1:1" x14ac:dyDescent="0.25">
      <c r="A1240" t="s">
        <v>55</v>
      </c>
    </row>
    <row r="1241" spans="1:1" x14ac:dyDescent="0.25">
      <c r="A1241" t="s">
        <v>55</v>
      </c>
    </row>
    <row r="1242" spans="1:1" x14ac:dyDescent="0.25">
      <c r="A1242" t="s">
        <v>55</v>
      </c>
    </row>
    <row r="1243" spans="1:1" x14ac:dyDescent="0.25">
      <c r="A1243" t="s">
        <v>55</v>
      </c>
    </row>
    <row r="1244" spans="1:1" x14ac:dyDescent="0.25">
      <c r="A1244" t="s">
        <v>55</v>
      </c>
    </row>
    <row r="1245" spans="1:1" x14ac:dyDescent="0.25">
      <c r="A1245" t="s">
        <v>55</v>
      </c>
    </row>
    <row r="1246" spans="1:1" x14ac:dyDescent="0.25">
      <c r="A1246" t="s">
        <v>55</v>
      </c>
    </row>
    <row r="1247" spans="1:1" x14ac:dyDescent="0.25">
      <c r="A1247" t="s">
        <v>55</v>
      </c>
    </row>
    <row r="1248" spans="1:1" x14ac:dyDescent="0.25">
      <c r="A1248" t="s">
        <v>55</v>
      </c>
    </row>
    <row r="1249" spans="1:1" x14ac:dyDescent="0.25">
      <c r="A1249" t="s">
        <v>55</v>
      </c>
    </row>
    <row r="1250" spans="1:1" x14ac:dyDescent="0.25">
      <c r="A1250" t="s">
        <v>55</v>
      </c>
    </row>
    <row r="1251" spans="1:1" x14ac:dyDescent="0.25">
      <c r="A1251" t="s">
        <v>55</v>
      </c>
    </row>
    <row r="1252" spans="1:1" x14ac:dyDescent="0.25">
      <c r="A1252" t="s">
        <v>55</v>
      </c>
    </row>
    <row r="1253" spans="1:1" x14ac:dyDescent="0.25">
      <c r="A1253" t="s">
        <v>55</v>
      </c>
    </row>
    <row r="1254" spans="1:1" x14ac:dyDescent="0.25">
      <c r="A1254" t="s">
        <v>55</v>
      </c>
    </row>
    <row r="1255" spans="1:1" x14ac:dyDescent="0.25">
      <c r="A1255" t="s">
        <v>55</v>
      </c>
    </row>
    <row r="1256" spans="1:1" x14ac:dyDescent="0.25">
      <c r="A1256" t="s">
        <v>55</v>
      </c>
    </row>
    <row r="1257" spans="1:1" x14ac:dyDescent="0.25">
      <c r="A1257" t="s">
        <v>55</v>
      </c>
    </row>
    <row r="1258" spans="1:1" x14ac:dyDescent="0.25">
      <c r="A1258" t="s">
        <v>55</v>
      </c>
    </row>
    <row r="1259" spans="1:1" x14ac:dyDescent="0.25">
      <c r="A1259" t="s">
        <v>55</v>
      </c>
    </row>
    <row r="1260" spans="1:1" x14ac:dyDescent="0.25">
      <c r="A1260" t="s">
        <v>55</v>
      </c>
    </row>
    <row r="1261" spans="1:1" x14ac:dyDescent="0.25">
      <c r="A1261" t="s">
        <v>55</v>
      </c>
    </row>
    <row r="1262" spans="1:1" x14ac:dyDescent="0.25">
      <c r="A1262" t="s">
        <v>55</v>
      </c>
    </row>
    <row r="1263" spans="1:1" x14ac:dyDescent="0.25">
      <c r="A1263" t="s">
        <v>55</v>
      </c>
    </row>
    <row r="1264" spans="1:1" x14ac:dyDescent="0.25">
      <c r="A1264" t="s">
        <v>55</v>
      </c>
    </row>
    <row r="1265" spans="1:1" x14ac:dyDescent="0.25">
      <c r="A1265" t="s">
        <v>55</v>
      </c>
    </row>
    <row r="1266" spans="1:1" x14ac:dyDescent="0.25">
      <c r="A1266" t="s">
        <v>55</v>
      </c>
    </row>
    <row r="1267" spans="1:1" x14ac:dyDescent="0.25">
      <c r="A1267" t="s">
        <v>55</v>
      </c>
    </row>
    <row r="1268" spans="1:1" x14ac:dyDescent="0.25">
      <c r="A1268" t="s">
        <v>55</v>
      </c>
    </row>
    <row r="1269" spans="1:1" x14ac:dyDescent="0.25">
      <c r="A1269" t="s">
        <v>55</v>
      </c>
    </row>
    <row r="1270" spans="1:1" x14ac:dyDescent="0.25">
      <c r="A1270" t="s">
        <v>55</v>
      </c>
    </row>
    <row r="1271" spans="1:1" x14ac:dyDescent="0.25">
      <c r="A1271" t="s">
        <v>55</v>
      </c>
    </row>
    <row r="1272" spans="1:1" x14ac:dyDescent="0.25">
      <c r="A1272" t="s">
        <v>55</v>
      </c>
    </row>
    <row r="1273" spans="1:1" x14ac:dyDescent="0.25">
      <c r="A1273" t="s">
        <v>55</v>
      </c>
    </row>
    <row r="1274" spans="1:1" x14ac:dyDescent="0.25">
      <c r="A1274" t="s">
        <v>55</v>
      </c>
    </row>
    <row r="1275" spans="1:1" x14ac:dyDescent="0.25">
      <c r="A1275" t="s">
        <v>55</v>
      </c>
    </row>
    <row r="1276" spans="1:1" x14ac:dyDescent="0.25">
      <c r="A1276" t="s">
        <v>55</v>
      </c>
    </row>
    <row r="1277" spans="1:1" x14ac:dyDescent="0.25">
      <c r="A1277" t="s">
        <v>55</v>
      </c>
    </row>
    <row r="1278" spans="1:1" x14ac:dyDescent="0.25">
      <c r="A1278" t="s">
        <v>55</v>
      </c>
    </row>
    <row r="1279" spans="1:1" x14ac:dyDescent="0.25">
      <c r="A1279" t="s">
        <v>55</v>
      </c>
    </row>
    <row r="1280" spans="1:1" x14ac:dyDescent="0.25">
      <c r="A1280" t="s">
        <v>55</v>
      </c>
    </row>
    <row r="1281" spans="1:1" x14ac:dyDescent="0.25">
      <c r="A1281" t="s">
        <v>55</v>
      </c>
    </row>
    <row r="1282" spans="1:1" x14ac:dyDescent="0.25">
      <c r="A1282" t="s">
        <v>55</v>
      </c>
    </row>
    <row r="1283" spans="1:1" x14ac:dyDescent="0.25">
      <c r="A1283" t="s">
        <v>55</v>
      </c>
    </row>
    <row r="1284" spans="1:1" x14ac:dyDescent="0.25">
      <c r="A1284" t="s">
        <v>55</v>
      </c>
    </row>
    <row r="1285" spans="1:1" x14ac:dyDescent="0.25">
      <c r="A1285" t="s">
        <v>55</v>
      </c>
    </row>
    <row r="1286" spans="1:1" x14ac:dyDescent="0.25">
      <c r="A1286" t="s">
        <v>55</v>
      </c>
    </row>
    <row r="1287" spans="1:1" x14ac:dyDescent="0.25">
      <c r="A1287" t="s">
        <v>55</v>
      </c>
    </row>
    <row r="1288" spans="1:1" x14ac:dyDescent="0.25">
      <c r="A1288" t="s">
        <v>55</v>
      </c>
    </row>
    <row r="1289" spans="1:1" x14ac:dyDescent="0.25">
      <c r="A1289" t="s">
        <v>55</v>
      </c>
    </row>
    <row r="1290" spans="1:1" x14ac:dyDescent="0.25">
      <c r="A1290" t="s">
        <v>55</v>
      </c>
    </row>
    <row r="1291" spans="1:1" x14ac:dyDescent="0.25">
      <c r="A1291" t="s">
        <v>55</v>
      </c>
    </row>
    <row r="1292" spans="1:1" x14ac:dyDescent="0.25">
      <c r="A1292" t="s">
        <v>55</v>
      </c>
    </row>
    <row r="1293" spans="1:1" x14ac:dyDescent="0.25">
      <c r="A1293" t="s">
        <v>55</v>
      </c>
    </row>
    <row r="1294" spans="1:1" x14ac:dyDescent="0.25">
      <c r="A1294" t="s">
        <v>55</v>
      </c>
    </row>
    <row r="1295" spans="1:1" x14ac:dyDescent="0.25">
      <c r="A1295" t="s">
        <v>55</v>
      </c>
    </row>
    <row r="1296" spans="1:1" x14ac:dyDescent="0.25">
      <c r="A1296" t="s">
        <v>55</v>
      </c>
    </row>
    <row r="1297" spans="1:1" x14ac:dyDescent="0.25">
      <c r="A1297" t="s">
        <v>55</v>
      </c>
    </row>
    <row r="1298" spans="1:1" x14ac:dyDescent="0.25">
      <c r="A1298" t="s">
        <v>55</v>
      </c>
    </row>
    <row r="1299" spans="1:1" x14ac:dyDescent="0.25">
      <c r="A1299" t="s">
        <v>55</v>
      </c>
    </row>
    <row r="1300" spans="1:1" x14ac:dyDescent="0.25">
      <c r="A1300" t="s">
        <v>55</v>
      </c>
    </row>
    <row r="1301" spans="1:1" x14ac:dyDescent="0.25">
      <c r="A1301" t="s">
        <v>55</v>
      </c>
    </row>
    <row r="1302" spans="1:1" x14ac:dyDescent="0.25">
      <c r="A1302" t="s">
        <v>55</v>
      </c>
    </row>
    <row r="1303" spans="1:1" x14ac:dyDescent="0.25">
      <c r="A1303" t="s">
        <v>55</v>
      </c>
    </row>
    <row r="1304" spans="1:1" x14ac:dyDescent="0.25">
      <c r="A1304" t="s">
        <v>55</v>
      </c>
    </row>
    <row r="1305" spans="1:1" x14ac:dyDescent="0.25">
      <c r="A1305" t="s">
        <v>55</v>
      </c>
    </row>
    <row r="1306" spans="1:1" x14ac:dyDescent="0.25">
      <c r="A1306" t="s">
        <v>55</v>
      </c>
    </row>
    <row r="1307" spans="1:1" x14ac:dyDescent="0.25">
      <c r="A1307" t="s">
        <v>55</v>
      </c>
    </row>
    <row r="1308" spans="1:1" x14ac:dyDescent="0.25">
      <c r="A1308" t="s">
        <v>55</v>
      </c>
    </row>
    <row r="1309" spans="1:1" x14ac:dyDescent="0.25">
      <c r="A1309" t="s">
        <v>55</v>
      </c>
    </row>
    <row r="1310" spans="1:1" x14ac:dyDescent="0.25">
      <c r="A1310" t="s">
        <v>55</v>
      </c>
    </row>
    <row r="1311" spans="1:1" x14ac:dyDescent="0.25">
      <c r="A1311" t="s">
        <v>55</v>
      </c>
    </row>
    <row r="1312" spans="1:1" x14ac:dyDescent="0.25">
      <c r="A1312" t="s">
        <v>55</v>
      </c>
    </row>
    <row r="1313" spans="1:1" x14ac:dyDescent="0.25">
      <c r="A1313" t="s">
        <v>55</v>
      </c>
    </row>
    <row r="1314" spans="1:1" x14ac:dyDescent="0.25">
      <c r="A1314" t="s">
        <v>55</v>
      </c>
    </row>
    <row r="1315" spans="1:1" x14ac:dyDescent="0.25">
      <c r="A1315" t="s">
        <v>55</v>
      </c>
    </row>
    <row r="1316" spans="1:1" x14ac:dyDescent="0.25">
      <c r="A1316" t="s">
        <v>55</v>
      </c>
    </row>
    <row r="1317" spans="1:1" x14ac:dyDescent="0.25">
      <c r="A1317" t="s">
        <v>55</v>
      </c>
    </row>
    <row r="1318" spans="1:1" x14ac:dyDescent="0.25">
      <c r="A1318" t="s">
        <v>55</v>
      </c>
    </row>
    <row r="1319" spans="1:1" x14ac:dyDescent="0.25">
      <c r="A1319" t="s">
        <v>55</v>
      </c>
    </row>
    <row r="1320" spans="1:1" x14ac:dyDescent="0.25">
      <c r="A1320" t="s">
        <v>55</v>
      </c>
    </row>
    <row r="1321" spans="1:1" x14ac:dyDescent="0.25">
      <c r="A1321" t="s">
        <v>55</v>
      </c>
    </row>
    <row r="1322" spans="1:1" x14ac:dyDescent="0.25">
      <c r="A1322" t="s">
        <v>55</v>
      </c>
    </row>
    <row r="1323" spans="1:1" x14ac:dyDescent="0.25">
      <c r="A1323" t="s">
        <v>55</v>
      </c>
    </row>
    <row r="1324" spans="1:1" x14ac:dyDescent="0.25">
      <c r="A1324" t="s">
        <v>55</v>
      </c>
    </row>
    <row r="1325" spans="1:1" x14ac:dyDescent="0.25">
      <c r="A1325" t="s">
        <v>55</v>
      </c>
    </row>
    <row r="1326" spans="1:1" x14ac:dyDescent="0.25">
      <c r="A1326" t="s">
        <v>55</v>
      </c>
    </row>
    <row r="1327" spans="1:1" x14ac:dyDescent="0.25">
      <c r="A1327" t="s">
        <v>55</v>
      </c>
    </row>
    <row r="1328" spans="1:1" x14ac:dyDescent="0.25">
      <c r="A1328" t="s">
        <v>55</v>
      </c>
    </row>
    <row r="1329" spans="1:1" x14ac:dyDescent="0.25">
      <c r="A1329" t="s">
        <v>55</v>
      </c>
    </row>
    <row r="1330" spans="1:1" x14ac:dyDescent="0.25">
      <c r="A1330" t="s">
        <v>55</v>
      </c>
    </row>
    <row r="1331" spans="1:1" x14ac:dyDescent="0.25">
      <c r="A1331" t="s">
        <v>55</v>
      </c>
    </row>
    <row r="1332" spans="1:1" x14ac:dyDescent="0.25">
      <c r="A1332" t="s">
        <v>55</v>
      </c>
    </row>
    <row r="1333" spans="1:1" x14ac:dyDescent="0.25">
      <c r="A1333" t="s">
        <v>55</v>
      </c>
    </row>
    <row r="1334" spans="1:1" x14ac:dyDescent="0.25">
      <c r="A1334" t="s">
        <v>55</v>
      </c>
    </row>
    <row r="1335" spans="1:1" x14ac:dyDescent="0.25">
      <c r="A1335" t="s">
        <v>55</v>
      </c>
    </row>
    <row r="1336" spans="1:1" x14ac:dyDescent="0.25">
      <c r="A1336" t="s">
        <v>55</v>
      </c>
    </row>
    <row r="1337" spans="1:1" x14ac:dyDescent="0.25">
      <c r="A1337" t="s">
        <v>55</v>
      </c>
    </row>
    <row r="1338" spans="1:1" x14ac:dyDescent="0.25">
      <c r="A1338" t="s">
        <v>55</v>
      </c>
    </row>
    <row r="1339" spans="1:1" x14ac:dyDescent="0.25">
      <c r="A1339" t="s">
        <v>55</v>
      </c>
    </row>
    <row r="1340" spans="1:1" x14ac:dyDescent="0.25">
      <c r="A1340" t="s">
        <v>55</v>
      </c>
    </row>
    <row r="1341" spans="1:1" x14ac:dyDescent="0.25">
      <c r="A1341" t="s">
        <v>55</v>
      </c>
    </row>
    <row r="1342" spans="1:1" x14ac:dyDescent="0.25">
      <c r="A1342" t="s">
        <v>55</v>
      </c>
    </row>
    <row r="1343" spans="1:1" x14ac:dyDescent="0.25">
      <c r="A1343" t="s">
        <v>55</v>
      </c>
    </row>
    <row r="1344" spans="1:1" x14ac:dyDescent="0.25">
      <c r="A1344" t="s">
        <v>55</v>
      </c>
    </row>
    <row r="1345" spans="1:1" x14ac:dyDescent="0.25">
      <c r="A1345" t="s">
        <v>55</v>
      </c>
    </row>
    <row r="1346" spans="1:1" x14ac:dyDescent="0.25">
      <c r="A1346" t="s">
        <v>55</v>
      </c>
    </row>
    <row r="1347" spans="1:1" x14ac:dyDescent="0.25">
      <c r="A1347" t="s">
        <v>55</v>
      </c>
    </row>
    <row r="1348" spans="1:1" x14ac:dyDescent="0.25">
      <c r="A1348" t="s">
        <v>55</v>
      </c>
    </row>
    <row r="1349" spans="1:1" x14ac:dyDescent="0.25">
      <c r="A1349" t="s">
        <v>55</v>
      </c>
    </row>
    <row r="1350" spans="1:1" x14ac:dyDescent="0.25">
      <c r="A1350" t="s">
        <v>55</v>
      </c>
    </row>
    <row r="1351" spans="1:1" x14ac:dyDescent="0.25">
      <c r="A1351" t="s">
        <v>55</v>
      </c>
    </row>
    <row r="1352" spans="1:1" x14ac:dyDescent="0.25">
      <c r="A1352" t="s">
        <v>55</v>
      </c>
    </row>
    <row r="1353" spans="1:1" x14ac:dyDescent="0.25">
      <c r="A1353" t="s">
        <v>55</v>
      </c>
    </row>
    <row r="1354" spans="1:1" x14ac:dyDescent="0.25">
      <c r="A1354" t="s">
        <v>55</v>
      </c>
    </row>
    <row r="1355" spans="1:1" x14ac:dyDescent="0.25">
      <c r="A1355" t="s">
        <v>55</v>
      </c>
    </row>
    <row r="1356" spans="1:1" x14ac:dyDescent="0.25">
      <c r="A1356" t="s">
        <v>55</v>
      </c>
    </row>
    <row r="1357" spans="1:1" x14ac:dyDescent="0.25">
      <c r="A1357" t="s">
        <v>55</v>
      </c>
    </row>
    <row r="1358" spans="1:1" x14ac:dyDescent="0.25">
      <c r="A1358" t="s">
        <v>55</v>
      </c>
    </row>
    <row r="1359" spans="1:1" x14ac:dyDescent="0.25">
      <c r="A1359" t="s">
        <v>55</v>
      </c>
    </row>
    <row r="1360" spans="1:1" x14ac:dyDescent="0.25">
      <c r="A1360" t="s">
        <v>55</v>
      </c>
    </row>
    <row r="1361" spans="1:1" x14ac:dyDescent="0.25">
      <c r="A1361" t="s">
        <v>55</v>
      </c>
    </row>
    <row r="1362" spans="1:1" x14ac:dyDescent="0.25">
      <c r="A1362" t="s">
        <v>55</v>
      </c>
    </row>
    <row r="1363" spans="1:1" x14ac:dyDescent="0.25">
      <c r="A1363" t="s">
        <v>55</v>
      </c>
    </row>
    <row r="1364" spans="1:1" x14ac:dyDescent="0.25">
      <c r="A1364" t="s">
        <v>55</v>
      </c>
    </row>
    <row r="1365" spans="1:1" x14ac:dyDescent="0.25">
      <c r="A1365" t="s">
        <v>55</v>
      </c>
    </row>
    <row r="1366" spans="1:1" x14ac:dyDescent="0.25">
      <c r="A1366" t="s">
        <v>55</v>
      </c>
    </row>
    <row r="1367" spans="1:1" x14ac:dyDescent="0.25">
      <c r="A1367" t="s">
        <v>55</v>
      </c>
    </row>
    <row r="1368" spans="1:1" x14ac:dyDescent="0.25">
      <c r="A1368" t="s">
        <v>55</v>
      </c>
    </row>
    <row r="1369" spans="1:1" x14ac:dyDescent="0.25">
      <c r="A1369" t="s">
        <v>55</v>
      </c>
    </row>
    <row r="1370" spans="1:1" x14ac:dyDescent="0.25">
      <c r="A1370" t="s">
        <v>55</v>
      </c>
    </row>
    <row r="1371" spans="1:1" x14ac:dyDescent="0.25">
      <c r="A1371" t="s">
        <v>55</v>
      </c>
    </row>
    <row r="1372" spans="1:1" x14ac:dyDescent="0.25">
      <c r="A1372" t="s">
        <v>55</v>
      </c>
    </row>
    <row r="1373" spans="1:1" x14ac:dyDescent="0.25">
      <c r="A1373" t="s">
        <v>55</v>
      </c>
    </row>
    <row r="1374" spans="1:1" x14ac:dyDescent="0.25">
      <c r="A1374" t="s">
        <v>55</v>
      </c>
    </row>
    <row r="1375" spans="1:1" x14ac:dyDescent="0.25">
      <c r="A1375" t="s">
        <v>55</v>
      </c>
    </row>
    <row r="1376" spans="1:1" x14ac:dyDescent="0.25">
      <c r="A1376" t="s">
        <v>55</v>
      </c>
    </row>
    <row r="1377" spans="1:1" x14ac:dyDescent="0.25">
      <c r="A1377" t="s">
        <v>55</v>
      </c>
    </row>
    <row r="1378" spans="1:1" x14ac:dyDescent="0.25">
      <c r="A1378" t="s">
        <v>55</v>
      </c>
    </row>
    <row r="1379" spans="1:1" x14ac:dyDescent="0.25">
      <c r="A1379" t="s">
        <v>55</v>
      </c>
    </row>
    <row r="1380" spans="1:1" x14ac:dyDescent="0.25">
      <c r="A1380" t="s">
        <v>55</v>
      </c>
    </row>
    <row r="1381" spans="1:1" x14ac:dyDescent="0.25">
      <c r="A1381" t="s">
        <v>55</v>
      </c>
    </row>
    <row r="1382" spans="1:1" x14ac:dyDescent="0.25">
      <c r="A1382" t="s">
        <v>55</v>
      </c>
    </row>
    <row r="1383" spans="1:1" x14ac:dyDescent="0.25">
      <c r="A1383" t="s">
        <v>55</v>
      </c>
    </row>
    <row r="1384" spans="1:1" x14ac:dyDescent="0.25">
      <c r="A1384" t="s">
        <v>55</v>
      </c>
    </row>
    <row r="1385" spans="1:1" x14ac:dyDescent="0.25">
      <c r="A1385" t="s">
        <v>55</v>
      </c>
    </row>
    <row r="1386" spans="1:1" x14ac:dyDescent="0.25">
      <c r="A1386" t="s">
        <v>55</v>
      </c>
    </row>
    <row r="1387" spans="1:1" x14ac:dyDescent="0.25">
      <c r="A1387" t="s">
        <v>55</v>
      </c>
    </row>
    <row r="1388" spans="1:1" x14ac:dyDescent="0.25">
      <c r="A1388" t="s">
        <v>55</v>
      </c>
    </row>
    <row r="1389" spans="1:1" x14ac:dyDescent="0.25">
      <c r="A1389" t="s">
        <v>55</v>
      </c>
    </row>
    <row r="1390" spans="1:1" x14ac:dyDescent="0.25">
      <c r="A1390" t="s">
        <v>55</v>
      </c>
    </row>
    <row r="1391" spans="1:1" x14ac:dyDescent="0.25">
      <c r="A1391" t="s">
        <v>55</v>
      </c>
    </row>
    <row r="1392" spans="1:1" x14ac:dyDescent="0.25">
      <c r="A1392" t="s">
        <v>55</v>
      </c>
    </row>
    <row r="1393" spans="1:1" x14ac:dyDescent="0.25">
      <c r="A1393" t="s">
        <v>55</v>
      </c>
    </row>
    <row r="1394" spans="1:1" x14ac:dyDescent="0.25">
      <c r="A1394" t="s">
        <v>55</v>
      </c>
    </row>
    <row r="1395" spans="1:1" x14ac:dyDescent="0.25">
      <c r="A1395" t="s">
        <v>55</v>
      </c>
    </row>
    <row r="1396" spans="1:1" x14ac:dyDescent="0.25">
      <c r="A1396" t="s">
        <v>55</v>
      </c>
    </row>
    <row r="1397" spans="1:1" x14ac:dyDescent="0.25">
      <c r="A1397" t="s">
        <v>55</v>
      </c>
    </row>
    <row r="1398" spans="1:1" x14ac:dyDescent="0.25">
      <c r="A1398" t="s">
        <v>55</v>
      </c>
    </row>
    <row r="1399" spans="1:1" x14ac:dyDescent="0.25">
      <c r="A1399" t="s">
        <v>55</v>
      </c>
    </row>
    <row r="1400" spans="1:1" x14ac:dyDescent="0.25">
      <c r="A1400" t="s">
        <v>55</v>
      </c>
    </row>
    <row r="1401" spans="1:1" x14ac:dyDescent="0.25">
      <c r="A1401" t="s">
        <v>55</v>
      </c>
    </row>
    <row r="1402" spans="1:1" x14ac:dyDescent="0.25">
      <c r="A1402" t="s">
        <v>55</v>
      </c>
    </row>
    <row r="1403" spans="1:1" x14ac:dyDescent="0.25">
      <c r="A1403" t="s">
        <v>55</v>
      </c>
    </row>
    <row r="1404" spans="1:1" x14ac:dyDescent="0.25">
      <c r="A1404" t="s">
        <v>55</v>
      </c>
    </row>
    <row r="1405" spans="1:1" x14ac:dyDescent="0.25">
      <c r="A1405" t="s">
        <v>55</v>
      </c>
    </row>
    <row r="1406" spans="1:1" x14ac:dyDescent="0.25">
      <c r="A1406" t="s">
        <v>55</v>
      </c>
    </row>
    <row r="1407" spans="1:1" x14ac:dyDescent="0.25">
      <c r="A1407" t="s">
        <v>55</v>
      </c>
    </row>
    <row r="1408" spans="1:1" x14ac:dyDescent="0.25">
      <c r="A1408" t="s">
        <v>55</v>
      </c>
    </row>
    <row r="1409" spans="1:1" x14ac:dyDescent="0.25">
      <c r="A1409" t="s">
        <v>55</v>
      </c>
    </row>
    <row r="1410" spans="1:1" x14ac:dyDescent="0.25">
      <c r="A1410" t="s">
        <v>55</v>
      </c>
    </row>
    <row r="1411" spans="1:1" x14ac:dyDescent="0.25">
      <c r="A1411" t="s">
        <v>55</v>
      </c>
    </row>
    <row r="1412" spans="1:1" x14ac:dyDescent="0.25">
      <c r="A1412" t="s">
        <v>55</v>
      </c>
    </row>
    <row r="1413" spans="1:1" x14ac:dyDescent="0.25">
      <c r="A1413" t="s">
        <v>55</v>
      </c>
    </row>
    <row r="1414" spans="1:1" x14ac:dyDescent="0.25">
      <c r="A1414" t="s">
        <v>55</v>
      </c>
    </row>
    <row r="1415" spans="1:1" x14ac:dyDescent="0.25">
      <c r="A1415" t="s">
        <v>55</v>
      </c>
    </row>
    <row r="1416" spans="1:1" x14ac:dyDescent="0.25">
      <c r="A1416" t="s">
        <v>55</v>
      </c>
    </row>
    <row r="1417" spans="1:1" x14ac:dyDescent="0.25">
      <c r="A1417" t="s">
        <v>55</v>
      </c>
    </row>
    <row r="1418" spans="1:1" x14ac:dyDescent="0.25">
      <c r="A1418" t="s">
        <v>55</v>
      </c>
    </row>
    <row r="1419" spans="1:1" x14ac:dyDescent="0.25">
      <c r="A1419" t="s">
        <v>55</v>
      </c>
    </row>
    <row r="1420" spans="1:1" x14ac:dyDescent="0.25">
      <c r="A1420" t="s">
        <v>55</v>
      </c>
    </row>
    <row r="1421" spans="1:1" x14ac:dyDescent="0.25">
      <c r="A1421" t="s">
        <v>55</v>
      </c>
    </row>
    <row r="1422" spans="1:1" x14ac:dyDescent="0.25">
      <c r="A1422" t="s">
        <v>55</v>
      </c>
    </row>
    <row r="1423" spans="1:1" x14ac:dyDescent="0.25">
      <c r="A1423" t="s">
        <v>55</v>
      </c>
    </row>
    <row r="1424" spans="1:1" x14ac:dyDescent="0.25">
      <c r="A1424" t="s">
        <v>55</v>
      </c>
    </row>
    <row r="1425" spans="1:1" x14ac:dyDescent="0.25">
      <c r="A1425" t="s">
        <v>55</v>
      </c>
    </row>
    <row r="1426" spans="1:1" x14ac:dyDescent="0.25">
      <c r="A1426" t="s">
        <v>55</v>
      </c>
    </row>
    <row r="1427" spans="1:1" x14ac:dyDescent="0.25">
      <c r="A1427" t="s">
        <v>55</v>
      </c>
    </row>
    <row r="1428" spans="1:1" x14ac:dyDescent="0.25">
      <c r="A1428" t="s">
        <v>55</v>
      </c>
    </row>
    <row r="1429" spans="1:1" x14ac:dyDescent="0.25">
      <c r="A1429" t="s">
        <v>55</v>
      </c>
    </row>
    <row r="1430" spans="1:1" x14ac:dyDescent="0.25">
      <c r="A1430" t="s">
        <v>55</v>
      </c>
    </row>
    <row r="1431" spans="1:1" x14ac:dyDescent="0.25">
      <c r="A1431" t="s">
        <v>55</v>
      </c>
    </row>
    <row r="1432" spans="1:1" x14ac:dyDescent="0.25">
      <c r="A1432" t="s">
        <v>55</v>
      </c>
    </row>
    <row r="1433" spans="1:1" x14ac:dyDescent="0.25">
      <c r="A1433" t="s">
        <v>55</v>
      </c>
    </row>
    <row r="1434" spans="1:1" x14ac:dyDescent="0.25">
      <c r="A1434" t="s">
        <v>55</v>
      </c>
    </row>
    <row r="1435" spans="1:1" x14ac:dyDescent="0.25">
      <c r="A1435" t="s">
        <v>55</v>
      </c>
    </row>
    <row r="1436" spans="1:1" x14ac:dyDescent="0.25">
      <c r="A1436" t="s">
        <v>55</v>
      </c>
    </row>
    <row r="1437" spans="1:1" x14ac:dyDescent="0.25">
      <c r="A1437" t="s">
        <v>55</v>
      </c>
    </row>
    <row r="1438" spans="1:1" x14ac:dyDescent="0.25">
      <c r="A1438" t="s">
        <v>55</v>
      </c>
    </row>
    <row r="1439" spans="1:1" x14ac:dyDescent="0.25">
      <c r="A1439" t="s">
        <v>55</v>
      </c>
    </row>
    <row r="1440" spans="1:1" x14ac:dyDescent="0.25">
      <c r="A1440" t="s">
        <v>55</v>
      </c>
    </row>
    <row r="1441" spans="1:1" x14ac:dyDescent="0.25">
      <c r="A1441" t="s">
        <v>55</v>
      </c>
    </row>
    <row r="1442" spans="1:1" x14ac:dyDescent="0.25">
      <c r="A1442" t="s">
        <v>55</v>
      </c>
    </row>
    <row r="1443" spans="1:1" x14ac:dyDescent="0.25">
      <c r="A1443" t="s">
        <v>55</v>
      </c>
    </row>
    <row r="1444" spans="1:1" x14ac:dyDescent="0.25">
      <c r="A1444" t="s">
        <v>55</v>
      </c>
    </row>
    <row r="1445" spans="1:1" x14ac:dyDescent="0.25">
      <c r="A1445" t="s">
        <v>55</v>
      </c>
    </row>
    <row r="1446" spans="1:1" x14ac:dyDescent="0.25">
      <c r="A1446" t="s">
        <v>55</v>
      </c>
    </row>
    <row r="1447" spans="1:1" x14ac:dyDescent="0.25">
      <c r="A1447" t="s">
        <v>55</v>
      </c>
    </row>
    <row r="1448" spans="1:1" x14ac:dyDescent="0.25">
      <c r="A1448" t="s">
        <v>55</v>
      </c>
    </row>
    <row r="1449" spans="1:1" x14ac:dyDescent="0.25">
      <c r="A1449" t="s">
        <v>55</v>
      </c>
    </row>
    <row r="1450" spans="1:1" x14ac:dyDescent="0.25">
      <c r="A1450" t="s">
        <v>55</v>
      </c>
    </row>
    <row r="1451" spans="1:1" x14ac:dyDescent="0.25">
      <c r="A1451" t="s">
        <v>55</v>
      </c>
    </row>
    <row r="1452" spans="1:1" x14ac:dyDescent="0.25">
      <c r="A1452" t="s">
        <v>55</v>
      </c>
    </row>
    <row r="1453" spans="1:1" x14ac:dyDescent="0.25">
      <c r="A1453" t="s">
        <v>55</v>
      </c>
    </row>
    <row r="1454" spans="1:1" x14ac:dyDescent="0.25">
      <c r="A1454" t="s">
        <v>55</v>
      </c>
    </row>
    <row r="1455" spans="1:1" x14ac:dyDescent="0.25">
      <c r="A1455" t="s">
        <v>55</v>
      </c>
    </row>
    <row r="1456" spans="1:1" x14ac:dyDescent="0.25">
      <c r="A1456" t="s">
        <v>55</v>
      </c>
    </row>
    <row r="1457" spans="1:1" x14ac:dyDescent="0.25">
      <c r="A1457" t="s">
        <v>55</v>
      </c>
    </row>
    <row r="1458" spans="1:1" x14ac:dyDescent="0.25">
      <c r="A1458" t="s">
        <v>55</v>
      </c>
    </row>
    <row r="1459" spans="1:1" x14ac:dyDescent="0.25">
      <c r="A1459" t="s">
        <v>55</v>
      </c>
    </row>
    <row r="1460" spans="1:1" x14ac:dyDescent="0.25">
      <c r="A1460" t="s">
        <v>55</v>
      </c>
    </row>
    <row r="1461" spans="1:1" x14ac:dyDescent="0.25">
      <c r="A1461" t="s">
        <v>55</v>
      </c>
    </row>
    <row r="1462" spans="1:1" x14ac:dyDescent="0.25">
      <c r="A1462" t="s">
        <v>55</v>
      </c>
    </row>
    <row r="1463" spans="1:1" x14ac:dyDescent="0.25">
      <c r="A1463" t="s">
        <v>55</v>
      </c>
    </row>
    <row r="1464" spans="1:1" x14ac:dyDescent="0.25">
      <c r="A1464" t="s">
        <v>55</v>
      </c>
    </row>
    <row r="1465" spans="1:1" x14ac:dyDescent="0.25">
      <c r="A1465" t="s">
        <v>55</v>
      </c>
    </row>
    <row r="1466" spans="1:1" x14ac:dyDescent="0.25">
      <c r="A1466" t="s">
        <v>55</v>
      </c>
    </row>
    <row r="1467" spans="1:1" x14ac:dyDescent="0.25">
      <c r="A1467" t="s">
        <v>55</v>
      </c>
    </row>
    <row r="1468" spans="1:1" x14ac:dyDescent="0.25">
      <c r="A1468" t="s">
        <v>55</v>
      </c>
    </row>
    <row r="1469" spans="1:1" x14ac:dyDescent="0.25">
      <c r="A1469" t="s">
        <v>55</v>
      </c>
    </row>
    <row r="1470" spans="1:1" x14ac:dyDescent="0.25">
      <c r="A1470" t="s">
        <v>55</v>
      </c>
    </row>
    <row r="1471" spans="1:1" x14ac:dyDescent="0.25">
      <c r="A1471" t="s">
        <v>55</v>
      </c>
    </row>
    <row r="1472" spans="1:1" x14ac:dyDescent="0.25">
      <c r="A1472" t="s">
        <v>55</v>
      </c>
    </row>
    <row r="1473" spans="1:1" x14ac:dyDescent="0.25">
      <c r="A1473" t="s">
        <v>55</v>
      </c>
    </row>
    <row r="1474" spans="1:1" x14ac:dyDescent="0.25">
      <c r="A1474" t="s">
        <v>55</v>
      </c>
    </row>
    <row r="1475" spans="1:1" x14ac:dyDescent="0.25">
      <c r="A1475" t="s">
        <v>55</v>
      </c>
    </row>
    <row r="1476" spans="1:1" x14ac:dyDescent="0.25">
      <c r="A1476" t="s">
        <v>55</v>
      </c>
    </row>
    <row r="1477" spans="1:1" x14ac:dyDescent="0.25">
      <c r="A1477" t="s">
        <v>55</v>
      </c>
    </row>
    <row r="1478" spans="1:1" x14ac:dyDescent="0.25">
      <c r="A1478" t="s">
        <v>55</v>
      </c>
    </row>
    <row r="1479" spans="1:1" x14ac:dyDescent="0.25">
      <c r="A1479" t="s">
        <v>55</v>
      </c>
    </row>
    <row r="1480" spans="1:1" x14ac:dyDescent="0.25">
      <c r="A1480" t="s">
        <v>55</v>
      </c>
    </row>
    <row r="1481" spans="1:1" x14ac:dyDescent="0.25">
      <c r="A1481" t="s">
        <v>55</v>
      </c>
    </row>
    <row r="1482" spans="1:1" x14ac:dyDescent="0.25">
      <c r="A1482" t="s">
        <v>55</v>
      </c>
    </row>
    <row r="1483" spans="1:1" x14ac:dyDescent="0.25">
      <c r="A1483" t="s">
        <v>55</v>
      </c>
    </row>
    <row r="1484" spans="1:1" x14ac:dyDescent="0.25">
      <c r="A1484" t="s">
        <v>55</v>
      </c>
    </row>
    <row r="1485" spans="1:1" x14ac:dyDescent="0.25">
      <c r="A1485" t="s">
        <v>55</v>
      </c>
    </row>
    <row r="1486" spans="1:1" x14ac:dyDescent="0.25">
      <c r="A1486" t="s">
        <v>55</v>
      </c>
    </row>
    <row r="1487" spans="1:1" x14ac:dyDescent="0.25">
      <c r="A1487" t="s">
        <v>55</v>
      </c>
    </row>
    <row r="1488" spans="1:1" x14ac:dyDescent="0.25">
      <c r="A1488" t="s">
        <v>55</v>
      </c>
    </row>
    <row r="1489" spans="1:1" x14ac:dyDescent="0.25">
      <c r="A1489" t="s">
        <v>55</v>
      </c>
    </row>
    <row r="1490" spans="1:1" x14ac:dyDescent="0.25">
      <c r="A1490" t="s">
        <v>55</v>
      </c>
    </row>
    <row r="1491" spans="1:1" x14ac:dyDescent="0.25">
      <c r="A1491" t="s">
        <v>55</v>
      </c>
    </row>
    <row r="1492" spans="1:1" x14ac:dyDescent="0.25">
      <c r="A1492" t="s">
        <v>55</v>
      </c>
    </row>
    <row r="1493" spans="1:1" x14ac:dyDescent="0.25">
      <c r="A1493" t="s">
        <v>55</v>
      </c>
    </row>
    <row r="1494" spans="1:1" x14ac:dyDescent="0.25">
      <c r="A1494" t="s">
        <v>55</v>
      </c>
    </row>
    <row r="1495" spans="1:1" x14ac:dyDescent="0.25">
      <c r="A1495" t="s">
        <v>55</v>
      </c>
    </row>
    <row r="1496" spans="1:1" x14ac:dyDescent="0.25">
      <c r="A1496" t="s">
        <v>55</v>
      </c>
    </row>
    <row r="1497" spans="1:1" x14ac:dyDescent="0.25">
      <c r="A1497" t="s">
        <v>55</v>
      </c>
    </row>
    <row r="1498" spans="1:1" x14ac:dyDescent="0.25">
      <c r="A1498" t="s">
        <v>55</v>
      </c>
    </row>
    <row r="1499" spans="1:1" x14ac:dyDescent="0.25">
      <c r="A1499" t="s">
        <v>55</v>
      </c>
    </row>
    <row r="1500" spans="1:1" x14ac:dyDescent="0.25">
      <c r="A1500" t="s">
        <v>55</v>
      </c>
    </row>
    <row r="1501" spans="1:1" x14ac:dyDescent="0.25">
      <c r="A1501" t="s">
        <v>55</v>
      </c>
    </row>
    <row r="1502" spans="1:1" x14ac:dyDescent="0.25">
      <c r="A1502" t="s">
        <v>55</v>
      </c>
    </row>
    <row r="1503" spans="1:1" x14ac:dyDescent="0.25">
      <c r="A1503" t="s">
        <v>55</v>
      </c>
    </row>
    <row r="1504" spans="1:1" x14ac:dyDescent="0.25">
      <c r="A1504" t="s">
        <v>55</v>
      </c>
    </row>
    <row r="1505" spans="1:1" x14ac:dyDescent="0.25">
      <c r="A1505" t="s">
        <v>55</v>
      </c>
    </row>
    <row r="1506" spans="1:1" x14ac:dyDescent="0.25">
      <c r="A1506" t="s">
        <v>55</v>
      </c>
    </row>
    <row r="1507" spans="1:1" x14ac:dyDescent="0.25">
      <c r="A1507" t="s">
        <v>55</v>
      </c>
    </row>
    <row r="1508" spans="1:1" x14ac:dyDescent="0.25">
      <c r="A1508" t="s">
        <v>55</v>
      </c>
    </row>
    <row r="1509" spans="1:1" x14ac:dyDescent="0.25">
      <c r="A1509" t="s">
        <v>55</v>
      </c>
    </row>
    <row r="1510" spans="1:1" x14ac:dyDescent="0.25">
      <c r="A1510" t="s">
        <v>55</v>
      </c>
    </row>
    <row r="1511" spans="1:1" x14ac:dyDescent="0.25">
      <c r="A1511" t="s">
        <v>55</v>
      </c>
    </row>
    <row r="1512" spans="1:1" x14ac:dyDescent="0.25">
      <c r="A1512" t="s">
        <v>55</v>
      </c>
    </row>
    <row r="1513" spans="1:1" x14ac:dyDescent="0.25">
      <c r="A1513" t="s">
        <v>55</v>
      </c>
    </row>
    <row r="1514" spans="1:1" x14ac:dyDescent="0.25">
      <c r="A1514" t="s">
        <v>55</v>
      </c>
    </row>
    <row r="1515" spans="1:1" x14ac:dyDescent="0.25">
      <c r="A1515" t="s">
        <v>55</v>
      </c>
    </row>
    <row r="1516" spans="1:1" x14ac:dyDescent="0.25">
      <c r="A1516" t="s">
        <v>55</v>
      </c>
    </row>
    <row r="1517" spans="1:1" x14ac:dyDescent="0.25">
      <c r="A1517" t="s">
        <v>55</v>
      </c>
    </row>
    <row r="1518" spans="1:1" x14ac:dyDescent="0.25">
      <c r="A1518" t="s">
        <v>55</v>
      </c>
    </row>
    <row r="1519" spans="1:1" x14ac:dyDescent="0.25">
      <c r="A1519" t="s">
        <v>55</v>
      </c>
    </row>
    <row r="1520" spans="1:1" x14ac:dyDescent="0.25">
      <c r="A1520" t="s">
        <v>55</v>
      </c>
    </row>
    <row r="1521" spans="1:1" x14ac:dyDescent="0.25">
      <c r="A1521" t="s">
        <v>55</v>
      </c>
    </row>
    <row r="1522" spans="1:1" x14ac:dyDescent="0.25">
      <c r="A1522" t="s">
        <v>55</v>
      </c>
    </row>
    <row r="1523" spans="1:1" x14ac:dyDescent="0.25">
      <c r="A1523" t="s">
        <v>55</v>
      </c>
    </row>
    <row r="1524" spans="1:1" x14ac:dyDescent="0.25">
      <c r="A1524" t="s">
        <v>55</v>
      </c>
    </row>
    <row r="1525" spans="1:1" x14ac:dyDescent="0.25">
      <c r="A1525" t="s">
        <v>55</v>
      </c>
    </row>
    <row r="1526" spans="1:1" x14ac:dyDescent="0.25">
      <c r="A1526" t="s">
        <v>55</v>
      </c>
    </row>
    <row r="1527" spans="1:1" x14ac:dyDescent="0.25">
      <c r="A1527" t="s">
        <v>55</v>
      </c>
    </row>
    <row r="1528" spans="1:1" x14ac:dyDescent="0.25">
      <c r="A1528" t="s">
        <v>55</v>
      </c>
    </row>
    <row r="1529" spans="1:1" x14ac:dyDescent="0.25">
      <c r="A1529" t="s">
        <v>55</v>
      </c>
    </row>
    <row r="1530" spans="1:1" x14ac:dyDescent="0.25">
      <c r="A1530" t="s">
        <v>55</v>
      </c>
    </row>
    <row r="1531" spans="1:1" x14ac:dyDescent="0.25">
      <c r="A1531" t="s">
        <v>55</v>
      </c>
    </row>
    <row r="1532" spans="1:1" x14ac:dyDescent="0.25">
      <c r="A1532" t="s">
        <v>55</v>
      </c>
    </row>
    <row r="1533" spans="1:1" x14ac:dyDescent="0.25">
      <c r="A1533" t="s">
        <v>55</v>
      </c>
    </row>
    <row r="1534" spans="1:1" x14ac:dyDescent="0.25">
      <c r="A1534" t="s">
        <v>55</v>
      </c>
    </row>
    <row r="1535" spans="1:1" x14ac:dyDescent="0.25">
      <c r="A1535" t="s">
        <v>55</v>
      </c>
    </row>
    <row r="1536" spans="1:1" x14ac:dyDescent="0.25">
      <c r="A1536" t="s">
        <v>55</v>
      </c>
    </row>
    <row r="1537" spans="1:1" x14ac:dyDescent="0.25">
      <c r="A1537" t="s">
        <v>55</v>
      </c>
    </row>
    <row r="1538" spans="1:1" x14ac:dyDescent="0.25">
      <c r="A1538" t="s">
        <v>55</v>
      </c>
    </row>
    <row r="1539" spans="1:1" x14ac:dyDescent="0.25">
      <c r="A1539" t="s">
        <v>55</v>
      </c>
    </row>
    <row r="1540" spans="1:1" x14ac:dyDescent="0.25">
      <c r="A1540" t="s">
        <v>55</v>
      </c>
    </row>
    <row r="1541" spans="1:1" x14ac:dyDescent="0.25">
      <c r="A1541" t="s">
        <v>55</v>
      </c>
    </row>
    <row r="1542" spans="1:1" x14ac:dyDescent="0.25">
      <c r="A1542" t="s">
        <v>55</v>
      </c>
    </row>
    <row r="1543" spans="1:1" x14ac:dyDescent="0.25">
      <c r="A1543" t="s">
        <v>55</v>
      </c>
    </row>
    <row r="1544" spans="1:1" x14ac:dyDescent="0.25">
      <c r="A1544" t="s">
        <v>55</v>
      </c>
    </row>
    <row r="1545" spans="1:1" x14ac:dyDescent="0.25">
      <c r="A1545" t="s">
        <v>55</v>
      </c>
    </row>
    <row r="1546" spans="1:1" x14ac:dyDescent="0.25">
      <c r="A1546" t="s">
        <v>55</v>
      </c>
    </row>
    <row r="1547" spans="1:1" x14ac:dyDescent="0.25">
      <c r="A1547" t="s">
        <v>55</v>
      </c>
    </row>
    <row r="1548" spans="1:1" x14ac:dyDescent="0.25">
      <c r="A1548" t="s">
        <v>55</v>
      </c>
    </row>
    <row r="1549" spans="1:1" x14ac:dyDescent="0.25">
      <c r="A1549" t="s">
        <v>55</v>
      </c>
    </row>
    <row r="1550" spans="1:1" x14ac:dyDescent="0.25">
      <c r="A1550" t="s">
        <v>55</v>
      </c>
    </row>
    <row r="1551" spans="1:1" x14ac:dyDescent="0.25">
      <c r="A1551" t="s">
        <v>55</v>
      </c>
    </row>
    <row r="1552" spans="1:1" x14ac:dyDescent="0.25">
      <c r="A1552" t="s">
        <v>55</v>
      </c>
    </row>
    <row r="1553" spans="1:1" x14ac:dyDescent="0.25">
      <c r="A1553" t="s">
        <v>55</v>
      </c>
    </row>
    <row r="1554" spans="1:1" x14ac:dyDescent="0.25">
      <c r="A1554" t="s">
        <v>55</v>
      </c>
    </row>
    <row r="1555" spans="1:1" x14ac:dyDescent="0.25">
      <c r="A1555" t="s">
        <v>55</v>
      </c>
    </row>
    <row r="1556" spans="1:1" x14ac:dyDescent="0.25">
      <c r="A1556" t="s">
        <v>55</v>
      </c>
    </row>
    <row r="1557" spans="1:1" x14ac:dyDescent="0.25">
      <c r="A1557" t="s">
        <v>55</v>
      </c>
    </row>
    <row r="1558" spans="1:1" x14ac:dyDescent="0.25">
      <c r="A1558" t="s">
        <v>55</v>
      </c>
    </row>
    <row r="1559" spans="1:1" x14ac:dyDescent="0.25">
      <c r="A1559" t="s">
        <v>55</v>
      </c>
    </row>
    <row r="1560" spans="1:1" x14ac:dyDescent="0.25">
      <c r="A1560" t="s">
        <v>55</v>
      </c>
    </row>
    <row r="1561" spans="1:1" x14ac:dyDescent="0.25">
      <c r="A1561" t="s">
        <v>55</v>
      </c>
    </row>
    <row r="1562" spans="1:1" x14ac:dyDescent="0.25">
      <c r="A1562" t="s">
        <v>55</v>
      </c>
    </row>
    <row r="1563" spans="1:1" x14ac:dyDescent="0.25">
      <c r="A1563" t="s">
        <v>55</v>
      </c>
    </row>
    <row r="1564" spans="1:1" x14ac:dyDescent="0.25">
      <c r="A1564" t="s">
        <v>55</v>
      </c>
    </row>
    <row r="1565" spans="1:1" x14ac:dyDescent="0.25">
      <c r="A1565" t="s">
        <v>55</v>
      </c>
    </row>
    <row r="1566" spans="1:1" x14ac:dyDescent="0.25">
      <c r="A1566" t="s">
        <v>55</v>
      </c>
    </row>
    <row r="1567" spans="1:1" x14ac:dyDescent="0.25">
      <c r="A1567" t="s">
        <v>55</v>
      </c>
    </row>
    <row r="1568" spans="1:1" x14ac:dyDescent="0.25">
      <c r="A1568" t="s">
        <v>55</v>
      </c>
    </row>
    <row r="1569" spans="1:1" x14ac:dyDescent="0.25">
      <c r="A1569" t="s">
        <v>55</v>
      </c>
    </row>
    <row r="1570" spans="1:1" x14ac:dyDescent="0.25">
      <c r="A1570" t="s">
        <v>55</v>
      </c>
    </row>
    <row r="1571" spans="1:1" x14ac:dyDescent="0.25">
      <c r="A1571" t="s">
        <v>55</v>
      </c>
    </row>
    <row r="1572" spans="1:1" x14ac:dyDescent="0.25">
      <c r="A1572" t="s">
        <v>55</v>
      </c>
    </row>
    <row r="1573" spans="1:1" x14ac:dyDescent="0.25">
      <c r="A1573" t="s">
        <v>55</v>
      </c>
    </row>
    <row r="1574" spans="1:1" x14ac:dyDescent="0.25">
      <c r="A1574" t="s">
        <v>55</v>
      </c>
    </row>
    <row r="1575" spans="1:1" x14ac:dyDescent="0.25">
      <c r="A1575" t="s">
        <v>55</v>
      </c>
    </row>
    <row r="1576" spans="1:1" x14ac:dyDescent="0.25">
      <c r="A1576" t="s">
        <v>55</v>
      </c>
    </row>
    <row r="1577" spans="1:1" x14ac:dyDescent="0.25">
      <c r="A1577" t="s">
        <v>55</v>
      </c>
    </row>
    <row r="1578" spans="1:1" x14ac:dyDescent="0.25">
      <c r="A1578" t="s">
        <v>55</v>
      </c>
    </row>
    <row r="1579" spans="1:1" x14ac:dyDescent="0.25">
      <c r="A1579" t="s">
        <v>55</v>
      </c>
    </row>
    <row r="1580" spans="1:1" x14ac:dyDescent="0.25">
      <c r="A1580" t="s">
        <v>55</v>
      </c>
    </row>
    <row r="1581" spans="1:1" x14ac:dyDescent="0.25">
      <c r="A1581" t="s">
        <v>55</v>
      </c>
    </row>
    <row r="1582" spans="1:1" x14ac:dyDescent="0.25">
      <c r="A1582" t="s">
        <v>55</v>
      </c>
    </row>
    <row r="1583" spans="1:1" x14ac:dyDescent="0.25">
      <c r="A1583" t="s">
        <v>55</v>
      </c>
    </row>
    <row r="1584" spans="1:1" x14ac:dyDescent="0.25">
      <c r="A1584" t="s">
        <v>55</v>
      </c>
    </row>
    <row r="1585" spans="1:1" x14ac:dyDescent="0.25">
      <c r="A1585" t="s">
        <v>55</v>
      </c>
    </row>
    <row r="1586" spans="1:1" x14ac:dyDescent="0.25">
      <c r="A1586" t="s">
        <v>55</v>
      </c>
    </row>
    <row r="1587" spans="1:1" x14ac:dyDescent="0.25">
      <c r="A1587" t="s">
        <v>55</v>
      </c>
    </row>
    <row r="1588" spans="1:1" x14ac:dyDescent="0.25">
      <c r="A1588" t="s">
        <v>55</v>
      </c>
    </row>
    <row r="1589" spans="1:1" x14ac:dyDescent="0.25">
      <c r="A1589" t="s">
        <v>55</v>
      </c>
    </row>
    <row r="1590" spans="1:1" x14ac:dyDescent="0.25">
      <c r="A1590" t="s">
        <v>55</v>
      </c>
    </row>
    <row r="1591" spans="1:1" x14ac:dyDescent="0.25">
      <c r="A1591" t="s">
        <v>55</v>
      </c>
    </row>
    <row r="1592" spans="1:1" x14ac:dyDescent="0.25">
      <c r="A1592" t="s">
        <v>55</v>
      </c>
    </row>
    <row r="1593" spans="1:1" x14ac:dyDescent="0.25">
      <c r="A1593" t="s">
        <v>55</v>
      </c>
    </row>
    <row r="1594" spans="1:1" x14ac:dyDescent="0.25">
      <c r="A1594" t="s">
        <v>55</v>
      </c>
    </row>
    <row r="1595" spans="1:1" x14ac:dyDescent="0.25">
      <c r="A1595" t="s">
        <v>55</v>
      </c>
    </row>
    <row r="1596" spans="1:1" x14ac:dyDescent="0.25">
      <c r="A1596" t="s">
        <v>55</v>
      </c>
    </row>
    <row r="1597" spans="1:1" x14ac:dyDescent="0.25">
      <c r="A1597" t="s">
        <v>55</v>
      </c>
    </row>
    <row r="1598" spans="1:1" x14ac:dyDescent="0.25">
      <c r="A1598" t="s">
        <v>55</v>
      </c>
    </row>
    <row r="1599" spans="1:1" x14ac:dyDescent="0.25">
      <c r="A1599" t="s">
        <v>55</v>
      </c>
    </row>
    <row r="1600" spans="1:1" x14ac:dyDescent="0.25">
      <c r="A1600" t="s">
        <v>55</v>
      </c>
    </row>
    <row r="1601" spans="1:1" x14ac:dyDescent="0.25">
      <c r="A1601" t="s">
        <v>55</v>
      </c>
    </row>
    <row r="1602" spans="1:1" x14ac:dyDescent="0.25">
      <c r="A1602" t="s">
        <v>55</v>
      </c>
    </row>
    <row r="1603" spans="1:1" x14ac:dyDescent="0.25">
      <c r="A1603" t="s">
        <v>55</v>
      </c>
    </row>
    <row r="1604" spans="1:1" x14ac:dyDescent="0.25">
      <c r="A1604" t="s">
        <v>55</v>
      </c>
    </row>
    <row r="1605" spans="1:1" x14ac:dyDescent="0.25">
      <c r="A1605" t="s">
        <v>55</v>
      </c>
    </row>
    <row r="1606" spans="1:1" x14ac:dyDescent="0.25">
      <c r="A1606" t="s">
        <v>55</v>
      </c>
    </row>
    <row r="1607" spans="1:1" x14ac:dyDescent="0.25">
      <c r="A1607" t="s">
        <v>55</v>
      </c>
    </row>
    <row r="1608" spans="1:1" x14ac:dyDescent="0.25">
      <c r="A1608" t="s">
        <v>55</v>
      </c>
    </row>
    <row r="1609" spans="1:1" x14ac:dyDescent="0.25">
      <c r="A1609" t="s">
        <v>55</v>
      </c>
    </row>
    <row r="1610" spans="1:1" x14ac:dyDescent="0.25">
      <c r="A1610" t="s">
        <v>55</v>
      </c>
    </row>
    <row r="1611" spans="1:1" x14ac:dyDescent="0.25">
      <c r="A1611" t="s">
        <v>55</v>
      </c>
    </row>
    <row r="1612" spans="1:1" x14ac:dyDescent="0.25">
      <c r="A1612" t="s">
        <v>55</v>
      </c>
    </row>
    <row r="1613" spans="1:1" x14ac:dyDescent="0.25">
      <c r="A1613" t="s">
        <v>55</v>
      </c>
    </row>
    <row r="1614" spans="1:1" x14ac:dyDescent="0.25">
      <c r="A1614" t="s">
        <v>55</v>
      </c>
    </row>
    <row r="1615" spans="1:1" x14ac:dyDescent="0.25">
      <c r="A1615" t="s">
        <v>55</v>
      </c>
    </row>
    <row r="1616" spans="1:1" x14ac:dyDescent="0.25">
      <c r="A1616" t="s">
        <v>55</v>
      </c>
    </row>
    <row r="1617" spans="1:1" x14ac:dyDescent="0.25">
      <c r="A1617" t="s">
        <v>55</v>
      </c>
    </row>
    <row r="1618" spans="1:1" x14ac:dyDescent="0.25">
      <c r="A1618" t="s">
        <v>55</v>
      </c>
    </row>
    <row r="1619" spans="1:1" x14ac:dyDescent="0.25">
      <c r="A1619" t="s">
        <v>55</v>
      </c>
    </row>
    <row r="1620" spans="1:1" x14ac:dyDescent="0.25">
      <c r="A1620" t="s">
        <v>55</v>
      </c>
    </row>
    <row r="1621" spans="1:1" x14ac:dyDescent="0.25">
      <c r="A1621" t="s">
        <v>55</v>
      </c>
    </row>
    <row r="1622" spans="1:1" x14ac:dyDescent="0.25">
      <c r="A1622" t="s">
        <v>55</v>
      </c>
    </row>
    <row r="1623" spans="1:1" x14ac:dyDescent="0.25">
      <c r="A1623" t="s">
        <v>55</v>
      </c>
    </row>
    <row r="1624" spans="1:1" x14ac:dyDescent="0.25">
      <c r="A1624" t="s">
        <v>55</v>
      </c>
    </row>
    <row r="1625" spans="1:1" x14ac:dyDescent="0.25">
      <c r="A1625" t="s">
        <v>55</v>
      </c>
    </row>
    <row r="1626" spans="1:1" x14ac:dyDescent="0.25">
      <c r="A1626" t="s">
        <v>55</v>
      </c>
    </row>
    <row r="1627" spans="1:1" x14ac:dyDescent="0.25">
      <c r="A1627" t="s">
        <v>55</v>
      </c>
    </row>
    <row r="1628" spans="1:1" x14ac:dyDescent="0.25">
      <c r="A1628" t="s">
        <v>55</v>
      </c>
    </row>
    <row r="1629" spans="1:1" x14ac:dyDescent="0.25">
      <c r="A1629" t="s">
        <v>55</v>
      </c>
    </row>
    <row r="1630" spans="1:1" x14ac:dyDescent="0.25">
      <c r="A1630" t="s">
        <v>55</v>
      </c>
    </row>
    <row r="1631" spans="1:1" x14ac:dyDescent="0.25">
      <c r="A1631" t="s">
        <v>55</v>
      </c>
    </row>
    <row r="1632" spans="1:1" x14ac:dyDescent="0.25">
      <c r="A1632" t="s">
        <v>55</v>
      </c>
    </row>
    <row r="1633" spans="1:1" x14ac:dyDescent="0.25">
      <c r="A1633" t="s">
        <v>55</v>
      </c>
    </row>
    <row r="1634" spans="1:1" x14ac:dyDescent="0.25">
      <c r="A1634" t="s">
        <v>55</v>
      </c>
    </row>
    <row r="1635" spans="1:1" x14ac:dyDescent="0.25">
      <c r="A1635" t="s">
        <v>55</v>
      </c>
    </row>
    <row r="1636" spans="1:1" x14ac:dyDescent="0.25">
      <c r="A1636" t="s">
        <v>55</v>
      </c>
    </row>
    <row r="1637" spans="1:1" x14ac:dyDescent="0.25">
      <c r="A1637" t="s">
        <v>55</v>
      </c>
    </row>
    <row r="1638" spans="1:1" x14ac:dyDescent="0.25">
      <c r="A1638" t="s">
        <v>55</v>
      </c>
    </row>
    <row r="1639" spans="1:1" x14ac:dyDescent="0.25">
      <c r="A1639" t="s">
        <v>55</v>
      </c>
    </row>
    <row r="1640" spans="1:1" x14ac:dyDescent="0.25">
      <c r="A1640" t="s">
        <v>55</v>
      </c>
    </row>
    <row r="1641" spans="1:1" x14ac:dyDescent="0.25">
      <c r="A1641" t="s">
        <v>55</v>
      </c>
    </row>
    <row r="1642" spans="1:1" x14ac:dyDescent="0.25">
      <c r="A1642" t="s">
        <v>55</v>
      </c>
    </row>
    <row r="1643" spans="1:1" x14ac:dyDescent="0.25">
      <c r="A1643" t="s">
        <v>55</v>
      </c>
    </row>
    <row r="1644" spans="1:1" x14ac:dyDescent="0.25">
      <c r="A1644" t="s">
        <v>55</v>
      </c>
    </row>
    <row r="1645" spans="1:1" x14ac:dyDescent="0.25">
      <c r="A1645" t="s">
        <v>55</v>
      </c>
    </row>
    <row r="1646" spans="1:1" x14ac:dyDescent="0.25">
      <c r="A1646" t="s">
        <v>55</v>
      </c>
    </row>
    <row r="1647" spans="1:1" x14ac:dyDescent="0.25">
      <c r="A1647" t="s">
        <v>55</v>
      </c>
    </row>
    <row r="1648" spans="1:1" x14ac:dyDescent="0.25">
      <c r="A1648" t="s">
        <v>55</v>
      </c>
    </row>
    <row r="1649" spans="1:1" x14ac:dyDescent="0.25">
      <c r="A1649" t="s">
        <v>55</v>
      </c>
    </row>
    <row r="1650" spans="1:1" x14ac:dyDescent="0.25">
      <c r="A1650" t="s">
        <v>55</v>
      </c>
    </row>
    <row r="1651" spans="1:1" x14ac:dyDescent="0.25">
      <c r="A1651" t="s">
        <v>55</v>
      </c>
    </row>
    <row r="1652" spans="1:1" x14ac:dyDescent="0.25">
      <c r="A1652" t="s">
        <v>55</v>
      </c>
    </row>
    <row r="1653" spans="1:1" x14ac:dyDescent="0.25">
      <c r="A1653" t="s">
        <v>55</v>
      </c>
    </row>
    <row r="1654" spans="1:1" x14ac:dyDescent="0.25">
      <c r="A1654" t="s">
        <v>55</v>
      </c>
    </row>
    <row r="1655" spans="1:1" x14ac:dyDescent="0.25">
      <c r="A1655" t="s">
        <v>55</v>
      </c>
    </row>
    <row r="1656" spans="1:1" x14ac:dyDescent="0.25">
      <c r="A1656" t="s">
        <v>55</v>
      </c>
    </row>
    <row r="1657" spans="1:1" x14ac:dyDescent="0.25">
      <c r="A1657" t="s">
        <v>55</v>
      </c>
    </row>
    <row r="1658" spans="1:1" x14ac:dyDescent="0.25">
      <c r="A1658" t="s">
        <v>55</v>
      </c>
    </row>
    <row r="1659" spans="1:1" x14ac:dyDescent="0.25">
      <c r="A1659" t="s">
        <v>55</v>
      </c>
    </row>
    <row r="1660" spans="1:1" x14ac:dyDescent="0.25">
      <c r="A1660" t="s">
        <v>55</v>
      </c>
    </row>
    <row r="1661" spans="1:1" x14ac:dyDescent="0.25">
      <c r="A1661" t="s">
        <v>55</v>
      </c>
    </row>
    <row r="1662" spans="1:1" x14ac:dyDescent="0.25">
      <c r="A1662" t="s">
        <v>55</v>
      </c>
    </row>
    <row r="1663" spans="1:1" x14ac:dyDescent="0.25">
      <c r="A1663" t="s">
        <v>55</v>
      </c>
    </row>
    <row r="1664" spans="1:1" x14ac:dyDescent="0.25">
      <c r="A1664" t="s">
        <v>55</v>
      </c>
    </row>
    <row r="1665" spans="1:1" x14ac:dyDescent="0.25">
      <c r="A1665" t="s">
        <v>55</v>
      </c>
    </row>
    <row r="1666" spans="1:1" x14ac:dyDescent="0.25">
      <c r="A1666" t="s">
        <v>55</v>
      </c>
    </row>
    <row r="1667" spans="1:1" x14ac:dyDescent="0.25">
      <c r="A1667" t="s">
        <v>55</v>
      </c>
    </row>
    <row r="1668" spans="1:1" x14ac:dyDescent="0.25">
      <c r="A1668" t="s">
        <v>55</v>
      </c>
    </row>
    <row r="1669" spans="1:1" x14ac:dyDescent="0.25">
      <c r="A1669" t="s">
        <v>55</v>
      </c>
    </row>
    <row r="1670" spans="1:1" x14ac:dyDescent="0.25">
      <c r="A1670" t="s">
        <v>55</v>
      </c>
    </row>
    <row r="1671" spans="1:1" x14ac:dyDescent="0.25">
      <c r="A1671" t="s">
        <v>55</v>
      </c>
    </row>
    <row r="1672" spans="1:1" x14ac:dyDescent="0.25">
      <c r="A1672" t="s">
        <v>55</v>
      </c>
    </row>
    <row r="1673" spans="1:1" x14ac:dyDescent="0.25">
      <c r="A1673" t="s">
        <v>55</v>
      </c>
    </row>
    <row r="1674" spans="1:1" x14ac:dyDescent="0.25">
      <c r="A1674" t="s">
        <v>55</v>
      </c>
    </row>
    <row r="1675" spans="1:1" x14ac:dyDescent="0.25">
      <c r="A1675" t="s">
        <v>55</v>
      </c>
    </row>
    <row r="1676" spans="1:1" x14ac:dyDescent="0.25">
      <c r="A1676" t="s">
        <v>55</v>
      </c>
    </row>
    <row r="1677" spans="1:1" x14ac:dyDescent="0.25">
      <c r="A1677" t="s">
        <v>55</v>
      </c>
    </row>
    <row r="1678" spans="1:1" x14ac:dyDescent="0.25">
      <c r="A1678" t="s">
        <v>55</v>
      </c>
    </row>
    <row r="1679" spans="1:1" x14ac:dyDescent="0.25">
      <c r="A1679" t="s">
        <v>55</v>
      </c>
    </row>
    <row r="1680" spans="1:1" x14ac:dyDescent="0.25">
      <c r="A1680" t="s">
        <v>55</v>
      </c>
    </row>
    <row r="1681" spans="1:1" x14ac:dyDescent="0.25">
      <c r="A1681" t="s">
        <v>55</v>
      </c>
    </row>
    <row r="1682" spans="1:1" x14ac:dyDescent="0.25">
      <c r="A1682" t="s">
        <v>55</v>
      </c>
    </row>
    <row r="1683" spans="1:1" x14ac:dyDescent="0.25">
      <c r="A1683" t="s">
        <v>55</v>
      </c>
    </row>
    <row r="1684" spans="1:1" x14ac:dyDescent="0.25">
      <c r="A1684" t="s">
        <v>55</v>
      </c>
    </row>
    <row r="1685" spans="1:1" x14ac:dyDescent="0.25">
      <c r="A1685" t="s">
        <v>55</v>
      </c>
    </row>
    <row r="1686" spans="1:1" x14ac:dyDescent="0.25">
      <c r="A1686" t="s">
        <v>55</v>
      </c>
    </row>
    <row r="1687" spans="1:1" x14ac:dyDescent="0.25">
      <c r="A1687" t="s">
        <v>55</v>
      </c>
    </row>
    <row r="1688" spans="1:1" x14ac:dyDescent="0.25">
      <c r="A1688" t="s">
        <v>55</v>
      </c>
    </row>
    <row r="1689" spans="1:1" x14ac:dyDescent="0.25">
      <c r="A1689" t="s">
        <v>55</v>
      </c>
    </row>
    <row r="1690" spans="1:1" x14ac:dyDescent="0.25">
      <c r="A1690" t="s">
        <v>55</v>
      </c>
    </row>
    <row r="1691" spans="1:1" x14ac:dyDescent="0.25">
      <c r="A1691" t="s">
        <v>55</v>
      </c>
    </row>
    <row r="1692" spans="1:1" x14ac:dyDescent="0.25">
      <c r="A1692" t="s">
        <v>55</v>
      </c>
    </row>
    <row r="1693" spans="1:1" x14ac:dyDescent="0.25">
      <c r="A1693" t="s">
        <v>55</v>
      </c>
    </row>
    <row r="1694" spans="1:1" x14ac:dyDescent="0.25">
      <c r="A1694" t="s">
        <v>55</v>
      </c>
    </row>
    <row r="1695" spans="1:1" x14ac:dyDescent="0.25">
      <c r="A1695" t="s">
        <v>55</v>
      </c>
    </row>
    <row r="1696" spans="1:1" x14ac:dyDescent="0.25">
      <c r="A1696" t="s">
        <v>55</v>
      </c>
    </row>
    <row r="1697" spans="1:1" x14ac:dyDescent="0.25">
      <c r="A1697" t="s">
        <v>55</v>
      </c>
    </row>
    <row r="1698" spans="1:1" x14ac:dyDescent="0.25">
      <c r="A1698" t="s">
        <v>55</v>
      </c>
    </row>
    <row r="1699" spans="1:1" x14ac:dyDescent="0.25">
      <c r="A1699" t="s">
        <v>55</v>
      </c>
    </row>
    <row r="1700" spans="1:1" x14ac:dyDescent="0.25">
      <c r="A1700" t="s">
        <v>55</v>
      </c>
    </row>
    <row r="1701" spans="1:1" x14ac:dyDescent="0.25">
      <c r="A1701" t="s">
        <v>55</v>
      </c>
    </row>
    <row r="1702" spans="1:1" x14ac:dyDescent="0.25">
      <c r="A1702" t="s">
        <v>55</v>
      </c>
    </row>
    <row r="1703" spans="1:1" x14ac:dyDescent="0.25">
      <c r="A1703" t="s">
        <v>55</v>
      </c>
    </row>
    <row r="1704" spans="1:1" x14ac:dyDescent="0.25">
      <c r="A1704" t="s">
        <v>55</v>
      </c>
    </row>
    <row r="1705" spans="1:1" x14ac:dyDescent="0.25">
      <c r="A1705" t="s">
        <v>55</v>
      </c>
    </row>
    <row r="1706" spans="1:1" x14ac:dyDescent="0.25">
      <c r="A1706" t="s">
        <v>55</v>
      </c>
    </row>
    <row r="1707" spans="1:1" x14ac:dyDescent="0.25">
      <c r="A1707" t="s">
        <v>55</v>
      </c>
    </row>
    <row r="1708" spans="1:1" x14ac:dyDescent="0.25">
      <c r="A1708" t="s">
        <v>55</v>
      </c>
    </row>
    <row r="1709" spans="1:1" x14ac:dyDescent="0.25">
      <c r="A1709" t="s">
        <v>55</v>
      </c>
    </row>
    <row r="1710" spans="1:1" x14ac:dyDescent="0.25">
      <c r="A1710" t="s">
        <v>55</v>
      </c>
    </row>
    <row r="1711" spans="1:1" x14ac:dyDescent="0.25">
      <c r="A1711" t="s">
        <v>55</v>
      </c>
    </row>
    <row r="1712" spans="1:1" x14ac:dyDescent="0.25">
      <c r="A1712" t="s">
        <v>55</v>
      </c>
    </row>
    <row r="1713" spans="1:1" x14ac:dyDescent="0.25">
      <c r="A1713" t="s">
        <v>55</v>
      </c>
    </row>
    <row r="1714" spans="1:1" x14ac:dyDescent="0.25">
      <c r="A1714" t="s">
        <v>55</v>
      </c>
    </row>
    <row r="1715" spans="1:1" x14ac:dyDescent="0.25">
      <c r="A1715" t="s">
        <v>55</v>
      </c>
    </row>
    <row r="1716" spans="1:1" x14ac:dyDescent="0.25">
      <c r="A1716" t="s">
        <v>55</v>
      </c>
    </row>
    <row r="1717" spans="1:1" x14ac:dyDescent="0.25">
      <c r="A1717" t="s">
        <v>55</v>
      </c>
    </row>
    <row r="1718" spans="1:1" x14ac:dyDescent="0.25">
      <c r="A1718" t="s">
        <v>55</v>
      </c>
    </row>
    <row r="1719" spans="1:1" x14ac:dyDescent="0.25">
      <c r="A1719" t="s">
        <v>55</v>
      </c>
    </row>
    <row r="1720" spans="1:1" x14ac:dyDescent="0.25">
      <c r="A1720" t="s">
        <v>55</v>
      </c>
    </row>
    <row r="1721" spans="1:1" x14ac:dyDescent="0.25">
      <c r="A1721" t="s">
        <v>55</v>
      </c>
    </row>
    <row r="1722" spans="1:1" x14ac:dyDescent="0.25">
      <c r="A1722" t="s">
        <v>55</v>
      </c>
    </row>
    <row r="1723" spans="1:1" x14ac:dyDescent="0.25">
      <c r="A1723" t="s">
        <v>55</v>
      </c>
    </row>
    <row r="1724" spans="1:1" x14ac:dyDescent="0.25">
      <c r="A1724" t="s">
        <v>55</v>
      </c>
    </row>
    <row r="1725" spans="1:1" x14ac:dyDescent="0.25">
      <c r="A1725" t="s">
        <v>55</v>
      </c>
    </row>
    <row r="1726" spans="1:1" x14ac:dyDescent="0.25">
      <c r="A1726" t="s">
        <v>55</v>
      </c>
    </row>
    <row r="1727" spans="1:1" x14ac:dyDescent="0.25">
      <c r="A1727" t="s">
        <v>55</v>
      </c>
    </row>
    <row r="1728" spans="1:1" x14ac:dyDescent="0.25">
      <c r="A1728" t="s">
        <v>55</v>
      </c>
    </row>
    <row r="1729" spans="1:1" x14ac:dyDescent="0.25">
      <c r="A1729" t="s">
        <v>55</v>
      </c>
    </row>
    <row r="1730" spans="1:1" x14ac:dyDescent="0.25">
      <c r="A1730" t="s">
        <v>55</v>
      </c>
    </row>
    <row r="1731" spans="1:1" x14ac:dyDescent="0.25">
      <c r="A1731" t="s">
        <v>55</v>
      </c>
    </row>
    <row r="1732" spans="1:1" x14ac:dyDescent="0.25">
      <c r="A1732" t="s">
        <v>55</v>
      </c>
    </row>
    <row r="1733" spans="1:1" x14ac:dyDescent="0.25">
      <c r="A1733" t="s">
        <v>55</v>
      </c>
    </row>
    <row r="1734" spans="1:1" x14ac:dyDescent="0.25">
      <c r="A1734" t="s">
        <v>55</v>
      </c>
    </row>
    <row r="1735" spans="1:1" x14ac:dyDescent="0.25">
      <c r="A1735" t="s">
        <v>55</v>
      </c>
    </row>
    <row r="1736" spans="1:1" x14ac:dyDescent="0.25">
      <c r="A1736" t="s">
        <v>55</v>
      </c>
    </row>
    <row r="1737" spans="1:1" x14ac:dyDescent="0.25">
      <c r="A1737" t="s">
        <v>55</v>
      </c>
    </row>
    <row r="1738" spans="1:1" x14ac:dyDescent="0.25">
      <c r="A1738" t="s">
        <v>55</v>
      </c>
    </row>
    <row r="1739" spans="1:1" x14ac:dyDescent="0.25">
      <c r="A1739" t="s">
        <v>55</v>
      </c>
    </row>
    <row r="1740" spans="1:1" x14ac:dyDescent="0.25">
      <c r="A1740" t="s">
        <v>55</v>
      </c>
    </row>
    <row r="1741" spans="1:1" x14ac:dyDescent="0.25">
      <c r="A1741" t="s">
        <v>55</v>
      </c>
    </row>
    <row r="1742" spans="1:1" x14ac:dyDescent="0.25">
      <c r="A1742" t="s">
        <v>55</v>
      </c>
    </row>
    <row r="1743" spans="1:1" x14ac:dyDescent="0.25">
      <c r="A1743" t="s">
        <v>55</v>
      </c>
    </row>
    <row r="1744" spans="1:1" x14ac:dyDescent="0.25">
      <c r="A1744" t="s">
        <v>55</v>
      </c>
    </row>
    <row r="1745" spans="1:1" x14ac:dyDescent="0.25">
      <c r="A1745" t="s">
        <v>55</v>
      </c>
    </row>
    <row r="1746" spans="1:1" x14ac:dyDescent="0.25">
      <c r="A1746" t="s">
        <v>55</v>
      </c>
    </row>
    <row r="1747" spans="1:1" x14ac:dyDescent="0.25">
      <c r="A1747" t="s">
        <v>55</v>
      </c>
    </row>
    <row r="1748" spans="1:1" x14ac:dyDescent="0.25">
      <c r="A1748" t="s">
        <v>55</v>
      </c>
    </row>
    <row r="1749" spans="1:1" x14ac:dyDescent="0.25">
      <c r="A1749" t="s">
        <v>55</v>
      </c>
    </row>
    <row r="1750" spans="1:1" x14ac:dyDescent="0.25">
      <c r="A1750" t="s">
        <v>55</v>
      </c>
    </row>
    <row r="1751" spans="1:1" x14ac:dyDescent="0.25">
      <c r="A1751" t="s">
        <v>55</v>
      </c>
    </row>
    <row r="1752" spans="1:1" x14ac:dyDescent="0.25">
      <c r="A1752" t="s">
        <v>55</v>
      </c>
    </row>
    <row r="1753" spans="1:1" x14ac:dyDescent="0.25">
      <c r="A1753" t="s">
        <v>55</v>
      </c>
    </row>
    <row r="1754" spans="1:1" x14ac:dyDescent="0.25">
      <c r="A1754" t="s">
        <v>55</v>
      </c>
    </row>
    <row r="1755" spans="1:1" x14ac:dyDescent="0.25">
      <c r="A1755" t="s">
        <v>55</v>
      </c>
    </row>
    <row r="1756" spans="1:1" x14ac:dyDescent="0.25">
      <c r="A1756" t="s">
        <v>55</v>
      </c>
    </row>
    <row r="1757" spans="1:1" x14ac:dyDescent="0.25">
      <c r="A1757" t="s">
        <v>55</v>
      </c>
    </row>
    <row r="1758" spans="1:1" x14ac:dyDescent="0.25">
      <c r="A1758" t="s">
        <v>55</v>
      </c>
    </row>
    <row r="1759" spans="1:1" x14ac:dyDescent="0.25">
      <c r="A1759" t="s">
        <v>55</v>
      </c>
    </row>
    <row r="1760" spans="1:1" x14ac:dyDescent="0.25">
      <c r="A1760" t="s">
        <v>55</v>
      </c>
    </row>
    <row r="1761" spans="1:1" x14ac:dyDescent="0.25">
      <c r="A1761" t="s">
        <v>55</v>
      </c>
    </row>
    <row r="1762" spans="1:1" x14ac:dyDescent="0.25">
      <c r="A1762" t="s">
        <v>55</v>
      </c>
    </row>
    <row r="1763" spans="1:1" x14ac:dyDescent="0.25">
      <c r="A1763" t="s">
        <v>55</v>
      </c>
    </row>
    <row r="1764" spans="1:1" x14ac:dyDescent="0.25">
      <c r="A1764" t="s">
        <v>55</v>
      </c>
    </row>
    <row r="1765" spans="1:1" x14ac:dyDescent="0.25">
      <c r="A1765" t="s">
        <v>55</v>
      </c>
    </row>
    <row r="1766" spans="1:1" x14ac:dyDescent="0.25">
      <c r="A1766" t="s">
        <v>55</v>
      </c>
    </row>
    <row r="1767" spans="1:1" x14ac:dyDescent="0.25">
      <c r="A1767" t="s">
        <v>55</v>
      </c>
    </row>
    <row r="1768" spans="1:1" x14ac:dyDescent="0.25">
      <c r="A1768" t="s">
        <v>55</v>
      </c>
    </row>
    <row r="1769" spans="1:1" x14ac:dyDescent="0.25">
      <c r="A1769" t="s">
        <v>55</v>
      </c>
    </row>
    <row r="1770" spans="1:1" x14ac:dyDescent="0.25">
      <c r="A1770" t="s">
        <v>55</v>
      </c>
    </row>
    <row r="1771" spans="1:1" x14ac:dyDescent="0.25">
      <c r="A1771" t="s">
        <v>55</v>
      </c>
    </row>
    <row r="1772" spans="1:1" x14ac:dyDescent="0.25">
      <c r="A1772" t="s">
        <v>55</v>
      </c>
    </row>
    <row r="1773" spans="1:1" x14ac:dyDescent="0.25">
      <c r="A1773" t="s">
        <v>55</v>
      </c>
    </row>
    <row r="1774" spans="1:1" x14ac:dyDescent="0.25">
      <c r="A1774" t="s">
        <v>55</v>
      </c>
    </row>
    <row r="1775" spans="1:1" x14ac:dyDescent="0.25">
      <c r="A1775" t="s">
        <v>55</v>
      </c>
    </row>
    <row r="1776" spans="1:1" x14ac:dyDescent="0.25">
      <c r="A1776" t="s">
        <v>55</v>
      </c>
    </row>
    <row r="1777" spans="1:1" x14ac:dyDescent="0.25">
      <c r="A1777" t="s">
        <v>55</v>
      </c>
    </row>
    <row r="1778" spans="1:1" x14ac:dyDescent="0.25">
      <c r="A1778" t="s">
        <v>55</v>
      </c>
    </row>
    <row r="1779" spans="1:1" x14ac:dyDescent="0.25">
      <c r="A1779" t="s">
        <v>55</v>
      </c>
    </row>
    <row r="1780" spans="1:1" x14ac:dyDescent="0.25">
      <c r="A1780" t="s">
        <v>55</v>
      </c>
    </row>
    <row r="1781" spans="1:1" x14ac:dyDescent="0.25">
      <c r="A1781" t="s">
        <v>55</v>
      </c>
    </row>
    <row r="1782" spans="1:1" x14ac:dyDescent="0.25">
      <c r="A1782" t="s">
        <v>55</v>
      </c>
    </row>
    <row r="1783" spans="1:1" x14ac:dyDescent="0.25">
      <c r="A1783" t="s">
        <v>55</v>
      </c>
    </row>
    <row r="1784" spans="1:1" x14ac:dyDescent="0.25">
      <c r="A1784" t="s">
        <v>55</v>
      </c>
    </row>
    <row r="1785" spans="1:1" x14ac:dyDescent="0.25">
      <c r="A1785" t="s">
        <v>55</v>
      </c>
    </row>
    <row r="1786" spans="1:1" x14ac:dyDescent="0.25">
      <c r="A1786" t="s">
        <v>55</v>
      </c>
    </row>
    <row r="1787" spans="1:1" x14ac:dyDescent="0.25">
      <c r="A1787" t="s">
        <v>55</v>
      </c>
    </row>
    <row r="1788" spans="1:1" x14ac:dyDescent="0.25">
      <c r="A1788" t="s">
        <v>55</v>
      </c>
    </row>
    <row r="1789" spans="1:1" x14ac:dyDescent="0.25">
      <c r="A1789" t="s">
        <v>55</v>
      </c>
    </row>
    <row r="1790" spans="1:1" x14ac:dyDescent="0.25">
      <c r="A1790" t="s">
        <v>55</v>
      </c>
    </row>
    <row r="1791" spans="1:1" x14ac:dyDescent="0.25">
      <c r="A1791" t="s">
        <v>55</v>
      </c>
    </row>
    <row r="1792" spans="1:1" x14ac:dyDescent="0.25">
      <c r="A1792" t="s">
        <v>55</v>
      </c>
    </row>
    <row r="1793" spans="1:1" x14ac:dyDescent="0.25">
      <c r="A1793" t="s">
        <v>55</v>
      </c>
    </row>
    <row r="1794" spans="1:1" x14ac:dyDescent="0.25">
      <c r="A1794" t="s">
        <v>55</v>
      </c>
    </row>
    <row r="1795" spans="1:1" x14ac:dyDescent="0.25">
      <c r="A1795" t="s">
        <v>55</v>
      </c>
    </row>
    <row r="1796" spans="1:1" x14ac:dyDescent="0.25">
      <c r="A1796" t="s">
        <v>55</v>
      </c>
    </row>
    <row r="1797" spans="1:1" x14ac:dyDescent="0.25">
      <c r="A1797" t="s">
        <v>55</v>
      </c>
    </row>
    <row r="1798" spans="1:1" x14ac:dyDescent="0.25">
      <c r="A1798" t="s">
        <v>55</v>
      </c>
    </row>
    <row r="1799" spans="1:1" x14ac:dyDescent="0.25">
      <c r="A1799" t="s">
        <v>55</v>
      </c>
    </row>
    <row r="1800" spans="1:1" x14ac:dyDescent="0.25">
      <c r="A1800" t="s">
        <v>55</v>
      </c>
    </row>
    <row r="1801" spans="1:1" x14ac:dyDescent="0.25">
      <c r="A1801" t="s">
        <v>55</v>
      </c>
    </row>
    <row r="1802" spans="1:1" x14ac:dyDescent="0.25">
      <c r="A1802" t="s">
        <v>55</v>
      </c>
    </row>
    <row r="1803" spans="1:1" x14ac:dyDescent="0.25">
      <c r="A1803" t="s">
        <v>55</v>
      </c>
    </row>
    <row r="1804" spans="1:1" x14ac:dyDescent="0.25">
      <c r="A1804" t="s">
        <v>55</v>
      </c>
    </row>
    <row r="1805" spans="1:1" x14ac:dyDescent="0.25">
      <c r="A1805" t="s">
        <v>55</v>
      </c>
    </row>
    <row r="1806" spans="1:1" x14ac:dyDescent="0.25">
      <c r="A1806" t="s">
        <v>55</v>
      </c>
    </row>
    <row r="1807" spans="1:1" x14ac:dyDescent="0.25">
      <c r="A1807" t="s">
        <v>55</v>
      </c>
    </row>
    <row r="1808" spans="1:1" x14ac:dyDescent="0.25">
      <c r="A1808" t="s">
        <v>55</v>
      </c>
    </row>
    <row r="1809" spans="1:1" x14ac:dyDescent="0.25">
      <c r="A1809" t="s">
        <v>55</v>
      </c>
    </row>
    <row r="1810" spans="1:1" x14ac:dyDescent="0.25">
      <c r="A1810" t="s">
        <v>55</v>
      </c>
    </row>
    <row r="1811" spans="1:1" x14ac:dyDescent="0.25">
      <c r="A1811" t="s">
        <v>55</v>
      </c>
    </row>
    <row r="1812" spans="1:1" x14ac:dyDescent="0.25">
      <c r="A1812" t="s">
        <v>55</v>
      </c>
    </row>
    <row r="1813" spans="1:1" x14ac:dyDescent="0.25">
      <c r="A1813" t="s">
        <v>55</v>
      </c>
    </row>
    <row r="1814" spans="1:1" x14ac:dyDescent="0.25">
      <c r="A1814" t="s">
        <v>55</v>
      </c>
    </row>
    <row r="1815" spans="1:1" x14ac:dyDescent="0.25">
      <c r="A1815" t="s">
        <v>55</v>
      </c>
    </row>
    <row r="1816" spans="1:1" x14ac:dyDescent="0.25">
      <c r="A1816" t="s">
        <v>55</v>
      </c>
    </row>
    <row r="1817" spans="1:1" x14ac:dyDescent="0.25">
      <c r="A1817" t="s">
        <v>55</v>
      </c>
    </row>
    <row r="1818" spans="1:1" x14ac:dyDescent="0.25">
      <c r="A1818" t="s">
        <v>55</v>
      </c>
    </row>
    <row r="1819" spans="1:1" x14ac:dyDescent="0.25">
      <c r="A1819" t="s">
        <v>55</v>
      </c>
    </row>
    <row r="1820" spans="1:1" x14ac:dyDescent="0.25">
      <c r="A1820" t="s">
        <v>55</v>
      </c>
    </row>
    <row r="1821" spans="1:1" x14ac:dyDescent="0.25">
      <c r="A1821" t="s">
        <v>55</v>
      </c>
    </row>
    <row r="1822" spans="1:1" x14ac:dyDescent="0.25">
      <c r="A1822" t="s">
        <v>55</v>
      </c>
    </row>
    <row r="1823" spans="1:1" x14ac:dyDescent="0.25">
      <c r="A1823" t="s">
        <v>55</v>
      </c>
    </row>
    <row r="1824" spans="1:1" x14ac:dyDescent="0.25">
      <c r="A1824" t="s">
        <v>55</v>
      </c>
    </row>
    <row r="1825" spans="1:1" x14ac:dyDescent="0.25">
      <c r="A1825" t="s">
        <v>55</v>
      </c>
    </row>
    <row r="1826" spans="1:1" x14ac:dyDescent="0.25">
      <c r="A1826" t="s">
        <v>55</v>
      </c>
    </row>
    <row r="1827" spans="1:1" x14ac:dyDescent="0.25">
      <c r="A1827" t="s">
        <v>55</v>
      </c>
    </row>
    <row r="1828" spans="1:1" x14ac:dyDescent="0.25">
      <c r="A1828" t="s">
        <v>55</v>
      </c>
    </row>
    <row r="1829" spans="1:1" x14ac:dyDescent="0.25">
      <c r="A1829" t="s">
        <v>55</v>
      </c>
    </row>
    <row r="1830" spans="1:1" x14ac:dyDescent="0.25">
      <c r="A1830" t="s">
        <v>55</v>
      </c>
    </row>
    <row r="1831" spans="1:1" x14ac:dyDescent="0.25">
      <c r="A1831" t="s">
        <v>55</v>
      </c>
    </row>
    <row r="1832" spans="1:1" x14ac:dyDescent="0.25">
      <c r="A1832" t="s">
        <v>55</v>
      </c>
    </row>
    <row r="1833" spans="1:1" x14ac:dyDescent="0.25">
      <c r="A1833" t="s">
        <v>55</v>
      </c>
    </row>
    <row r="1834" spans="1:1" x14ac:dyDescent="0.25">
      <c r="A1834" t="s">
        <v>55</v>
      </c>
    </row>
    <row r="1835" spans="1:1" x14ac:dyDescent="0.25">
      <c r="A1835" t="s">
        <v>55</v>
      </c>
    </row>
    <row r="1836" spans="1:1" x14ac:dyDescent="0.25">
      <c r="A1836" t="s">
        <v>55</v>
      </c>
    </row>
    <row r="1837" spans="1:1" x14ac:dyDescent="0.25">
      <c r="A1837" t="s">
        <v>55</v>
      </c>
    </row>
    <row r="1838" spans="1:1" x14ac:dyDescent="0.25">
      <c r="A1838" t="s">
        <v>55</v>
      </c>
    </row>
    <row r="1839" spans="1:1" x14ac:dyDescent="0.25">
      <c r="A1839" t="s">
        <v>55</v>
      </c>
    </row>
    <row r="1840" spans="1:1" x14ac:dyDescent="0.25">
      <c r="A1840" t="s">
        <v>55</v>
      </c>
    </row>
    <row r="1841" spans="1:1" x14ac:dyDescent="0.25">
      <c r="A1841" t="s">
        <v>55</v>
      </c>
    </row>
    <row r="1842" spans="1:1" x14ac:dyDescent="0.25">
      <c r="A1842" t="s">
        <v>55</v>
      </c>
    </row>
    <row r="1843" spans="1:1" x14ac:dyDescent="0.25">
      <c r="A1843" t="s">
        <v>55</v>
      </c>
    </row>
    <row r="1844" spans="1:1" x14ac:dyDescent="0.25">
      <c r="A1844" t="s">
        <v>55</v>
      </c>
    </row>
    <row r="1845" spans="1:1" x14ac:dyDescent="0.25">
      <c r="A1845" t="s">
        <v>55</v>
      </c>
    </row>
    <row r="1846" spans="1:1" x14ac:dyDescent="0.25">
      <c r="A1846" t="s">
        <v>55</v>
      </c>
    </row>
    <row r="1847" spans="1:1" x14ac:dyDescent="0.25">
      <c r="A1847" t="s">
        <v>55</v>
      </c>
    </row>
    <row r="1848" spans="1:1" x14ac:dyDescent="0.25">
      <c r="A1848" t="s">
        <v>55</v>
      </c>
    </row>
    <row r="1849" spans="1:1" x14ac:dyDescent="0.25">
      <c r="A1849" t="s">
        <v>55</v>
      </c>
    </row>
    <row r="1850" spans="1:1" x14ac:dyDescent="0.25">
      <c r="A1850" t="s">
        <v>55</v>
      </c>
    </row>
    <row r="1851" spans="1:1" x14ac:dyDescent="0.25">
      <c r="A1851" t="s">
        <v>55</v>
      </c>
    </row>
    <row r="1852" spans="1:1" x14ac:dyDescent="0.25">
      <c r="A1852" t="s">
        <v>55</v>
      </c>
    </row>
    <row r="1853" spans="1:1" x14ac:dyDescent="0.25">
      <c r="A1853" t="s">
        <v>55</v>
      </c>
    </row>
    <row r="1854" spans="1:1" x14ac:dyDescent="0.25">
      <c r="A1854" t="s">
        <v>55</v>
      </c>
    </row>
    <row r="1855" spans="1:1" x14ac:dyDescent="0.25">
      <c r="A1855" t="s">
        <v>55</v>
      </c>
    </row>
    <row r="1856" spans="1:1" x14ac:dyDescent="0.25">
      <c r="A1856" t="s">
        <v>55</v>
      </c>
    </row>
    <row r="1857" spans="1:1" x14ac:dyDescent="0.25">
      <c r="A1857" t="s">
        <v>55</v>
      </c>
    </row>
    <row r="1858" spans="1:1" x14ac:dyDescent="0.25">
      <c r="A1858" t="s">
        <v>55</v>
      </c>
    </row>
    <row r="1859" spans="1:1" x14ac:dyDescent="0.25">
      <c r="A1859" t="s">
        <v>55</v>
      </c>
    </row>
    <row r="1860" spans="1:1" x14ac:dyDescent="0.25">
      <c r="A1860" t="s">
        <v>55</v>
      </c>
    </row>
    <row r="1861" spans="1:1" x14ac:dyDescent="0.25">
      <c r="A1861" t="s">
        <v>55</v>
      </c>
    </row>
    <row r="1862" spans="1:1" x14ac:dyDescent="0.25">
      <c r="A1862" t="s">
        <v>55</v>
      </c>
    </row>
    <row r="1863" spans="1:1" x14ac:dyDescent="0.25">
      <c r="A1863" t="s">
        <v>55</v>
      </c>
    </row>
    <row r="1864" spans="1:1" x14ac:dyDescent="0.25">
      <c r="A1864" t="s">
        <v>55</v>
      </c>
    </row>
    <row r="1865" spans="1:1" x14ac:dyDescent="0.25">
      <c r="A1865" t="s">
        <v>55</v>
      </c>
    </row>
    <row r="1866" spans="1:1" x14ac:dyDescent="0.25">
      <c r="A1866" t="s">
        <v>55</v>
      </c>
    </row>
    <row r="1867" spans="1:1" x14ac:dyDescent="0.25">
      <c r="A1867" t="s">
        <v>55</v>
      </c>
    </row>
    <row r="1868" spans="1:1" x14ac:dyDescent="0.25">
      <c r="A1868" t="s">
        <v>55</v>
      </c>
    </row>
    <row r="1869" spans="1:1" x14ac:dyDescent="0.25">
      <c r="A1869" t="s">
        <v>55</v>
      </c>
    </row>
    <row r="1870" spans="1:1" x14ac:dyDescent="0.25">
      <c r="A1870" t="s">
        <v>55</v>
      </c>
    </row>
    <row r="1871" spans="1:1" x14ac:dyDescent="0.25">
      <c r="A1871" t="s">
        <v>55</v>
      </c>
    </row>
    <row r="1872" spans="1:1" x14ac:dyDescent="0.25">
      <c r="A1872" t="s">
        <v>55</v>
      </c>
    </row>
    <row r="1873" spans="1:1" x14ac:dyDescent="0.25">
      <c r="A1873" t="s">
        <v>55</v>
      </c>
    </row>
    <row r="1874" spans="1:1" x14ac:dyDescent="0.25">
      <c r="A1874" t="s">
        <v>55</v>
      </c>
    </row>
    <row r="1875" spans="1:1" x14ac:dyDescent="0.25">
      <c r="A1875" t="s">
        <v>55</v>
      </c>
    </row>
    <row r="1876" spans="1:1" x14ac:dyDescent="0.25">
      <c r="A1876" t="s">
        <v>55</v>
      </c>
    </row>
    <row r="1877" spans="1:1" x14ac:dyDescent="0.25">
      <c r="A1877" t="s">
        <v>55</v>
      </c>
    </row>
    <row r="1878" spans="1:1" x14ac:dyDescent="0.25">
      <c r="A1878" t="s">
        <v>55</v>
      </c>
    </row>
    <row r="1879" spans="1:1" x14ac:dyDescent="0.25">
      <c r="A1879" t="s">
        <v>55</v>
      </c>
    </row>
    <row r="1880" spans="1:1" x14ac:dyDescent="0.25">
      <c r="A1880" t="s">
        <v>55</v>
      </c>
    </row>
    <row r="1881" spans="1:1" x14ac:dyDescent="0.25">
      <c r="A1881" t="s">
        <v>55</v>
      </c>
    </row>
    <row r="1882" spans="1:1" x14ac:dyDescent="0.25">
      <c r="A1882" t="s">
        <v>55</v>
      </c>
    </row>
    <row r="1883" spans="1:1" x14ac:dyDescent="0.25">
      <c r="A1883" t="s">
        <v>55</v>
      </c>
    </row>
    <row r="1884" spans="1:1" x14ac:dyDescent="0.25">
      <c r="A1884" t="s">
        <v>55</v>
      </c>
    </row>
    <row r="1885" spans="1:1" x14ac:dyDescent="0.25">
      <c r="A1885" t="s">
        <v>55</v>
      </c>
    </row>
    <row r="1886" spans="1:1" x14ac:dyDescent="0.25">
      <c r="A1886" t="s">
        <v>55</v>
      </c>
    </row>
    <row r="1887" spans="1:1" x14ac:dyDescent="0.25">
      <c r="A1887" t="s">
        <v>55</v>
      </c>
    </row>
    <row r="1888" spans="1:1" x14ac:dyDescent="0.25">
      <c r="A1888" t="s">
        <v>55</v>
      </c>
    </row>
    <row r="1889" spans="1:1" x14ac:dyDescent="0.25">
      <c r="A1889" t="s">
        <v>55</v>
      </c>
    </row>
    <row r="1890" spans="1:1" x14ac:dyDescent="0.25">
      <c r="A1890" t="s">
        <v>55</v>
      </c>
    </row>
    <row r="1891" spans="1:1" x14ac:dyDescent="0.25">
      <c r="A1891" t="s">
        <v>55</v>
      </c>
    </row>
    <row r="1892" spans="1:1" x14ac:dyDescent="0.25">
      <c r="A1892" t="s">
        <v>55</v>
      </c>
    </row>
    <row r="1893" spans="1:1" x14ac:dyDescent="0.25">
      <c r="A1893" t="s">
        <v>55</v>
      </c>
    </row>
    <row r="1894" spans="1:1" x14ac:dyDescent="0.25">
      <c r="A1894" t="s">
        <v>55</v>
      </c>
    </row>
    <row r="1895" spans="1:1" x14ac:dyDescent="0.25">
      <c r="A1895" t="s">
        <v>55</v>
      </c>
    </row>
    <row r="1896" spans="1:1" x14ac:dyDescent="0.25">
      <c r="A1896" t="s">
        <v>55</v>
      </c>
    </row>
    <row r="1897" spans="1:1" x14ac:dyDescent="0.25">
      <c r="A1897" t="s">
        <v>55</v>
      </c>
    </row>
    <row r="1898" spans="1:1" x14ac:dyDescent="0.25">
      <c r="A1898" t="s">
        <v>55</v>
      </c>
    </row>
    <row r="1899" spans="1:1" x14ac:dyDescent="0.25">
      <c r="A1899" t="s">
        <v>55</v>
      </c>
    </row>
    <row r="1900" spans="1:1" x14ac:dyDescent="0.25">
      <c r="A1900" t="s">
        <v>55</v>
      </c>
    </row>
    <row r="1901" spans="1:1" x14ac:dyDescent="0.25">
      <c r="A1901" t="s">
        <v>55</v>
      </c>
    </row>
    <row r="1902" spans="1:1" x14ac:dyDescent="0.25">
      <c r="A1902" t="s">
        <v>55</v>
      </c>
    </row>
    <row r="1903" spans="1:1" x14ac:dyDescent="0.25">
      <c r="A1903" t="s">
        <v>55</v>
      </c>
    </row>
    <row r="1904" spans="1:1" x14ac:dyDescent="0.25">
      <c r="A1904" t="s">
        <v>55</v>
      </c>
    </row>
    <row r="1905" spans="1:1" x14ac:dyDescent="0.25">
      <c r="A1905" t="s">
        <v>55</v>
      </c>
    </row>
    <row r="1906" spans="1:1" x14ac:dyDescent="0.25">
      <c r="A1906" t="s">
        <v>55</v>
      </c>
    </row>
    <row r="1907" spans="1:1" x14ac:dyDescent="0.25">
      <c r="A1907" t="s">
        <v>55</v>
      </c>
    </row>
    <row r="1908" spans="1:1" x14ac:dyDescent="0.25">
      <c r="A1908" t="s">
        <v>55</v>
      </c>
    </row>
    <row r="1909" spans="1:1" x14ac:dyDescent="0.25">
      <c r="A1909" t="s">
        <v>55</v>
      </c>
    </row>
    <row r="1910" spans="1:1" x14ac:dyDescent="0.25">
      <c r="A1910" t="s">
        <v>55</v>
      </c>
    </row>
    <row r="1911" spans="1:1" x14ac:dyDescent="0.25">
      <c r="A1911" t="s">
        <v>55</v>
      </c>
    </row>
    <row r="1912" spans="1:1" x14ac:dyDescent="0.25">
      <c r="A1912" t="s">
        <v>55</v>
      </c>
    </row>
    <row r="1913" spans="1:1" x14ac:dyDescent="0.25">
      <c r="A1913" t="s">
        <v>55</v>
      </c>
    </row>
    <row r="1914" spans="1:1" x14ac:dyDescent="0.25">
      <c r="A1914" t="s">
        <v>55</v>
      </c>
    </row>
    <row r="1915" spans="1:1" x14ac:dyDescent="0.25">
      <c r="A1915" t="s">
        <v>55</v>
      </c>
    </row>
    <row r="1916" spans="1:1" x14ac:dyDescent="0.25">
      <c r="A1916" t="s">
        <v>55</v>
      </c>
    </row>
    <row r="1917" spans="1:1" x14ac:dyDescent="0.25">
      <c r="A1917" t="s">
        <v>55</v>
      </c>
    </row>
    <row r="1918" spans="1:1" x14ac:dyDescent="0.25">
      <c r="A1918" t="s">
        <v>55</v>
      </c>
    </row>
    <row r="1919" spans="1:1" x14ac:dyDescent="0.25">
      <c r="A1919" t="s">
        <v>55</v>
      </c>
    </row>
    <row r="1920" spans="1:1" x14ac:dyDescent="0.25">
      <c r="A1920" t="s">
        <v>55</v>
      </c>
    </row>
    <row r="1921" spans="1:1" x14ac:dyDescent="0.25">
      <c r="A1921" t="s">
        <v>55</v>
      </c>
    </row>
    <row r="1922" spans="1:1" x14ac:dyDescent="0.25">
      <c r="A1922" t="s">
        <v>55</v>
      </c>
    </row>
    <row r="1923" spans="1:1" x14ac:dyDescent="0.25">
      <c r="A1923" t="s">
        <v>55</v>
      </c>
    </row>
    <row r="1924" spans="1:1" x14ac:dyDescent="0.25">
      <c r="A1924" t="s">
        <v>55</v>
      </c>
    </row>
    <row r="1925" spans="1:1" x14ac:dyDescent="0.25">
      <c r="A1925" t="s">
        <v>55</v>
      </c>
    </row>
    <row r="1926" spans="1:1" x14ac:dyDescent="0.25">
      <c r="A1926" t="s">
        <v>55</v>
      </c>
    </row>
    <row r="1927" spans="1:1" x14ac:dyDescent="0.25">
      <c r="A1927" t="s">
        <v>55</v>
      </c>
    </row>
    <row r="1928" spans="1:1" x14ac:dyDescent="0.25">
      <c r="A1928" t="s">
        <v>55</v>
      </c>
    </row>
    <row r="1929" spans="1:1" x14ac:dyDescent="0.25">
      <c r="A1929" t="s">
        <v>55</v>
      </c>
    </row>
    <row r="1930" spans="1:1" x14ac:dyDescent="0.25">
      <c r="A1930" t="s">
        <v>55</v>
      </c>
    </row>
    <row r="1931" spans="1:1" x14ac:dyDescent="0.25">
      <c r="A1931" t="s">
        <v>55</v>
      </c>
    </row>
    <row r="1932" spans="1:1" x14ac:dyDescent="0.25">
      <c r="A1932" t="s">
        <v>55</v>
      </c>
    </row>
    <row r="1933" spans="1:1" x14ac:dyDescent="0.25">
      <c r="A1933" t="s">
        <v>55</v>
      </c>
    </row>
    <row r="1934" spans="1:1" x14ac:dyDescent="0.25">
      <c r="A1934" t="s">
        <v>55</v>
      </c>
    </row>
    <row r="1935" spans="1:1" x14ac:dyDescent="0.25">
      <c r="A1935" t="s">
        <v>55</v>
      </c>
    </row>
    <row r="1936" spans="1:1" x14ac:dyDescent="0.25">
      <c r="A1936" t="s">
        <v>55</v>
      </c>
    </row>
    <row r="1937" spans="1:1" x14ac:dyDescent="0.25">
      <c r="A1937" t="s">
        <v>55</v>
      </c>
    </row>
    <row r="1938" spans="1:1" x14ac:dyDescent="0.25">
      <c r="A1938" t="s">
        <v>55</v>
      </c>
    </row>
    <row r="1939" spans="1:1" x14ac:dyDescent="0.25">
      <c r="A1939" t="s">
        <v>55</v>
      </c>
    </row>
    <row r="1940" spans="1:1" x14ac:dyDescent="0.25">
      <c r="A1940" t="s">
        <v>55</v>
      </c>
    </row>
    <row r="1941" spans="1:1" x14ac:dyDescent="0.25">
      <c r="A1941" t="s">
        <v>55</v>
      </c>
    </row>
    <row r="1942" spans="1:1" x14ac:dyDescent="0.25">
      <c r="A1942" t="s">
        <v>55</v>
      </c>
    </row>
    <row r="1943" spans="1:1" x14ac:dyDescent="0.25">
      <c r="A1943" t="s">
        <v>55</v>
      </c>
    </row>
    <row r="1944" spans="1:1" x14ac:dyDescent="0.25">
      <c r="A1944" t="s">
        <v>55</v>
      </c>
    </row>
    <row r="1945" spans="1:1" x14ac:dyDescent="0.25">
      <c r="A1945" t="s">
        <v>55</v>
      </c>
    </row>
    <row r="1946" spans="1:1" x14ac:dyDescent="0.25">
      <c r="A1946" t="s">
        <v>55</v>
      </c>
    </row>
    <row r="1947" spans="1:1" x14ac:dyDescent="0.25">
      <c r="A1947" t="s">
        <v>55</v>
      </c>
    </row>
    <row r="1948" spans="1:1" x14ac:dyDescent="0.25">
      <c r="A1948" t="s">
        <v>55</v>
      </c>
    </row>
    <row r="1949" spans="1:1" x14ac:dyDescent="0.25">
      <c r="A1949" t="s">
        <v>55</v>
      </c>
    </row>
    <row r="1950" spans="1:1" x14ac:dyDescent="0.25">
      <c r="A1950" t="s">
        <v>55</v>
      </c>
    </row>
    <row r="1951" spans="1:1" x14ac:dyDescent="0.25">
      <c r="A1951" t="s">
        <v>55</v>
      </c>
    </row>
    <row r="1952" spans="1:1" x14ac:dyDescent="0.25">
      <c r="A1952" t="s">
        <v>55</v>
      </c>
    </row>
    <row r="1953" spans="1:1" x14ac:dyDescent="0.25">
      <c r="A1953" t="s">
        <v>55</v>
      </c>
    </row>
    <row r="1954" spans="1:1" x14ac:dyDescent="0.25">
      <c r="A1954" t="s">
        <v>55</v>
      </c>
    </row>
    <row r="1955" spans="1:1" x14ac:dyDescent="0.25">
      <c r="A1955" t="s">
        <v>55</v>
      </c>
    </row>
    <row r="1956" spans="1:1" x14ac:dyDescent="0.25">
      <c r="A1956" t="s">
        <v>55</v>
      </c>
    </row>
    <row r="1957" spans="1:1" x14ac:dyDescent="0.25">
      <c r="A1957" t="s">
        <v>55</v>
      </c>
    </row>
    <row r="1958" spans="1:1" x14ac:dyDescent="0.25">
      <c r="A1958" t="s">
        <v>55</v>
      </c>
    </row>
    <row r="1959" spans="1:1" x14ac:dyDescent="0.25">
      <c r="A1959" t="s">
        <v>55</v>
      </c>
    </row>
    <row r="1960" spans="1:1" x14ac:dyDescent="0.25">
      <c r="A1960" t="s">
        <v>55</v>
      </c>
    </row>
    <row r="1961" spans="1:1" x14ac:dyDescent="0.25">
      <c r="A1961" t="s">
        <v>55</v>
      </c>
    </row>
    <row r="1962" spans="1:1" x14ac:dyDescent="0.25">
      <c r="A1962" t="s">
        <v>55</v>
      </c>
    </row>
    <row r="1963" spans="1:1" x14ac:dyDescent="0.25">
      <c r="A1963" t="s">
        <v>55</v>
      </c>
    </row>
    <row r="1964" spans="1:1" x14ac:dyDescent="0.25">
      <c r="A1964" t="s">
        <v>55</v>
      </c>
    </row>
    <row r="1965" spans="1:1" x14ac:dyDescent="0.25">
      <c r="A1965" t="s">
        <v>55</v>
      </c>
    </row>
    <row r="1966" spans="1:1" x14ac:dyDescent="0.25">
      <c r="A1966" t="s">
        <v>55</v>
      </c>
    </row>
    <row r="1967" spans="1:1" x14ac:dyDescent="0.25">
      <c r="A1967" t="s">
        <v>55</v>
      </c>
    </row>
    <row r="1968" spans="1:1" x14ac:dyDescent="0.25">
      <c r="A1968" t="s">
        <v>55</v>
      </c>
    </row>
    <row r="1969" spans="1:1" x14ac:dyDescent="0.25">
      <c r="A1969" t="s">
        <v>55</v>
      </c>
    </row>
    <row r="1970" spans="1:1" x14ac:dyDescent="0.25">
      <c r="A1970" t="s">
        <v>55</v>
      </c>
    </row>
    <row r="1971" spans="1:1" x14ac:dyDescent="0.25">
      <c r="A1971" t="s">
        <v>55</v>
      </c>
    </row>
    <row r="1972" spans="1:1" x14ac:dyDescent="0.25">
      <c r="A1972" t="s">
        <v>55</v>
      </c>
    </row>
    <row r="1973" spans="1:1" x14ac:dyDescent="0.25">
      <c r="A1973" t="s">
        <v>55</v>
      </c>
    </row>
    <row r="1974" spans="1:1" x14ac:dyDescent="0.25">
      <c r="A1974" t="s">
        <v>55</v>
      </c>
    </row>
    <row r="1975" spans="1:1" x14ac:dyDescent="0.25">
      <c r="A1975" t="s">
        <v>20</v>
      </c>
    </row>
    <row r="1976" spans="1:1" x14ac:dyDescent="0.25">
      <c r="A1976" t="s">
        <v>113</v>
      </c>
    </row>
    <row r="1977" spans="1:1" x14ac:dyDescent="0.25">
      <c r="A1977" t="s">
        <v>113</v>
      </c>
    </row>
    <row r="1978" spans="1:1" x14ac:dyDescent="0.25">
      <c r="A1978" t="s">
        <v>113</v>
      </c>
    </row>
    <row r="1979" spans="1:1" x14ac:dyDescent="0.25">
      <c r="A1979" t="s">
        <v>113</v>
      </c>
    </row>
    <row r="1980" spans="1:1" x14ac:dyDescent="0.25">
      <c r="A1980" t="s">
        <v>113</v>
      </c>
    </row>
    <row r="1981" spans="1:1" x14ac:dyDescent="0.25">
      <c r="A1981" t="s">
        <v>113</v>
      </c>
    </row>
    <row r="1982" spans="1:1" x14ac:dyDescent="0.25">
      <c r="A1982" t="s">
        <v>113</v>
      </c>
    </row>
    <row r="1983" spans="1:1" x14ac:dyDescent="0.25">
      <c r="A1983" t="s">
        <v>113</v>
      </c>
    </row>
    <row r="1984" spans="1:1" x14ac:dyDescent="0.25">
      <c r="A1984" t="s">
        <v>113</v>
      </c>
    </row>
    <row r="1985" spans="1:1" x14ac:dyDescent="0.25">
      <c r="A1985" t="s">
        <v>113</v>
      </c>
    </row>
    <row r="1986" spans="1:1" x14ac:dyDescent="0.25">
      <c r="A1986" t="s">
        <v>113</v>
      </c>
    </row>
    <row r="1987" spans="1:1" x14ac:dyDescent="0.25">
      <c r="A1987" t="s">
        <v>113</v>
      </c>
    </row>
    <row r="1988" spans="1:1" x14ac:dyDescent="0.25">
      <c r="A1988" t="s">
        <v>113</v>
      </c>
    </row>
    <row r="1989" spans="1:1" x14ac:dyDescent="0.25">
      <c r="A1989" t="s">
        <v>113</v>
      </c>
    </row>
    <row r="1990" spans="1:1" x14ac:dyDescent="0.25">
      <c r="A1990" t="s">
        <v>113</v>
      </c>
    </row>
    <row r="1991" spans="1:1" x14ac:dyDescent="0.25">
      <c r="A1991" t="s">
        <v>113</v>
      </c>
    </row>
    <row r="1992" spans="1:1" x14ac:dyDescent="0.25">
      <c r="A1992" t="s">
        <v>113</v>
      </c>
    </row>
    <row r="1993" spans="1:1" x14ac:dyDescent="0.25">
      <c r="A1993" t="s">
        <v>113</v>
      </c>
    </row>
    <row r="1994" spans="1:1" x14ac:dyDescent="0.25">
      <c r="A1994" t="s">
        <v>113</v>
      </c>
    </row>
    <row r="1995" spans="1:1" x14ac:dyDescent="0.25">
      <c r="A1995" t="s">
        <v>113</v>
      </c>
    </row>
    <row r="1996" spans="1:1" x14ac:dyDescent="0.25">
      <c r="A1996" t="s">
        <v>113</v>
      </c>
    </row>
    <row r="1997" spans="1:1" x14ac:dyDescent="0.25">
      <c r="A1997" t="s">
        <v>113</v>
      </c>
    </row>
    <row r="1998" spans="1:1" x14ac:dyDescent="0.25">
      <c r="A1998" t="s">
        <v>113</v>
      </c>
    </row>
    <row r="1999" spans="1:1" x14ac:dyDescent="0.25">
      <c r="A1999" t="s">
        <v>113</v>
      </c>
    </row>
    <row r="2000" spans="1:1" x14ac:dyDescent="0.25">
      <c r="A2000" t="s">
        <v>113</v>
      </c>
    </row>
    <row r="2001" spans="1:1" x14ac:dyDescent="0.25">
      <c r="A2001" t="s">
        <v>113</v>
      </c>
    </row>
    <row r="2002" spans="1:1" x14ac:dyDescent="0.25">
      <c r="A2002" t="s">
        <v>113</v>
      </c>
    </row>
    <row r="2003" spans="1:1" x14ac:dyDescent="0.25">
      <c r="A2003" t="s">
        <v>113</v>
      </c>
    </row>
    <row r="2004" spans="1:1" x14ac:dyDescent="0.25">
      <c r="A2004" t="s">
        <v>113</v>
      </c>
    </row>
    <row r="2005" spans="1:1" x14ac:dyDescent="0.25">
      <c r="A2005" t="s">
        <v>113</v>
      </c>
    </row>
    <row r="2006" spans="1:1" x14ac:dyDescent="0.25">
      <c r="A2006" t="s">
        <v>113</v>
      </c>
    </row>
    <row r="2007" spans="1:1" x14ac:dyDescent="0.25">
      <c r="A2007" t="s">
        <v>113</v>
      </c>
    </row>
    <row r="2008" spans="1:1" x14ac:dyDescent="0.25">
      <c r="A2008" t="s">
        <v>113</v>
      </c>
    </row>
    <row r="2009" spans="1:1" x14ac:dyDescent="0.25">
      <c r="A2009" t="s">
        <v>113</v>
      </c>
    </row>
    <row r="2010" spans="1:1" x14ac:dyDescent="0.25">
      <c r="A2010" t="s">
        <v>113</v>
      </c>
    </row>
    <row r="2011" spans="1:1" x14ac:dyDescent="0.25">
      <c r="A2011" t="s">
        <v>113</v>
      </c>
    </row>
    <row r="2012" spans="1:1" x14ac:dyDescent="0.25">
      <c r="A2012" t="s">
        <v>113</v>
      </c>
    </row>
    <row r="2013" spans="1:1" x14ac:dyDescent="0.25">
      <c r="A2013" t="s">
        <v>113</v>
      </c>
    </row>
    <row r="2014" spans="1:1" x14ac:dyDescent="0.25">
      <c r="A2014" t="s">
        <v>113</v>
      </c>
    </row>
    <row r="2015" spans="1:1" x14ac:dyDescent="0.25">
      <c r="A2015" t="s">
        <v>113</v>
      </c>
    </row>
    <row r="2016" spans="1:1" x14ac:dyDescent="0.25">
      <c r="A2016" t="s">
        <v>113</v>
      </c>
    </row>
    <row r="2017" spans="1:1" x14ac:dyDescent="0.25">
      <c r="A2017" t="s">
        <v>113</v>
      </c>
    </row>
    <row r="2018" spans="1:1" x14ac:dyDescent="0.25">
      <c r="A2018" t="s">
        <v>113</v>
      </c>
    </row>
    <row r="2019" spans="1:1" x14ac:dyDescent="0.25">
      <c r="A2019" t="s">
        <v>113</v>
      </c>
    </row>
    <row r="2020" spans="1:1" x14ac:dyDescent="0.25">
      <c r="A2020" t="s">
        <v>113</v>
      </c>
    </row>
    <row r="2021" spans="1:1" x14ac:dyDescent="0.25">
      <c r="A2021" t="s">
        <v>113</v>
      </c>
    </row>
    <row r="2022" spans="1:1" x14ac:dyDescent="0.25">
      <c r="A2022" t="s">
        <v>113</v>
      </c>
    </row>
    <row r="2023" spans="1:1" x14ac:dyDescent="0.25">
      <c r="A2023" t="s">
        <v>113</v>
      </c>
    </row>
    <row r="2024" spans="1:1" x14ac:dyDescent="0.25">
      <c r="A2024" t="s">
        <v>113</v>
      </c>
    </row>
    <row r="2025" spans="1:1" x14ac:dyDescent="0.25">
      <c r="A2025" t="s">
        <v>113</v>
      </c>
    </row>
    <row r="2026" spans="1:1" x14ac:dyDescent="0.25">
      <c r="A2026" t="s">
        <v>113</v>
      </c>
    </row>
    <row r="2027" spans="1:1" x14ac:dyDescent="0.25">
      <c r="A2027" t="s">
        <v>113</v>
      </c>
    </row>
    <row r="2028" spans="1:1" x14ac:dyDescent="0.25">
      <c r="A2028" t="s">
        <v>113</v>
      </c>
    </row>
    <row r="2029" spans="1:1" x14ac:dyDescent="0.25">
      <c r="A2029" t="s">
        <v>113</v>
      </c>
    </row>
    <row r="2030" spans="1:1" x14ac:dyDescent="0.25">
      <c r="A2030" t="s">
        <v>113</v>
      </c>
    </row>
    <row r="2031" spans="1:1" x14ac:dyDescent="0.25">
      <c r="A2031" t="s">
        <v>113</v>
      </c>
    </row>
    <row r="2032" spans="1:1" x14ac:dyDescent="0.25">
      <c r="A2032" t="s">
        <v>113</v>
      </c>
    </row>
    <row r="2033" spans="1:1" x14ac:dyDescent="0.25">
      <c r="A2033" t="s">
        <v>113</v>
      </c>
    </row>
    <row r="2034" spans="1:1" x14ac:dyDescent="0.25">
      <c r="A2034" t="s">
        <v>113</v>
      </c>
    </row>
    <row r="2035" spans="1:1" x14ac:dyDescent="0.25">
      <c r="A2035" t="s">
        <v>113</v>
      </c>
    </row>
    <row r="2036" spans="1:1" x14ac:dyDescent="0.25">
      <c r="A2036" t="s">
        <v>113</v>
      </c>
    </row>
    <row r="2037" spans="1:1" x14ac:dyDescent="0.25">
      <c r="A2037" t="s">
        <v>113</v>
      </c>
    </row>
    <row r="2038" spans="1:1" x14ac:dyDescent="0.25">
      <c r="A2038" t="s">
        <v>113</v>
      </c>
    </row>
    <row r="2039" spans="1:1" x14ac:dyDescent="0.25">
      <c r="A2039" t="s">
        <v>113</v>
      </c>
    </row>
    <row r="2040" spans="1:1" x14ac:dyDescent="0.25">
      <c r="A2040" t="s">
        <v>113</v>
      </c>
    </row>
    <row r="2041" spans="1:1" x14ac:dyDescent="0.25">
      <c r="A2041" t="s">
        <v>113</v>
      </c>
    </row>
    <row r="2042" spans="1:1" x14ac:dyDescent="0.25">
      <c r="A2042" t="s">
        <v>113</v>
      </c>
    </row>
    <row r="2043" spans="1:1" x14ac:dyDescent="0.25">
      <c r="A2043" t="s">
        <v>113</v>
      </c>
    </row>
    <row r="2044" spans="1:1" x14ac:dyDescent="0.25">
      <c r="A2044" t="s">
        <v>113</v>
      </c>
    </row>
    <row r="2045" spans="1:1" x14ac:dyDescent="0.25">
      <c r="A2045" t="s">
        <v>113</v>
      </c>
    </row>
    <row r="2046" spans="1:1" x14ac:dyDescent="0.25">
      <c r="A2046" t="s">
        <v>113</v>
      </c>
    </row>
    <row r="2047" spans="1:1" x14ac:dyDescent="0.25">
      <c r="A2047" t="s">
        <v>113</v>
      </c>
    </row>
    <row r="2048" spans="1:1" x14ac:dyDescent="0.25">
      <c r="A2048" t="s">
        <v>113</v>
      </c>
    </row>
    <row r="2049" spans="1:1" x14ac:dyDescent="0.25">
      <c r="A2049" t="s">
        <v>113</v>
      </c>
    </row>
    <row r="2050" spans="1:1" x14ac:dyDescent="0.25">
      <c r="A2050" t="s">
        <v>113</v>
      </c>
    </row>
    <row r="2051" spans="1:1" x14ac:dyDescent="0.25">
      <c r="A2051" t="s">
        <v>113</v>
      </c>
    </row>
    <row r="2052" spans="1:1" x14ac:dyDescent="0.25">
      <c r="A2052" t="s">
        <v>113</v>
      </c>
    </row>
    <row r="2053" spans="1:1" x14ac:dyDescent="0.25">
      <c r="A2053" t="s">
        <v>113</v>
      </c>
    </row>
    <row r="2054" spans="1:1" x14ac:dyDescent="0.25">
      <c r="A2054" t="s">
        <v>113</v>
      </c>
    </row>
    <row r="2055" spans="1:1" x14ac:dyDescent="0.25">
      <c r="A2055" t="s">
        <v>113</v>
      </c>
    </row>
    <row r="2056" spans="1:1" x14ac:dyDescent="0.25">
      <c r="A2056" t="s">
        <v>113</v>
      </c>
    </row>
    <row r="2057" spans="1:1" x14ac:dyDescent="0.25">
      <c r="A2057" t="s">
        <v>113</v>
      </c>
    </row>
    <row r="2058" spans="1:1" x14ac:dyDescent="0.25">
      <c r="A2058" t="s">
        <v>113</v>
      </c>
    </row>
    <row r="2059" spans="1:1" x14ac:dyDescent="0.25">
      <c r="A2059" t="s">
        <v>113</v>
      </c>
    </row>
    <row r="2060" spans="1:1" x14ac:dyDescent="0.25">
      <c r="A2060" t="s">
        <v>113</v>
      </c>
    </row>
    <row r="2061" spans="1:1" x14ac:dyDescent="0.25">
      <c r="A2061" t="s">
        <v>113</v>
      </c>
    </row>
    <row r="2062" spans="1:1" x14ac:dyDescent="0.25">
      <c r="A2062" t="s">
        <v>113</v>
      </c>
    </row>
    <row r="2063" spans="1:1" x14ac:dyDescent="0.25">
      <c r="A2063" t="s">
        <v>113</v>
      </c>
    </row>
    <row r="2064" spans="1:1" x14ac:dyDescent="0.25">
      <c r="A2064" t="s">
        <v>113</v>
      </c>
    </row>
    <row r="2065" spans="1:1" x14ac:dyDescent="0.25">
      <c r="A2065" t="s">
        <v>113</v>
      </c>
    </row>
    <row r="2066" spans="1:1" x14ac:dyDescent="0.25">
      <c r="A2066" t="s">
        <v>113</v>
      </c>
    </row>
    <row r="2067" spans="1:1" x14ac:dyDescent="0.25">
      <c r="A2067" t="s">
        <v>113</v>
      </c>
    </row>
    <row r="2068" spans="1:1" x14ac:dyDescent="0.25">
      <c r="A2068" t="s">
        <v>113</v>
      </c>
    </row>
    <row r="2069" spans="1:1" x14ac:dyDescent="0.25">
      <c r="A2069" t="s">
        <v>113</v>
      </c>
    </row>
    <row r="2070" spans="1:1" x14ac:dyDescent="0.25">
      <c r="A2070" t="s">
        <v>113</v>
      </c>
    </row>
    <row r="2071" spans="1:1" x14ac:dyDescent="0.25">
      <c r="A2071" t="s">
        <v>113</v>
      </c>
    </row>
    <row r="2072" spans="1:1" x14ac:dyDescent="0.25">
      <c r="A2072" t="s">
        <v>113</v>
      </c>
    </row>
    <row r="2073" spans="1:1" x14ac:dyDescent="0.25">
      <c r="A2073" t="s">
        <v>113</v>
      </c>
    </row>
    <row r="2074" spans="1:1" x14ac:dyDescent="0.25">
      <c r="A2074" t="s">
        <v>113</v>
      </c>
    </row>
    <row r="2075" spans="1:1" x14ac:dyDescent="0.25">
      <c r="A2075" t="s">
        <v>113</v>
      </c>
    </row>
    <row r="2076" spans="1:1" x14ac:dyDescent="0.25">
      <c r="A2076" t="s">
        <v>113</v>
      </c>
    </row>
    <row r="2077" spans="1:1" x14ac:dyDescent="0.25">
      <c r="A2077" t="s">
        <v>113</v>
      </c>
    </row>
    <row r="2078" spans="1:1" x14ac:dyDescent="0.25">
      <c r="A2078" t="s">
        <v>113</v>
      </c>
    </row>
    <row r="2079" spans="1:1" x14ac:dyDescent="0.25">
      <c r="A2079" t="s">
        <v>113</v>
      </c>
    </row>
    <row r="2080" spans="1:1" x14ac:dyDescent="0.25">
      <c r="A2080" t="s">
        <v>113</v>
      </c>
    </row>
    <row r="2081" spans="1:1" x14ac:dyDescent="0.25">
      <c r="A2081" t="s">
        <v>113</v>
      </c>
    </row>
    <row r="2082" spans="1:1" x14ac:dyDescent="0.25">
      <c r="A2082" t="s">
        <v>113</v>
      </c>
    </row>
    <row r="2083" spans="1:1" x14ac:dyDescent="0.25">
      <c r="A2083" t="s">
        <v>113</v>
      </c>
    </row>
    <row r="2084" spans="1:1" x14ac:dyDescent="0.25">
      <c r="A2084" t="s">
        <v>113</v>
      </c>
    </row>
    <row r="2085" spans="1:1" x14ac:dyDescent="0.25">
      <c r="A2085" t="s">
        <v>113</v>
      </c>
    </row>
    <row r="2086" spans="1:1" x14ac:dyDescent="0.25">
      <c r="A2086" t="s">
        <v>113</v>
      </c>
    </row>
    <row r="2087" spans="1:1" x14ac:dyDescent="0.25">
      <c r="A2087" t="s">
        <v>113</v>
      </c>
    </row>
    <row r="2088" spans="1:1" x14ac:dyDescent="0.25">
      <c r="A2088" t="s">
        <v>113</v>
      </c>
    </row>
    <row r="2089" spans="1:1" x14ac:dyDescent="0.25">
      <c r="A2089" t="s">
        <v>113</v>
      </c>
    </row>
    <row r="2090" spans="1:1" x14ac:dyDescent="0.25">
      <c r="A2090" t="s">
        <v>113</v>
      </c>
    </row>
    <row r="2091" spans="1:1" x14ac:dyDescent="0.25">
      <c r="A2091" t="s">
        <v>113</v>
      </c>
    </row>
    <row r="2092" spans="1:1" x14ac:dyDescent="0.25">
      <c r="A2092" t="s">
        <v>113</v>
      </c>
    </row>
    <row r="2093" spans="1:1" x14ac:dyDescent="0.25">
      <c r="A2093" t="s">
        <v>113</v>
      </c>
    </row>
    <row r="2094" spans="1:1" x14ac:dyDescent="0.25">
      <c r="A2094" t="s">
        <v>113</v>
      </c>
    </row>
    <row r="2095" spans="1:1" x14ac:dyDescent="0.25">
      <c r="A2095" t="s">
        <v>113</v>
      </c>
    </row>
    <row r="2096" spans="1:1" x14ac:dyDescent="0.25">
      <c r="A2096" t="s">
        <v>113</v>
      </c>
    </row>
    <row r="2097" spans="1:1" x14ac:dyDescent="0.25">
      <c r="A2097" t="s">
        <v>113</v>
      </c>
    </row>
    <row r="2098" spans="1:1" x14ac:dyDescent="0.25">
      <c r="A2098" t="s">
        <v>113</v>
      </c>
    </row>
    <row r="2099" spans="1:1" x14ac:dyDescent="0.25">
      <c r="A2099" t="s">
        <v>113</v>
      </c>
    </row>
    <row r="2100" spans="1:1" x14ac:dyDescent="0.25">
      <c r="A2100" t="s">
        <v>113</v>
      </c>
    </row>
    <row r="2101" spans="1:1" x14ac:dyDescent="0.25">
      <c r="A2101" t="s">
        <v>113</v>
      </c>
    </row>
    <row r="2102" spans="1:1" x14ac:dyDescent="0.25">
      <c r="A2102" t="s">
        <v>113</v>
      </c>
    </row>
    <row r="2103" spans="1:1" x14ac:dyDescent="0.25">
      <c r="A2103" t="s">
        <v>113</v>
      </c>
    </row>
    <row r="2104" spans="1:1" x14ac:dyDescent="0.25">
      <c r="A2104" t="s">
        <v>113</v>
      </c>
    </row>
    <row r="2105" spans="1:1" x14ac:dyDescent="0.25">
      <c r="A2105" t="s">
        <v>113</v>
      </c>
    </row>
    <row r="2106" spans="1:1" x14ac:dyDescent="0.25">
      <c r="A2106" t="s">
        <v>113</v>
      </c>
    </row>
    <row r="2107" spans="1:1" x14ac:dyDescent="0.25">
      <c r="A2107" t="s">
        <v>113</v>
      </c>
    </row>
    <row r="2108" spans="1:1" x14ac:dyDescent="0.25">
      <c r="A2108" t="s">
        <v>113</v>
      </c>
    </row>
    <row r="2109" spans="1:1" x14ac:dyDescent="0.25">
      <c r="A2109" t="s">
        <v>113</v>
      </c>
    </row>
    <row r="2110" spans="1:1" x14ac:dyDescent="0.25">
      <c r="A2110" t="s">
        <v>113</v>
      </c>
    </row>
    <row r="2111" spans="1:1" x14ac:dyDescent="0.25">
      <c r="A2111" t="s">
        <v>113</v>
      </c>
    </row>
    <row r="2112" spans="1:1" x14ac:dyDescent="0.25">
      <c r="A2112" t="s">
        <v>113</v>
      </c>
    </row>
    <row r="2113" spans="1:1" x14ac:dyDescent="0.25">
      <c r="A2113" t="s">
        <v>113</v>
      </c>
    </row>
    <row r="2114" spans="1:1" x14ac:dyDescent="0.25">
      <c r="A2114" t="s">
        <v>113</v>
      </c>
    </row>
    <row r="2115" spans="1:1" x14ac:dyDescent="0.25">
      <c r="A2115" t="s">
        <v>113</v>
      </c>
    </row>
    <row r="2116" spans="1:1" x14ac:dyDescent="0.25">
      <c r="A2116" t="s">
        <v>113</v>
      </c>
    </row>
    <row r="2117" spans="1:1" x14ac:dyDescent="0.25">
      <c r="A2117" t="s">
        <v>113</v>
      </c>
    </row>
    <row r="2118" spans="1:1" x14ac:dyDescent="0.25">
      <c r="A2118" t="s">
        <v>113</v>
      </c>
    </row>
    <row r="2119" spans="1:1" x14ac:dyDescent="0.25">
      <c r="A2119" t="s">
        <v>113</v>
      </c>
    </row>
    <row r="2120" spans="1:1" x14ac:dyDescent="0.25">
      <c r="A2120" t="s">
        <v>113</v>
      </c>
    </row>
    <row r="2121" spans="1:1" x14ac:dyDescent="0.25">
      <c r="A2121" t="s">
        <v>113</v>
      </c>
    </row>
    <row r="2122" spans="1:1" x14ac:dyDescent="0.25">
      <c r="A2122" t="s">
        <v>113</v>
      </c>
    </row>
    <row r="2123" spans="1:1" x14ac:dyDescent="0.25">
      <c r="A2123" t="s">
        <v>113</v>
      </c>
    </row>
    <row r="2124" spans="1:1" x14ac:dyDescent="0.25">
      <c r="A2124" t="s">
        <v>113</v>
      </c>
    </row>
    <row r="2125" spans="1:1" x14ac:dyDescent="0.25">
      <c r="A2125" t="s">
        <v>113</v>
      </c>
    </row>
    <row r="2126" spans="1:1" x14ac:dyDescent="0.25">
      <c r="A2126" t="s">
        <v>113</v>
      </c>
    </row>
    <row r="2127" spans="1:1" x14ac:dyDescent="0.25">
      <c r="A2127" t="s">
        <v>113</v>
      </c>
    </row>
    <row r="2128" spans="1:1" x14ac:dyDescent="0.25">
      <c r="A2128" t="s">
        <v>113</v>
      </c>
    </row>
    <row r="2129" spans="1:1" x14ac:dyDescent="0.25">
      <c r="A2129" t="s">
        <v>113</v>
      </c>
    </row>
    <row r="2130" spans="1:1" x14ac:dyDescent="0.25">
      <c r="A2130" t="s">
        <v>113</v>
      </c>
    </row>
    <row r="2131" spans="1:1" x14ac:dyDescent="0.25">
      <c r="A2131" t="s">
        <v>113</v>
      </c>
    </row>
    <row r="2132" spans="1:1" x14ac:dyDescent="0.25">
      <c r="A2132" t="s">
        <v>113</v>
      </c>
    </row>
    <row r="2133" spans="1:1" x14ac:dyDescent="0.25">
      <c r="A2133" t="s">
        <v>113</v>
      </c>
    </row>
    <row r="2134" spans="1:1" x14ac:dyDescent="0.25">
      <c r="A2134" t="s">
        <v>113</v>
      </c>
    </row>
    <row r="2135" spans="1:1" x14ac:dyDescent="0.25">
      <c r="A2135" t="s">
        <v>113</v>
      </c>
    </row>
    <row r="2136" spans="1:1" x14ac:dyDescent="0.25">
      <c r="A2136" t="s">
        <v>113</v>
      </c>
    </row>
    <row r="2137" spans="1:1" x14ac:dyDescent="0.25">
      <c r="A2137" t="s">
        <v>113</v>
      </c>
    </row>
    <row r="2138" spans="1:1" x14ac:dyDescent="0.25">
      <c r="A2138" t="s">
        <v>113</v>
      </c>
    </row>
    <row r="2139" spans="1:1" x14ac:dyDescent="0.25">
      <c r="A2139" t="s">
        <v>113</v>
      </c>
    </row>
    <row r="2140" spans="1:1" x14ac:dyDescent="0.25">
      <c r="A2140" t="s">
        <v>113</v>
      </c>
    </row>
    <row r="2141" spans="1:1" x14ac:dyDescent="0.25">
      <c r="A2141" t="s">
        <v>113</v>
      </c>
    </row>
    <row r="2142" spans="1:1" x14ac:dyDescent="0.25">
      <c r="A2142" t="s">
        <v>113</v>
      </c>
    </row>
    <row r="2143" spans="1:1" x14ac:dyDescent="0.25">
      <c r="A2143" t="s">
        <v>113</v>
      </c>
    </row>
    <row r="2144" spans="1:1" x14ac:dyDescent="0.25">
      <c r="A2144" t="s">
        <v>113</v>
      </c>
    </row>
    <row r="2145" spans="1:1" x14ac:dyDescent="0.25">
      <c r="A2145" t="s">
        <v>113</v>
      </c>
    </row>
    <row r="2146" spans="1:1" x14ac:dyDescent="0.25">
      <c r="A2146" t="s">
        <v>113</v>
      </c>
    </row>
    <row r="2147" spans="1:1" x14ac:dyDescent="0.25">
      <c r="A2147" t="s">
        <v>113</v>
      </c>
    </row>
    <row r="2148" spans="1:1" x14ac:dyDescent="0.25">
      <c r="A2148" t="s">
        <v>113</v>
      </c>
    </row>
    <row r="2149" spans="1:1" x14ac:dyDescent="0.25">
      <c r="A2149" t="s">
        <v>113</v>
      </c>
    </row>
    <row r="2150" spans="1:1" x14ac:dyDescent="0.25">
      <c r="A2150" t="s">
        <v>113</v>
      </c>
    </row>
    <row r="2151" spans="1:1" x14ac:dyDescent="0.25">
      <c r="A2151" t="s">
        <v>113</v>
      </c>
    </row>
    <row r="2152" spans="1:1" x14ac:dyDescent="0.25">
      <c r="A2152" t="s">
        <v>113</v>
      </c>
    </row>
    <row r="2153" spans="1:1" x14ac:dyDescent="0.25">
      <c r="A2153" t="s">
        <v>113</v>
      </c>
    </row>
    <row r="2154" spans="1:1" x14ac:dyDescent="0.25">
      <c r="A2154" t="s">
        <v>113</v>
      </c>
    </row>
    <row r="2155" spans="1:1" x14ac:dyDescent="0.25">
      <c r="A2155" t="s">
        <v>113</v>
      </c>
    </row>
    <row r="2156" spans="1:1" x14ac:dyDescent="0.25">
      <c r="A2156" t="s">
        <v>113</v>
      </c>
    </row>
    <row r="2157" spans="1:1" x14ac:dyDescent="0.25">
      <c r="A2157" t="s">
        <v>113</v>
      </c>
    </row>
    <row r="2158" spans="1:1" x14ac:dyDescent="0.25">
      <c r="A2158" t="s">
        <v>113</v>
      </c>
    </row>
    <row r="2159" spans="1:1" x14ac:dyDescent="0.25">
      <c r="A2159" t="s">
        <v>113</v>
      </c>
    </row>
    <row r="2160" spans="1:1" x14ac:dyDescent="0.25">
      <c r="A2160" t="s">
        <v>113</v>
      </c>
    </row>
    <row r="2161" spans="1:1" x14ac:dyDescent="0.25">
      <c r="A2161" t="s">
        <v>113</v>
      </c>
    </row>
    <row r="2162" spans="1:1" x14ac:dyDescent="0.25">
      <c r="A2162" t="s">
        <v>113</v>
      </c>
    </row>
    <row r="2163" spans="1:1" x14ac:dyDescent="0.25">
      <c r="A2163" t="s">
        <v>113</v>
      </c>
    </row>
    <row r="2164" spans="1:1" x14ac:dyDescent="0.25">
      <c r="A2164" t="s">
        <v>113</v>
      </c>
    </row>
    <row r="2165" spans="1:1" x14ac:dyDescent="0.25">
      <c r="A2165" t="s">
        <v>113</v>
      </c>
    </row>
    <row r="2166" spans="1:1" x14ac:dyDescent="0.25">
      <c r="A2166" t="s">
        <v>113</v>
      </c>
    </row>
    <row r="2167" spans="1:1" x14ac:dyDescent="0.25">
      <c r="A2167" t="s">
        <v>113</v>
      </c>
    </row>
    <row r="2168" spans="1:1" x14ac:dyDescent="0.25">
      <c r="A2168" t="s">
        <v>113</v>
      </c>
    </row>
    <row r="2169" spans="1:1" x14ac:dyDescent="0.25">
      <c r="A2169" t="s">
        <v>113</v>
      </c>
    </row>
    <row r="2170" spans="1:1" x14ac:dyDescent="0.25">
      <c r="A2170" t="s">
        <v>113</v>
      </c>
    </row>
    <row r="2171" spans="1:1" x14ac:dyDescent="0.25">
      <c r="A2171" t="s">
        <v>113</v>
      </c>
    </row>
    <row r="2172" spans="1:1" x14ac:dyDescent="0.25">
      <c r="A2172" t="s">
        <v>113</v>
      </c>
    </row>
    <row r="2173" spans="1:1" x14ac:dyDescent="0.25">
      <c r="A2173" t="s">
        <v>113</v>
      </c>
    </row>
    <row r="2174" spans="1:1" x14ac:dyDescent="0.25">
      <c r="A2174" t="s">
        <v>113</v>
      </c>
    </row>
    <row r="2175" spans="1:1" x14ac:dyDescent="0.25">
      <c r="A2175" t="s">
        <v>113</v>
      </c>
    </row>
    <row r="2176" spans="1:1" x14ac:dyDescent="0.25">
      <c r="A2176" t="s">
        <v>113</v>
      </c>
    </row>
    <row r="2177" spans="1:1" x14ac:dyDescent="0.25">
      <c r="A2177" t="s">
        <v>113</v>
      </c>
    </row>
    <row r="2178" spans="1:1" x14ac:dyDescent="0.25">
      <c r="A2178" t="s">
        <v>113</v>
      </c>
    </row>
    <row r="2179" spans="1:1" x14ac:dyDescent="0.25">
      <c r="A2179" t="s">
        <v>113</v>
      </c>
    </row>
    <row r="2180" spans="1:1" x14ac:dyDescent="0.25">
      <c r="A2180" t="s">
        <v>113</v>
      </c>
    </row>
    <row r="2181" spans="1:1" x14ac:dyDescent="0.25">
      <c r="A2181" t="s">
        <v>113</v>
      </c>
    </row>
    <row r="2182" spans="1:1" x14ac:dyDescent="0.25">
      <c r="A2182" t="s">
        <v>113</v>
      </c>
    </row>
    <row r="2183" spans="1:1" x14ac:dyDescent="0.25">
      <c r="A2183" t="s">
        <v>113</v>
      </c>
    </row>
    <row r="2184" spans="1:1" x14ac:dyDescent="0.25">
      <c r="A2184" t="s">
        <v>113</v>
      </c>
    </row>
    <row r="2185" spans="1:1" x14ac:dyDescent="0.25">
      <c r="A2185" t="s">
        <v>113</v>
      </c>
    </row>
    <row r="2186" spans="1:1" x14ac:dyDescent="0.25">
      <c r="A2186" t="s">
        <v>113</v>
      </c>
    </row>
    <row r="2187" spans="1:1" x14ac:dyDescent="0.25">
      <c r="A2187" t="s">
        <v>113</v>
      </c>
    </row>
    <row r="2188" spans="1:1" x14ac:dyDescent="0.25">
      <c r="A2188" t="s">
        <v>113</v>
      </c>
    </row>
    <row r="2189" spans="1:1" x14ac:dyDescent="0.25">
      <c r="A2189" t="s">
        <v>113</v>
      </c>
    </row>
    <row r="2190" spans="1:1" x14ac:dyDescent="0.25">
      <c r="A2190" t="s">
        <v>113</v>
      </c>
    </row>
    <row r="2191" spans="1:1" x14ac:dyDescent="0.25">
      <c r="A2191" t="s">
        <v>113</v>
      </c>
    </row>
    <row r="2192" spans="1:1" x14ac:dyDescent="0.25">
      <c r="A2192" t="s">
        <v>113</v>
      </c>
    </row>
    <row r="2193" spans="1:1" x14ac:dyDescent="0.25">
      <c r="A2193" t="s">
        <v>113</v>
      </c>
    </row>
    <row r="2194" spans="1:1" x14ac:dyDescent="0.25">
      <c r="A2194" t="s">
        <v>113</v>
      </c>
    </row>
    <row r="2195" spans="1:1" x14ac:dyDescent="0.25">
      <c r="A2195" t="s">
        <v>113</v>
      </c>
    </row>
    <row r="2196" spans="1:1" x14ac:dyDescent="0.25">
      <c r="A2196" t="s">
        <v>113</v>
      </c>
    </row>
    <row r="2197" spans="1:1" x14ac:dyDescent="0.25">
      <c r="A2197" t="s">
        <v>113</v>
      </c>
    </row>
    <row r="2198" spans="1:1" x14ac:dyDescent="0.25">
      <c r="A2198" t="s">
        <v>113</v>
      </c>
    </row>
    <row r="2199" spans="1:1" x14ac:dyDescent="0.25">
      <c r="A2199" t="s">
        <v>113</v>
      </c>
    </row>
    <row r="2200" spans="1:1" x14ac:dyDescent="0.25">
      <c r="A2200" t="s">
        <v>113</v>
      </c>
    </row>
    <row r="2201" spans="1:1" x14ac:dyDescent="0.25">
      <c r="A2201" t="s">
        <v>113</v>
      </c>
    </row>
    <row r="2202" spans="1:1" x14ac:dyDescent="0.25">
      <c r="A2202" t="s">
        <v>113</v>
      </c>
    </row>
    <row r="2203" spans="1:1" x14ac:dyDescent="0.25">
      <c r="A2203" t="s">
        <v>113</v>
      </c>
    </row>
    <row r="2204" spans="1:1" x14ac:dyDescent="0.25">
      <c r="A2204" t="s">
        <v>113</v>
      </c>
    </row>
    <row r="2205" spans="1:1" x14ac:dyDescent="0.25">
      <c r="A2205" t="s">
        <v>113</v>
      </c>
    </row>
    <row r="2206" spans="1:1" x14ac:dyDescent="0.25">
      <c r="A2206" t="s">
        <v>113</v>
      </c>
    </row>
    <row r="2207" spans="1:1" x14ac:dyDescent="0.25">
      <c r="A2207" t="s">
        <v>113</v>
      </c>
    </row>
    <row r="2208" spans="1:1" x14ac:dyDescent="0.25">
      <c r="A2208" t="s">
        <v>113</v>
      </c>
    </row>
    <row r="2209" spans="1:1" x14ac:dyDescent="0.25">
      <c r="A2209" t="s">
        <v>113</v>
      </c>
    </row>
    <row r="2210" spans="1:1" x14ac:dyDescent="0.25">
      <c r="A2210" t="s">
        <v>113</v>
      </c>
    </row>
    <row r="2211" spans="1:1" x14ac:dyDescent="0.25">
      <c r="A2211" t="s">
        <v>113</v>
      </c>
    </row>
    <row r="2212" spans="1:1" x14ac:dyDescent="0.25">
      <c r="A2212" t="s">
        <v>113</v>
      </c>
    </row>
    <row r="2213" spans="1:1" x14ac:dyDescent="0.25">
      <c r="A2213" t="s">
        <v>113</v>
      </c>
    </row>
    <row r="2214" spans="1:1" x14ac:dyDescent="0.25">
      <c r="A2214" t="s">
        <v>113</v>
      </c>
    </row>
    <row r="2215" spans="1:1" x14ac:dyDescent="0.25">
      <c r="A2215" t="s">
        <v>113</v>
      </c>
    </row>
    <row r="2216" spans="1:1" x14ac:dyDescent="0.25">
      <c r="A2216" t="s">
        <v>113</v>
      </c>
    </row>
    <row r="2217" spans="1:1" x14ac:dyDescent="0.25">
      <c r="A2217" t="s">
        <v>113</v>
      </c>
    </row>
    <row r="2218" spans="1:1" x14ac:dyDescent="0.25">
      <c r="A2218" t="s">
        <v>113</v>
      </c>
    </row>
    <row r="2219" spans="1:1" x14ac:dyDescent="0.25">
      <c r="A2219" t="s">
        <v>113</v>
      </c>
    </row>
    <row r="2220" spans="1:1" x14ac:dyDescent="0.25">
      <c r="A2220" t="s">
        <v>113</v>
      </c>
    </row>
    <row r="2221" spans="1:1" x14ac:dyDescent="0.25">
      <c r="A2221" t="s">
        <v>113</v>
      </c>
    </row>
    <row r="2222" spans="1:1" x14ac:dyDescent="0.25">
      <c r="A2222" t="s">
        <v>113</v>
      </c>
    </row>
    <row r="2223" spans="1:1" x14ac:dyDescent="0.25">
      <c r="A2223" t="s">
        <v>113</v>
      </c>
    </row>
    <row r="2224" spans="1:1" x14ac:dyDescent="0.25">
      <c r="A2224" t="s">
        <v>113</v>
      </c>
    </row>
    <row r="2225" spans="1:1" x14ac:dyDescent="0.25">
      <c r="A2225" t="s">
        <v>113</v>
      </c>
    </row>
    <row r="2226" spans="1:1" x14ac:dyDescent="0.25">
      <c r="A2226" t="s">
        <v>113</v>
      </c>
    </row>
    <row r="2227" spans="1:1" x14ac:dyDescent="0.25">
      <c r="A2227" t="s">
        <v>113</v>
      </c>
    </row>
    <row r="2228" spans="1:1" x14ac:dyDescent="0.25">
      <c r="A2228" t="s">
        <v>113</v>
      </c>
    </row>
    <row r="2229" spans="1:1" x14ac:dyDescent="0.25">
      <c r="A2229" t="s">
        <v>113</v>
      </c>
    </row>
    <row r="2230" spans="1:1" x14ac:dyDescent="0.25">
      <c r="A2230" t="s">
        <v>113</v>
      </c>
    </row>
    <row r="2231" spans="1:1" x14ac:dyDescent="0.25">
      <c r="A2231" t="s">
        <v>113</v>
      </c>
    </row>
    <row r="2232" spans="1:1" x14ac:dyDescent="0.25">
      <c r="A2232" t="s">
        <v>113</v>
      </c>
    </row>
    <row r="2233" spans="1:1" x14ac:dyDescent="0.25">
      <c r="A2233" t="s">
        <v>113</v>
      </c>
    </row>
    <row r="2234" spans="1:1" x14ac:dyDescent="0.25">
      <c r="A2234" t="s">
        <v>113</v>
      </c>
    </row>
    <row r="2235" spans="1:1" x14ac:dyDescent="0.25">
      <c r="A2235" t="s">
        <v>113</v>
      </c>
    </row>
    <row r="2236" spans="1:1" x14ac:dyDescent="0.25">
      <c r="A2236" t="s">
        <v>113</v>
      </c>
    </row>
    <row r="2237" spans="1:1" x14ac:dyDescent="0.25">
      <c r="A2237" t="s">
        <v>113</v>
      </c>
    </row>
    <row r="2238" spans="1:1" x14ac:dyDescent="0.25">
      <c r="A2238" t="s">
        <v>113</v>
      </c>
    </row>
    <row r="2239" spans="1:1" x14ac:dyDescent="0.25">
      <c r="A2239" t="s">
        <v>113</v>
      </c>
    </row>
    <row r="2240" spans="1:1" x14ac:dyDescent="0.25">
      <c r="A2240" t="s">
        <v>113</v>
      </c>
    </row>
    <row r="2241" spans="1:1" x14ac:dyDescent="0.25">
      <c r="A2241" t="s">
        <v>113</v>
      </c>
    </row>
    <row r="2242" spans="1:1" x14ac:dyDescent="0.25">
      <c r="A2242" t="s">
        <v>113</v>
      </c>
    </row>
    <row r="2243" spans="1:1" x14ac:dyDescent="0.25">
      <c r="A2243" t="s">
        <v>113</v>
      </c>
    </row>
    <row r="2244" spans="1:1" x14ac:dyDescent="0.25">
      <c r="A2244" t="s">
        <v>113</v>
      </c>
    </row>
    <row r="2245" spans="1:1" x14ac:dyDescent="0.25">
      <c r="A2245" t="s">
        <v>113</v>
      </c>
    </row>
    <row r="2246" spans="1:1" x14ac:dyDescent="0.25">
      <c r="A2246" t="s">
        <v>113</v>
      </c>
    </row>
    <row r="2247" spans="1:1" x14ac:dyDescent="0.25">
      <c r="A2247" t="s">
        <v>113</v>
      </c>
    </row>
    <row r="2248" spans="1:1" x14ac:dyDescent="0.25">
      <c r="A2248" t="s">
        <v>113</v>
      </c>
    </row>
    <row r="2249" spans="1:1" x14ac:dyDescent="0.25">
      <c r="A2249" t="s">
        <v>113</v>
      </c>
    </row>
    <row r="2250" spans="1:1" x14ac:dyDescent="0.25">
      <c r="A2250" t="s">
        <v>113</v>
      </c>
    </row>
    <row r="2251" spans="1:1" x14ac:dyDescent="0.25">
      <c r="A2251" t="s">
        <v>113</v>
      </c>
    </row>
    <row r="2252" spans="1:1" x14ac:dyDescent="0.25">
      <c r="A2252" t="s">
        <v>113</v>
      </c>
    </row>
    <row r="2253" spans="1:1" x14ac:dyDescent="0.25">
      <c r="A2253" t="s">
        <v>113</v>
      </c>
    </row>
    <row r="2254" spans="1:1" x14ac:dyDescent="0.25">
      <c r="A2254" t="s">
        <v>113</v>
      </c>
    </row>
    <row r="2255" spans="1:1" x14ac:dyDescent="0.25">
      <c r="A2255" t="s">
        <v>113</v>
      </c>
    </row>
    <row r="2256" spans="1:1" x14ac:dyDescent="0.25">
      <c r="A2256" t="s">
        <v>113</v>
      </c>
    </row>
    <row r="2257" spans="1:1" x14ac:dyDescent="0.25">
      <c r="A2257" t="s">
        <v>113</v>
      </c>
    </row>
    <row r="2258" spans="1:1" x14ac:dyDescent="0.25">
      <c r="A2258" t="s">
        <v>113</v>
      </c>
    </row>
    <row r="2259" spans="1:1" x14ac:dyDescent="0.25">
      <c r="A2259" t="s">
        <v>113</v>
      </c>
    </row>
    <row r="2260" spans="1:1" x14ac:dyDescent="0.25">
      <c r="A2260" t="s">
        <v>113</v>
      </c>
    </row>
    <row r="2261" spans="1:1" x14ac:dyDescent="0.25">
      <c r="A2261" t="s">
        <v>113</v>
      </c>
    </row>
    <row r="2262" spans="1:1" x14ac:dyDescent="0.25">
      <c r="A2262" t="s">
        <v>113</v>
      </c>
    </row>
    <row r="2263" spans="1:1" x14ac:dyDescent="0.25">
      <c r="A2263" t="s">
        <v>113</v>
      </c>
    </row>
    <row r="2264" spans="1:1" x14ac:dyDescent="0.25">
      <c r="A2264" t="s">
        <v>113</v>
      </c>
    </row>
    <row r="2265" spans="1:1" x14ac:dyDescent="0.25">
      <c r="A2265" t="s">
        <v>113</v>
      </c>
    </row>
    <row r="2266" spans="1:1" x14ac:dyDescent="0.25">
      <c r="A2266" t="s">
        <v>113</v>
      </c>
    </row>
    <row r="2267" spans="1:1" x14ac:dyDescent="0.25">
      <c r="A2267" t="s">
        <v>113</v>
      </c>
    </row>
    <row r="2268" spans="1:1" x14ac:dyDescent="0.25">
      <c r="A2268" t="s">
        <v>113</v>
      </c>
    </row>
    <row r="2269" spans="1:1" x14ac:dyDescent="0.25">
      <c r="A2269" t="s">
        <v>113</v>
      </c>
    </row>
    <row r="2270" spans="1:1" x14ac:dyDescent="0.25">
      <c r="A2270" t="s">
        <v>113</v>
      </c>
    </row>
    <row r="2271" spans="1:1" x14ac:dyDescent="0.25">
      <c r="A2271" t="s">
        <v>113</v>
      </c>
    </row>
    <row r="2272" spans="1:1" x14ac:dyDescent="0.25">
      <c r="A2272" t="s">
        <v>113</v>
      </c>
    </row>
    <row r="2273" spans="1:1" x14ac:dyDescent="0.25">
      <c r="A2273" t="s">
        <v>113</v>
      </c>
    </row>
    <row r="2274" spans="1:1" x14ac:dyDescent="0.25">
      <c r="A2274" t="s">
        <v>113</v>
      </c>
    </row>
    <row r="2275" spans="1:1" x14ac:dyDescent="0.25">
      <c r="A2275" t="s">
        <v>113</v>
      </c>
    </row>
    <row r="2276" spans="1:1" x14ac:dyDescent="0.25">
      <c r="A2276" t="s">
        <v>113</v>
      </c>
    </row>
    <row r="2277" spans="1:1" x14ac:dyDescent="0.25">
      <c r="A2277" t="s">
        <v>113</v>
      </c>
    </row>
    <row r="2278" spans="1:1" x14ac:dyDescent="0.25">
      <c r="A2278" t="s">
        <v>113</v>
      </c>
    </row>
    <row r="2279" spans="1:1" x14ac:dyDescent="0.25">
      <c r="A2279" t="s">
        <v>113</v>
      </c>
    </row>
    <row r="2280" spans="1:1" x14ac:dyDescent="0.25">
      <c r="A2280" t="s">
        <v>113</v>
      </c>
    </row>
    <row r="2281" spans="1:1" x14ac:dyDescent="0.25">
      <c r="A2281" t="s">
        <v>113</v>
      </c>
    </row>
    <row r="2282" spans="1:1" x14ac:dyDescent="0.25">
      <c r="A2282" t="s">
        <v>113</v>
      </c>
    </row>
    <row r="2283" spans="1:1" x14ac:dyDescent="0.25">
      <c r="A2283" t="s">
        <v>113</v>
      </c>
    </row>
    <row r="2284" spans="1:1" x14ac:dyDescent="0.25">
      <c r="A2284" t="s">
        <v>113</v>
      </c>
    </row>
    <row r="2285" spans="1:1" x14ac:dyDescent="0.25">
      <c r="A2285" t="s">
        <v>113</v>
      </c>
    </row>
    <row r="2286" spans="1:1" x14ac:dyDescent="0.25">
      <c r="A2286" t="s">
        <v>113</v>
      </c>
    </row>
    <row r="2287" spans="1:1" x14ac:dyDescent="0.25">
      <c r="A2287" t="s">
        <v>113</v>
      </c>
    </row>
    <row r="2288" spans="1:1" x14ac:dyDescent="0.25">
      <c r="A2288" t="s">
        <v>113</v>
      </c>
    </row>
    <row r="2289" spans="1:1" x14ac:dyDescent="0.25">
      <c r="A2289" t="s">
        <v>113</v>
      </c>
    </row>
    <row r="2290" spans="1:1" x14ac:dyDescent="0.25">
      <c r="A2290" t="s">
        <v>113</v>
      </c>
    </row>
    <row r="2291" spans="1:1" x14ac:dyDescent="0.25">
      <c r="A2291" t="s">
        <v>113</v>
      </c>
    </row>
    <row r="2292" spans="1:1" x14ac:dyDescent="0.25">
      <c r="A2292" t="s">
        <v>113</v>
      </c>
    </row>
    <row r="2293" spans="1:1" x14ac:dyDescent="0.25">
      <c r="A2293" t="s">
        <v>113</v>
      </c>
    </row>
    <row r="2294" spans="1:1" x14ac:dyDescent="0.25">
      <c r="A2294" t="s">
        <v>113</v>
      </c>
    </row>
    <row r="2295" spans="1:1" x14ac:dyDescent="0.25">
      <c r="A2295" t="s">
        <v>113</v>
      </c>
    </row>
    <row r="2296" spans="1:1" x14ac:dyDescent="0.25">
      <c r="A2296" t="s">
        <v>113</v>
      </c>
    </row>
    <row r="2297" spans="1:1" x14ac:dyDescent="0.25">
      <c r="A2297" t="s">
        <v>113</v>
      </c>
    </row>
    <row r="2298" spans="1:1" x14ac:dyDescent="0.25">
      <c r="A2298" t="s">
        <v>113</v>
      </c>
    </row>
    <row r="2299" spans="1:1" x14ac:dyDescent="0.25">
      <c r="A2299" t="s">
        <v>113</v>
      </c>
    </row>
    <row r="2300" spans="1:1" x14ac:dyDescent="0.25">
      <c r="A2300" t="s">
        <v>113</v>
      </c>
    </row>
    <row r="2301" spans="1:1" x14ac:dyDescent="0.25">
      <c r="A2301" t="s">
        <v>113</v>
      </c>
    </row>
    <row r="2302" spans="1:1" x14ac:dyDescent="0.25">
      <c r="A2302" t="s">
        <v>113</v>
      </c>
    </row>
    <row r="2303" spans="1:1" x14ac:dyDescent="0.25">
      <c r="A2303" t="s">
        <v>113</v>
      </c>
    </row>
    <row r="2304" spans="1:1" x14ac:dyDescent="0.25">
      <c r="A2304" t="s">
        <v>113</v>
      </c>
    </row>
    <row r="2305" spans="1:1" x14ac:dyDescent="0.25">
      <c r="A2305" t="s">
        <v>113</v>
      </c>
    </row>
    <row r="2306" spans="1:1" x14ac:dyDescent="0.25">
      <c r="A2306" t="s">
        <v>113</v>
      </c>
    </row>
    <row r="2307" spans="1:1" x14ac:dyDescent="0.25">
      <c r="A2307" t="s">
        <v>113</v>
      </c>
    </row>
    <row r="2308" spans="1:1" x14ac:dyDescent="0.25">
      <c r="A2308" t="s">
        <v>113</v>
      </c>
    </row>
    <row r="2309" spans="1:1" x14ac:dyDescent="0.25">
      <c r="A2309" t="s">
        <v>113</v>
      </c>
    </row>
    <row r="2310" spans="1:1" x14ac:dyDescent="0.25">
      <c r="A2310" t="s">
        <v>113</v>
      </c>
    </row>
    <row r="2311" spans="1:1" x14ac:dyDescent="0.25">
      <c r="A2311" t="s">
        <v>113</v>
      </c>
    </row>
    <row r="2312" spans="1:1" x14ac:dyDescent="0.25">
      <c r="A2312" t="s">
        <v>113</v>
      </c>
    </row>
    <row r="2313" spans="1:1" x14ac:dyDescent="0.25">
      <c r="A2313" t="s">
        <v>113</v>
      </c>
    </row>
    <row r="2314" spans="1:1" x14ac:dyDescent="0.25">
      <c r="A2314" t="s">
        <v>113</v>
      </c>
    </row>
    <row r="2315" spans="1:1" x14ac:dyDescent="0.25">
      <c r="A2315" t="s">
        <v>113</v>
      </c>
    </row>
    <row r="2316" spans="1:1" x14ac:dyDescent="0.25">
      <c r="A2316" t="s">
        <v>113</v>
      </c>
    </row>
    <row r="2317" spans="1:1" x14ac:dyDescent="0.25">
      <c r="A2317" t="s">
        <v>113</v>
      </c>
    </row>
    <row r="2318" spans="1:1" x14ac:dyDescent="0.25">
      <c r="A2318" t="s">
        <v>113</v>
      </c>
    </row>
    <row r="2319" spans="1:1" x14ac:dyDescent="0.25">
      <c r="A2319" t="s">
        <v>46</v>
      </c>
    </row>
    <row r="2320" spans="1:1" x14ac:dyDescent="0.25">
      <c r="A2320" t="s">
        <v>46</v>
      </c>
    </row>
    <row r="2321" spans="1:1" x14ac:dyDescent="0.25">
      <c r="A2321" t="s">
        <v>46</v>
      </c>
    </row>
    <row r="2322" spans="1:1" x14ac:dyDescent="0.25">
      <c r="A2322" t="s">
        <v>46</v>
      </c>
    </row>
    <row r="2323" spans="1:1" x14ac:dyDescent="0.25">
      <c r="A2323" t="s">
        <v>46</v>
      </c>
    </row>
    <row r="2324" spans="1:1" x14ac:dyDescent="0.25">
      <c r="A2324" t="s">
        <v>46</v>
      </c>
    </row>
    <row r="2325" spans="1:1" x14ac:dyDescent="0.25">
      <c r="A2325" t="s">
        <v>46</v>
      </c>
    </row>
    <row r="2326" spans="1:1" x14ac:dyDescent="0.25">
      <c r="A2326" t="s">
        <v>46</v>
      </c>
    </row>
    <row r="2327" spans="1:1" x14ac:dyDescent="0.25">
      <c r="A2327" t="s">
        <v>46</v>
      </c>
    </row>
    <row r="2328" spans="1:1" x14ac:dyDescent="0.25">
      <c r="A2328" t="s">
        <v>46</v>
      </c>
    </row>
    <row r="2329" spans="1:1" x14ac:dyDescent="0.25">
      <c r="A2329" t="s">
        <v>46</v>
      </c>
    </row>
    <row r="2330" spans="1:1" x14ac:dyDescent="0.25">
      <c r="A2330" t="s">
        <v>46</v>
      </c>
    </row>
    <row r="2331" spans="1:1" x14ac:dyDescent="0.25">
      <c r="A2331" t="s">
        <v>46</v>
      </c>
    </row>
    <row r="2332" spans="1:1" x14ac:dyDescent="0.25">
      <c r="A2332" t="s">
        <v>46</v>
      </c>
    </row>
    <row r="2333" spans="1:1" x14ac:dyDescent="0.25">
      <c r="A2333" t="s">
        <v>46</v>
      </c>
    </row>
    <row r="2334" spans="1:1" x14ac:dyDescent="0.25">
      <c r="A2334" t="s">
        <v>46</v>
      </c>
    </row>
    <row r="2335" spans="1:1" x14ac:dyDescent="0.25">
      <c r="A2335" t="s">
        <v>46</v>
      </c>
    </row>
    <row r="2336" spans="1:1" x14ac:dyDescent="0.25">
      <c r="A2336" t="s">
        <v>46</v>
      </c>
    </row>
    <row r="2337" spans="1:1" x14ac:dyDescent="0.25">
      <c r="A2337" t="s">
        <v>46</v>
      </c>
    </row>
    <row r="2338" spans="1:1" x14ac:dyDescent="0.25">
      <c r="A2338" t="s">
        <v>46</v>
      </c>
    </row>
    <row r="2339" spans="1:1" x14ac:dyDescent="0.25">
      <c r="A2339" t="s">
        <v>46</v>
      </c>
    </row>
    <row r="2340" spans="1:1" x14ac:dyDescent="0.25">
      <c r="A2340" t="s">
        <v>46</v>
      </c>
    </row>
    <row r="2341" spans="1:1" x14ac:dyDescent="0.25">
      <c r="A2341" t="s">
        <v>46</v>
      </c>
    </row>
    <row r="2342" spans="1:1" x14ac:dyDescent="0.25">
      <c r="A2342" t="s">
        <v>46</v>
      </c>
    </row>
    <row r="2343" spans="1:1" x14ac:dyDescent="0.25">
      <c r="A2343" t="s">
        <v>46</v>
      </c>
    </row>
    <row r="2344" spans="1:1" x14ac:dyDescent="0.25">
      <c r="A2344" t="s">
        <v>46</v>
      </c>
    </row>
    <row r="2345" spans="1:1" x14ac:dyDescent="0.25">
      <c r="A2345" t="s">
        <v>46</v>
      </c>
    </row>
    <row r="2346" spans="1:1" x14ac:dyDescent="0.25">
      <c r="A2346" t="s">
        <v>46</v>
      </c>
    </row>
    <row r="2347" spans="1:1" x14ac:dyDescent="0.25">
      <c r="A2347" t="s">
        <v>46</v>
      </c>
    </row>
    <row r="2348" spans="1:1" x14ac:dyDescent="0.25">
      <c r="A2348" t="s">
        <v>46</v>
      </c>
    </row>
    <row r="2349" spans="1:1" x14ac:dyDescent="0.25">
      <c r="A2349" t="s">
        <v>46</v>
      </c>
    </row>
    <row r="2350" spans="1:1" x14ac:dyDescent="0.25">
      <c r="A2350" t="s">
        <v>46</v>
      </c>
    </row>
    <row r="2351" spans="1:1" x14ac:dyDescent="0.25">
      <c r="A2351" t="s">
        <v>46</v>
      </c>
    </row>
    <row r="2352" spans="1:1" x14ac:dyDescent="0.25">
      <c r="A2352" t="s">
        <v>46</v>
      </c>
    </row>
    <row r="2353" spans="1:1" x14ac:dyDescent="0.25">
      <c r="A2353" t="s">
        <v>46</v>
      </c>
    </row>
    <row r="2354" spans="1:1" x14ac:dyDescent="0.25">
      <c r="A2354" t="s">
        <v>46</v>
      </c>
    </row>
    <row r="2355" spans="1:1" x14ac:dyDescent="0.25">
      <c r="A2355" t="s">
        <v>46</v>
      </c>
    </row>
    <row r="2356" spans="1:1" x14ac:dyDescent="0.25">
      <c r="A2356" t="s">
        <v>46</v>
      </c>
    </row>
    <row r="2357" spans="1:1" x14ac:dyDescent="0.25">
      <c r="A2357" t="s">
        <v>46</v>
      </c>
    </row>
    <row r="2358" spans="1:1" x14ac:dyDescent="0.25">
      <c r="A2358" t="s">
        <v>46</v>
      </c>
    </row>
    <row r="2359" spans="1:1" x14ac:dyDescent="0.25">
      <c r="A2359" t="s">
        <v>46</v>
      </c>
    </row>
    <row r="2360" spans="1:1" x14ac:dyDescent="0.25">
      <c r="A2360" t="s">
        <v>46</v>
      </c>
    </row>
    <row r="2361" spans="1:1" x14ac:dyDescent="0.25">
      <c r="A2361" t="s">
        <v>46</v>
      </c>
    </row>
    <row r="2362" spans="1:1" x14ac:dyDescent="0.25">
      <c r="A2362" t="s">
        <v>46</v>
      </c>
    </row>
    <row r="2363" spans="1:1" x14ac:dyDescent="0.25">
      <c r="A2363" t="s">
        <v>46</v>
      </c>
    </row>
    <row r="2364" spans="1:1" x14ac:dyDescent="0.25">
      <c r="A2364" t="s">
        <v>46</v>
      </c>
    </row>
    <row r="2365" spans="1:1" x14ac:dyDescent="0.25">
      <c r="A2365" t="s">
        <v>46</v>
      </c>
    </row>
    <row r="2366" spans="1:1" x14ac:dyDescent="0.25">
      <c r="A2366" t="s">
        <v>46</v>
      </c>
    </row>
    <row r="2367" spans="1:1" x14ac:dyDescent="0.25">
      <c r="A2367" t="s">
        <v>46</v>
      </c>
    </row>
    <row r="2368" spans="1:1" x14ac:dyDescent="0.25">
      <c r="A2368" t="s">
        <v>46</v>
      </c>
    </row>
    <row r="2369" spans="1:1" x14ac:dyDescent="0.25">
      <c r="A2369" t="s">
        <v>46</v>
      </c>
    </row>
    <row r="2370" spans="1:1" x14ac:dyDescent="0.25">
      <c r="A2370" t="s">
        <v>46</v>
      </c>
    </row>
    <row r="2371" spans="1:1" x14ac:dyDescent="0.25">
      <c r="A2371" t="s">
        <v>46</v>
      </c>
    </row>
    <row r="2372" spans="1:1" x14ac:dyDescent="0.25">
      <c r="A2372" t="s">
        <v>46</v>
      </c>
    </row>
    <row r="2373" spans="1:1" x14ac:dyDescent="0.25">
      <c r="A2373" t="s">
        <v>46</v>
      </c>
    </row>
    <row r="2374" spans="1:1" x14ac:dyDescent="0.25">
      <c r="A2374" t="s">
        <v>46</v>
      </c>
    </row>
    <row r="2375" spans="1:1" x14ac:dyDescent="0.25">
      <c r="A2375" t="s">
        <v>46</v>
      </c>
    </row>
    <row r="2376" spans="1:1" x14ac:dyDescent="0.25">
      <c r="A2376" t="s">
        <v>46</v>
      </c>
    </row>
    <row r="2377" spans="1:1" x14ac:dyDescent="0.25">
      <c r="A2377" t="s">
        <v>46</v>
      </c>
    </row>
    <row r="2378" spans="1:1" x14ac:dyDescent="0.25">
      <c r="A2378" t="s">
        <v>46</v>
      </c>
    </row>
    <row r="2379" spans="1:1" x14ac:dyDescent="0.25">
      <c r="A2379" t="s">
        <v>46</v>
      </c>
    </row>
    <row r="2380" spans="1:1" x14ac:dyDescent="0.25">
      <c r="A2380" t="s">
        <v>46</v>
      </c>
    </row>
    <row r="2381" spans="1:1" x14ac:dyDescent="0.25">
      <c r="A2381" t="s">
        <v>46</v>
      </c>
    </row>
    <row r="2382" spans="1:1" x14ac:dyDescent="0.25">
      <c r="A2382" t="s">
        <v>46</v>
      </c>
    </row>
    <row r="2383" spans="1:1" x14ac:dyDescent="0.25">
      <c r="A2383" t="s">
        <v>46</v>
      </c>
    </row>
    <row r="2384" spans="1:1" x14ac:dyDescent="0.25">
      <c r="A2384" t="s">
        <v>46</v>
      </c>
    </row>
    <row r="2385" spans="1:1" x14ac:dyDescent="0.25">
      <c r="A2385" t="s">
        <v>46</v>
      </c>
    </row>
    <row r="2386" spans="1:1" x14ac:dyDescent="0.25">
      <c r="A2386" t="s">
        <v>46</v>
      </c>
    </row>
    <row r="2387" spans="1:1" x14ac:dyDescent="0.25">
      <c r="A2387" t="s">
        <v>46</v>
      </c>
    </row>
    <row r="2388" spans="1:1" x14ac:dyDescent="0.25">
      <c r="A2388" t="s">
        <v>46</v>
      </c>
    </row>
    <row r="2389" spans="1:1" x14ac:dyDescent="0.25">
      <c r="A2389" t="s">
        <v>46</v>
      </c>
    </row>
    <row r="2390" spans="1:1" x14ac:dyDescent="0.25">
      <c r="A2390" t="s">
        <v>46</v>
      </c>
    </row>
    <row r="2391" spans="1:1" x14ac:dyDescent="0.25">
      <c r="A2391" t="s">
        <v>46</v>
      </c>
    </row>
    <row r="2392" spans="1:1" x14ac:dyDescent="0.25">
      <c r="A2392" t="s">
        <v>46</v>
      </c>
    </row>
    <row r="2393" spans="1:1" x14ac:dyDescent="0.25">
      <c r="A2393" t="s">
        <v>46</v>
      </c>
    </row>
    <row r="2394" spans="1:1" x14ac:dyDescent="0.25">
      <c r="A2394" t="s">
        <v>46</v>
      </c>
    </row>
    <row r="2395" spans="1:1" x14ac:dyDescent="0.25">
      <c r="A2395" t="s">
        <v>46</v>
      </c>
    </row>
    <row r="2396" spans="1:1" x14ac:dyDescent="0.25">
      <c r="A2396" t="s">
        <v>46</v>
      </c>
    </row>
    <row r="2397" spans="1:1" x14ac:dyDescent="0.25">
      <c r="A2397" t="s">
        <v>46</v>
      </c>
    </row>
    <row r="2398" spans="1:1" x14ac:dyDescent="0.25">
      <c r="A2398" t="s">
        <v>46</v>
      </c>
    </row>
    <row r="2399" spans="1:1" x14ac:dyDescent="0.25">
      <c r="A2399" t="s">
        <v>46</v>
      </c>
    </row>
    <row r="2400" spans="1:1" x14ac:dyDescent="0.25">
      <c r="A2400" t="s">
        <v>46</v>
      </c>
    </row>
    <row r="2401" spans="1:1" x14ac:dyDescent="0.25">
      <c r="A2401" t="s">
        <v>46</v>
      </c>
    </row>
    <row r="2402" spans="1:1" x14ac:dyDescent="0.25">
      <c r="A2402" t="s">
        <v>46</v>
      </c>
    </row>
    <row r="2403" spans="1:1" x14ac:dyDescent="0.25">
      <c r="A2403" t="s">
        <v>46</v>
      </c>
    </row>
    <row r="2404" spans="1:1" x14ac:dyDescent="0.25">
      <c r="A2404" t="s">
        <v>46</v>
      </c>
    </row>
    <row r="2405" spans="1:1" x14ac:dyDescent="0.25">
      <c r="A2405" t="s">
        <v>46</v>
      </c>
    </row>
    <row r="2406" spans="1:1" x14ac:dyDescent="0.25">
      <c r="A2406" t="s">
        <v>46</v>
      </c>
    </row>
    <row r="2407" spans="1:1" x14ac:dyDescent="0.25">
      <c r="A2407" t="s">
        <v>46</v>
      </c>
    </row>
    <row r="2408" spans="1:1" x14ac:dyDescent="0.25">
      <c r="A2408" t="s">
        <v>46</v>
      </c>
    </row>
    <row r="2409" spans="1:1" x14ac:dyDescent="0.25">
      <c r="A2409" t="s">
        <v>46</v>
      </c>
    </row>
    <row r="2410" spans="1:1" x14ac:dyDescent="0.25">
      <c r="A2410" t="s">
        <v>46</v>
      </c>
    </row>
    <row r="2411" spans="1:1" x14ac:dyDescent="0.25">
      <c r="A2411" t="s">
        <v>46</v>
      </c>
    </row>
    <row r="2412" spans="1:1" x14ac:dyDescent="0.25">
      <c r="A2412" t="s">
        <v>46</v>
      </c>
    </row>
    <row r="2413" spans="1:1" x14ac:dyDescent="0.25">
      <c r="A2413" t="s">
        <v>46</v>
      </c>
    </row>
    <row r="2414" spans="1:1" x14ac:dyDescent="0.25">
      <c r="A2414" t="s">
        <v>46</v>
      </c>
    </row>
    <row r="2415" spans="1:1" x14ac:dyDescent="0.25">
      <c r="A2415" t="s">
        <v>46</v>
      </c>
    </row>
    <row r="2416" spans="1:1" x14ac:dyDescent="0.25">
      <c r="A2416" t="s">
        <v>46</v>
      </c>
    </row>
    <row r="2417" spans="1:1" x14ac:dyDescent="0.25">
      <c r="A2417" t="s">
        <v>46</v>
      </c>
    </row>
    <row r="2418" spans="1:1" x14ac:dyDescent="0.25">
      <c r="A2418" t="s">
        <v>46</v>
      </c>
    </row>
    <row r="2419" spans="1:1" x14ac:dyDescent="0.25">
      <c r="A2419" t="s">
        <v>46</v>
      </c>
    </row>
    <row r="2420" spans="1:1" x14ac:dyDescent="0.25">
      <c r="A2420" t="s">
        <v>46</v>
      </c>
    </row>
    <row r="2421" spans="1:1" x14ac:dyDescent="0.25">
      <c r="A2421" t="s">
        <v>46</v>
      </c>
    </row>
    <row r="2422" spans="1:1" x14ac:dyDescent="0.25">
      <c r="A2422" t="s">
        <v>46</v>
      </c>
    </row>
    <row r="2423" spans="1:1" x14ac:dyDescent="0.25">
      <c r="A2423" t="s">
        <v>46</v>
      </c>
    </row>
    <row r="2424" spans="1:1" x14ac:dyDescent="0.25">
      <c r="A2424" t="s">
        <v>46</v>
      </c>
    </row>
    <row r="2425" spans="1:1" x14ac:dyDescent="0.25">
      <c r="A2425" t="s">
        <v>46</v>
      </c>
    </row>
    <row r="2426" spans="1:1" x14ac:dyDescent="0.25">
      <c r="A2426" t="s">
        <v>46</v>
      </c>
    </row>
    <row r="2427" spans="1:1" x14ac:dyDescent="0.25">
      <c r="A2427" t="s">
        <v>46</v>
      </c>
    </row>
    <row r="2428" spans="1:1" x14ac:dyDescent="0.25">
      <c r="A2428" t="s">
        <v>46</v>
      </c>
    </row>
    <row r="2429" spans="1:1" x14ac:dyDescent="0.25">
      <c r="A2429" t="s">
        <v>46</v>
      </c>
    </row>
    <row r="2430" spans="1:1" x14ac:dyDescent="0.25">
      <c r="A2430" t="s">
        <v>46</v>
      </c>
    </row>
    <row r="2431" spans="1:1" x14ac:dyDescent="0.25">
      <c r="A2431" t="s">
        <v>46</v>
      </c>
    </row>
    <row r="2432" spans="1:1" x14ac:dyDescent="0.25">
      <c r="A2432" t="s">
        <v>46</v>
      </c>
    </row>
    <row r="2433" spans="1:1" x14ac:dyDescent="0.25">
      <c r="A2433" t="s">
        <v>46</v>
      </c>
    </row>
    <row r="2434" spans="1:1" x14ac:dyDescent="0.25">
      <c r="A2434" t="s">
        <v>46</v>
      </c>
    </row>
    <row r="2435" spans="1:1" x14ac:dyDescent="0.25">
      <c r="A2435" t="s">
        <v>46</v>
      </c>
    </row>
    <row r="2436" spans="1:1" x14ac:dyDescent="0.25">
      <c r="A2436" t="s">
        <v>46</v>
      </c>
    </row>
    <row r="2437" spans="1:1" x14ac:dyDescent="0.25">
      <c r="A2437" t="s">
        <v>46</v>
      </c>
    </row>
    <row r="2438" spans="1:1" x14ac:dyDescent="0.25">
      <c r="A2438" t="s">
        <v>46</v>
      </c>
    </row>
    <row r="2439" spans="1:1" x14ac:dyDescent="0.25">
      <c r="A2439" t="s">
        <v>46</v>
      </c>
    </row>
    <row r="2440" spans="1:1" x14ac:dyDescent="0.25">
      <c r="A2440" t="s">
        <v>46</v>
      </c>
    </row>
    <row r="2441" spans="1:1" x14ac:dyDescent="0.25">
      <c r="A2441" t="s">
        <v>46</v>
      </c>
    </row>
    <row r="2442" spans="1:1" x14ac:dyDescent="0.25">
      <c r="A2442" t="s">
        <v>46</v>
      </c>
    </row>
    <row r="2443" spans="1:1" x14ac:dyDescent="0.25">
      <c r="A2443" t="s">
        <v>46</v>
      </c>
    </row>
    <row r="2444" spans="1:1" x14ac:dyDescent="0.25">
      <c r="A2444" t="s">
        <v>46</v>
      </c>
    </row>
    <row r="2445" spans="1:1" x14ac:dyDescent="0.25">
      <c r="A2445" t="s">
        <v>46</v>
      </c>
    </row>
    <row r="2446" spans="1:1" x14ac:dyDescent="0.25">
      <c r="A2446" t="s">
        <v>46</v>
      </c>
    </row>
    <row r="2447" spans="1:1" x14ac:dyDescent="0.25">
      <c r="A2447" t="s">
        <v>46</v>
      </c>
    </row>
    <row r="2448" spans="1:1" x14ac:dyDescent="0.25">
      <c r="A2448" t="s">
        <v>46</v>
      </c>
    </row>
    <row r="2449" spans="1:1" x14ac:dyDescent="0.25">
      <c r="A2449" t="s">
        <v>46</v>
      </c>
    </row>
    <row r="2450" spans="1:1" x14ac:dyDescent="0.25">
      <c r="A2450" t="s">
        <v>46</v>
      </c>
    </row>
    <row r="2451" spans="1:1" x14ac:dyDescent="0.25">
      <c r="A2451" t="s">
        <v>46</v>
      </c>
    </row>
    <row r="2452" spans="1:1" x14ac:dyDescent="0.25">
      <c r="A2452" t="s">
        <v>46</v>
      </c>
    </row>
    <row r="2453" spans="1:1" x14ac:dyDescent="0.25">
      <c r="A2453" t="s">
        <v>46</v>
      </c>
    </row>
    <row r="2454" spans="1:1" x14ac:dyDescent="0.25">
      <c r="A2454" t="s">
        <v>46</v>
      </c>
    </row>
    <row r="2455" spans="1:1" x14ac:dyDescent="0.25">
      <c r="A2455" t="s">
        <v>46</v>
      </c>
    </row>
    <row r="2456" spans="1:1" x14ac:dyDescent="0.25">
      <c r="A2456" t="s">
        <v>46</v>
      </c>
    </row>
    <row r="2457" spans="1:1" x14ac:dyDescent="0.25">
      <c r="A2457" t="s">
        <v>46</v>
      </c>
    </row>
    <row r="2458" spans="1:1" x14ac:dyDescent="0.25">
      <c r="A2458" t="s">
        <v>46</v>
      </c>
    </row>
    <row r="2459" spans="1:1" x14ac:dyDescent="0.25">
      <c r="A2459" t="s">
        <v>46</v>
      </c>
    </row>
    <row r="2460" spans="1:1" x14ac:dyDescent="0.25">
      <c r="A2460" t="s">
        <v>46</v>
      </c>
    </row>
    <row r="2461" spans="1:1" x14ac:dyDescent="0.25">
      <c r="A2461" t="s">
        <v>46</v>
      </c>
    </row>
    <row r="2462" spans="1:1" x14ac:dyDescent="0.25">
      <c r="A2462" t="s">
        <v>46</v>
      </c>
    </row>
    <row r="2463" spans="1:1" x14ac:dyDescent="0.25">
      <c r="A2463" t="s">
        <v>46</v>
      </c>
    </row>
    <row r="2464" spans="1:1" x14ac:dyDescent="0.25">
      <c r="A2464" t="s">
        <v>46</v>
      </c>
    </row>
    <row r="2465" spans="1:1" x14ac:dyDescent="0.25">
      <c r="A2465" t="s">
        <v>46</v>
      </c>
    </row>
    <row r="2466" spans="1:1" x14ac:dyDescent="0.25">
      <c r="A2466" t="s">
        <v>46</v>
      </c>
    </row>
    <row r="2467" spans="1:1" x14ac:dyDescent="0.25">
      <c r="A2467" t="s">
        <v>46</v>
      </c>
    </row>
    <row r="2468" spans="1:1" x14ac:dyDescent="0.25">
      <c r="A2468" t="s">
        <v>46</v>
      </c>
    </row>
    <row r="2469" spans="1:1" x14ac:dyDescent="0.25">
      <c r="A2469" t="s">
        <v>46</v>
      </c>
    </row>
    <row r="2470" spans="1:1" x14ac:dyDescent="0.25">
      <c r="A2470" t="s">
        <v>46</v>
      </c>
    </row>
    <row r="2471" spans="1:1" x14ac:dyDescent="0.25">
      <c r="A2471" t="s">
        <v>46</v>
      </c>
    </row>
    <row r="2472" spans="1:1" x14ac:dyDescent="0.25">
      <c r="A2472" t="s">
        <v>46</v>
      </c>
    </row>
    <row r="2473" spans="1:1" x14ac:dyDescent="0.25">
      <c r="A2473" t="s">
        <v>46</v>
      </c>
    </row>
    <row r="2474" spans="1:1" x14ac:dyDescent="0.25">
      <c r="A2474" t="s">
        <v>46</v>
      </c>
    </row>
    <row r="2475" spans="1:1" x14ac:dyDescent="0.25">
      <c r="A2475" t="s">
        <v>46</v>
      </c>
    </row>
    <row r="2476" spans="1:1" x14ac:dyDescent="0.25">
      <c r="A2476" t="s">
        <v>46</v>
      </c>
    </row>
    <row r="2477" spans="1:1" x14ac:dyDescent="0.25">
      <c r="A2477" t="s">
        <v>46</v>
      </c>
    </row>
    <row r="2478" spans="1:1" x14ac:dyDescent="0.25">
      <c r="A2478" t="s">
        <v>46</v>
      </c>
    </row>
    <row r="2479" spans="1:1" x14ac:dyDescent="0.25">
      <c r="A2479" t="s">
        <v>46</v>
      </c>
    </row>
    <row r="2480" spans="1:1" x14ac:dyDescent="0.25">
      <c r="A2480" t="s">
        <v>46</v>
      </c>
    </row>
    <row r="2481" spans="1:1" x14ac:dyDescent="0.25">
      <c r="A2481" t="s">
        <v>46</v>
      </c>
    </row>
    <row r="2482" spans="1:1" x14ac:dyDescent="0.25">
      <c r="A2482" t="s">
        <v>46</v>
      </c>
    </row>
    <row r="2483" spans="1:1" x14ac:dyDescent="0.25">
      <c r="A2483" t="s">
        <v>46</v>
      </c>
    </row>
    <row r="2484" spans="1:1" x14ac:dyDescent="0.25">
      <c r="A2484" t="s">
        <v>46</v>
      </c>
    </row>
    <row r="2485" spans="1:1" x14ac:dyDescent="0.25">
      <c r="A2485" t="s">
        <v>46</v>
      </c>
    </row>
    <row r="2486" spans="1:1" x14ac:dyDescent="0.25">
      <c r="A2486" t="s">
        <v>46</v>
      </c>
    </row>
    <row r="2487" spans="1:1" x14ac:dyDescent="0.25">
      <c r="A2487" t="s">
        <v>46</v>
      </c>
    </row>
    <row r="2488" spans="1:1" x14ac:dyDescent="0.25">
      <c r="A2488" t="s">
        <v>46</v>
      </c>
    </row>
    <row r="2489" spans="1:1" x14ac:dyDescent="0.25">
      <c r="A2489" t="s">
        <v>46</v>
      </c>
    </row>
    <row r="2490" spans="1:1" x14ac:dyDescent="0.25">
      <c r="A2490" t="s">
        <v>46</v>
      </c>
    </row>
    <row r="2491" spans="1:1" x14ac:dyDescent="0.25">
      <c r="A2491" t="s">
        <v>46</v>
      </c>
    </row>
    <row r="2492" spans="1:1" x14ac:dyDescent="0.25">
      <c r="A2492" t="s">
        <v>46</v>
      </c>
    </row>
    <row r="2493" spans="1:1" x14ac:dyDescent="0.25">
      <c r="A2493" t="s">
        <v>46</v>
      </c>
    </row>
    <row r="2494" spans="1:1" x14ac:dyDescent="0.25">
      <c r="A2494" t="s">
        <v>46</v>
      </c>
    </row>
    <row r="2495" spans="1:1" x14ac:dyDescent="0.25">
      <c r="A2495" t="s">
        <v>46</v>
      </c>
    </row>
    <row r="2496" spans="1:1" x14ac:dyDescent="0.25">
      <c r="A2496" t="s">
        <v>46</v>
      </c>
    </row>
    <row r="2497" spans="1:1" x14ac:dyDescent="0.25">
      <c r="A2497" t="s">
        <v>46</v>
      </c>
    </row>
    <row r="2498" spans="1:1" x14ac:dyDescent="0.25">
      <c r="A2498" t="s">
        <v>46</v>
      </c>
    </row>
    <row r="2499" spans="1:1" x14ac:dyDescent="0.25">
      <c r="A2499" t="s">
        <v>46</v>
      </c>
    </row>
    <row r="2500" spans="1:1" x14ac:dyDescent="0.25">
      <c r="A2500" t="s">
        <v>46</v>
      </c>
    </row>
    <row r="2501" spans="1:1" x14ac:dyDescent="0.25">
      <c r="A2501" t="s">
        <v>46</v>
      </c>
    </row>
    <row r="2502" spans="1:1" x14ac:dyDescent="0.25">
      <c r="A2502" t="s">
        <v>46</v>
      </c>
    </row>
    <row r="2503" spans="1:1" x14ac:dyDescent="0.25">
      <c r="A2503" t="s">
        <v>46</v>
      </c>
    </row>
    <row r="2504" spans="1:1" x14ac:dyDescent="0.25">
      <c r="A2504" t="s">
        <v>46</v>
      </c>
    </row>
    <row r="2505" spans="1:1" x14ac:dyDescent="0.25">
      <c r="A2505" t="s">
        <v>46</v>
      </c>
    </row>
    <row r="2506" spans="1:1" x14ac:dyDescent="0.25">
      <c r="A2506" t="s">
        <v>46</v>
      </c>
    </row>
    <row r="2507" spans="1:1" x14ac:dyDescent="0.25">
      <c r="A2507" t="s">
        <v>46</v>
      </c>
    </row>
    <row r="2508" spans="1:1" x14ac:dyDescent="0.25">
      <c r="A2508" t="s">
        <v>46</v>
      </c>
    </row>
    <row r="2509" spans="1:1" x14ac:dyDescent="0.25">
      <c r="A2509" t="s">
        <v>46</v>
      </c>
    </row>
    <row r="2510" spans="1:1" x14ac:dyDescent="0.25">
      <c r="A2510" t="s">
        <v>46</v>
      </c>
    </row>
    <row r="2511" spans="1:1" x14ac:dyDescent="0.25">
      <c r="A2511" t="s">
        <v>46</v>
      </c>
    </row>
    <row r="2512" spans="1:1" x14ac:dyDescent="0.25">
      <c r="A2512" t="s">
        <v>46</v>
      </c>
    </row>
    <row r="2513" spans="1:1" x14ac:dyDescent="0.25">
      <c r="A2513" t="s">
        <v>46</v>
      </c>
    </row>
    <row r="2514" spans="1:1" x14ac:dyDescent="0.25">
      <c r="A2514" t="s">
        <v>46</v>
      </c>
    </row>
    <row r="2515" spans="1:1" x14ac:dyDescent="0.25">
      <c r="A2515" t="s">
        <v>46</v>
      </c>
    </row>
    <row r="2516" spans="1:1" x14ac:dyDescent="0.25">
      <c r="A2516" t="s">
        <v>46</v>
      </c>
    </row>
    <row r="2517" spans="1:1" x14ac:dyDescent="0.25">
      <c r="A2517" t="s">
        <v>46</v>
      </c>
    </row>
    <row r="2518" spans="1:1" x14ac:dyDescent="0.25">
      <c r="A2518" t="s">
        <v>46</v>
      </c>
    </row>
    <row r="2519" spans="1:1" x14ac:dyDescent="0.25">
      <c r="A2519" t="s">
        <v>46</v>
      </c>
    </row>
    <row r="2520" spans="1:1" x14ac:dyDescent="0.25">
      <c r="A2520" t="s">
        <v>46</v>
      </c>
    </row>
    <row r="2521" spans="1:1" x14ac:dyDescent="0.25">
      <c r="A2521" t="s">
        <v>46</v>
      </c>
    </row>
    <row r="2522" spans="1:1" x14ac:dyDescent="0.25">
      <c r="A2522" t="s">
        <v>46</v>
      </c>
    </row>
    <row r="2523" spans="1:1" x14ac:dyDescent="0.25">
      <c r="A2523" t="s">
        <v>46</v>
      </c>
    </row>
    <row r="2524" spans="1:1" x14ac:dyDescent="0.25">
      <c r="A2524" t="s">
        <v>46</v>
      </c>
    </row>
    <row r="2525" spans="1:1" x14ac:dyDescent="0.25">
      <c r="A2525" t="s">
        <v>46</v>
      </c>
    </row>
    <row r="2526" spans="1:1" x14ac:dyDescent="0.25">
      <c r="A2526" t="s">
        <v>46</v>
      </c>
    </row>
    <row r="2527" spans="1:1" x14ac:dyDescent="0.25">
      <c r="A2527" t="s">
        <v>46</v>
      </c>
    </row>
    <row r="2528" spans="1:1" x14ac:dyDescent="0.25">
      <c r="A2528" t="s">
        <v>46</v>
      </c>
    </row>
    <row r="2529" spans="1:1" x14ac:dyDescent="0.25">
      <c r="A2529" t="s">
        <v>46</v>
      </c>
    </row>
    <row r="2530" spans="1:1" x14ac:dyDescent="0.25">
      <c r="A2530" t="s">
        <v>46</v>
      </c>
    </row>
    <row r="2531" spans="1:1" x14ac:dyDescent="0.25">
      <c r="A2531" t="s">
        <v>46</v>
      </c>
    </row>
    <row r="2532" spans="1:1" x14ac:dyDescent="0.25">
      <c r="A2532" t="s">
        <v>46</v>
      </c>
    </row>
    <row r="2533" spans="1:1" x14ac:dyDescent="0.25">
      <c r="A2533" t="s">
        <v>46</v>
      </c>
    </row>
    <row r="2534" spans="1:1" x14ac:dyDescent="0.25">
      <c r="A2534" t="s">
        <v>46</v>
      </c>
    </row>
    <row r="2535" spans="1:1" x14ac:dyDescent="0.25">
      <c r="A2535" t="s">
        <v>46</v>
      </c>
    </row>
    <row r="2536" spans="1:1" x14ac:dyDescent="0.25">
      <c r="A2536" t="s">
        <v>46</v>
      </c>
    </row>
    <row r="2537" spans="1:1" x14ac:dyDescent="0.25">
      <c r="A2537" t="s">
        <v>46</v>
      </c>
    </row>
    <row r="2538" spans="1:1" x14ac:dyDescent="0.25">
      <c r="A2538" t="s">
        <v>46</v>
      </c>
    </row>
    <row r="2539" spans="1:1" x14ac:dyDescent="0.25">
      <c r="A2539" t="s">
        <v>46</v>
      </c>
    </row>
    <row r="2540" spans="1:1" x14ac:dyDescent="0.25">
      <c r="A2540" t="s">
        <v>46</v>
      </c>
    </row>
    <row r="2541" spans="1:1" x14ac:dyDescent="0.25">
      <c r="A2541" t="s">
        <v>46</v>
      </c>
    </row>
    <row r="2542" spans="1:1" x14ac:dyDescent="0.25">
      <c r="A2542" t="s">
        <v>46</v>
      </c>
    </row>
    <row r="2543" spans="1:1" x14ac:dyDescent="0.25">
      <c r="A2543" t="s">
        <v>46</v>
      </c>
    </row>
    <row r="2544" spans="1:1" x14ac:dyDescent="0.25">
      <c r="A2544" t="s">
        <v>46</v>
      </c>
    </row>
    <row r="2545" spans="1:1" x14ac:dyDescent="0.25">
      <c r="A2545" t="s">
        <v>46</v>
      </c>
    </row>
    <row r="2546" spans="1:1" x14ac:dyDescent="0.25">
      <c r="A2546" t="s">
        <v>46</v>
      </c>
    </row>
    <row r="2547" spans="1:1" x14ac:dyDescent="0.25">
      <c r="A2547" t="s">
        <v>46</v>
      </c>
    </row>
    <row r="2548" spans="1:1" x14ac:dyDescent="0.25">
      <c r="A2548" t="s">
        <v>46</v>
      </c>
    </row>
    <row r="2549" spans="1:1" x14ac:dyDescent="0.25">
      <c r="A2549" t="s">
        <v>46</v>
      </c>
    </row>
    <row r="2550" spans="1:1" x14ac:dyDescent="0.25">
      <c r="A2550" t="s">
        <v>46</v>
      </c>
    </row>
    <row r="2551" spans="1:1" x14ac:dyDescent="0.25">
      <c r="A2551" t="s">
        <v>46</v>
      </c>
    </row>
    <row r="2552" spans="1:1" x14ac:dyDescent="0.25">
      <c r="A2552" t="s">
        <v>46</v>
      </c>
    </row>
    <row r="2553" spans="1:1" x14ac:dyDescent="0.25">
      <c r="A2553" t="s">
        <v>46</v>
      </c>
    </row>
    <row r="2554" spans="1:1" x14ac:dyDescent="0.25">
      <c r="A2554" t="s">
        <v>46</v>
      </c>
    </row>
    <row r="2555" spans="1:1" x14ac:dyDescent="0.25">
      <c r="A2555" t="s">
        <v>46</v>
      </c>
    </row>
    <row r="2556" spans="1:1" x14ac:dyDescent="0.25">
      <c r="A2556" t="s">
        <v>46</v>
      </c>
    </row>
    <row r="2557" spans="1:1" x14ac:dyDescent="0.25">
      <c r="A2557" t="s">
        <v>46</v>
      </c>
    </row>
    <row r="2558" spans="1:1" x14ac:dyDescent="0.25">
      <c r="A2558" t="s">
        <v>46</v>
      </c>
    </row>
    <row r="2559" spans="1:1" x14ac:dyDescent="0.25">
      <c r="A2559" t="s">
        <v>46</v>
      </c>
    </row>
    <row r="2560" spans="1:1" x14ac:dyDescent="0.25">
      <c r="A2560" t="s">
        <v>46</v>
      </c>
    </row>
    <row r="2561" spans="1:1" x14ac:dyDescent="0.25">
      <c r="A2561" t="s">
        <v>46</v>
      </c>
    </row>
    <row r="2562" spans="1:1" x14ac:dyDescent="0.25">
      <c r="A2562" t="s">
        <v>46</v>
      </c>
    </row>
    <row r="2563" spans="1:1" x14ac:dyDescent="0.25">
      <c r="A2563" t="s">
        <v>46</v>
      </c>
    </row>
    <row r="2564" spans="1:1" x14ac:dyDescent="0.25">
      <c r="A2564" t="s">
        <v>46</v>
      </c>
    </row>
    <row r="2565" spans="1:1" x14ac:dyDescent="0.25">
      <c r="A2565" t="s">
        <v>46</v>
      </c>
    </row>
    <row r="2566" spans="1:1" x14ac:dyDescent="0.25">
      <c r="A2566" t="s">
        <v>46</v>
      </c>
    </row>
    <row r="2567" spans="1:1" x14ac:dyDescent="0.25">
      <c r="A2567" t="s">
        <v>46</v>
      </c>
    </row>
    <row r="2568" spans="1:1" x14ac:dyDescent="0.25">
      <c r="A2568" t="s">
        <v>46</v>
      </c>
    </row>
    <row r="2569" spans="1:1" x14ac:dyDescent="0.25">
      <c r="A2569" t="s">
        <v>46</v>
      </c>
    </row>
    <row r="2570" spans="1:1" x14ac:dyDescent="0.25">
      <c r="A2570" t="s">
        <v>46</v>
      </c>
    </row>
    <row r="2571" spans="1:1" x14ac:dyDescent="0.25">
      <c r="A2571" t="s">
        <v>46</v>
      </c>
    </row>
    <row r="2572" spans="1:1" x14ac:dyDescent="0.25">
      <c r="A2572" t="s">
        <v>46</v>
      </c>
    </row>
    <row r="2573" spans="1:1" x14ac:dyDescent="0.25">
      <c r="A2573" t="s">
        <v>46</v>
      </c>
    </row>
    <row r="2574" spans="1:1" x14ac:dyDescent="0.25">
      <c r="A2574" t="s">
        <v>46</v>
      </c>
    </row>
    <row r="2575" spans="1:1" x14ac:dyDescent="0.25">
      <c r="A2575" t="s">
        <v>46</v>
      </c>
    </row>
    <row r="2576" spans="1:1" x14ac:dyDescent="0.25">
      <c r="A2576" t="s">
        <v>46</v>
      </c>
    </row>
    <row r="2577" spans="1:1" x14ac:dyDescent="0.25">
      <c r="A2577" t="s">
        <v>46</v>
      </c>
    </row>
    <row r="2578" spans="1:1" x14ac:dyDescent="0.25">
      <c r="A2578" t="s">
        <v>46</v>
      </c>
    </row>
    <row r="2579" spans="1:1" x14ac:dyDescent="0.25">
      <c r="A2579" t="s">
        <v>46</v>
      </c>
    </row>
    <row r="2580" spans="1:1" x14ac:dyDescent="0.25">
      <c r="A2580" t="s">
        <v>46</v>
      </c>
    </row>
    <row r="2581" spans="1:1" x14ac:dyDescent="0.25">
      <c r="A2581" t="s">
        <v>46</v>
      </c>
    </row>
    <row r="2582" spans="1:1" x14ac:dyDescent="0.25">
      <c r="A2582" t="s">
        <v>46</v>
      </c>
    </row>
    <row r="2583" spans="1:1" x14ac:dyDescent="0.25">
      <c r="A2583" t="s">
        <v>46</v>
      </c>
    </row>
    <row r="2584" spans="1:1" x14ac:dyDescent="0.25">
      <c r="A2584" t="s">
        <v>46</v>
      </c>
    </row>
    <row r="2585" spans="1:1" x14ac:dyDescent="0.25">
      <c r="A2585" t="s">
        <v>46</v>
      </c>
    </row>
    <row r="2586" spans="1:1" x14ac:dyDescent="0.25">
      <c r="A2586" t="s">
        <v>46</v>
      </c>
    </row>
    <row r="2587" spans="1:1" x14ac:dyDescent="0.25">
      <c r="A2587" t="s">
        <v>46</v>
      </c>
    </row>
    <row r="2588" spans="1:1" x14ac:dyDescent="0.25">
      <c r="A2588" t="s">
        <v>46</v>
      </c>
    </row>
    <row r="2589" spans="1:1" x14ac:dyDescent="0.25">
      <c r="A2589" t="s">
        <v>46</v>
      </c>
    </row>
    <row r="2590" spans="1:1" x14ac:dyDescent="0.25">
      <c r="A2590" t="s">
        <v>46</v>
      </c>
    </row>
    <row r="2591" spans="1:1" x14ac:dyDescent="0.25">
      <c r="A2591" t="s">
        <v>46</v>
      </c>
    </row>
    <row r="2592" spans="1:1" x14ac:dyDescent="0.25">
      <c r="A2592" t="s">
        <v>46</v>
      </c>
    </row>
    <row r="2593" spans="1:1" x14ac:dyDescent="0.25">
      <c r="A2593" t="s">
        <v>46</v>
      </c>
    </row>
    <row r="2594" spans="1:1" x14ac:dyDescent="0.25">
      <c r="A2594" t="s">
        <v>46</v>
      </c>
    </row>
    <row r="2595" spans="1:1" x14ac:dyDescent="0.25">
      <c r="A2595" t="s">
        <v>46</v>
      </c>
    </row>
    <row r="2596" spans="1:1" x14ac:dyDescent="0.25">
      <c r="A2596" t="s">
        <v>46</v>
      </c>
    </row>
    <row r="2597" spans="1:1" x14ac:dyDescent="0.25">
      <c r="A2597" t="s">
        <v>46</v>
      </c>
    </row>
    <row r="2598" spans="1:1" x14ac:dyDescent="0.25">
      <c r="A2598" t="s">
        <v>46</v>
      </c>
    </row>
    <row r="2599" spans="1:1" x14ac:dyDescent="0.25">
      <c r="A2599" t="s">
        <v>46</v>
      </c>
    </row>
    <row r="2600" spans="1:1" x14ac:dyDescent="0.25">
      <c r="A2600" t="s">
        <v>46</v>
      </c>
    </row>
    <row r="2601" spans="1:1" x14ac:dyDescent="0.25">
      <c r="A2601" t="s">
        <v>46</v>
      </c>
    </row>
    <row r="2602" spans="1:1" x14ac:dyDescent="0.25">
      <c r="A2602" t="s">
        <v>46</v>
      </c>
    </row>
    <row r="2603" spans="1:1" x14ac:dyDescent="0.25">
      <c r="A2603" t="s">
        <v>46</v>
      </c>
    </row>
    <row r="2604" spans="1:1" x14ac:dyDescent="0.25">
      <c r="A2604" t="s">
        <v>46</v>
      </c>
    </row>
    <row r="2605" spans="1:1" x14ac:dyDescent="0.25">
      <c r="A2605" t="s">
        <v>46</v>
      </c>
    </row>
    <row r="2606" spans="1:1" x14ac:dyDescent="0.25">
      <c r="A2606" t="s">
        <v>46</v>
      </c>
    </row>
    <row r="2607" spans="1:1" x14ac:dyDescent="0.25">
      <c r="A2607" t="s">
        <v>46</v>
      </c>
    </row>
    <row r="2608" spans="1:1" x14ac:dyDescent="0.25">
      <c r="A2608" t="s">
        <v>46</v>
      </c>
    </row>
    <row r="2609" spans="1:1" x14ac:dyDescent="0.25">
      <c r="A2609" t="s">
        <v>46</v>
      </c>
    </row>
    <row r="2610" spans="1:1" x14ac:dyDescent="0.25">
      <c r="A2610" t="s">
        <v>46</v>
      </c>
    </row>
    <row r="2611" spans="1:1" x14ac:dyDescent="0.25">
      <c r="A2611" t="s">
        <v>46</v>
      </c>
    </row>
    <row r="2612" spans="1:1" x14ac:dyDescent="0.25">
      <c r="A2612" t="s">
        <v>46</v>
      </c>
    </row>
    <row r="2613" spans="1:1" x14ac:dyDescent="0.25">
      <c r="A2613" t="s">
        <v>46</v>
      </c>
    </row>
    <row r="2614" spans="1:1" x14ac:dyDescent="0.25">
      <c r="A2614" t="s">
        <v>46</v>
      </c>
    </row>
    <row r="2615" spans="1:1" x14ac:dyDescent="0.25">
      <c r="A2615" t="s">
        <v>46</v>
      </c>
    </row>
    <row r="2616" spans="1:1" x14ac:dyDescent="0.25">
      <c r="A2616" t="s">
        <v>46</v>
      </c>
    </row>
    <row r="2617" spans="1:1" x14ac:dyDescent="0.25">
      <c r="A2617" t="s">
        <v>46</v>
      </c>
    </row>
    <row r="2618" spans="1:1" x14ac:dyDescent="0.25">
      <c r="A2618" t="s">
        <v>46</v>
      </c>
    </row>
    <row r="2619" spans="1:1" x14ac:dyDescent="0.25">
      <c r="A2619" t="s">
        <v>46</v>
      </c>
    </row>
    <row r="2620" spans="1:1" x14ac:dyDescent="0.25">
      <c r="A2620" t="s">
        <v>46</v>
      </c>
    </row>
    <row r="2621" spans="1:1" x14ac:dyDescent="0.25">
      <c r="A2621" t="s">
        <v>46</v>
      </c>
    </row>
    <row r="2622" spans="1:1" x14ac:dyDescent="0.25">
      <c r="A2622" t="s">
        <v>46</v>
      </c>
    </row>
    <row r="2623" spans="1:1" x14ac:dyDescent="0.25">
      <c r="A2623" t="s">
        <v>46</v>
      </c>
    </row>
    <row r="2624" spans="1:1" x14ac:dyDescent="0.25">
      <c r="A2624" t="s">
        <v>46</v>
      </c>
    </row>
    <row r="2625" spans="1:1" x14ac:dyDescent="0.25">
      <c r="A2625" t="s">
        <v>46</v>
      </c>
    </row>
    <row r="2626" spans="1:1" x14ac:dyDescent="0.25">
      <c r="A2626" t="s">
        <v>46</v>
      </c>
    </row>
    <row r="2627" spans="1:1" x14ac:dyDescent="0.25">
      <c r="A2627" t="s">
        <v>46</v>
      </c>
    </row>
    <row r="2628" spans="1:1" x14ac:dyDescent="0.25">
      <c r="A2628" t="s">
        <v>46</v>
      </c>
    </row>
    <row r="2629" spans="1:1" x14ac:dyDescent="0.25">
      <c r="A2629" t="s">
        <v>46</v>
      </c>
    </row>
    <row r="2630" spans="1:1" x14ac:dyDescent="0.25">
      <c r="A2630" t="s">
        <v>46</v>
      </c>
    </row>
    <row r="2631" spans="1:1" x14ac:dyDescent="0.25">
      <c r="A2631" t="s">
        <v>46</v>
      </c>
    </row>
    <row r="2632" spans="1:1" x14ac:dyDescent="0.25">
      <c r="A2632" t="s">
        <v>46</v>
      </c>
    </row>
    <row r="2633" spans="1:1" x14ac:dyDescent="0.25">
      <c r="A2633" t="s">
        <v>46</v>
      </c>
    </row>
    <row r="2634" spans="1:1" x14ac:dyDescent="0.25">
      <c r="A2634" t="s">
        <v>46</v>
      </c>
    </row>
    <row r="2635" spans="1:1" x14ac:dyDescent="0.25">
      <c r="A2635" t="s">
        <v>46</v>
      </c>
    </row>
    <row r="2636" spans="1:1" x14ac:dyDescent="0.25">
      <c r="A2636" t="s">
        <v>46</v>
      </c>
    </row>
    <row r="2637" spans="1:1" x14ac:dyDescent="0.25">
      <c r="A2637" t="s">
        <v>46</v>
      </c>
    </row>
    <row r="2638" spans="1:1" x14ac:dyDescent="0.25">
      <c r="A2638" t="s">
        <v>46</v>
      </c>
    </row>
    <row r="2639" spans="1:1" x14ac:dyDescent="0.25">
      <c r="A2639" t="s">
        <v>46</v>
      </c>
    </row>
    <row r="2640" spans="1:1" x14ac:dyDescent="0.25">
      <c r="A2640" t="s">
        <v>46</v>
      </c>
    </row>
    <row r="2641" spans="1:1" x14ac:dyDescent="0.25">
      <c r="A2641" t="s">
        <v>46</v>
      </c>
    </row>
    <row r="2642" spans="1:1" x14ac:dyDescent="0.25">
      <c r="A2642" t="s">
        <v>46</v>
      </c>
    </row>
    <row r="2643" spans="1:1" x14ac:dyDescent="0.25">
      <c r="A2643" t="s">
        <v>46</v>
      </c>
    </row>
    <row r="2644" spans="1:1" x14ac:dyDescent="0.25">
      <c r="A2644" t="s">
        <v>46</v>
      </c>
    </row>
    <row r="2645" spans="1:1" x14ac:dyDescent="0.25">
      <c r="A2645" t="s">
        <v>46</v>
      </c>
    </row>
    <row r="2646" spans="1:1" x14ac:dyDescent="0.25">
      <c r="A2646" t="s">
        <v>46</v>
      </c>
    </row>
    <row r="2647" spans="1:1" x14ac:dyDescent="0.25">
      <c r="A2647" t="s">
        <v>46</v>
      </c>
    </row>
    <row r="2648" spans="1:1" x14ac:dyDescent="0.25">
      <c r="A2648" t="s">
        <v>46</v>
      </c>
    </row>
    <row r="2649" spans="1:1" x14ac:dyDescent="0.25">
      <c r="A2649" t="s">
        <v>46</v>
      </c>
    </row>
    <row r="2650" spans="1:1" x14ac:dyDescent="0.25">
      <c r="A2650" t="s">
        <v>46</v>
      </c>
    </row>
    <row r="2651" spans="1:1" x14ac:dyDescent="0.25">
      <c r="A2651" t="s">
        <v>46</v>
      </c>
    </row>
    <row r="2652" spans="1:1" x14ac:dyDescent="0.25">
      <c r="A2652" t="s">
        <v>46</v>
      </c>
    </row>
    <row r="2653" spans="1:1" x14ac:dyDescent="0.25">
      <c r="A2653" t="s">
        <v>46</v>
      </c>
    </row>
    <row r="2654" spans="1:1" x14ac:dyDescent="0.25">
      <c r="A2654" t="s">
        <v>46</v>
      </c>
    </row>
    <row r="2655" spans="1:1" x14ac:dyDescent="0.25">
      <c r="A2655" t="s">
        <v>46</v>
      </c>
    </row>
    <row r="2656" spans="1:1" x14ac:dyDescent="0.25">
      <c r="A2656" t="s">
        <v>46</v>
      </c>
    </row>
    <row r="2657" spans="1:1" x14ac:dyDescent="0.25">
      <c r="A2657" t="s">
        <v>46</v>
      </c>
    </row>
    <row r="2658" spans="1:1" x14ac:dyDescent="0.25">
      <c r="A2658" t="s">
        <v>46</v>
      </c>
    </row>
    <row r="2659" spans="1:1" x14ac:dyDescent="0.25">
      <c r="A2659" t="s">
        <v>46</v>
      </c>
    </row>
    <row r="2660" spans="1:1" x14ac:dyDescent="0.25">
      <c r="A2660" t="s">
        <v>46</v>
      </c>
    </row>
    <row r="2661" spans="1:1" x14ac:dyDescent="0.25">
      <c r="A2661" t="s">
        <v>46</v>
      </c>
    </row>
    <row r="2662" spans="1:1" x14ac:dyDescent="0.25">
      <c r="A2662" t="s">
        <v>46</v>
      </c>
    </row>
    <row r="2663" spans="1:1" x14ac:dyDescent="0.25">
      <c r="A2663" t="s">
        <v>46</v>
      </c>
    </row>
    <row r="2664" spans="1:1" x14ac:dyDescent="0.25">
      <c r="A2664" t="s">
        <v>46</v>
      </c>
    </row>
    <row r="2665" spans="1:1" x14ac:dyDescent="0.25">
      <c r="A2665" t="s">
        <v>46</v>
      </c>
    </row>
    <row r="2666" spans="1:1" x14ac:dyDescent="0.25">
      <c r="A2666" t="s">
        <v>46</v>
      </c>
    </row>
    <row r="2667" spans="1:1" x14ac:dyDescent="0.25">
      <c r="A2667" t="s">
        <v>46</v>
      </c>
    </row>
    <row r="2668" spans="1:1" x14ac:dyDescent="0.25">
      <c r="A2668" t="s">
        <v>46</v>
      </c>
    </row>
    <row r="2669" spans="1:1" x14ac:dyDescent="0.25">
      <c r="A2669" t="s">
        <v>46</v>
      </c>
    </row>
    <row r="2670" spans="1:1" x14ac:dyDescent="0.25">
      <c r="A2670" t="s">
        <v>46</v>
      </c>
    </row>
    <row r="2671" spans="1:1" x14ac:dyDescent="0.25">
      <c r="A2671" t="s">
        <v>46</v>
      </c>
    </row>
    <row r="2672" spans="1:1" x14ac:dyDescent="0.25">
      <c r="A2672" t="s">
        <v>46</v>
      </c>
    </row>
    <row r="2673" spans="1:1" x14ac:dyDescent="0.25">
      <c r="A2673" t="s">
        <v>46</v>
      </c>
    </row>
    <row r="2674" spans="1:1" x14ac:dyDescent="0.25">
      <c r="A2674" t="s">
        <v>46</v>
      </c>
    </row>
    <row r="2675" spans="1:1" x14ac:dyDescent="0.25">
      <c r="A2675" t="s">
        <v>46</v>
      </c>
    </row>
    <row r="2676" spans="1:1" x14ac:dyDescent="0.25">
      <c r="A2676" t="s">
        <v>46</v>
      </c>
    </row>
    <row r="2677" spans="1:1" x14ac:dyDescent="0.25">
      <c r="A2677" t="s">
        <v>46</v>
      </c>
    </row>
    <row r="2678" spans="1:1" x14ac:dyDescent="0.25">
      <c r="A2678" t="s">
        <v>46</v>
      </c>
    </row>
    <row r="2679" spans="1:1" x14ac:dyDescent="0.25">
      <c r="A2679" t="s">
        <v>46</v>
      </c>
    </row>
    <row r="2680" spans="1:1" x14ac:dyDescent="0.25">
      <c r="A2680" t="s">
        <v>46</v>
      </c>
    </row>
    <row r="2681" spans="1:1" x14ac:dyDescent="0.25">
      <c r="A2681" t="s">
        <v>46</v>
      </c>
    </row>
    <row r="2682" spans="1:1" x14ac:dyDescent="0.25">
      <c r="A2682" t="s">
        <v>46</v>
      </c>
    </row>
    <row r="2683" spans="1:1" x14ac:dyDescent="0.25">
      <c r="A2683" t="s">
        <v>46</v>
      </c>
    </row>
    <row r="2684" spans="1:1" x14ac:dyDescent="0.25">
      <c r="A2684" t="s">
        <v>46</v>
      </c>
    </row>
    <row r="2685" spans="1:1" x14ac:dyDescent="0.25">
      <c r="A2685" t="s">
        <v>46</v>
      </c>
    </row>
    <row r="2686" spans="1:1" x14ac:dyDescent="0.25">
      <c r="A2686" t="s">
        <v>46</v>
      </c>
    </row>
    <row r="2687" spans="1:1" x14ac:dyDescent="0.25">
      <c r="A2687" t="s">
        <v>46</v>
      </c>
    </row>
    <row r="2688" spans="1:1" x14ac:dyDescent="0.25">
      <c r="A2688" t="s">
        <v>46</v>
      </c>
    </row>
    <row r="2689" spans="1:1" x14ac:dyDescent="0.25">
      <c r="A2689" t="s">
        <v>46</v>
      </c>
    </row>
    <row r="2690" spans="1:1" x14ac:dyDescent="0.25">
      <c r="A2690" t="s">
        <v>46</v>
      </c>
    </row>
    <row r="2691" spans="1:1" x14ac:dyDescent="0.25">
      <c r="A2691" t="s">
        <v>46</v>
      </c>
    </row>
    <row r="2692" spans="1:1" x14ac:dyDescent="0.25">
      <c r="A2692" t="s">
        <v>46</v>
      </c>
    </row>
    <row r="2693" spans="1:1" x14ac:dyDescent="0.25">
      <c r="A2693" t="s">
        <v>46</v>
      </c>
    </row>
    <row r="2694" spans="1:1" x14ac:dyDescent="0.25">
      <c r="A2694" t="s">
        <v>46</v>
      </c>
    </row>
    <row r="2695" spans="1:1" x14ac:dyDescent="0.25">
      <c r="A2695" t="s">
        <v>46</v>
      </c>
    </row>
    <row r="2696" spans="1:1" x14ac:dyDescent="0.25">
      <c r="A2696" t="s">
        <v>46</v>
      </c>
    </row>
    <row r="2697" spans="1:1" x14ac:dyDescent="0.25">
      <c r="A2697" t="s">
        <v>46</v>
      </c>
    </row>
    <row r="2698" spans="1:1" x14ac:dyDescent="0.25">
      <c r="A2698" t="s">
        <v>46</v>
      </c>
    </row>
    <row r="2699" spans="1:1" x14ac:dyDescent="0.25">
      <c r="A2699" t="s">
        <v>46</v>
      </c>
    </row>
    <row r="2700" spans="1:1" x14ac:dyDescent="0.25">
      <c r="A2700" t="s">
        <v>46</v>
      </c>
    </row>
    <row r="2701" spans="1:1" x14ac:dyDescent="0.25">
      <c r="A2701" t="s">
        <v>46</v>
      </c>
    </row>
    <row r="2702" spans="1:1" x14ac:dyDescent="0.25">
      <c r="A2702" t="s">
        <v>46</v>
      </c>
    </row>
    <row r="2703" spans="1:1" x14ac:dyDescent="0.25">
      <c r="A2703" t="s">
        <v>46</v>
      </c>
    </row>
    <row r="2704" spans="1:1" x14ac:dyDescent="0.25">
      <c r="A2704" t="s">
        <v>46</v>
      </c>
    </row>
    <row r="2705" spans="1:1" x14ac:dyDescent="0.25">
      <c r="A2705" t="s">
        <v>46</v>
      </c>
    </row>
    <row r="2706" spans="1:1" x14ac:dyDescent="0.25">
      <c r="A2706" t="s">
        <v>46</v>
      </c>
    </row>
    <row r="2707" spans="1:1" x14ac:dyDescent="0.25">
      <c r="A2707" t="s">
        <v>46</v>
      </c>
    </row>
    <row r="2708" spans="1:1" x14ac:dyDescent="0.25">
      <c r="A2708" t="s">
        <v>46</v>
      </c>
    </row>
    <row r="2709" spans="1:1" x14ac:dyDescent="0.25">
      <c r="A2709" t="s">
        <v>46</v>
      </c>
    </row>
    <row r="2710" spans="1:1" x14ac:dyDescent="0.25">
      <c r="A2710" t="s">
        <v>46</v>
      </c>
    </row>
    <row r="2711" spans="1:1" x14ac:dyDescent="0.25">
      <c r="A2711" t="s">
        <v>46</v>
      </c>
    </row>
    <row r="2712" spans="1:1" x14ac:dyDescent="0.25">
      <c r="A2712" t="s">
        <v>46</v>
      </c>
    </row>
    <row r="2713" spans="1:1" x14ac:dyDescent="0.25">
      <c r="A2713" t="s">
        <v>46</v>
      </c>
    </row>
    <row r="2714" spans="1:1" x14ac:dyDescent="0.25">
      <c r="A2714" t="s">
        <v>46</v>
      </c>
    </row>
    <row r="2715" spans="1:1" x14ac:dyDescent="0.25">
      <c r="A2715" t="s">
        <v>46</v>
      </c>
    </row>
    <row r="2716" spans="1:1" x14ac:dyDescent="0.25">
      <c r="A2716" t="s">
        <v>46</v>
      </c>
    </row>
    <row r="2717" spans="1:1" x14ac:dyDescent="0.25">
      <c r="A2717" t="s">
        <v>46</v>
      </c>
    </row>
    <row r="2718" spans="1:1" x14ac:dyDescent="0.25">
      <c r="A2718" t="s">
        <v>46</v>
      </c>
    </row>
    <row r="2719" spans="1:1" x14ac:dyDescent="0.25">
      <c r="A2719" t="s">
        <v>46</v>
      </c>
    </row>
    <row r="2720" spans="1:1" x14ac:dyDescent="0.25">
      <c r="A2720" t="s">
        <v>46</v>
      </c>
    </row>
    <row r="2721" spans="1:1" x14ac:dyDescent="0.25">
      <c r="A2721" t="s">
        <v>46</v>
      </c>
    </row>
    <row r="2722" spans="1:1" x14ac:dyDescent="0.25">
      <c r="A2722" t="s">
        <v>46</v>
      </c>
    </row>
    <row r="2723" spans="1:1" x14ac:dyDescent="0.25">
      <c r="A2723" t="s">
        <v>46</v>
      </c>
    </row>
    <row r="2724" spans="1:1" x14ac:dyDescent="0.25">
      <c r="A2724" t="s">
        <v>46</v>
      </c>
    </row>
    <row r="2725" spans="1:1" x14ac:dyDescent="0.25">
      <c r="A2725" t="s">
        <v>46</v>
      </c>
    </row>
    <row r="2726" spans="1:1" x14ac:dyDescent="0.25">
      <c r="A2726" t="s">
        <v>46</v>
      </c>
    </row>
    <row r="2727" spans="1:1" x14ac:dyDescent="0.25">
      <c r="A2727" t="s">
        <v>46</v>
      </c>
    </row>
    <row r="2728" spans="1:1" x14ac:dyDescent="0.25">
      <c r="A2728" t="s">
        <v>46</v>
      </c>
    </row>
    <row r="2729" spans="1:1" x14ac:dyDescent="0.25">
      <c r="A2729" t="s">
        <v>46</v>
      </c>
    </row>
    <row r="2730" spans="1:1" x14ac:dyDescent="0.25">
      <c r="A2730" t="s">
        <v>46</v>
      </c>
    </row>
    <row r="2731" spans="1:1" x14ac:dyDescent="0.25">
      <c r="A2731" t="s">
        <v>46</v>
      </c>
    </row>
    <row r="2732" spans="1:1" x14ac:dyDescent="0.25">
      <c r="A2732" t="s">
        <v>46</v>
      </c>
    </row>
    <row r="2733" spans="1:1" x14ac:dyDescent="0.25">
      <c r="A2733" t="s">
        <v>46</v>
      </c>
    </row>
    <row r="2734" spans="1:1" x14ac:dyDescent="0.25">
      <c r="A2734" t="s">
        <v>46</v>
      </c>
    </row>
    <row r="2735" spans="1:1" x14ac:dyDescent="0.25">
      <c r="A2735" t="s">
        <v>46</v>
      </c>
    </row>
    <row r="2736" spans="1:1" x14ac:dyDescent="0.25">
      <c r="A2736" t="s">
        <v>46</v>
      </c>
    </row>
    <row r="2737" spans="1:1" x14ac:dyDescent="0.25">
      <c r="A2737" t="s">
        <v>46</v>
      </c>
    </row>
    <row r="2738" spans="1:1" x14ac:dyDescent="0.25">
      <c r="A2738" t="s">
        <v>46</v>
      </c>
    </row>
    <row r="2739" spans="1:1" x14ac:dyDescent="0.25">
      <c r="A2739" t="s">
        <v>46</v>
      </c>
    </row>
    <row r="2740" spans="1:1" x14ac:dyDescent="0.25">
      <c r="A2740" t="s">
        <v>46</v>
      </c>
    </row>
    <row r="2741" spans="1:1" x14ac:dyDescent="0.25">
      <c r="A2741" t="s">
        <v>46</v>
      </c>
    </row>
    <row r="2742" spans="1:1" x14ac:dyDescent="0.25">
      <c r="A2742" t="s">
        <v>46</v>
      </c>
    </row>
    <row r="2743" spans="1:1" x14ac:dyDescent="0.25">
      <c r="A2743" t="s">
        <v>46</v>
      </c>
    </row>
    <row r="2744" spans="1:1" x14ac:dyDescent="0.25">
      <c r="A2744" t="s">
        <v>46</v>
      </c>
    </row>
    <row r="2745" spans="1:1" x14ac:dyDescent="0.25">
      <c r="A2745" t="s">
        <v>46</v>
      </c>
    </row>
    <row r="2746" spans="1:1" x14ac:dyDescent="0.25">
      <c r="A2746" t="s">
        <v>46</v>
      </c>
    </row>
    <row r="2747" spans="1:1" x14ac:dyDescent="0.25">
      <c r="A2747" t="s">
        <v>46</v>
      </c>
    </row>
    <row r="2748" spans="1:1" x14ac:dyDescent="0.25">
      <c r="A2748" t="s">
        <v>46</v>
      </c>
    </row>
    <row r="2749" spans="1:1" x14ac:dyDescent="0.25">
      <c r="A2749" t="s">
        <v>46</v>
      </c>
    </row>
    <row r="2750" spans="1:1" x14ac:dyDescent="0.25">
      <c r="A2750" t="s">
        <v>46</v>
      </c>
    </row>
    <row r="2751" spans="1:1" x14ac:dyDescent="0.25">
      <c r="A2751" t="s">
        <v>46</v>
      </c>
    </row>
    <row r="2752" spans="1:1" x14ac:dyDescent="0.25">
      <c r="A2752" t="s">
        <v>46</v>
      </c>
    </row>
    <row r="2753" spans="1:1" x14ac:dyDescent="0.25">
      <c r="A2753" t="s">
        <v>46</v>
      </c>
    </row>
    <row r="2754" spans="1:1" x14ac:dyDescent="0.25">
      <c r="A2754" t="s">
        <v>46</v>
      </c>
    </row>
    <row r="2755" spans="1:1" x14ac:dyDescent="0.25">
      <c r="A2755" t="s">
        <v>46</v>
      </c>
    </row>
    <row r="2756" spans="1:1" x14ac:dyDescent="0.25">
      <c r="A2756" t="s">
        <v>46</v>
      </c>
    </row>
    <row r="2757" spans="1:1" x14ac:dyDescent="0.25">
      <c r="A2757" t="s">
        <v>46</v>
      </c>
    </row>
    <row r="2758" spans="1:1" x14ac:dyDescent="0.25">
      <c r="A2758" t="s">
        <v>46</v>
      </c>
    </row>
    <row r="2759" spans="1:1" x14ac:dyDescent="0.25">
      <c r="A2759" t="s">
        <v>46</v>
      </c>
    </row>
    <row r="2760" spans="1:1" x14ac:dyDescent="0.25">
      <c r="A2760" t="s">
        <v>46</v>
      </c>
    </row>
    <row r="2761" spans="1:1" x14ac:dyDescent="0.25">
      <c r="A2761" t="s">
        <v>46</v>
      </c>
    </row>
    <row r="2762" spans="1:1" x14ac:dyDescent="0.25">
      <c r="A2762" t="s">
        <v>46</v>
      </c>
    </row>
    <row r="2763" spans="1:1" x14ac:dyDescent="0.25">
      <c r="A2763" t="s">
        <v>46</v>
      </c>
    </row>
    <row r="2764" spans="1:1" x14ac:dyDescent="0.25">
      <c r="A2764" t="s">
        <v>46</v>
      </c>
    </row>
    <row r="2765" spans="1:1" x14ac:dyDescent="0.25">
      <c r="A2765" t="s">
        <v>1140</v>
      </c>
    </row>
    <row r="2766" spans="1:1" x14ac:dyDescent="0.25">
      <c r="A2766" t="s">
        <v>1140</v>
      </c>
    </row>
    <row r="2767" spans="1:1" x14ac:dyDescent="0.25">
      <c r="A2767" t="s">
        <v>1140</v>
      </c>
    </row>
    <row r="2768" spans="1:1" x14ac:dyDescent="0.25">
      <c r="A2768" t="s">
        <v>1140</v>
      </c>
    </row>
    <row r="2769" spans="1:1" x14ac:dyDescent="0.25">
      <c r="A2769" t="s">
        <v>1140</v>
      </c>
    </row>
  </sheetData>
  <sortState xmlns:xlrd2="http://schemas.microsoft.com/office/spreadsheetml/2017/richdata2" ref="A1:A2769">
    <sortCondition ref="A2008:A2769"/>
  </sortState>
  <customSheetViews>
    <customSheetView guid="{13E00259-D325-4D27-B6D0-F1F28B665E89}" scale="70">
      <selection activeCell="F4" sqref="F4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D3AE-3439-4911-B133-26A647BE4176}">
  <dimension ref="A1:C2756"/>
  <sheetViews>
    <sheetView topLeftCell="A7" zoomScale="86" zoomScaleNormal="64" workbookViewId="0">
      <selection activeCell="A922" sqref="A922"/>
    </sheetView>
  </sheetViews>
  <sheetFormatPr defaultRowHeight="15" x14ac:dyDescent="0.25"/>
  <cols>
    <col min="1" max="1" width="64.5703125" bestFit="1" customWidth="1"/>
    <col min="2" max="2" width="8.85546875" bestFit="1" customWidth="1"/>
    <col min="3" max="3" width="5.85546875" bestFit="1" customWidth="1"/>
  </cols>
  <sheetData>
    <row r="1" spans="1:3" x14ac:dyDescent="0.25">
      <c r="A1" t="s">
        <v>12</v>
      </c>
      <c r="B1" t="s">
        <v>15</v>
      </c>
      <c r="C1" t="s">
        <v>24</v>
      </c>
    </row>
    <row r="2" spans="1:3" x14ac:dyDescent="0.25">
      <c r="A2" t="s">
        <v>55</v>
      </c>
      <c r="B2">
        <v>359</v>
      </c>
      <c r="C2">
        <v>24</v>
      </c>
    </row>
    <row r="3" spans="1:3" x14ac:dyDescent="0.25">
      <c r="A3" t="s">
        <v>55</v>
      </c>
      <c r="B3">
        <v>322</v>
      </c>
      <c r="C3">
        <v>7</v>
      </c>
    </row>
    <row r="4" spans="1:3" x14ac:dyDescent="0.25">
      <c r="A4" t="s">
        <v>55</v>
      </c>
      <c r="B4">
        <v>322</v>
      </c>
      <c r="C4">
        <v>19</v>
      </c>
    </row>
    <row r="5" spans="1:3" x14ac:dyDescent="0.25">
      <c r="A5" t="s">
        <v>55</v>
      </c>
      <c r="B5">
        <v>322</v>
      </c>
      <c r="C5">
        <v>12</v>
      </c>
    </row>
    <row r="6" spans="1:3" x14ac:dyDescent="0.25">
      <c r="A6" t="s">
        <v>55</v>
      </c>
      <c r="B6">
        <v>308</v>
      </c>
      <c r="C6">
        <v>4</v>
      </c>
    </row>
    <row r="7" spans="1:3" x14ac:dyDescent="0.25">
      <c r="A7" t="s">
        <v>55</v>
      </c>
      <c r="B7">
        <v>322</v>
      </c>
      <c r="C7">
        <v>7</v>
      </c>
    </row>
    <row r="8" spans="1:3" x14ac:dyDescent="0.25">
      <c r="A8" t="s">
        <v>55</v>
      </c>
      <c r="B8">
        <v>322</v>
      </c>
      <c r="C8">
        <v>19</v>
      </c>
    </row>
    <row r="9" spans="1:3" x14ac:dyDescent="0.25">
      <c r="A9" t="s">
        <v>55</v>
      </c>
      <c r="B9">
        <v>322</v>
      </c>
      <c r="C9">
        <v>12</v>
      </c>
    </row>
    <row r="10" spans="1:3" x14ac:dyDescent="0.25">
      <c r="A10" t="s">
        <v>55</v>
      </c>
      <c r="B10">
        <v>308</v>
      </c>
      <c r="C10">
        <v>4</v>
      </c>
    </row>
    <row r="11" spans="1:3" x14ac:dyDescent="0.25">
      <c r="A11" t="s">
        <v>55</v>
      </c>
      <c r="B11">
        <v>359</v>
      </c>
      <c r="C11">
        <v>24</v>
      </c>
    </row>
    <row r="12" spans="1:3" x14ac:dyDescent="0.25">
      <c r="A12" t="s">
        <v>55</v>
      </c>
      <c r="B12">
        <v>322</v>
      </c>
      <c r="C12">
        <v>7</v>
      </c>
    </row>
    <row r="13" spans="1:3" x14ac:dyDescent="0.25">
      <c r="A13" t="s">
        <v>55</v>
      </c>
      <c r="B13">
        <v>322</v>
      </c>
      <c r="C13">
        <v>19</v>
      </c>
    </row>
    <row r="14" spans="1:3" x14ac:dyDescent="0.25">
      <c r="A14" t="s">
        <v>55</v>
      </c>
      <c r="B14">
        <v>322</v>
      </c>
      <c r="C14">
        <v>12</v>
      </c>
    </row>
    <row r="15" spans="1:3" x14ac:dyDescent="0.25">
      <c r="A15" t="s">
        <v>55</v>
      </c>
      <c r="B15">
        <v>308</v>
      </c>
      <c r="C15">
        <v>4</v>
      </c>
    </row>
    <row r="16" spans="1:3" x14ac:dyDescent="0.25">
      <c r="A16" t="s">
        <v>55</v>
      </c>
      <c r="B16">
        <v>359</v>
      </c>
      <c r="C16">
        <v>24</v>
      </c>
    </row>
    <row r="17" spans="1:3" x14ac:dyDescent="0.25">
      <c r="A17" t="s">
        <v>55</v>
      </c>
      <c r="B17">
        <v>322</v>
      </c>
      <c r="C17">
        <v>7</v>
      </c>
    </row>
    <row r="18" spans="1:3" x14ac:dyDescent="0.25">
      <c r="A18" t="s">
        <v>55</v>
      </c>
      <c r="B18">
        <v>322</v>
      </c>
      <c r="C18">
        <v>19</v>
      </c>
    </row>
    <row r="19" spans="1:3" x14ac:dyDescent="0.25">
      <c r="A19" t="s">
        <v>55</v>
      </c>
      <c r="B19">
        <v>322</v>
      </c>
      <c r="C19">
        <v>12</v>
      </c>
    </row>
    <row r="20" spans="1:3" x14ac:dyDescent="0.25">
      <c r="A20" t="s">
        <v>55</v>
      </c>
      <c r="B20">
        <v>308</v>
      </c>
      <c r="C20">
        <v>4</v>
      </c>
    </row>
    <row r="21" spans="1:3" x14ac:dyDescent="0.25">
      <c r="A21" t="s">
        <v>55</v>
      </c>
      <c r="B21">
        <v>322</v>
      </c>
      <c r="C21">
        <v>7</v>
      </c>
    </row>
    <row r="22" spans="1:3" x14ac:dyDescent="0.25">
      <c r="A22" t="s">
        <v>55</v>
      </c>
      <c r="B22">
        <v>322</v>
      </c>
      <c r="C22">
        <v>19</v>
      </c>
    </row>
    <row r="23" spans="1:3" x14ac:dyDescent="0.25">
      <c r="A23" t="s">
        <v>55</v>
      </c>
      <c r="B23">
        <v>322</v>
      </c>
      <c r="C23">
        <v>12</v>
      </c>
    </row>
    <row r="24" spans="1:3" x14ac:dyDescent="0.25">
      <c r="A24" t="s">
        <v>55</v>
      </c>
      <c r="B24">
        <v>308</v>
      </c>
      <c r="C24">
        <v>4</v>
      </c>
    </row>
    <row r="25" spans="1:3" x14ac:dyDescent="0.25">
      <c r="A25" t="s">
        <v>419</v>
      </c>
      <c r="B25">
        <v>325</v>
      </c>
      <c r="C25">
        <v>0</v>
      </c>
    </row>
    <row r="26" spans="1:3" x14ac:dyDescent="0.25">
      <c r="A26" t="s">
        <v>419</v>
      </c>
      <c r="B26">
        <v>280</v>
      </c>
      <c r="C26">
        <v>6</v>
      </c>
    </row>
    <row r="27" spans="1:3" x14ac:dyDescent="0.25">
      <c r="A27" t="s">
        <v>419</v>
      </c>
      <c r="B27">
        <v>280</v>
      </c>
      <c r="C27">
        <v>6</v>
      </c>
    </row>
    <row r="28" spans="1:3" x14ac:dyDescent="0.25">
      <c r="A28" t="s">
        <v>419</v>
      </c>
      <c r="B28">
        <v>237</v>
      </c>
      <c r="C28">
        <v>0</v>
      </c>
    </row>
    <row r="29" spans="1:3" x14ac:dyDescent="0.25">
      <c r="A29" t="s">
        <v>419</v>
      </c>
      <c r="B29">
        <v>325</v>
      </c>
      <c r="C29">
        <v>0</v>
      </c>
    </row>
    <row r="30" spans="1:3" x14ac:dyDescent="0.25">
      <c r="A30" t="s">
        <v>419</v>
      </c>
      <c r="B30">
        <v>280</v>
      </c>
      <c r="C30">
        <v>6</v>
      </c>
    </row>
    <row r="31" spans="1:3" x14ac:dyDescent="0.25">
      <c r="A31" t="s">
        <v>419</v>
      </c>
      <c r="B31">
        <v>280</v>
      </c>
      <c r="C31">
        <v>6</v>
      </c>
    </row>
    <row r="32" spans="1:3" x14ac:dyDescent="0.25">
      <c r="A32" t="s">
        <v>419</v>
      </c>
      <c r="B32">
        <v>237</v>
      </c>
      <c r="C32">
        <v>0</v>
      </c>
    </row>
    <row r="33" spans="1:3" x14ac:dyDescent="0.25">
      <c r="A33" t="s">
        <v>419</v>
      </c>
      <c r="B33">
        <v>325</v>
      </c>
      <c r="C33">
        <v>0</v>
      </c>
    </row>
    <row r="34" spans="1:3" x14ac:dyDescent="0.25">
      <c r="A34" t="s">
        <v>419</v>
      </c>
      <c r="B34">
        <v>280</v>
      </c>
      <c r="C34">
        <v>6</v>
      </c>
    </row>
    <row r="35" spans="1:3" x14ac:dyDescent="0.25">
      <c r="A35" t="s">
        <v>419</v>
      </c>
      <c r="B35">
        <v>280</v>
      </c>
      <c r="C35">
        <v>6</v>
      </c>
    </row>
    <row r="36" spans="1:3" x14ac:dyDescent="0.25">
      <c r="A36" t="s">
        <v>419</v>
      </c>
      <c r="B36">
        <v>237</v>
      </c>
      <c r="C36">
        <v>0</v>
      </c>
    </row>
    <row r="37" spans="1:3" x14ac:dyDescent="0.25">
      <c r="A37" t="s">
        <v>419</v>
      </c>
      <c r="B37">
        <v>325</v>
      </c>
      <c r="C37">
        <v>0</v>
      </c>
    </row>
    <row r="38" spans="1:3" x14ac:dyDescent="0.25">
      <c r="A38" t="s">
        <v>419</v>
      </c>
      <c r="B38">
        <v>280</v>
      </c>
      <c r="C38">
        <v>6</v>
      </c>
    </row>
    <row r="39" spans="1:3" x14ac:dyDescent="0.25">
      <c r="A39" t="s">
        <v>419</v>
      </c>
      <c r="B39">
        <v>280</v>
      </c>
      <c r="C39">
        <v>6</v>
      </c>
    </row>
    <row r="40" spans="1:3" x14ac:dyDescent="0.25">
      <c r="A40" t="s">
        <v>419</v>
      </c>
      <c r="B40">
        <v>237</v>
      </c>
      <c r="C40">
        <v>0</v>
      </c>
    </row>
    <row r="41" spans="1:3" x14ac:dyDescent="0.25">
      <c r="A41" t="s">
        <v>419</v>
      </c>
      <c r="B41">
        <v>325</v>
      </c>
      <c r="C41">
        <v>0</v>
      </c>
    </row>
    <row r="42" spans="1:3" x14ac:dyDescent="0.25">
      <c r="A42" t="s">
        <v>419</v>
      </c>
      <c r="B42">
        <v>280</v>
      </c>
      <c r="C42">
        <v>6</v>
      </c>
    </row>
    <row r="43" spans="1:3" x14ac:dyDescent="0.25">
      <c r="A43" t="s">
        <v>419</v>
      </c>
      <c r="B43">
        <v>280</v>
      </c>
      <c r="C43">
        <v>6</v>
      </c>
    </row>
    <row r="44" spans="1:3" x14ac:dyDescent="0.25">
      <c r="A44" t="s">
        <v>419</v>
      </c>
      <c r="B44">
        <v>237</v>
      </c>
      <c r="C44">
        <v>0</v>
      </c>
    </row>
    <row r="45" spans="1:3" x14ac:dyDescent="0.25">
      <c r="A45" t="s">
        <v>152</v>
      </c>
      <c r="B45">
        <v>400</v>
      </c>
      <c r="C45">
        <v>0</v>
      </c>
    </row>
    <row r="46" spans="1:3" x14ac:dyDescent="0.25">
      <c r="A46" t="s">
        <v>152</v>
      </c>
      <c r="B46">
        <v>400</v>
      </c>
      <c r="C46">
        <v>0</v>
      </c>
    </row>
    <row r="47" spans="1:3" x14ac:dyDescent="0.25">
      <c r="A47" t="s">
        <v>152</v>
      </c>
      <c r="B47">
        <v>400</v>
      </c>
      <c r="C47">
        <v>0</v>
      </c>
    </row>
    <row r="48" spans="1:3" x14ac:dyDescent="0.25">
      <c r="A48" t="s">
        <v>152</v>
      </c>
      <c r="B48">
        <v>396</v>
      </c>
      <c r="C48">
        <v>0</v>
      </c>
    </row>
    <row r="49" spans="1:3" x14ac:dyDescent="0.25">
      <c r="A49" t="s">
        <v>152</v>
      </c>
      <c r="B49">
        <v>209</v>
      </c>
      <c r="C49">
        <v>0</v>
      </c>
    </row>
    <row r="50" spans="1:3" x14ac:dyDescent="0.25">
      <c r="A50" t="s">
        <v>844</v>
      </c>
      <c r="B50">
        <v>125</v>
      </c>
      <c r="C50">
        <v>0</v>
      </c>
    </row>
    <row r="51" spans="1:3" x14ac:dyDescent="0.25">
      <c r="A51" t="s">
        <v>844</v>
      </c>
      <c r="B51">
        <v>26</v>
      </c>
      <c r="C51">
        <v>13</v>
      </c>
    </row>
    <row r="52" spans="1:3" x14ac:dyDescent="0.25">
      <c r="A52" t="s">
        <v>844</v>
      </c>
      <c r="B52">
        <v>26</v>
      </c>
      <c r="C52">
        <v>9</v>
      </c>
    </row>
    <row r="53" spans="1:3" x14ac:dyDescent="0.25">
      <c r="A53" t="s">
        <v>844</v>
      </c>
      <c r="B53">
        <v>125</v>
      </c>
      <c r="C53">
        <v>0</v>
      </c>
    </row>
    <row r="54" spans="1:3" x14ac:dyDescent="0.25">
      <c r="A54" t="s">
        <v>844</v>
      </c>
      <c r="B54">
        <v>26</v>
      </c>
      <c r="C54">
        <v>13</v>
      </c>
    </row>
    <row r="55" spans="1:3" x14ac:dyDescent="0.25">
      <c r="A55" t="s">
        <v>844</v>
      </c>
      <c r="B55">
        <v>26</v>
      </c>
      <c r="C55">
        <v>9</v>
      </c>
    </row>
    <row r="56" spans="1:3" x14ac:dyDescent="0.25">
      <c r="A56" t="s">
        <v>844</v>
      </c>
      <c r="B56">
        <v>125</v>
      </c>
      <c r="C56">
        <v>0</v>
      </c>
    </row>
    <row r="57" spans="1:3" x14ac:dyDescent="0.25">
      <c r="A57" t="s">
        <v>844</v>
      </c>
      <c r="B57">
        <v>26</v>
      </c>
      <c r="C57">
        <v>13</v>
      </c>
    </row>
    <row r="58" spans="1:3" x14ac:dyDescent="0.25">
      <c r="A58" t="s">
        <v>844</v>
      </c>
      <c r="B58">
        <v>26</v>
      </c>
      <c r="C58">
        <v>9</v>
      </c>
    </row>
    <row r="59" spans="1:3" x14ac:dyDescent="0.25">
      <c r="A59" t="s">
        <v>844</v>
      </c>
      <c r="B59">
        <v>125</v>
      </c>
      <c r="C59">
        <v>0</v>
      </c>
    </row>
    <row r="60" spans="1:3" x14ac:dyDescent="0.25">
      <c r="A60" t="s">
        <v>844</v>
      </c>
      <c r="B60">
        <v>26</v>
      </c>
      <c r="C60">
        <v>13</v>
      </c>
    </row>
    <row r="61" spans="1:3" x14ac:dyDescent="0.25">
      <c r="A61" t="s">
        <v>844</v>
      </c>
      <c r="B61">
        <v>26</v>
      </c>
      <c r="C61">
        <v>9</v>
      </c>
    </row>
    <row r="62" spans="1:3" x14ac:dyDescent="0.25">
      <c r="A62" t="s">
        <v>844</v>
      </c>
      <c r="B62">
        <v>125</v>
      </c>
      <c r="C62">
        <v>0</v>
      </c>
    </row>
    <row r="63" spans="1:3" x14ac:dyDescent="0.25">
      <c r="A63" t="s">
        <v>844</v>
      </c>
      <c r="B63">
        <v>26</v>
      </c>
      <c r="C63">
        <v>13</v>
      </c>
    </row>
    <row r="64" spans="1:3" x14ac:dyDescent="0.25">
      <c r="A64" t="s">
        <v>844</v>
      </c>
      <c r="B64">
        <v>26</v>
      </c>
      <c r="C64">
        <v>9</v>
      </c>
    </row>
    <row r="65" spans="1:3" x14ac:dyDescent="0.25">
      <c r="A65" t="s">
        <v>844</v>
      </c>
      <c r="B65">
        <v>125</v>
      </c>
      <c r="C65">
        <v>0</v>
      </c>
    </row>
    <row r="66" spans="1:3" x14ac:dyDescent="0.25">
      <c r="A66" t="s">
        <v>844</v>
      </c>
      <c r="B66">
        <v>26</v>
      </c>
      <c r="C66">
        <v>13</v>
      </c>
    </row>
    <row r="67" spans="1:3" x14ac:dyDescent="0.25">
      <c r="A67" t="s">
        <v>844</v>
      </c>
      <c r="B67">
        <v>26</v>
      </c>
      <c r="C67">
        <v>9</v>
      </c>
    </row>
    <row r="68" spans="1:3" x14ac:dyDescent="0.25">
      <c r="A68" t="s">
        <v>47</v>
      </c>
      <c r="B68">
        <v>409</v>
      </c>
      <c r="C68">
        <v>0</v>
      </c>
    </row>
    <row r="69" spans="1:3" x14ac:dyDescent="0.25">
      <c r="A69" t="s">
        <v>47</v>
      </c>
      <c r="B69">
        <v>409</v>
      </c>
      <c r="C69">
        <v>0</v>
      </c>
    </row>
    <row r="70" spans="1:3" x14ac:dyDescent="0.25">
      <c r="A70" t="s">
        <v>47</v>
      </c>
      <c r="B70">
        <v>403</v>
      </c>
      <c r="C70">
        <v>14</v>
      </c>
    </row>
    <row r="71" spans="1:3" x14ac:dyDescent="0.25">
      <c r="A71" t="s">
        <v>47</v>
      </c>
      <c r="B71">
        <v>403</v>
      </c>
      <c r="C71">
        <v>18</v>
      </c>
    </row>
    <row r="72" spans="1:3" x14ac:dyDescent="0.25">
      <c r="A72" t="s">
        <v>47</v>
      </c>
      <c r="B72">
        <v>403</v>
      </c>
      <c r="C72">
        <v>19</v>
      </c>
    </row>
    <row r="73" spans="1:3" x14ac:dyDescent="0.25">
      <c r="A73" t="s">
        <v>47</v>
      </c>
      <c r="B73">
        <v>384</v>
      </c>
      <c r="C73">
        <v>0</v>
      </c>
    </row>
    <row r="74" spans="1:3" x14ac:dyDescent="0.25">
      <c r="A74" t="s">
        <v>47</v>
      </c>
      <c r="B74">
        <v>379</v>
      </c>
      <c r="C74">
        <v>1</v>
      </c>
    </row>
    <row r="75" spans="1:3" x14ac:dyDescent="0.25">
      <c r="A75" t="s">
        <v>47</v>
      </c>
      <c r="B75">
        <v>379</v>
      </c>
      <c r="C75">
        <v>3</v>
      </c>
    </row>
    <row r="76" spans="1:3" x14ac:dyDescent="0.25">
      <c r="A76" t="s">
        <v>47</v>
      </c>
      <c r="B76">
        <v>378</v>
      </c>
      <c r="C76">
        <v>19</v>
      </c>
    </row>
    <row r="77" spans="1:3" x14ac:dyDescent="0.25">
      <c r="A77" t="s">
        <v>47</v>
      </c>
      <c r="B77">
        <v>375</v>
      </c>
      <c r="C77">
        <v>1</v>
      </c>
    </row>
    <row r="78" spans="1:3" x14ac:dyDescent="0.25">
      <c r="A78" t="s">
        <v>47</v>
      </c>
      <c r="B78">
        <v>374</v>
      </c>
      <c r="C78">
        <v>13</v>
      </c>
    </row>
    <row r="79" spans="1:3" x14ac:dyDescent="0.25">
      <c r="A79" t="s">
        <v>47</v>
      </c>
      <c r="B79">
        <v>364</v>
      </c>
      <c r="C79">
        <v>0</v>
      </c>
    </row>
    <row r="80" spans="1:3" x14ac:dyDescent="0.25">
      <c r="A80" t="s">
        <v>47</v>
      </c>
      <c r="B80">
        <v>355</v>
      </c>
      <c r="C80">
        <v>23</v>
      </c>
    </row>
    <row r="81" spans="1:3" x14ac:dyDescent="0.25">
      <c r="A81" t="s">
        <v>47</v>
      </c>
      <c r="B81">
        <v>343</v>
      </c>
      <c r="C81">
        <v>23</v>
      </c>
    </row>
    <row r="82" spans="1:3" x14ac:dyDescent="0.25">
      <c r="A82" t="s">
        <v>47</v>
      </c>
      <c r="B82">
        <v>338</v>
      </c>
      <c r="C82">
        <v>0</v>
      </c>
    </row>
    <row r="83" spans="1:3" x14ac:dyDescent="0.25">
      <c r="A83" t="s">
        <v>47</v>
      </c>
      <c r="B83">
        <v>334</v>
      </c>
      <c r="C83">
        <v>5</v>
      </c>
    </row>
    <row r="84" spans="1:3" x14ac:dyDescent="0.25">
      <c r="A84" t="s">
        <v>47</v>
      </c>
      <c r="B84">
        <v>306</v>
      </c>
    </row>
    <row r="85" spans="1:3" x14ac:dyDescent="0.25">
      <c r="A85" t="s">
        <v>47</v>
      </c>
      <c r="B85">
        <v>303</v>
      </c>
      <c r="C85">
        <v>2</v>
      </c>
    </row>
    <row r="86" spans="1:3" x14ac:dyDescent="0.25">
      <c r="A86" t="s">
        <v>47</v>
      </c>
      <c r="B86">
        <v>298</v>
      </c>
      <c r="C86">
        <v>1</v>
      </c>
    </row>
    <row r="87" spans="1:3" x14ac:dyDescent="0.25">
      <c r="A87" t="s">
        <v>47</v>
      </c>
      <c r="B87">
        <v>293</v>
      </c>
      <c r="C87">
        <v>2</v>
      </c>
    </row>
    <row r="88" spans="1:3" x14ac:dyDescent="0.25">
      <c r="A88" t="s">
        <v>47</v>
      </c>
      <c r="B88">
        <v>286</v>
      </c>
      <c r="C88">
        <v>20</v>
      </c>
    </row>
    <row r="89" spans="1:3" x14ac:dyDescent="0.25">
      <c r="A89" t="s">
        <v>47</v>
      </c>
      <c r="B89">
        <v>276</v>
      </c>
      <c r="C89">
        <v>21</v>
      </c>
    </row>
    <row r="90" spans="1:3" x14ac:dyDescent="0.25">
      <c r="A90" t="s">
        <v>47</v>
      </c>
      <c r="B90">
        <v>260</v>
      </c>
      <c r="C90">
        <v>19</v>
      </c>
    </row>
    <row r="91" spans="1:3" x14ac:dyDescent="0.25">
      <c r="A91" t="s">
        <v>47</v>
      </c>
      <c r="B91">
        <v>256</v>
      </c>
      <c r="C91">
        <v>5</v>
      </c>
    </row>
    <row r="92" spans="1:3" x14ac:dyDescent="0.25">
      <c r="A92" t="s">
        <v>47</v>
      </c>
      <c r="B92">
        <v>254</v>
      </c>
      <c r="C92">
        <v>12</v>
      </c>
    </row>
    <row r="93" spans="1:3" x14ac:dyDescent="0.25">
      <c r="A93" t="s">
        <v>47</v>
      </c>
      <c r="B93">
        <v>246</v>
      </c>
      <c r="C93">
        <v>0</v>
      </c>
    </row>
    <row r="94" spans="1:3" x14ac:dyDescent="0.25">
      <c r="A94" t="s">
        <v>47</v>
      </c>
      <c r="B94">
        <v>245</v>
      </c>
      <c r="C94">
        <v>15</v>
      </c>
    </row>
    <row r="95" spans="1:3" x14ac:dyDescent="0.25">
      <c r="A95" t="s">
        <v>47</v>
      </c>
      <c r="B95">
        <v>243</v>
      </c>
      <c r="C95">
        <v>23</v>
      </c>
    </row>
    <row r="96" spans="1:3" x14ac:dyDescent="0.25">
      <c r="A96" t="s">
        <v>47</v>
      </c>
      <c r="B96">
        <v>236</v>
      </c>
      <c r="C96">
        <v>7</v>
      </c>
    </row>
    <row r="97" spans="1:3" x14ac:dyDescent="0.25">
      <c r="A97" t="s">
        <v>47</v>
      </c>
      <c r="B97">
        <v>222</v>
      </c>
      <c r="C97">
        <v>23</v>
      </c>
    </row>
    <row r="98" spans="1:3" x14ac:dyDescent="0.25">
      <c r="A98" t="s">
        <v>47</v>
      </c>
      <c r="B98">
        <v>211</v>
      </c>
      <c r="C98">
        <v>25</v>
      </c>
    </row>
    <row r="99" spans="1:3" x14ac:dyDescent="0.25">
      <c r="A99" t="s">
        <v>47</v>
      </c>
      <c r="B99">
        <v>161</v>
      </c>
      <c r="C99">
        <v>4</v>
      </c>
    </row>
    <row r="100" spans="1:3" x14ac:dyDescent="0.25">
      <c r="A100" t="s">
        <v>47</v>
      </c>
      <c r="B100">
        <v>157</v>
      </c>
      <c r="C100">
        <v>20</v>
      </c>
    </row>
    <row r="101" spans="1:3" x14ac:dyDescent="0.25">
      <c r="A101" t="s">
        <v>47</v>
      </c>
      <c r="B101">
        <v>145</v>
      </c>
      <c r="C101">
        <v>0</v>
      </c>
    </row>
    <row r="102" spans="1:3" x14ac:dyDescent="0.25">
      <c r="A102" t="s">
        <v>47</v>
      </c>
      <c r="B102">
        <v>119</v>
      </c>
      <c r="C102">
        <v>22</v>
      </c>
    </row>
    <row r="103" spans="1:3" x14ac:dyDescent="0.25">
      <c r="A103" t="s">
        <v>47</v>
      </c>
      <c r="B103">
        <v>119</v>
      </c>
      <c r="C103">
        <v>17</v>
      </c>
    </row>
    <row r="104" spans="1:3" x14ac:dyDescent="0.25">
      <c r="A104" t="s">
        <v>47</v>
      </c>
      <c r="B104">
        <v>119</v>
      </c>
      <c r="C104">
        <v>22</v>
      </c>
    </row>
    <row r="105" spans="1:3" x14ac:dyDescent="0.25">
      <c r="A105" t="s">
        <v>47</v>
      </c>
      <c r="B105">
        <v>106</v>
      </c>
      <c r="C105">
        <v>22</v>
      </c>
    </row>
    <row r="106" spans="1:3" x14ac:dyDescent="0.25">
      <c r="A106" t="s">
        <v>47</v>
      </c>
      <c r="B106">
        <v>99</v>
      </c>
      <c r="C106">
        <v>20</v>
      </c>
    </row>
    <row r="107" spans="1:3" x14ac:dyDescent="0.25">
      <c r="A107" t="s">
        <v>47</v>
      </c>
      <c r="B107">
        <v>99</v>
      </c>
      <c r="C107">
        <v>20</v>
      </c>
    </row>
    <row r="108" spans="1:3" x14ac:dyDescent="0.25">
      <c r="A108" t="s">
        <v>47</v>
      </c>
      <c r="B108">
        <v>97</v>
      </c>
      <c r="C108">
        <v>9</v>
      </c>
    </row>
    <row r="109" spans="1:3" x14ac:dyDescent="0.25">
      <c r="A109" t="s">
        <v>47</v>
      </c>
      <c r="B109">
        <v>97</v>
      </c>
      <c r="C109">
        <v>9</v>
      </c>
    </row>
    <row r="110" spans="1:3" x14ac:dyDescent="0.25">
      <c r="A110" t="s">
        <v>47</v>
      </c>
      <c r="B110">
        <v>67</v>
      </c>
      <c r="C110">
        <v>0</v>
      </c>
    </row>
    <row r="111" spans="1:3" x14ac:dyDescent="0.25">
      <c r="A111" t="s">
        <v>47</v>
      </c>
      <c r="B111">
        <v>67</v>
      </c>
      <c r="C111">
        <v>5</v>
      </c>
    </row>
    <row r="112" spans="1:3" x14ac:dyDescent="0.25">
      <c r="A112" t="s">
        <v>47</v>
      </c>
      <c r="B112">
        <v>63</v>
      </c>
      <c r="C112">
        <v>19</v>
      </c>
    </row>
    <row r="113" spans="1:3" x14ac:dyDescent="0.25">
      <c r="A113" t="s">
        <v>47</v>
      </c>
      <c r="B113">
        <v>63</v>
      </c>
      <c r="C113">
        <v>15</v>
      </c>
    </row>
    <row r="114" spans="1:3" x14ac:dyDescent="0.25">
      <c r="A114" t="s">
        <v>47</v>
      </c>
      <c r="B114">
        <v>60</v>
      </c>
      <c r="C114">
        <v>0</v>
      </c>
    </row>
    <row r="115" spans="1:3" x14ac:dyDescent="0.25">
      <c r="A115" t="s">
        <v>47</v>
      </c>
      <c r="B115">
        <v>46</v>
      </c>
      <c r="C115">
        <v>0</v>
      </c>
    </row>
    <row r="116" spans="1:3" x14ac:dyDescent="0.25">
      <c r="A116" t="s">
        <v>47</v>
      </c>
      <c r="B116">
        <v>34</v>
      </c>
      <c r="C116">
        <v>4</v>
      </c>
    </row>
    <row r="117" spans="1:3" x14ac:dyDescent="0.25">
      <c r="A117" t="s">
        <v>47</v>
      </c>
      <c r="B117">
        <v>30</v>
      </c>
      <c r="C117">
        <v>8</v>
      </c>
    </row>
    <row r="118" spans="1:3" x14ac:dyDescent="0.25">
      <c r="A118" t="s">
        <v>47</v>
      </c>
      <c r="B118">
        <v>358</v>
      </c>
      <c r="C118">
        <v>3</v>
      </c>
    </row>
    <row r="119" spans="1:3" x14ac:dyDescent="0.25">
      <c r="A119" t="s">
        <v>47</v>
      </c>
      <c r="B119">
        <v>355</v>
      </c>
      <c r="C119">
        <v>23</v>
      </c>
    </row>
    <row r="120" spans="1:3" x14ac:dyDescent="0.25">
      <c r="A120" t="s">
        <v>47</v>
      </c>
      <c r="B120">
        <v>343</v>
      </c>
      <c r="C120">
        <v>23</v>
      </c>
    </row>
    <row r="121" spans="1:3" x14ac:dyDescent="0.25">
      <c r="A121" t="s">
        <v>47</v>
      </c>
      <c r="B121">
        <v>338</v>
      </c>
      <c r="C121">
        <v>0</v>
      </c>
    </row>
    <row r="122" spans="1:3" x14ac:dyDescent="0.25">
      <c r="A122" t="s">
        <v>47</v>
      </c>
      <c r="B122">
        <v>334</v>
      </c>
      <c r="C122">
        <v>5</v>
      </c>
    </row>
    <row r="123" spans="1:3" x14ac:dyDescent="0.25">
      <c r="A123" t="s">
        <v>47</v>
      </c>
      <c r="B123">
        <v>306</v>
      </c>
    </row>
    <row r="124" spans="1:3" x14ac:dyDescent="0.25">
      <c r="A124" t="s">
        <v>47</v>
      </c>
      <c r="B124">
        <v>303</v>
      </c>
      <c r="C124">
        <v>2</v>
      </c>
    </row>
    <row r="125" spans="1:3" x14ac:dyDescent="0.25">
      <c r="A125" t="s">
        <v>47</v>
      </c>
      <c r="B125">
        <v>298</v>
      </c>
      <c r="C125">
        <v>1</v>
      </c>
    </row>
    <row r="126" spans="1:3" x14ac:dyDescent="0.25">
      <c r="A126" t="s">
        <v>47</v>
      </c>
      <c r="B126">
        <v>293</v>
      </c>
      <c r="C126">
        <v>2</v>
      </c>
    </row>
    <row r="127" spans="1:3" x14ac:dyDescent="0.25">
      <c r="A127" t="s">
        <v>47</v>
      </c>
      <c r="B127">
        <v>286</v>
      </c>
      <c r="C127">
        <v>20</v>
      </c>
    </row>
    <row r="128" spans="1:3" x14ac:dyDescent="0.25">
      <c r="A128" t="s">
        <v>47</v>
      </c>
      <c r="B128">
        <v>276</v>
      </c>
      <c r="C128">
        <v>21</v>
      </c>
    </row>
    <row r="129" spans="1:3" x14ac:dyDescent="0.25">
      <c r="A129" t="s">
        <v>47</v>
      </c>
      <c r="B129">
        <v>260</v>
      </c>
      <c r="C129">
        <v>19</v>
      </c>
    </row>
    <row r="130" spans="1:3" x14ac:dyDescent="0.25">
      <c r="A130" t="s">
        <v>47</v>
      </c>
      <c r="B130">
        <v>256</v>
      </c>
      <c r="C130">
        <v>5</v>
      </c>
    </row>
    <row r="131" spans="1:3" x14ac:dyDescent="0.25">
      <c r="A131" t="s">
        <v>47</v>
      </c>
      <c r="B131">
        <v>254</v>
      </c>
      <c r="C131">
        <v>12</v>
      </c>
    </row>
    <row r="132" spans="1:3" x14ac:dyDescent="0.25">
      <c r="A132" t="s">
        <v>47</v>
      </c>
      <c r="B132">
        <v>246</v>
      </c>
      <c r="C132">
        <v>0</v>
      </c>
    </row>
    <row r="133" spans="1:3" x14ac:dyDescent="0.25">
      <c r="A133" t="s">
        <v>47</v>
      </c>
      <c r="B133">
        <v>245</v>
      </c>
      <c r="C133">
        <v>15</v>
      </c>
    </row>
    <row r="134" spans="1:3" x14ac:dyDescent="0.25">
      <c r="A134" t="s">
        <v>47</v>
      </c>
      <c r="B134">
        <v>243</v>
      </c>
      <c r="C134">
        <v>23</v>
      </c>
    </row>
    <row r="135" spans="1:3" x14ac:dyDescent="0.25">
      <c r="A135" t="s">
        <v>47</v>
      </c>
      <c r="B135">
        <v>236</v>
      </c>
      <c r="C135">
        <v>7</v>
      </c>
    </row>
    <row r="136" spans="1:3" x14ac:dyDescent="0.25">
      <c r="A136" t="s">
        <v>47</v>
      </c>
      <c r="B136">
        <v>222</v>
      </c>
      <c r="C136">
        <v>23</v>
      </c>
    </row>
    <row r="137" spans="1:3" x14ac:dyDescent="0.25">
      <c r="A137" t="s">
        <v>47</v>
      </c>
      <c r="B137">
        <v>211</v>
      </c>
      <c r="C137">
        <v>25</v>
      </c>
    </row>
    <row r="138" spans="1:3" x14ac:dyDescent="0.25">
      <c r="A138" t="s">
        <v>47</v>
      </c>
      <c r="B138">
        <v>161</v>
      </c>
      <c r="C138">
        <v>4</v>
      </c>
    </row>
    <row r="139" spans="1:3" x14ac:dyDescent="0.25">
      <c r="A139" t="s">
        <v>47</v>
      </c>
      <c r="B139">
        <v>157</v>
      </c>
      <c r="C139">
        <v>20</v>
      </c>
    </row>
    <row r="140" spans="1:3" x14ac:dyDescent="0.25">
      <c r="A140" t="s">
        <v>47</v>
      </c>
      <c r="B140">
        <v>145</v>
      </c>
      <c r="C140">
        <v>0</v>
      </c>
    </row>
    <row r="141" spans="1:3" x14ac:dyDescent="0.25">
      <c r="A141" t="s">
        <v>47</v>
      </c>
      <c r="B141">
        <v>119</v>
      </c>
      <c r="C141">
        <v>22</v>
      </c>
    </row>
    <row r="142" spans="1:3" x14ac:dyDescent="0.25">
      <c r="A142" t="s">
        <v>47</v>
      </c>
      <c r="B142">
        <v>119</v>
      </c>
      <c r="C142">
        <v>17</v>
      </c>
    </row>
    <row r="143" spans="1:3" x14ac:dyDescent="0.25">
      <c r="A143" t="s">
        <v>47</v>
      </c>
      <c r="B143">
        <v>119</v>
      </c>
      <c r="C143">
        <v>22</v>
      </c>
    </row>
    <row r="144" spans="1:3" x14ac:dyDescent="0.25">
      <c r="A144" t="s">
        <v>47</v>
      </c>
      <c r="B144">
        <v>106</v>
      </c>
      <c r="C144">
        <v>22</v>
      </c>
    </row>
    <row r="145" spans="1:3" x14ac:dyDescent="0.25">
      <c r="A145" t="s">
        <v>47</v>
      </c>
      <c r="B145">
        <v>99</v>
      </c>
      <c r="C145">
        <v>20</v>
      </c>
    </row>
    <row r="146" spans="1:3" x14ac:dyDescent="0.25">
      <c r="A146" t="s">
        <v>47</v>
      </c>
      <c r="B146">
        <v>99</v>
      </c>
      <c r="C146">
        <v>20</v>
      </c>
    </row>
    <row r="147" spans="1:3" x14ac:dyDescent="0.25">
      <c r="A147" t="s">
        <v>47</v>
      </c>
      <c r="B147">
        <v>97</v>
      </c>
      <c r="C147">
        <v>9</v>
      </c>
    </row>
    <row r="148" spans="1:3" x14ac:dyDescent="0.25">
      <c r="A148" t="s">
        <v>47</v>
      </c>
      <c r="B148">
        <v>97</v>
      </c>
      <c r="C148">
        <v>9</v>
      </c>
    </row>
    <row r="149" spans="1:3" x14ac:dyDescent="0.25">
      <c r="A149" t="s">
        <v>47</v>
      </c>
      <c r="B149">
        <v>67</v>
      </c>
      <c r="C149">
        <v>0</v>
      </c>
    </row>
    <row r="150" spans="1:3" x14ac:dyDescent="0.25">
      <c r="A150" t="s">
        <v>47</v>
      </c>
      <c r="B150">
        <v>67</v>
      </c>
      <c r="C150">
        <v>5</v>
      </c>
    </row>
    <row r="151" spans="1:3" x14ac:dyDescent="0.25">
      <c r="A151" t="s">
        <v>47</v>
      </c>
      <c r="B151">
        <v>63</v>
      </c>
      <c r="C151">
        <v>19</v>
      </c>
    </row>
    <row r="152" spans="1:3" x14ac:dyDescent="0.25">
      <c r="A152" t="s">
        <v>47</v>
      </c>
      <c r="B152">
        <v>63</v>
      </c>
      <c r="C152">
        <v>15</v>
      </c>
    </row>
    <row r="153" spans="1:3" x14ac:dyDescent="0.25">
      <c r="A153" t="s">
        <v>47</v>
      </c>
      <c r="B153">
        <v>60</v>
      </c>
      <c r="C153">
        <v>0</v>
      </c>
    </row>
    <row r="154" spans="1:3" x14ac:dyDescent="0.25">
      <c r="A154" t="s">
        <v>47</v>
      </c>
      <c r="B154">
        <v>46</v>
      </c>
      <c r="C154">
        <v>0</v>
      </c>
    </row>
    <row r="155" spans="1:3" x14ac:dyDescent="0.25">
      <c r="A155" t="s">
        <v>47</v>
      </c>
      <c r="B155">
        <v>34</v>
      </c>
      <c r="C155">
        <v>4</v>
      </c>
    </row>
    <row r="156" spans="1:3" x14ac:dyDescent="0.25">
      <c r="A156" t="s">
        <v>47</v>
      </c>
      <c r="B156">
        <v>30</v>
      </c>
      <c r="C156">
        <v>8</v>
      </c>
    </row>
    <row r="157" spans="1:3" x14ac:dyDescent="0.25">
      <c r="A157" t="s">
        <v>47</v>
      </c>
      <c r="B157">
        <v>409</v>
      </c>
      <c r="C157">
        <v>0</v>
      </c>
    </row>
    <row r="158" spans="1:3" x14ac:dyDescent="0.25">
      <c r="A158" t="s">
        <v>47</v>
      </c>
      <c r="B158">
        <v>409</v>
      </c>
      <c r="C158">
        <v>0</v>
      </c>
    </row>
    <row r="159" spans="1:3" x14ac:dyDescent="0.25">
      <c r="A159" t="s">
        <v>47</v>
      </c>
      <c r="B159">
        <v>403</v>
      </c>
      <c r="C159">
        <v>14</v>
      </c>
    </row>
    <row r="160" spans="1:3" x14ac:dyDescent="0.25">
      <c r="A160" t="s">
        <v>47</v>
      </c>
      <c r="B160">
        <v>403</v>
      </c>
      <c r="C160">
        <v>18</v>
      </c>
    </row>
    <row r="161" spans="1:3" x14ac:dyDescent="0.25">
      <c r="A161" t="s">
        <v>47</v>
      </c>
      <c r="B161">
        <v>403</v>
      </c>
      <c r="C161">
        <v>19</v>
      </c>
    </row>
    <row r="162" spans="1:3" x14ac:dyDescent="0.25">
      <c r="A162" t="s">
        <v>47</v>
      </c>
      <c r="B162">
        <v>384</v>
      </c>
      <c r="C162">
        <v>0</v>
      </c>
    </row>
    <row r="163" spans="1:3" x14ac:dyDescent="0.25">
      <c r="A163" t="s">
        <v>47</v>
      </c>
      <c r="B163">
        <v>379</v>
      </c>
      <c r="C163">
        <v>1</v>
      </c>
    </row>
    <row r="164" spans="1:3" x14ac:dyDescent="0.25">
      <c r="A164" t="s">
        <v>47</v>
      </c>
      <c r="B164">
        <v>379</v>
      </c>
      <c r="C164">
        <v>3</v>
      </c>
    </row>
    <row r="165" spans="1:3" x14ac:dyDescent="0.25">
      <c r="A165" t="s">
        <v>47</v>
      </c>
      <c r="B165">
        <v>378</v>
      </c>
      <c r="C165">
        <v>19</v>
      </c>
    </row>
    <row r="166" spans="1:3" x14ac:dyDescent="0.25">
      <c r="A166" t="s">
        <v>47</v>
      </c>
      <c r="B166">
        <v>375</v>
      </c>
      <c r="C166">
        <v>1</v>
      </c>
    </row>
    <row r="167" spans="1:3" x14ac:dyDescent="0.25">
      <c r="A167" t="s">
        <v>47</v>
      </c>
      <c r="B167">
        <v>374</v>
      </c>
      <c r="C167">
        <v>13</v>
      </c>
    </row>
    <row r="168" spans="1:3" x14ac:dyDescent="0.25">
      <c r="A168" t="s">
        <v>47</v>
      </c>
      <c r="B168">
        <v>364</v>
      </c>
      <c r="C168">
        <v>0</v>
      </c>
    </row>
    <row r="169" spans="1:3" x14ac:dyDescent="0.25">
      <c r="A169" t="s">
        <v>47</v>
      </c>
      <c r="B169">
        <v>355</v>
      </c>
      <c r="C169">
        <v>23</v>
      </c>
    </row>
    <row r="170" spans="1:3" x14ac:dyDescent="0.25">
      <c r="A170" t="s">
        <v>47</v>
      </c>
      <c r="B170">
        <v>343</v>
      </c>
      <c r="C170">
        <v>23</v>
      </c>
    </row>
    <row r="171" spans="1:3" x14ac:dyDescent="0.25">
      <c r="A171" t="s">
        <v>47</v>
      </c>
      <c r="B171">
        <v>338</v>
      </c>
      <c r="C171">
        <v>0</v>
      </c>
    </row>
    <row r="172" spans="1:3" x14ac:dyDescent="0.25">
      <c r="A172" t="s">
        <v>47</v>
      </c>
      <c r="B172">
        <v>334</v>
      </c>
      <c r="C172">
        <v>5</v>
      </c>
    </row>
    <row r="173" spans="1:3" x14ac:dyDescent="0.25">
      <c r="A173" t="s">
        <v>47</v>
      </c>
      <c r="B173">
        <v>306</v>
      </c>
    </row>
    <row r="174" spans="1:3" x14ac:dyDescent="0.25">
      <c r="A174" t="s">
        <v>47</v>
      </c>
      <c r="B174">
        <v>303</v>
      </c>
      <c r="C174">
        <v>2</v>
      </c>
    </row>
    <row r="175" spans="1:3" x14ac:dyDescent="0.25">
      <c r="A175" t="s">
        <v>47</v>
      </c>
      <c r="B175">
        <v>298</v>
      </c>
      <c r="C175">
        <v>1</v>
      </c>
    </row>
    <row r="176" spans="1:3" x14ac:dyDescent="0.25">
      <c r="A176" t="s">
        <v>47</v>
      </c>
      <c r="B176">
        <v>293</v>
      </c>
      <c r="C176">
        <v>2</v>
      </c>
    </row>
    <row r="177" spans="1:3" x14ac:dyDescent="0.25">
      <c r="A177" t="s">
        <v>47</v>
      </c>
      <c r="B177">
        <v>286</v>
      </c>
      <c r="C177">
        <v>20</v>
      </c>
    </row>
    <row r="178" spans="1:3" x14ac:dyDescent="0.25">
      <c r="A178" t="s">
        <v>47</v>
      </c>
      <c r="B178">
        <v>276</v>
      </c>
      <c r="C178">
        <v>21</v>
      </c>
    </row>
    <row r="179" spans="1:3" x14ac:dyDescent="0.25">
      <c r="A179" t="s">
        <v>47</v>
      </c>
      <c r="B179">
        <v>260</v>
      </c>
      <c r="C179">
        <v>19</v>
      </c>
    </row>
    <row r="180" spans="1:3" x14ac:dyDescent="0.25">
      <c r="A180" t="s">
        <v>47</v>
      </c>
      <c r="B180">
        <v>256</v>
      </c>
      <c r="C180">
        <v>5</v>
      </c>
    </row>
    <row r="181" spans="1:3" x14ac:dyDescent="0.25">
      <c r="A181" t="s">
        <v>47</v>
      </c>
      <c r="B181">
        <v>254</v>
      </c>
      <c r="C181">
        <v>12</v>
      </c>
    </row>
    <row r="182" spans="1:3" x14ac:dyDescent="0.25">
      <c r="A182" t="s">
        <v>47</v>
      </c>
      <c r="B182">
        <v>246</v>
      </c>
      <c r="C182">
        <v>0</v>
      </c>
    </row>
    <row r="183" spans="1:3" x14ac:dyDescent="0.25">
      <c r="A183" t="s">
        <v>47</v>
      </c>
      <c r="B183">
        <v>245</v>
      </c>
      <c r="C183">
        <v>15</v>
      </c>
    </row>
    <row r="184" spans="1:3" x14ac:dyDescent="0.25">
      <c r="A184" t="s">
        <v>47</v>
      </c>
      <c r="B184">
        <v>243</v>
      </c>
      <c r="C184">
        <v>23</v>
      </c>
    </row>
    <row r="185" spans="1:3" x14ac:dyDescent="0.25">
      <c r="A185" t="s">
        <v>47</v>
      </c>
      <c r="B185">
        <v>236</v>
      </c>
      <c r="C185">
        <v>7</v>
      </c>
    </row>
    <row r="186" spans="1:3" x14ac:dyDescent="0.25">
      <c r="A186" t="s">
        <v>47</v>
      </c>
      <c r="B186">
        <v>222</v>
      </c>
      <c r="C186">
        <v>23</v>
      </c>
    </row>
    <row r="187" spans="1:3" x14ac:dyDescent="0.25">
      <c r="A187" t="s">
        <v>47</v>
      </c>
      <c r="B187">
        <v>211</v>
      </c>
      <c r="C187">
        <v>25</v>
      </c>
    </row>
    <row r="188" spans="1:3" x14ac:dyDescent="0.25">
      <c r="A188" t="s">
        <v>47</v>
      </c>
      <c r="B188">
        <v>161</v>
      </c>
      <c r="C188">
        <v>4</v>
      </c>
    </row>
    <row r="189" spans="1:3" x14ac:dyDescent="0.25">
      <c r="A189" t="s">
        <v>47</v>
      </c>
      <c r="B189">
        <v>157</v>
      </c>
      <c r="C189">
        <v>20</v>
      </c>
    </row>
    <row r="190" spans="1:3" x14ac:dyDescent="0.25">
      <c r="A190" t="s">
        <v>47</v>
      </c>
      <c r="B190">
        <v>145</v>
      </c>
      <c r="C190">
        <v>0</v>
      </c>
    </row>
    <row r="191" spans="1:3" x14ac:dyDescent="0.25">
      <c r="A191" t="s">
        <v>47</v>
      </c>
      <c r="B191">
        <v>119</v>
      </c>
      <c r="C191">
        <v>22</v>
      </c>
    </row>
    <row r="192" spans="1:3" x14ac:dyDescent="0.25">
      <c r="A192" t="s">
        <v>47</v>
      </c>
      <c r="B192">
        <v>119</v>
      </c>
      <c r="C192">
        <v>17</v>
      </c>
    </row>
    <row r="193" spans="1:3" x14ac:dyDescent="0.25">
      <c r="A193" t="s">
        <v>47</v>
      </c>
      <c r="B193">
        <v>119</v>
      </c>
      <c r="C193">
        <v>22</v>
      </c>
    </row>
    <row r="194" spans="1:3" x14ac:dyDescent="0.25">
      <c r="A194" t="s">
        <v>47</v>
      </c>
      <c r="B194">
        <v>106</v>
      </c>
      <c r="C194">
        <v>22</v>
      </c>
    </row>
    <row r="195" spans="1:3" x14ac:dyDescent="0.25">
      <c r="A195" t="s">
        <v>47</v>
      </c>
      <c r="B195">
        <v>99</v>
      </c>
      <c r="C195">
        <v>20</v>
      </c>
    </row>
    <row r="196" spans="1:3" x14ac:dyDescent="0.25">
      <c r="A196" t="s">
        <v>47</v>
      </c>
      <c r="B196">
        <v>99</v>
      </c>
      <c r="C196">
        <v>20</v>
      </c>
    </row>
    <row r="197" spans="1:3" x14ac:dyDescent="0.25">
      <c r="A197" t="s">
        <v>47</v>
      </c>
      <c r="B197">
        <v>97</v>
      </c>
      <c r="C197">
        <v>9</v>
      </c>
    </row>
    <row r="198" spans="1:3" x14ac:dyDescent="0.25">
      <c r="A198" t="s">
        <v>47</v>
      </c>
      <c r="B198">
        <v>97</v>
      </c>
      <c r="C198">
        <v>9</v>
      </c>
    </row>
    <row r="199" spans="1:3" x14ac:dyDescent="0.25">
      <c r="A199" t="s">
        <v>47</v>
      </c>
      <c r="B199">
        <v>67</v>
      </c>
      <c r="C199">
        <v>0</v>
      </c>
    </row>
    <row r="200" spans="1:3" x14ac:dyDescent="0.25">
      <c r="A200" t="s">
        <v>47</v>
      </c>
      <c r="B200">
        <v>67</v>
      </c>
      <c r="C200">
        <v>5</v>
      </c>
    </row>
    <row r="201" spans="1:3" x14ac:dyDescent="0.25">
      <c r="A201" t="s">
        <v>47</v>
      </c>
      <c r="B201">
        <v>63</v>
      </c>
      <c r="C201">
        <v>19</v>
      </c>
    </row>
    <row r="202" spans="1:3" x14ac:dyDescent="0.25">
      <c r="A202" t="s">
        <v>47</v>
      </c>
      <c r="B202">
        <v>63</v>
      </c>
      <c r="C202">
        <v>15</v>
      </c>
    </row>
    <row r="203" spans="1:3" x14ac:dyDescent="0.25">
      <c r="A203" t="s">
        <v>47</v>
      </c>
      <c r="B203">
        <v>60</v>
      </c>
      <c r="C203">
        <v>0</v>
      </c>
    </row>
    <row r="204" spans="1:3" x14ac:dyDescent="0.25">
      <c r="A204" t="s">
        <v>47</v>
      </c>
      <c r="B204">
        <v>46</v>
      </c>
      <c r="C204">
        <v>0</v>
      </c>
    </row>
    <row r="205" spans="1:3" x14ac:dyDescent="0.25">
      <c r="A205" t="s">
        <v>47</v>
      </c>
      <c r="B205">
        <v>34</v>
      </c>
      <c r="C205">
        <v>4</v>
      </c>
    </row>
    <row r="206" spans="1:3" x14ac:dyDescent="0.25">
      <c r="A206" t="s">
        <v>47</v>
      </c>
      <c r="B206">
        <v>30</v>
      </c>
      <c r="C206">
        <v>8</v>
      </c>
    </row>
    <row r="207" spans="1:3" x14ac:dyDescent="0.25">
      <c r="A207" t="s">
        <v>47</v>
      </c>
      <c r="B207">
        <v>409</v>
      </c>
      <c r="C207">
        <v>0</v>
      </c>
    </row>
    <row r="208" spans="1:3" x14ac:dyDescent="0.25">
      <c r="A208" t="s">
        <v>47</v>
      </c>
      <c r="B208">
        <v>409</v>
      </c>
      <c r="C208">
        <v>0</v>
      </c>
    </row>
    <row r="209" spans="1:3" x14ac:dyDescent="0.25">
      <c r="A209" t="s">
        <v>47</v>
      </c>
      <c r="B209">
        <v>403</v>
      </c>
      <c r="C209">
        <v>14</v>
      </c>
    </row>
    <row r="210" spans="1:3" x14ac:dyDescent="0.25">
      <c r="A210" t="s">
        <v>47</v>
      </c>
      <c r="B210">
        <v>403</v>
      </c>
      <c r="C210">
        <v>18</v>
      </c>
    </row>
    <row r="211" spans="1:3" x14ac:dyDescent="0.25">
      <c r="A211" t="s">
        <v>47</v>
      </c>
      <c r="B211">
        <v>403</v>
      </c>
      <c r="C211">
        <v>19</v>
      </c>
    </row>
    <row r="212" spans="1:3" x14ac:dyDescent="0.25">
      <c r="A212" t="s">
        <v>47</v>
      </c>
      <c r="B212">
        <v>384</v>
      </c>
      <c r="C212">
        <v>0</v>
      </c>
    </row>
    <row r="213" spans="1:3" x14ac:dyDescent="0.25">
      <c r="A213" t="s">
        <v>47</v>
      </c>
      <c r="B213">
        <v>379</v>
      </c>
      <c r="C213">
        <v>1</v>
      </c>
    </row>
    <row r="214" spans="1:3" x14ac:dyDescent="0.25">
      <c r="A214" t="s">
        <v>47</v>
      </c>
      <c r="B214">
        <v>379</v>
      </c>
      <c r="C214">
        <v>3</v>
      </c>
    </row>
    <row r="215" spans="1:3" x14ac:dyDescent="0.25">
      <c r="A215" t="s">
        <v>47</v>
      </c>
      <c r="B215">
        <v>378</v>
      </c>
      <c r="C215">
        <v>19</v>
      </c>
    </row>
    <row r="216" spans="1:3" x14ac:dyDescent="0.25">
      <c r="A216" t="s">
        <v>47</v>
      </c>
      <c r="B216">
        <v>375</v>
      </c>
      <c r="C216">
        <v>1</v>
      </c>
    </row>
    <row r="217" spans="1:3" x14ac:dyDescent="0.25">
      <c r="A217" t="s">
        <v>47</v>
      </c>
      <c r="B217">
        <v>374</v>
      </c>
      <c r="C217">
        <v>13</v>
      </c>
    </row>
    <row r="218" spans="1:3" x14ac:dyDescent="0.25">
      <c r="A218" t="s">
        <v>47</v>
      </c>
      <c r="B218">
        <v>364</v>
      </c>
      <c r="C218">
        <v>0</v>
      </c>
    </row>
    <row r="219" spans="1:3" x14ac:dyDescent="0.25">
      <c r="A219" t="s">
        <v>47</v>
      </c>
      <c r="B219">
        <v>355</v>
      </c>
      <c r="C219">
        <v>23</v>
      </c>
    </row>
    <row r="220" spans="1:3" x14ac:dyDescent="0.25">
      <c r="A220" t="s">
        <v>47</v>
      </c>
      <c r="B220">
        <v>343</v>
      </c>
      <c r="C220">
        <v>23</v>
      </c>
    </row>
    <row r="221" spans="1:3" x14ac:dyDescent="0.25">
      <c r="A221" t="s">
        <v>47</v>
      </c>
      <c r="B221">
        <v>338</v>
      </c>
      <c r="C221">
        <v>0</v>
      </c>
    </row>
    <row r="222" spans="1:3" x14ac:dyDescent="0.25">
      <c r="A222" t="s">
        <v>47</v>
      </c>
      <c r="B222">
        <v>334</v>
      </c>
      <c r="C222">
        <v>5</v>
      </c>
    </row>
    <row r="223" spans="1:3" x14ac:dyDescent="0.25">
      <c r="A223" t="s">
        <v>47</v>
      </c>
      <c r="B223">
        <v>306</v>
      </c>
    </row>
    <row r="224" spans="1:3" x14ac:dyDescent="0.25">
      <c r="A224" t="s">
        <v>47</v>
      </c>
      <c r="B224">
        <v>303</v>
      </c>
      <c r="C224">
        <v>2</v>
      </c>
    </row>
    <row r="225" spans="1:3" x14ac:dyDescent="0.25">
      <c r="A225" t="s">
        <v>47</v>
      </c>
      <c r="B225">
        <v>298</v>
      </c>
      <c r="C225">
        <v>1</v>
      </c>
    </row>
    <row r="226" spans="1:3" x14ac:dyDescent="0.25">
      <c r="A226" t="s">
        <v>47</v>
      </c>
      <c r="B226">
        <v>293</v>
      </c>
      <c r="C226">
        <v>2</v>
      </c>
    </row>
    <row r="227" spans="1:3" x14ac:dyDescent="0.25">
      <c r="A227" t="s">
        <v>47</v>
      </c>
      <c r="B227">
        <v>286</v>
      </c>
      <c r="C227">
        <v>20</v>
      </c>
    </row>
    <row r="228" spans="1:3" x14ac:dyDescent="0.25">
      <c r="A228" t="s">
        <v>47</v>
      </c>
      <c r="B228">
        <v>276</v>
      </c>
      <c r="C228">
        <v>21</v>
      </c>
    </row>
    <row r="229" spans="1:3" x14ac:dyDescent="0.25">
      <c r="A229" t="s">
        <v>47</v>
      </c>
      <c r="B229">
        <v>260</v>
      </c>
      <c r="C229">
        <v>19</v>
      </c>
    </row>
    <row r="230" spans="1:3" x14ac:dyDescent="0.25">
      <c r="A230" t="s">
        <v>47</v>
      </c>
      <c r="B230">
        <v>256</v>
      </c>
      <c r="C230">
        <v>5</v>
      </c>
    </row>
    <row r="231" spans="1:3" x14ac:dyDescent="0.25">
      <c r="A231" t="s">
        <v>47</v>
      </c>
      <c r="B231">
        <v>254</v>
      </c>
      <c r="C231">
        <v>12</v>
      </c>
    </row>
    <row r="232" spans="1:3" x14ac:dyDescent="0.25">
      <c r="A232" t="s">
        <v>47</v>
      </c>
      <c r="B232">
        <v>246</v>
      </c>
      <c r="C232">
        <v>0</v>
      </c>
    </row>
    <row r="233" spans="1:3" x14ac:dyDescent="0.25">
      <c r="A233" t="s">
        <v>47</v>
      </c>
      <c r="B233">
        <v>245</v>
      </c>
      <c r="C233">
        <v>15</v>
      </c>
    </row>
    <row r="234" spans="1:3" x14ac:dyDescent="0.25">
      <c r="A234" t="s">
        <v>47</v>
      </c>
      <c r="B234">
        <v>243</v>
      </c>
      <c r="C234">
        <v>23</v>
      </c>
    </row>
    <row r="235" spans="1:3" x14ac:dyDescent="0.25">
      <c r="A235" t="s">
        <v>47</v>
      </c>
      <c r="B235">
        <v>236</v>
      </c>
      <c r="C235">
        <v>7</v>
      </c>
    </row>
    <row r="236" spans="1:3" x14ac:dyDescent="0.25">
      <c r="A236" t="s">
        <v>47</v>
      </c>
      <c r="B236">
        <v>222</v>
      </c>
      <c r="C236">
        <v>23</v>
      </c>
    </row>
    <row r="237" spans="1:3" x14ac:dyDescent="0.25">
      <c r="A237" t="s">
        <v>47</v>
      </c>
      <c r="B237">
        <v>211</v>
      </c>
      <c r="C237">
        <v>25</v>
      </c>
    </row>
    <row r="238" spans="1:3" x14ac:dyDescent="0.25">
      <c r="A238" t="s">
        <v>47</v>
      </c>
      <c r="B238">
        <v>161</v>
      </c>
      <c r="C238">
        <v>4</v>
      </c>
    </row>
    <row r="239" spans="1:3" x14ac:dyDescent="0.25">
      <c r="A239" t="s">
        <v>47</v>
      </c>
      <c r="B239">
        <v>157</v>
      </c>
      <c r="C239">
        <v>20</v>
      </c>
    </row>
    <row r="240" spans="1:3" x14ac:dyDescent="0.25">
      <c r="A240" t="s">
        <v>47</v>
      </c>
      <c r="B240">
        <v>145</v>
      </c>
      <c r="C240">
        <v>0</v>
      </c>
    </row>
    <row r="241" spans="1:3" x14ac:dyDescent="0.25">
      <c r="A241" t="s">
        <v>47</v>
      </c>
      <c r="B241">
        <v>119</v>
      </c>
      <c r="C241">
        <v>22</v>
      </c>
    </row>
    <row r="242" spans="1:3" x14ac:dyDescent="0.25">
      <c r="A242" t="s">
        <v>47</v>
      </c>
      <c r="B242">
        <v>119</v>
      </c>
      <c r="C242">
        <v>17</v>
      </c>
    </row>
    <row r="243" spans="1:3" x14ac:dyDescent="0.25">
      <c r="A243" t="s">
        <v>47</v>
      </c>
      <c r="B243">
        <v>119</v>
      </c>
      <c r="C243">
        <v>22</v>
      </c>
    </row>
    <row r="244" spans="1:3" x14ac:dyDescent="0.25">
      <c r="A244" t="s">
        <v>47</v>
      </c>
      <c r="B244">
        <v>106</v>
      </c>
      <c r="C244">
        <v>22</v>
      </c>
    </row>
    <row r="245" spans="1:3" x14ac:dyDescent="0.25">
      <c r="A245" t="s">
        <v>47</v>
      </c>
      <c r="B245">
        <v>99</v>
      </c>
      <c r="C245">
        <v>20</v>
      </c>
    </row>
    <row r="246" spans="1:3" x14ac:dyDescent="0.25">
      <c r="A246" t="s">
        <v>47</v>
      </c>
      <c r="B246">
        <v>99</v>
      </c>
      <c r="C246">
        <v>20</v>
      </c>
    </row>
    <row r="247" spans="1:3" x14ac:dyDescent="0.25">
      <c r="A247" t="s">
        <v>47</v>
      </c>
      <c r="B247">
        <v>97</v>
      </c>
      <c r="C247">
        <v>9</v>
      </c>
    </row>
    <row r="248" spans="1:3" x14ac:dyDescent="0.25">
      <c r="A248" t="s">
        <v>47</v>
      </c>
      <c r="B248">
        <v>97</v>
      </c>
      <c r="C248">
        <v>9</v>
      </c>
    </row>
    <row r="249" spans="1:3" x14ac:dyDescent="0.25">
      <c r="A249" t="s">
        <v>47</v>
      </c>
      <c r="B249">
        <v>67</v>
      </c>
      <c r="C249">
        <v>0</v>
      </c>
    </row>
    <row r="250" spans="1:3" x14ac:dyDescent="0.25">
      <c r="A250" t="s">
        <v>47</v>
      </c>
      <c r="B250">
        <v>67</v>
      </c>
      <c r="C250">
        <v>5</v>
      </c>
    </row>
    <row r="251" spans="1:3" x14ac:dyDescent="0.25">
      <c r="A251" t="s">
        <v>47</v>
      </c>
      <c r="B251">
        <v>63</v>
      </c>
      <c r="C251">
        <v>19</v>
      </c>
    </row>
    <row r="252" spans="1:3" x14ac:dyDescent="0.25">
      <c r="A252" t="s">
        <v>47</v>
      </c>
      <c r="B252">
        <v>63</v>
      </c>
      <c r="C252">
        <v>15</v>
      </c>
    </row>
    <row r="253" spans="1:3" x14ac:dyDescent="0.25">
      <c r="A253" t="s">
        <v>47</v>
      </c>
      <c r="B253">
        <v>60</v>
      </c>
      <c r="C253">
        <v>0</v>
      </c>
    </row>
    <row r="254" spans="1:3" x14ac:dyDescent="0.25">
      <c r="A254" t="s">
        <v>47</v>
      </c>
      <c r="B254">
        <v>46</v>
      </c>
      <c r="C254">
        <v>0</v>
      </c>
    </row>
    <row r="255" spans="1:3" x14ac:dyDescent="0.25">
      <c r="A255" t="s">
        <v>47</v>
      </c>
      <c r="B255">
        <v>34</v>
      </c>
      <c r="C255">
        <v>4</v>
      </c>
    </row>
    <row r="256" spans="1:3" x14ac:dyDescent="0.25">
      <c r="A256" t="s">
        <v>47</v>
      </c>
      <c r="B256">
        <v>30</v>
      </c>
      <c r="C256">
        <v>8</v>
      </c>
    </row>
    <row r="257" spans="1:3" x14ac:dyDescent="0.25">
      <c r="A257" t="s">
        <v>47</v>
      </c>
      <c r="B257">
        <v>405</v>
      </c>
      <c r="C257">
        <v>0</v>
      </c>
    </row>
    <row r="258" spans="1:3" x14ac:dyDescent="0.25">
      <c r="A258" t="s">
        <v>47</v>
      </c>
      <c r="B258">
        <v>405</v>
      </c>
      <c r="C258">
        <v>0</v>
      </c>
    </row>
    <row r="259" spans="1:3" x14ac:dyDescent="0.25">
      <c r="A259" t="s">
        <v>47</v>
      </c>
      <c r="B259">
        <v>399</v>
      </c>
      <c r="C259">
        <v>14</v>
      </c>
    </row>
    <row r="260" spans="1:3" x14ac:dyDescent="0.25">
      <c r="A260" t="s">
        <v>47</v>
      </c>
      <c r="B260">
        <v>399</v>
      </c>
      <c r="C260">
        <v>18</v>
      </c>
    </row>
    <row r="261" spans="1:3" x14ac:dyDescent="0.25">
      <c r="A261" t="s">
        <v>47</v>
      </c>
      <c r="B261">
        <v>399</v>
      </c>
      <c r="C261">
        <v>19</v>
      </c>
    </row>
    <row r="262" spans="1:3" x14ac:dyDescent="0.25">
      <c r="A262" t="s">
        <v>47</v>
      </c>
      <c r="B262">
        <v>380</v>
      </c>
      <c r="C262">
        <v>0</v>
      </c>
    </row>
    <row r="263" spans="1:3" x14ac:dyDescent="0.25">
      <c r="A263" t="s">
        <v>47</v>
      </c>
      <c r="B263">
        <v>375</v>
      </c>
      <c r="C263">
        <v>1</v>
      </c>
    </row>
    <row r="264" spans="1:3" x14ac:dyDescent="0.25">
      <c r="A264" t="s">
        <v>47</v>
      </c>
      <c r="B264">
        <v>375</v>
      </c>
      <c r="C264">
        <v>3</v>
      </c>
    </row>
    <row r="265" spans="1:3" x14ac:dyDescent="0.25">
      <c r="A265" t="s">
        <v>47</v>
      </c>
      <c r="B265">
        <v>374</v>
      </c>
      <c r="C265">
        <v>19</v>
      </c>
    </row>
    <row r="266" spans="1:3" x14ac:dyDescent="0.25">
      <c r="A266" t="s">
        <v>47</v>
      </c>
      <c r="B266">
        <v>371</v>
      </c>
      <c r="C266">
        <v>1</v>
      </c>
    </row>
    <row r="267" spans="1:3" x14ac:dyDescent="0.25">
      <c r="A267" t="s">
        <v>47</v>
      </c>
      <c r="B267">
        <v>370</v>
      </c>
      <c r="C267">
        <v>13</v>
      </c>
    </row>
    <row r="268" spans="1:3" x14ac:dyDescent="0.25">
      <c r="A268" t="s">
        <v>47</v>
      </c>
      <c r="B268">
        <v>360</v>
      </c>
      <c r="C268">
        <v>0</v>
      </c>
    </row>
    <row r="269" spans="1:3" x14ac:dyDescent="0.25">
      <c r="A269" t="s">
        <v>47</v>
      </c>
      <c r="B269">
        <v>355</v>
      </c>
      <c r="C269">
        <v>23</v>
      </c>
    </row>
    <row r="270" spans="1:3" x14ac:dyDescent="0.25">
      <c r="A270" t="s">
        <v>47</v>
      </c>
      <c r="B270">
        <v>343</v>
      </c>
      <c r="C270">
        <v>23</v>
      </c>
    </row>
    <row r="271" spans="1:3" x14ac:dyDescent="0.25">
      <c r="A271" t="s">
        <v>47</v>
      </c>
      <c r="B271">
        <v>338</v>
      </c>
      <c r="C271">
        <v>0</v>
      </c>
    </row>
    <row r="272" spans="1:3" x14ac:dyDescent="0.25">
      <c r="A272" t="s">
        <v>47</v>
      </c>
      <c r="B272">
        <v>334</v>
      </c>
      <c r="C272">
        <v>5</v>
      </c>
    </row>
    <row r="273" spans="1:3" x14ac:dyDescent="0.25">
      <c r="A273" t="s">
        <v>47</v>
      </c>
      <c r="B273">
        <v>306</v>
      </c>
    </row>
    <row r="274" spans="1:3" x14ac:dyDescent="0.25">
      <c r="A274" t="s">
        <v>47</v>
      </c>
      <c r="B274">
        <v>303</v>
      </c>
      <c r="C274">
        <v>2</v>
      </c>
    </row>
    <row r="275" spans="1:3" x14ac:dyDescent="0.25">
      <c r="A275" t="s">
        <v>47</v>
      </c>
      <c r="B275">
        <v>298</v>
      </c>
      <c r="C275">
        <v>1</v>
      </c>
    </row>
    <row r="276" spans="1:3" x14ac:dyDescent="0.25">
      <c r="A276" t="s">
        <v>47</v>
      </c>
      <c r="B276">
        <v>293</v>
      </c>
      <c r="C276">
        <v>2</v>
      </c>
    </row>
    <row r="277" spans="1:3" x14ac:dyDescent="0.25">
      <c r="A277" t="s">
        <v>47</v>
      </c>
      <c r="B277">
        <v>286</v>
      </c>
      <c r="C277">
        <v>20</v>
      </c>
    </row>
    <row r="278" spans="1:3" x14ac:dyDescent="0.25">
      <c r="A278" t="s">
        <v>47</v>
      </c>
      <c r="B278">
        <v>276</v>
      </c>
      <c r="C278">
        <v>21</v>
      </c>
    </row>
    <row r="279" spans="1:3" x14ac:dyDescent="0.25">
      <c r="A279" t="s">
        <v>47</v>
      </c>
      <c r="B279">
        <v>260</v>
      </c>
      <c r="C279">
        <v>19</v>
      </c>
    </row>
    <row r="280" spans="1:3" x14ac:dyDescent="0.25">
      <c r="A280" t="s">
        <v>47</v>
      </c>
      <c r="B280">
        <v>256</v>
      </c>
      <c r="C280">
        <v>5</v>
      </c>
    </row>
    <row r="281" spans="1:3" x14ac:dyDescent="0.25">
      <c r="A281" t="s">
        <v>47</v>
      </c>
      <c r="B281">
        <v>254</v>
      </c>
      <c r="C281">
        <v>12</v>
      </c>
    </row>
    <row r="282" spans="1:3" x14ac:dyDescent="0.25">
      <c r="A282" t="s">
        <v>47</v>
      </c>
      <c r="B282">
        <v>246</v>
      </c>
      <c r="C282">
        <v>0</v>
      </c>
    </row>
    <row r="283" spans="1:3" x14ac:dyDescent="0.25">
      <c r="A283" t="s">
        <v>47</v>
      </c>
      <c r="B283">
        <v>245</v>
      </c>
      <c r="C283">
        <v>15</v>
      </c>
    </row>
    <row r="284" spans="1:3" x14ac:dyDescent="0.25">
      <c r="A284" t="s">
        <v>47</v>
      </c>
      <c r="B284">
        <v>243</v>
      </c>
      <c r="C284">
        <v>23</v>
      </c>
    </row>
    <row r="285" spans="1:3" x14ac:dyDescent="0.25">
      <c r="A285" t="s">
        <v>47</v>
      </c>
      <c r="B285">
        <v>236</v>
      </c>
      <c r="C285">
        <v>7</v>
      </c>
    </row>
    <row r="286" spans="1:3" x14ac:dyDescent="0.25">
      <c r="A286" t="s">
        <v>47</v>
      </c>
      <c r="B286">
        <v>222</v>
      </c>
      <c r="C286">
        <v>23</v>
      </c>
    </row>
    <row r="287" spans="1:3" x14ac:dyDescent="0.25">
      <c r="A287" t="s">
        <v>47</v>
      </c>
      <c r="B287">
        <v>211</v>
      </c>
      <c r="C287">
        <v>25</v>
      </c>
    </row>
    <row r="288" spans="1:3" x14ac:dyDescent="0.25">
      <c r="A288" t="s">
        <v>47</v>
      </c>
      <c r="B288">
        <v>161</v>
      </c>
      <c r="C288">
        <v>4</v>
      </c>
    </row>
    <row r="289" spans="1:3" x14ac:dyDescent="0.25">
      <c r="A289" t="s">
        <v>47</v>
      </c>
      <c r="B289">
        <v>157</v>
      </c>
      <c r="C289">
        <v>20</v>
      </c>
    </row>
    <row r="290" spans="1:3" x14ac:dyDescent="0.25">
      <c r="A290" t="s">
        <v>47</v>
      </c>
      <c r="B290">
        <v>145</v>
      </c>
      <c r="C290">
        <v>0</v>
      </c>
    </row>
    <row r="291" spans="1:3" x14ac:dyDescent="0.25">
      <c r="A291" t="s">
        <v>47</v>
      </c>
      <c r="B291">
        <v>119</v>
      </c>
      <c r="C291">
        <v>22</v>
      </c>
    </row>
    <row r="292" spans="1:3" x14ac:dyDescent="0.25">
      <c r="A292" t="s">
        <v>47</v>
      </c>
      <c r="B292">
        <v>119</v>
      </c>
      <c r="C292">
        <v>17</v>
      </c>
    </row>
    <row r="293" spans="1:3" x14ac:dyDescent="0.25">
      <c r="A293" t="s">
        <v>47</v>
      </c>
      <c r="B293">
        <v>119</v>
      </c>
      <c r="C293">
        <v>22</v>
      </c>
    </row>
    <row r="294" spans="1:3" x14ac:dyDescent="0.25">
      <c r="A294" t="s">
        <v>47</v>
      </c>
      <c r="B294">
        <v>106</v>
      </c>
      <c r="C294">
        <v>22</v>
      </c>
    </row>
    <row r="295" spans="1:3" x14ac:dyDescent="0.25">
      <c r="A295" t="s">
        <v>47</v>
      </c>
      <c r="B295">
        <v>99</v>
      </c>
      <c r="C295">
        <v>20</v>
      </c>
    </row>
    <row r="296" spans="1:3" x14ac:dyDescent="0.25">
      <c r="A296" t="s">
        <v>47</v>
      </c>
      <c r="B296">
        <v>99</v>
      </c>
      <c r="C296">
        <v>20</v>
      </c>
    </row>
    <row r="297" spans="1:3" x14ac:dyDescent="0.25">
      <c r="A297" t="s">
        <v>47</v>
      </c>
      <c r="B297">
        <v>97</v>
      </c>
      <c r="C297">
        <v>9</v>
      </c>
    </row>
    <row r="298" spans="1:3" x14ac:dyDescent="0.25">
      <c r="A298" t="s">
        <v>47</v>
      </c>
      <c r="B298">
        <v>97</v>
      </c>
      <c r="C298">
        <v>9</v>
      </c>
    </row>
    <row r="299" spans="1:3" x14ac:dyDescent="0.25">
      <c r="A299" t="s">
        <v>47</v>
      </c>
      <c r="B299">
        <v>67</v>
      </c>
      <c r="C299">
        <v>0</v>
      </c>
    </row>
    <row r="300" spans="1:3" x14ac:dyDescent="0.25">
      <c r="A300" t="s">
        <v>47</v>
      </c>
      <c r="B300">
        <v>67</v>
      </c>
      <c r="C300">
        <v>5</v>
      </c>
    </row>
    <row r="301" spans="1:3" x14ac:dyDescent="0.25">
      <c r="A301" t="s">
        <v>47</v>
      </c>
      <c r="B301">
        <v>63</v>
      </c>
      <c r="C301">
        <v>19</v>
      </c>
    </row>
    <row r="302" spans="1:3" x14ac:dyDescent="0.25">
      <c r="A302" t="s">
        <v>47</v>
      </c>
      <c r="B302">
        <v>63</v>
      </c>
      <c r="C302">
        <v>15</v>
      </c>
    </row>
    <row r="303" spans="1:3" x14ac:dyDescent="0.25">
      <c r="A303" t="s">
        <v>47</v>
      </c>
      <c r="B303">
        <v>60</v>
      </c>
      <c r="C303">
        <v>0</v>
      </c>
    </row>
    <row r="304" spans="1:3" x14ac:dyDescent="0.25">
      <c r="A304" t="s">
        <v>47</v>
      </c>
      <c r="B304">
        <v>46</v>
      </c>
      <c r="C304">
        <v>0</v>
      </c>
    </row>
    <row r="305" spans="1:3" x14ac:dyDescent="0.25">
      <c r="A305" t="s">
        <v>47</v>
      </c>
      <c r="B305">
        <v>34</v>
      </c>
      <c r="C305">
        <v>4</v>
      </c>
    </row>
    <row r="306" spans="1:3" x14ac:dyDescent="0.25">
      <c r="A306" t="s">
        <v>47</v>
      </c>
      <c r="B306">
        <v>30</v>
      </c>
      <c r="C306">
        <v>8</v>
      </c>
    </row>
    <row r="307" spans="1:3" x14ac:dyDescent="0.25">
      <c r="A307" t="s">
        <v>47</v>
      </c>
      <c r="B307">
        <v>218</v>
      </c>
      <c r="C307">
        <v>0</v>
      </c>
    </row>
    <row r="308" spans="1:3" x14ac:dyDescent="0.25">
      <c r="A308" t="s">
        <v>47</v>
      </c>
      <c r="B308">
        <v>218</v>
      </c>
      <c r="C308">
        <v>0</v>
      </c>
    </row>
    <row r="309" spans="1:3" x14ac:dyDescent="0.25">
      <c r="A309" t="s">
        <v>47</v>
      </c>
      <c r="B309">
        <v>212</v>
      </c>
      <c r="C309">
        <v>14</v>
      </c>
    </row>
    <row r="310" spans="1:3" x14ac:dyDescent="0.25">
      <c r="A310" t="s">
        <v>47</v>
      </c>
      <c r="B310">
        <v>212</v>
      </c>
      <c r="C310">
        <v>18</v>
      </c>
    </row>
    <row r="311" spans="1:3" x14ac:dyDescent="0.25">
      <c r="A311" t="s">
        <v>47</v>
      </c>
      <c r="B311">
        <v>212</v>
      </c>
      <c r="C311">
        <v>19</v>
      </c>
    </row>
    <row r="312" spans="1:3" x14ac:dyDescent="0.25">
      <c r="A312" t="s">
        <v>47</v>
      </c>
      <c r="B312">
        <v>161</v>
      </c>
      <c r="C312">
        <v>4</v>
      </c>
    </row>
    <row r="313" spans="1:3" x14ac:dyDescent="0.25">
      <c r="A313" t="s">
        <v>47</v>
      </c>
      <c r="B313">
        <v>157</v>
      </c>
      <c r="C313">
        <v>20</v>
      </c>
    </row>
    <row r="314" spans="1:3" x14ac:dyDescent="0.25">
      <c r="A314" t="s">
        <v>47</v>
      </c>
      <c r="B314">
        <v>145</v>
      </c>
      <c r="C314">
        <v>0</v>
      </c>
    </row>
    <row r="315" spans="1:3" x14ac:dyDescent="0.25">
      <c r="A315" t="s">
        <v>47</v>
      </c>
      <c r="B315">
        <v>119</v>
      </c>
      <c r="C315">
        <v>22</v>
      </c>
    </row>
    <row r="316" spans="1:3" x14ac:dyDescent="0.25">
      <c r="A316" t="s">
        <v>47</v>
      </c>
      <c r="B316">
        <v>119</v>
      </c>
      <c r="C316">
        <v>17</v>
      </c>
    </row>
    <row r="317" spans="1:3" x14ac:dyDescent="0.25">
      <c r="A317" t="s">
        <v>47</v>
      </c>
      <c r="B317">
        <v>119</v>
      </c>
      <c r="C317">
        <v>22</v>
      </c>
    </row>
    <row r="318" spans="1:3" x14ac:dyDescent="0.25">
      <c r="A318" t="s">
        <v>47</v>
      </c>
      <c r="B318">
        <v>106</v>
      </c>
      <c r="C318">
        <v>22</v>
      </c>
    </row>
    <row r="319" spans="1:3" x14ac:dyDescent="0.25">
      <c r="A319" t="s">
        <v>47</v>
      </c>
      <c r="B319">
        <v>99</v>
      </c>
      <c r="C319">
        <v>20</v>
      </c>
    </row>
    <row r="320" spans="1:3" x14ac:dyDescent="0.25">
      <c r="A320" t="s">
        <v>47</v>
      </c>
      <c r="B320">
        <v>99</v>
      </c>
      <c r="C320">
        <v>20</v>
      </c>
    </row>
    <row r="321" spans="1:3" x14ac:dyDescent="0.25">
      <c r="A321" t="s">
        <v>47</v>
      </c>
      <c r="B321">
        <v>97</v>
      </c>
      <c r="C321">
        <v>9</v>
      </c>
    </row>
    <row r="322" spans="1:3" x14ac:dyDescent="0.25">
      <c r="A322" t="s">
        <v>47</v>
      </c>
      <c r="B322">
        <v>97</v>
      </c>
      <c r="C322">
        <v>9</v>
      </c>
    </row>
    <row r="323" spans="1:3" x14ac:dyDescent="0.25">
      <c r="A323" t="s">
        <v>47</v>
      </c>
      <c r="B323">
        <v>67</v>
      </c>
      <c r="C323">
        <v>0</v>
      </c>
    </row>
    <row r="324" spans="1:3" x14ac:dyDescent="0.25">
      <c r="A324" t="s">
        <v>47</v>
      </c>
      <c r="B324">
        <v>67</v>
      </c>
      <c r="C324">
        <v>5</v>
      </c>
    </row>
    <row r="325" spans="1:3" x14ac:dyDescent="0.25">
      <c r="A325" t="s">
        <v>47</v>
      </c>
      <c r="B325">
        <v>63</v>
      </c>
      <c r="C325">
        <v>19</v>
      </c>
    </row>
    <row r="326" spans="1:3" x14ac:dyDescent="0.25">
      <c r="A326" t="s">
        <v>47</v>
      </c>
      <c r="B326">
        <v>63</v>
      </c>
      <c r="C326">
        <v>15</v>
      </c>
    </row>
    <row r="327" spans="1:3" x14ac:dyDescent="0.25">
      <c r="A327" t="s">
        <v>47</v>
      </c>
      <c r="B327">
        <v>60</v>
      </c>
      <c r="C327">
        <v>0</v>
      </c>
    </row>
    <row r="328" spans="1:3" x14ac:dyDescent="0.25">
      <c r="A328" t="s">
        <v>47</v>
      </c>
      <c r="B328">
        <v>46</v>
      </c>
      <c r="C328">
        <v>0</v>
      </c>
    </row>
    <row r="329" spans="1:3" x14ac:dyDescent="0.25">
      <c r="A329" t="s">
        <v>47</v>
      </c>
      <c r="B329">
        <v>34</v>
      </c>
      <c r="C329">
        <v>4</v>
      </c>
    </row>
    <row r="330" spans="1:3" x14ac:dyDescent="0.25">
      <c r="A330" t="s">
        <v>47</v>
      </c>
      <c r="B330">
        <v>30</v>
      </c>
      <c r="C330">
        <v>8</v>
      </c>
    </row>
    <row r="331" spans="1:3" x14ac:dyDescent="0.25">
      <c r="A331" t="s">
        <v>679</v>
      </c>
      <c r="B331">
        <v>218</v>
      </c>
      <c r="C331">
        <v>26</v>
      </c>
    </row>
    <row r="332" spans="1:3" x14ac:dyDescent="0.25">
      <c r="A332" t="s">
        <v>679</v>
      </c>
      <c r="B332">
        <v>218</v>
      </c>
      <c r="C332">
        <v>26</v>
      </c>
    </row>
    <row r="333" spans="1:3" x14ac:dyDescent="0.25">
      <c r="A333" t="s">
        <v>679</v>
      </c>
      <c r="B333">
        <v>218</v>
      </c>
      <c r="C333">
        <v>26</v>
      </c>
    </row>
    <row r="334" spans="1:3" x14ac:dyDescent="0.25">
      <c r="A334" t="s">
        <v>679</v>
      </c>
      <c r="B334">
        <v>218</v>
      </c>
      <c r="C334">
        <v>26</v>
      </c>
    </row>
    <row r="335" spans="1:3" x14ac:dyDescent="0.25">
      <c r="A335" t="s">
        <v>679</v>
      </c>
      <c r="B335">
        <v>218</v>
      </c>
      <c r="C335">
        <v>26</v>
      </c>
    </row>
    <row r="336" spans="1:3" x14ac:dyDescent="0.25">
      <c r="A336" t="s">
        <v>744</v>
      </c>
      <c r="B336">
        <v>180</v>
      </c>
      <c r="C336">
        <v>12</v>
      </c>
    </row>
    <row r="337" spans="1:3" x14ac:dyDescent="0.25">
      <c r="A337" t="s">
        <v>744</v>
      </c>
      <c r="B337">
        <v>180</v>
      </c>
      <c r="C337">
        <v>12</v>
      </c>
    </row>
    <row r="338" spans="1:3" x14ac:dyDescent="0.25">
      <c r="A338" t="s">
        <v>744</v>
      </c>
      <c r="B338">
        <v>180</v>
      </c>
      <c r="C338">
        <v>12</v>
      </c>
    </row>
    <row r="339" spans="1:3" x14ac:dyDescent="0.25">
      <c r="A339" t="s">
        <v>744</v>
      </c>
      <c r="B339">
        <v>180</v>
      </c>
      <c r="C339">
        <v>12</v>
      </c>
    </row>
    <row r="340" spans="1:3" x14ac:dyDescent="0.25">
      <c r="A340" t="s">
        <v>744</v>
      </c>
      <c r="B340">
        <v>180</v>
      </c>
      <c r="C340">
        <v>12</v>
      </c>
    </row>
    <row r="341" spans="1:3" x14ac:dyDescent="0.25">
      <c r="A341" t="s">
        <v>744</v>
      </c>
      <c r="B341">
        <v>180</v>
      </c>
      <c r="C341">
        <v>12</v>
      </c>
    </row>
    <row r="342" spans="1:3" x14ac:dyDescent="0.25">
      <c r="A342" t="s">
        <v>335</v>
      </c>
      <c r="B342">
        <v>358</v>
      </c>
      <c r="C342">
        <v>26</v>
      </c>
    </row>
    <row r="343" spans="1:3" x14ac:dyDescent="0.25">
      <c r="A343" t="s">
        <v>335</v>
      </c>
      <c r="B343">
        <v>320</v>
      </c>
      <c r="C343">
        <v>22</v>
      </c>
    </row>
    <row r="344" spans="1:3" x14ac:dyDescent="0.25">
      <c r="A344" t="s">
        <v>335</v>
      </c>
      <c r="B344">
        <v>320</v>
      </c>
      <c r="C344">
        <v>23</v>
      </c>
    </row>
    <row r="345" spans="1:3" x14ac:dyDescent="0.25">
      <c r="A345" t="s">
        <v>335</v>
      </c>
      <c r="B345">
        <v>249</v>
      </c>
      <c r="C345">
        <v>22</v>
      </c>
    </row>
    <row r="346" spans="1:3" x14ac:dyDescent="0.25">
      <c r="A346" t="s">
        <v>335</v>
      </c>
      <c r="B346">
        <v>249</v>
      </c>
      <c r="C346">
        <v>21</v>
      </c>
    </row>
    <row r="347" spans="1:3" x14ac:dyDescent="0.25">
      <c r="A347" t="s">
        <v>335</v>
      </c>
      <c r="B347">
        <v>216</v>
      </c>
      <c r="C347">
        <v>31</v>
      </c>
    </row>
    <row r="348" spans="1:3" x14ac:dyDescent="0.25">
      <c r="A348" t="s">
        <v>335</v>
      </c>
      <c r="B348">
        <v>74</v>
      </c>
      <c r="C348">
        <v>26</v>
      </c>
    </row>
    <row r="349" spans="1:3" x14ac:dyDescent="0.25">
      <c r="A349" t="s">
        <v>335</v>
      </c>
      <c r="B349">
        <v>57</v>
      </c>
      <c r="C349">
        <v>21</v>
      </c>
    </row>
    <row r="350" spans="1:3" x14ac:dyDescent="0.25">
      <c r="A350" t="s">
        <v>335</v>
      </c>
      <c r="B350">
        <v>52</v>
      </c>
      <c r="C350">
        <v>9</v>
      </c>
    </row>
    <row r="351" spans="1:3" x14ac:dyDescent="0.25">
      <c r="A351" t="s">
        <v>335</v>
      </c>
      <c r="B351">
        <v>52</v>
      </c>
      <c r="C351">
        <v>12</v>
      </c>
    </row>
    <row r="352" spans="1:3" x14ac:dyDescent="0.25">
      <c r="A352" t="s">
        <v>335</v>
      </c>
      <c r="B352">
        <v>7</v>
      </c>
      <c r="C352">
        <v>17</v>
      </c>
    </row>
    <row r="353" spans="1:3" x14ac:dyDescent="0.25">
      <c r="A353" t="s">
        <v>335</v>
      </c>
      <c r="B353">
        <v>320</v>
      </c>
      <c r="C353">
        <v>22</v>
      </c>
    </row>
    <row r="354" spans="1:3" x14ac:dyDescent="0.25">
      <c r="A354" t="s">
        <v>335</v>
      </c>
      <c r="B354">
        <v>320</v>
      </c>
      <c r="C354">
        <v>23</v>
      </c>
    </row>
    <row r="355" spans="1:3" x14ac:dyDescent="0.25">
      <c r="A355" t="s">
        <v>335</v>
      </c>
      <c r="B355">
        <v>249</v>
      </c>
      <c r="C355">
        <v>22</v>
      </c>
    </row>
    <row r="356" spans="1:3" x14ac:dyDescent="0.25">
      <c r="A356" t="s">
        <v>335</v>
      </c>
      <c r="B356">
        <v>249</v>
      </c>
      <c r="C356">
        <v>21</v>
      </c>
    </row>
    <row r="357" spans="1:3" x14ac:dyDescent="0.25">
      <c r="A357" t="s">
        <v>335</v>
      </c>
      <c r="B357">
        <v>216</v>
      </c>
      <c r="C357">
        <v>31</v>
      </c>
    </row>
    <row r="358" spans="1:3" x14ac:dyDescent="0.25">
      <c r="A358" t="s">
        <v>335</v>
      </c>
      <c r="B358">
        <v>74</v>
      </c>
      <c r="C358">
        <v>26</v>
      </c>
    </row>
    <row r="359" spans="1:3" x14ac:dyDescent="0.25">
      <c r="A359" t="s">
        <v>335</v>
      </c>
      <c r="B359">
        <v>57</v>
      </c>
      <c r="C359">
        <v>21</v>
      </c>
    </row>
    <row r="360" spans="1:3" x14ac:dyDescent="0.25">
      <c r="A360" t="s">
        <v>335</v>
      </c>
      <c r="B360">
        <v>52</v>
      </c>
      <c r="C360">
        <v>9</v>
      </c>
    </row>
    <row r="361" spans="1:3" x14ac:dyDescent="0.25">
      <c r="A361" t="s">
        <v>335</v>
      </c>
      <c r="B361">
        <v>52</v>
      </c>
      <c r="C361">
        <v>12</v>
      </c>
    </row>
    <row r="362" spans="1:3" x14ac:dyDescent="0.25">
      <c r="A362" t="s">
        <v>335</v>
      </c>
      <c r="B362">
        <v>7</v>
      </c>
      <c r="C362">
        <v>17</v>
      </c>
    </row>
    <row r="363" spans="1:3" x14ac:dyDescent="0.25">
      <c r="A363" t="s">
        <v>335</v>
      </c>
      <c r="B363">
        <v>358</v>
      </c>
      <c r="C363">
        <v>26</v>
      </c>
    </row>
    <row r="364" spans="1:3" x14ac:dyDescent="0.25">
      <c r="A364" t="s">
        <v>335</v>
      </c>
      <c r="B364">
        <v>320</v>
      </c>
      <c r="C364">
        <v>22</v>
      </c>
    </row>
    <row r="365" spans="1:3" x14ac:dyDescent="0.25">
      <c r="A365" t="s">
        <v>335</v>
      </c>
      <c r="B365">
        <v>320</v>
      </c>
      <c r="C365">
        <v>23</v>
      </c>
    </row>
    <row r="366" spans="1:3" x14ac:dyDescent="0.25">
      <c r="A366" t="s">
        <v>335</v>
      </c>
      <c r="B366">
        <v>249</v>
      </c>
      <c r="C366">
        <v>22</v>
      </c>
    </row>
    <row r="367" spans="1:3" x14ac:dyDescent="0.25">
      <c r="A367" t="s">
        <v>335</v>
      </c>
      <c r="B367">
        <v>249</v>
      </c>
      <c r="C367">
        <v>21</v>
      </c>
    </row>
    <row r="368" spans="1:3" x14ac:dyDescent="0.25">
      <c r="A368" t="s">
        <v>335</v>
      </c>
      <c r="B368">
        <v>216</v>
      </c>
      <c r="C368">
        <v>31</v>
      </c>
    </row>
    <row r="369" spans="1:3" x14ac:dyDescent="0.25">
      <c r="A369" t="s">
        <v>335</v>
      </c>
      <c r="B369">
        <v>74</v>
      </c>
      <c r="C369">
        <v>26</v>
      </c>
    </row>
    <row r="370" spans="1:3" x14ac:dyDescent="0.25">
      <c r="A370" t="s">
        <v>335</v>
      </c>
      <c r="B370">
        <v>57</v>
      </c>
      <c r="C370">
        <v>21</v>
      </c>
    </row>
    <row r="371" spans="1:3" x14ac:dyDescent="0.25">
      <c r="A371" t="s">
        <v>335</v>
      </c>
      <c r="B371">
        <v>52</v>
      </c>
      <c r="C371">
        <v>9</v>
      </c>
    </row>
    <row r="372" spans="1:3" x14ac:dyDescent="0.25">
      <c r="A372" t="s">
        <v>335</v>
      </c>
      <c r="B372">
        <v>52</v>
      </c>
      <c r="C372">
        <v>12</v>
      </c>
    </row>
    <row r="373" spans="1:3" x14ac:dyDescent="0.25">
      <c r="A373" t="s">
        <v>335</v>
      </c>
      <c r="B373">
        <v>7</v>
      </c>
      <c r="C373">
        <v>17</v>
      </c>
    </row>
    <row r="374" spans="1:3" x14ac:dyDescent="0.25">
      <c r="A374" t="s">
        <v>335</v>
      </c>
      <c r="B374">
        <v>358</v>
      </c>
      <c r="C374">
        <v>26</v>
      </c>
    </row>
    <row r="375" spans="1:3" x14ac:dyDescent="0.25">
      <c r="A375" t="s">
        <v>335</v>
      </c>
      <c r="B375">
        <v>320</v>
      </c>
      <c r="C375">
        <v>22</v>
      </c>
    </row>
    <row r="376" spans="1:3" x14ac:dyDescent="0.25">
      <c r="A376" t="s">
        <v>335</v>
      </c>
      <c r="B376">
        <v>320</v>
      </c>
      <c r="C376">
        <v>23</v>
      </c>
    </row>
    <row r="377" spans="1:3" x14ac:dyDescent="0.25">
      <c r="A377" t="s">
        <v>335</v>
      </c>
      <c r="B377">
        <v>249</v>
      </c>
      <c r="C377">
        <v>22</v>
      </c>
    </row>
    <row r="378" spans="1:3" x14ac:dyDescent="0.25">
      <c r="A378" t="s">
        <v>335</v>
      </c>
      <c r="B378">
        <v>249</v>
      </c>
      <c r="C378">
        <v>21</v>
      </c>
    </row>
    <row r="379" spans="1:3" x14ac:dyDescent="0.25">
      <c r="A379" t="s">
        <v>335</v>
      </c>
      <c r="B379">
        <v>216</v>
      </c>
      <c r="C379">
        <v>31</v>
      </c>
    </row>
    <row r="380" spans="1:3" x14ac:dyDescent="0.25">
      <c r="A380" t="s">
        <v>335</v>
      </c>
      <c r="B380">
        <v>74</v>
      </c>
      <c r="C380">
        <v>26</v>
      </c>
    </row>
    <row r="381" spans="1:3" x14ac:dyDescent="0.25">
      <c r="A381" t="s">
        <v>335</v>
      </c>
      <c r="B381">
        <v>57</v>
      </c>
      <c r="C381">
        <v>21</v>
      </c>
    </row>
    <row r="382" spans="1:3" x14ac:dyDescent="0.25">
      <c r="A382" t="s">
        <v>335</v>
      </c>
      <c r="B382">
        <v>52</v>
      </c>
      <c r="C382">
        <v>9</v>
      </c>
    </row>
    <row r="383" spans="1:3" x14ac:dyDescent="0.25">
      <c r="A383" t="s">
        <v>335</v>
      </c>
      <c r="B383">
        <v>52</v>
      </c>
      <c r="C383">
        <v>12</v>
      </c>
    </row>
    <row r="384" spans="1:3" x14ac:dyDescent="0.25">
      <c r="A384" t="s">
        <v>335</v>
      </c>
      <c r="B384">
        <v>7</v>
      </c>
      <c r="C384">
        <v>17</v>
      </c>
    </row>
    <row r="385" spans="1:3" x14ac:dyDescent="0.25">
      <c r="A385" t="s">
        <v>335</v>
      </c>
      <c r="B385">
        <v>320</v>
      </c>
      <c r="C385">
        <v>22</v>
      </c>
    </row>
    <row r="386" spans="1:3" x14ac:dyDescent="0.25">
      <c r="A386" t="s">
        <v>335</v>
      </c>
      <c r="B386">
        <v>320</v>
      </c>
      <c r="C386">
        <v>23</v>
      </c>
    </row>
    <row r="387" spans="1:3" x14ac:dyDescent="0.25">
      <c r="A387" t="s">
        <v>335</v>
      </c>
      <c r="B387">
        <v>249</v>
      </c>
      <c r="C387">
        <v>22</v>
      </c>
    </row>
    <row r="388" spans="1:3" x14ac:dyDescent="0.25">
      <c r="A388" t="s">
        <v>335</v>
      </c>
      <c r="B388">
        <v>249</v>
      </c>
      <c r="C388">
        <v>21</v>
      </c>
    </row>
    <row r="389" spans="1:3" x14ac:dyDescent="0.25">
      <c r="A389" t="s">
        <v>335</v>
      </c>
      <c r="B389">
        <v>216</v>
      </c>
      <c r="C389">
        <v>31</v>
      </c>
    </row>
    <row r="390" spans="1:3" x14ac:dyDescent="0.25">
      <c r="A390" t="s">
        <v>335</v>
      </c>
      <c r="B390">
        <v>74</v>
      </c>
      <c r="C390">
        <v>26</v>
      </c>
    </row>
    <row r="391" spans="1:3" x14ac:dyDescent="0.25">
      <c r="A391" t="s">
        <v>335</v>
      </c>
      <c r="B391">
        <v>57</v>
      </c>
      <c r="C391">
        <v>21</v>
      </c>
    </row>
    <row r="392" spans="1:3" x14ac:dyDescent="0.25">
      <c r="A392" t="s">
        <v>335</v>
      </c>
      <c r="B392">
        <v>52</v>
      </c>
      <c r="C392">
        <v>9</v>
      </c>
    </row>
    <row r="393" spans="1:3" x14ac:dyDescent="0.25">
      <c r="A393" t="s">
        <v>335</v>
      </c>
      <c r="B393">
        <v>52</v>
      </c>
      <c r="C393">
        <v>12</v>
      </c>
    </row>
    <row r="394" spans="1:3" x14ac:dyDescent="0.25">
      <c r="A394" t="s">
        <v>335</v>
      </c>
      <c r="B394">
        <v>7</v>
      </c>
      <c r="C394">
        <v>17</v>
      </c>
    </row>
    <row r="395" spans="1:3" x14ac:dyDescent="0.25">
      <c r="A395" t="s">
        <v>335</v>
      </c>
      <c r="B395">
        <v>74</v>
      </c>
      <c r="C395">
        <v>26</v>
      </c>
    </row>
    <row r="396" spans="1:3" x14ac:dyDescent="0.25">
      <c r="A396" t="s">
        <v>335</v>
      </c>
      <c r="B396">
        <v>57</v>
      </c>
      <c r="C396">
        <v>21</v>
      </c>
    </row>
    <row r="397" spans="1:3" x14ac:dyDescent="0.25">
      <c r="A397" t="s">
        <v>335</v>
      </c>
      <c r="B397">
        <v>52</v>
      </c>
      <c r="C397">
        <v>9</v>
      </c>
    </row>
    <row r="398" spans="1:3" x14ac:dyDescent="0.25">
      <c r="A398" t="s">
        <v>335</v>
      </c>
      <c r="B398">
        <v>52</v>
      </c>
      <c r="C398">
        <v>12</v>
      </c>
    </row>
    <row r="399" spans="1:3" x14ac:dyDescent="0.25">
      <c r="A399" t="s">
        <v>335</v>
      </c>
      <c r="B399">
        <v>7</v>
      </c>
      <c r="C399">
        <v>17</v>
      </c>
    </row>
    <row r="400" spans="1:3" x14ac:dyDescent="0.25">
      <c r="A400" t="s">
        <v>95</v>
      </c>
      <c r="B400">
        <v>409</v>
      </c>
      <c r="C400">
        <v>19</v>
      </c>
    </row>
    <row r="401" spans="1:3" x14ac:dyDescent="0.25">
      <c r="A401" t="s">
        <v>95</v>
      </c>
      <c r="B401">
        <v>409</v>
      </c>
      <c r="C401">
        <v>19</v>
      </c>
    </row>
    <row r="402" spans="1:3" x14ac:dyDescent="0.25">
      <c r="A402" t="s">
        <v>95</v>
      </c>
      <c r="B402">
        <v>409</v>
      </c>
      <c r="C402">
        <v>19</v>
      </c>
    </row>
    <row r="403" spans="1:3" x14ac:dyDescent="0.25">
      <c r="A403" t="s">
        <v>95</v>
      </c>
      <c r="B403">
        <v>405</v>
      </c>
      <c r="C403">
        <v>19</v>
      </c>
    </row>
    <row r="404" spans="1:3" x14ac:dyDescent="0.25">
      <c r="A404" t="s">
        <v>95</v>
      </c>
      <c r="B404">
        <v>218</v>
      </c>
      <c r="C404">
        <v>19</v>
      </c>
    </row>
    <row r="405" spans="1:3" x14ac:dyDescent="0.25">
      <c r="A405" t="s">
        <v>528</v>
      </c>
      <c r="B405">
        <v>280</v>
      </c>
      <c r="C405">
        <v>21</v>
      </c>
    </row>
    <row r="406" spans="1:3" x14ac:dyDescent="0.25">
      <c r="A406" t="s">
        <v>528</v>
      </c>
      <c r="B406">
        <v>65</v>
      </c>
      <c r="C406">
        <v>23</v>
      </c>
    </row>
    <row r="407" spans="1:3" x14ac:dyDescent="0.25">
      <c r="A407" t="s">
        <v>528</v>
      </c>
      <c r="B407">
        <v>280</v>
      </c>
      <c r="C407">
        <v>21</v>
      </c>
    </row>
    <row r="408" spans="1:3" x14ac:dyDescent="0.25">
      <c r="A408" t="s">
        <v>528</v>
      </c>
      <c r="B408">
        <v>65</v>
      </c>
      <c r="C408">
        <v>23</v>
      </c>
    </row>
    <row r="409" spans="1:3" x14ac:dyDescent="0.25">
      <c r="A409" t="s">
        <v>528</v>
      </c>
      <c r="B409">
        <v>280</v>
      </c>
      <c r="C409">
        <v>21</v>
      </c>
    </row>
    <row r="410" spans="1:3" x14ac:dyDescent="0.25">
      <c r="A410" t="s">
        <v>528</v>
      </c>
      <c r="B410">
        <v>65</v>
      </c>
      <c r="C410">
        <v>23</v>
      </c>
    </row>
    <row r="411" spans="1:3" x14ac:dyDescent="0.25">
      <c r="A411" t="s">
        <v>528</v>
      </c>
      <c r="B411">
        <v>280</v>
      </c>
      <c r="C411">
        <v>21</v>
      </c>
    </row>
    <row r="412" spans="1:3" x14ac:dyDescent="0.25">
      <c r="A412" t="s">
        <v>528</v>
      </c>
      <c r="B412">
        <v>65</v>
      </c>
      <c r="C412">
        <v>23</v>
      </c>
    </row>
    <row r="413" spans="1:3" x14ac:dyDescent="0.25">
      <c r="A413" t="s">
        <v>528</v>
      </c>
      <c r="B413">
        <v>280</v>
      </c>
      <c r="C413">
        <v>21</v>
      </c>
    </row>
    <row r="414" spans="1:3" x14ac:dyDescent="0.25">
      <c r="A414" t="s">
        <v>528</v>
      </c>
      <c r="B414">
        <v>65</v>
      </c>
      <c r="C414">
        <v>23</v>
      </c>
    </row>
    <row r="415" spans="1:3" x14ac:dyDescent="0.25">
      <c r="A415" t="s">
        <v>528</v>
      </c>
      <c r="B415">
        <v>65</v>
      </c>
      <c r="C415">
        <v>23</v>
      </c>
    </row>
    <row r="416" spans="1:3" x14ac:dyDescent="0.25">
      <c r="A416" t="s">
        <v>216</v>
      </c>
      <c r="B416">
        <v>382</v>
      </c>
      <c r="C416">
        <v>8</v>
      </c>
    </row>
    <row r="417" spans="1:3" x14ac:dyDescent="0.25">
      <c r="A417" t="s">
        <v>216</v>
      </c>
      <c r="B417">
        <v>382</v>
      </c>
      <c r="C417">
        <v>6</v>
      </c>
    </row>
    <row r="418" spans="1:3" x14ac:dyDescent="0.25">
      <c r="A418" t="s">
        <v>216</v>
      </c>
      <c r="B418">
        <v>281</v>
      </c>
      <c r="C418">
        <v>1</v>
      </c>
    </row>
    <row r="419" spans="1:3" x14ac:dyDescent="0.25">
      <c r="A419" t="s">
        <v>216</v>
      </c>
      <c r="B419">
        <v>278</v>
      </c>
      <c r="C419">
        <v>25</v>
      </c>
    </row>
    <row r="420" spans="1:3" x14ac:dyDescent="0.25">
      <c r="A420" t="s">
        <v>216</v>
      </c>
      <c r="B420">
        <v>201</v>
      </c>
      <c r="C420">
        <v>20</v>
      </c>
    </row>
    <row r="421" spans="1:3" x14ac:dyDescent="0.25">
      <c r="A421" t="s">
        <v>216</v>
      </c>
      <c r="B421">
        <v>76</v>
      </c>
      <c r="C421">
        <v>28</v>
      </c>
    </row>
    <row r="422" spans="1:3" x14ac:dyDescent="0.25">
      <c r="A422" t="s">
        <v>216</v>
      </c>
      <c r="B422">
        <v>64</v>
      </c>
      <c r="C422">
        <v>7</v>
      </c>
    </row>
    <row r="423" spans="1:3" x14ac:dyDescent="0.25">
      <c r="A423" t="s">
        <v>216</v>
      </c>
      <c r="B423">
        <v>12</v>
      </c>
      <c r="C423">
        <v>25</v>
      </c>
    </row>
    <row r="424" spans="1:3" x14ac:dyDescent="0.25">
      <c r="A424" t="s">
        <v>216</v>
      </c>
      <c r="B424">
        <v>281</v>
      </c>
      <c r="C424">
        <v>1</v>
      </c>
    </row>
    <row r="425" spans="1:3" x14ac:dyDescent="0.25">
      <c r="A425" t="s">
        <v>216</v>
      </c>
      <c r="B425">
        <v>278</v>
      </c>
      <c r="C425">
        <v>25</v>
      </c>
    </row>
    <row r="426" spans="1:3" x14ac:dyDescent="0.25">
      <c r="A426" t="s">
        <v>216</v>
      </c>
      <c r="B426">
        <v>201</v>
      </c>
      <c r="C426">
        <v>20</v>
      </c>
    </row>
    <row r="427" spans="1:3" x14ac:dyDescent="0.25">
      <c r="A427" t="s">
        <v>216</v>
      </c>
      <c r="B427">
        <v>76</v>
      </c>
      <c r="C427">
        <v>28</v>
      </c>
    </row>
    <row r="428" spans="1:3" x14ac:dyDescent="0.25">
      <c r="A428" t="s">
        <v>216</v>
      </c>
      <c r="B428">
        <v>64</v>
      </c>
      <c r="C428">
        <v>7</v>
      </c>
    </row>
    <row r="429" spans="1:3" x14ac:dyDescent="0.25">
      <c r="A429" t="s">
        <v>216</v>
      </c>
      <c r="B429">
        <v>12</v>
      </c>
      <c r="C429">
        <v>25</v>
      </c>
    </row>
    <row r="430" spans="1:3" x14ac:dyDescent="0.25">
      <c r="A430" t="s">
        <v>216</v>
      </c>
      <c r="B430">
        <v>382</v>
      </c>
      <c r="C430">
        <v>8</v>
      </c>
    </row>
    <row r="431" spans="1:3" x14ac:dyDescent="0.25">
      <c r="A431" t="s">
        <v>216</v>
      </c>
      <c r="B431">
        <v>382</v>
      </c>
      <c r="C431">
        <v>6</v>
      </c>
    </row>
    <row r="432" spans="1:3" x14ac:dyDescent="0.25">
      <c r="A432" t="s">
        <v>216</v>
      </c>
      <c r="B432">
        <v>281</v>
      </c>
      <c r="C432">
        <v>1</v>
      </c>
    </row>
    <row r="433" spans="1:3" x14ac:dyDescent="0.25">
      <c r="A433" t="s">
        <v>216</v>
      </c>
      <c r="B433">
        <v>278</v>
      </c>
      <c r="C433">
        <v>25</v>
      </c>
    </row>
    <row r="434" spans="1:3" x14ac:dyDescent="0.25">
      <c r="A434" t="s">
        <v>216</v>
      </c>
      <c r="B434">
        <v>201</v>
      </c>
      <c r="C434">
        <v>20</v>
      </c>
    </row>
    <row r="435" spans="1:3" x14ac:dyDescent="0.25">
      <c r="A435" t="s">
        <v>216</v>
      </c>
      <c r="B435">
        <v>76</v>
      </c>
      <c r="C435">
        <v>28</v>
      </c>
    </row>
    <row r="436" spans="1:3" x14ac:dyDescent="0.25">
      <c r="A436" t="s">
        <v>216</v>
      </c>
      <c r="B436">
        <v>64</v>
      </c>
      <c r="C436">
        <v>7</v>
      </c>
    </row>
    <row r="437" spans="1:3" x14ac:dyDescent="0.25">
      <c r="A437" t="s">
        <v>216</v>
      </c>
      <c r="B437">
        <v>12</v>
      </c>
      <c r="C437">
        <v>25</v>
      </c>
    </row>
    <row r="438" spans="1:3" x14ac:dyDescent="0.25">
      <c r="A438" t="s">
        <v>216</v>
      </c>
      <c r="B438">
        <v>382</v>
      </c>
      <c r="C438">
        <v>8</v>
      </c>
    </row>
    <row r="439" spans="1:3" x14ac:dyDescent="0.25">
      <c r="A439" t="s">
        <v>216</v>
      </c>
      <c r="B439">
        <v>382</v>
      </c>
      <c r="C439">
        <v>6</v>
      </c>
    </row>
    <row r="440" spans="1:3" x14ac:dyDescent="0.25">
      <c r="A440" t="s">
        <v>216</v>
      </c>
      <c r="B440">
        <v>281</v>
      </c>
      <c r="C440">
        <v>1</v>
      </c>
    </row>
    <row r="441" spans="1:3" x14ac:dyDescent="0.25">
      <c r="A441" t="s">
        <v>216</v>
      </c>
      <c r="B441">
        <v>278</v>
      </c>
      <c r="C441">
        <v>25</v>
      </c>
    </row>
    <row r="442" spans="1:3" x14ac:dyDescent="0.25">
      <c r="A442" t="s">
        <v>216</v>
      </c>
      <c r="B442">
        <v>201</v>
      </c>
      <c r="C442">
        <v>20</v>
      </c>
    </row>
    <row r="443" spans="1:3" x14ac:dyDescent="0.25">
      <c r="A443" t="s">
        <v>216</v>
      </c>
      <c r="B443">
        <v>76</v>
      </c>
      <c r="C443">
        <v>28</v>
      </c>
    </row>
    <row r="444" spans="1:3" x14ac:dyDescent="0.25">
      <c r="A444" t="s">
        <v>216</v>
      </c>
      <c r="B444">
        <v>64</v>
      </c>
      <c r="C444">
        <v>7</v>
      </c>
    </row>
    <row r="445" spans="1:3" x14ac:dyDescent="0.25">
      <c r="A445" t="s">
        <v>216</v>
      </c>
      <c r="B445">
        <v>12</v>
      </c>
      <c r="C445">
        <v>25</v>
      </c>
    </row>
    <row r="446" spans="1:3" x14ac:dyDescent="0.25">
      <c r="A446" t="s">
        <v>216</v>
      </c>
      <c r="B446">
        <v>378</v>
      </c>
      <c r="C446">
        <v>8</v>
      </c>
    </row>
    <row r="447" spans="1:3" x14ac:dyDescent="0.25">
      <c r="A447" t="s">
        <v>216</v>
      </c>
      <c r="B447">
        <v>378</v>
      </c>
      <c r="C447">
        <v>6</v>
      </c>
    </row>
    <row r="448" spans="1:3" x14ac:dyDescent="0.25">
      <c r="A448" t="s">
        <v>216</v>
      </c>
      <c r="B448">
        <v>281</v>
      </c>
      <c r="C448">
        <v>1</v>
      </c>
    </row>
    <row r="449" spans="1:3" x14ac:dyDescent="0.25">
      <c r="A449" t="s">
        <v>216</v>
      </c>
      <c r="B449">
        <v>278</v>
      </c>
      <c r="C449">
        <v>25</v>
      </c>
    </row>
    <row r="450" spans="1:3" x14ac:dyDescent="0.25">
      <c r="A450" t="s">
        <v>216</v>
      </c>
      <c r="B450">
        <v>201</v>
      </c>
      <c r="C450">
        <v>20</v>
      </c>
    </row>
    <row r="451" spans="1:3" x14ac:dyDescent="0.25">
      <c r="A451" t="s">
        <v>216</v>
      </c>
      <c r="B451">
        <v>76</v>
      </c>
      <c r="C451">
        <v>28</v>
      </c>
    </row>
    <row r="452" spans="1:3" x14ac:dyDescent="0.25">
      <c r="A452" t="s">
        <v>216</v>
      </c>
      <c r="B452">
        <v>64</v>
      </c>
      <c r="C452">
        <v>7</v>
      </c>
    </row>
    <row r="453" spans="1:3" x14ac:dyDescent="0.25">
      <c r="A453" t="s">
        <v>216</v>
      </c>
      <c r="B453">
        <v>12</v>
      </c>
      <c r="C453">
        <v>25</v>
      </c>
    </row>
    <row r="454" spans="1:3" x14ac:dyDescent="0.25">
      <c r="A454" t="s">
        <v>216</v>
      </c>
      <c r="B454">
        <v>76</v>
      </c>
      <c r="C454">
        <v>28</v>
      </c>
    </row>
    <row r="455" spans="1:3" x14ac:dyDescent="0.25">
      <c r="A455" t="s">
        <v>216</v>
      </c>
      <c r="B455">
        <v>64</v>
      </c>
      <c r="C455">
        <v>7</v>
      </c>
    </row>
    <row r="456" spans="1:3" x14ac:dyDescent="0.25">
      <c r="A456" t="s">
        <v>216</v>
      </c>
      <c r="B456">
        <v>12</v>
      </c>
      <c r="C456">
        <v>25</v>
      </c>
    </row>
    <row r="457" spans="1:3" x14ac:dyDescent="0.25">
      <c r="A457" t="s">
        <v>816</v>
      </c>
      <c r="B457">
        <v>139</v>
      </c>
      <c r="C457">
        <v>22</v>
      </c>
    </row>
    <row r="458" spans="1:3" x14ac:dyDescent="0.25">
      <c r="A458" t="s">
        <v>816</v>
      </c>
      <c r="B458">
        <v>116</v>
      </c>
      <c r="C458">
        <v>24</v>
      </c>
    </row>
    <row r="459" spans="1:3" x14ac:dyDescent="0.25">
      <c r="A459" t="s">
        <v>816</v>
      </c>
      <c r="B459">
        <v>91</v>
      </c>
      <c r="C459">
        <v>27</v>
      </c>
    </row>
    <row r="460" spans="1:3" x14ac:dyDescent="0.25">
      <c r="A460" t="s">
        <v>816</v>
      </c>
      <c r="B460">
        <v>77</v>
      </c>
      <c r="C460">
        <v>29</v>
      </c>
    </row>
    <row r="461" spans="1:3" x14ac:dyDescent="0.25">
      <c r="A461" t="s">
        <v>816</v>
      </c>
      <c r="B461">
        <v>139</v>
      </c>
      <c r="C461">
        <v>22</v>
      </c>
    </row>
    <row r="462" spans="1:3" x14ac:dyDescent="0.25">
      <c r="A462" t="s">
        <v>816</v>
      </c>
      <c r="B462">
        <v>116</v>
      </c>
      <c r="C462">
        <v>24</v>
      </c>
    </row>
    <row r="463" spans="1:3" x14ac:dyDescent="0.25">
      <c r="A463" t="s">
        <v>816</v>
      </c>
      <c r="B463">
        <v>91</v>
      </c>
      <c r="C463">
        <v>27</v>
      </c>
    </row>
    <row r="464" spans="1:3" x14ac:dyDescent="0.25">
      <c r="A464" t="s">
        <v>816</v>
      </c>
      <c r="B464">
        <v>77</v>
      </c>
      <c r="C464">
        <v>29</v>
      </c>
    </row>
    <row r="465" spans="1:3" x14ac:dyDescent="0.25">
      <c r="A465" t="s">
        <v>816</v>
      </c>
      <c r="B465">
        <v>139</v>
      </c>
      <c r="C465">
        <v>22</v>
      </c>
    </row>
    <row r="466" spans="1:3" x14ac:dyDescent="0.25">
      <c r="A466" t="s">
        <v>816</v>
      </c>
      <c r="B466">
        <v>116</v>
      </c>
      <c r="C466">
        <v>24</v>
      </c>
    </row>
    <row r="467" spans="1:3" x14ac:dyDescent="0.25">
      <c r="A467" t="s">
        <v>816</v>
      </c>
      <c r="B467">
        <v>91</v>
      </c>
      <c r="C467">
        <v>27</v>
      </c>
    </row>
    <row r="468" spans="1:3" x14ac:dyDescent="0.25">
      <c r="A468" t="s">
        <v>816</v>
      </c>
      <c r="B468">
        <v>77</v>
      </c>
      <c r="C468">
        <v>29</v>
      </c>
    </row>
    <row r="469" spans="1:3" x14ac:dyDescent="0.25">
      <c r="A469" t="s">
        <v>816</v>
      </c>
      <c r="B469">
        <v>139</v>
      </c>
      <c r="C469">
        <v>22</v>
      </c>
    </row>
    <row r="470" spans="1:3" x14ac:dyDescent="0.25">
      <c r="A470" t="s">
        <v>816</v>
      </c>
      <c r="B470">
        <v>116</v>
      </c>
      <c r="C470">
        <v>24</v>
      </c>
    </row>
    <row r="471" spans="1:3" x14ac:dyDescent="0.25">
      <c r="A471" t="s">
        <v>816</v>
      </c>
      <c r="B471">
        <v>91</v>
      </c>
      <c r="C471">
        <v>27</v>
      </c>
    </row>
    <row r="472" spans="1:3" x14ac:dyDescent="0.25">
      <c r="A472" t="s">
        <v>816</v>
      </c>
      <c r="B472">
        <v>77</v>
      </c>
      <c r="C472">
        <v>29</v>
      </c>
    </row>
    <row r="473" spans="1:3" x14ac:dyDescent="0.25">
      <c r="A473" t="s">
        <v>816</v>
      </c>
      <c r="B473">
        <v>139</v>
      </c>
      <c r="C473">
        <v>22</v>
      </c>
    </row>
    <row r="474" spans="1:3" x14ac:dyDescent="0.25">
      <c r="A474" t="s">
        <v>816</v>
      </c>
      <c r="B474">
        <v>116</v>
      </c>
      <c r="C474">
        <v>24</v>
      </c>
    </row>
    <row r="475" spans="1:3" x14ac:dyDescent="0.25">
      <c r="A475" t="s">
        <v>816</v>
      </c>
      <c r="B475">
        <v>91</v>
      </c>
      <c r="C475">
        <v>27</v>
      </c>
    </row>
    <row r="476" spans="1:3" x14ac:dyDescent="0.25">
      <c r="A476" t="s">
        <v>816</v>
      </c>
      <c r="B476">
        <v>77</v>
      </c>
      <c r="C476">
        <v>29</v>
      </c>
    </row>
    <row r="477" spans="1:3" x14ac:dyDescent="0.25">
      <c r="A477" t="s">
        <v>816</v>
      </c>
      <c r="B477">
        <v>139</v>
      </c>
      <c r="C477">
        <v>22</v>
      </c>
    </row>
    <row r="478" spans="1:3" x14ac:dyDescent="0.25">
      <c r="A478" t="s">
        <v>816</v>
      </c>
      <c r="B478">
        <v>116</v>
      </c>
      <c r="C478">
        <v>24</v>
      </c>
    </row>
    <row r="479" spans="1:3" x14ac:dyDescent="0.25">
      <c r="A479" t="s">
        <v>816</v>
      </c>
      <c r="B479">
        <v>91</v>
      </c>
      <c r="C479">
        <v>27</v>
      </c>
    </row>
    <row r="480" spans="1:3" x14ac:dyDescent="0.25">
      <c r="A480" t="s">
        <v>816</v>
      </c>
      <c r="B480">
        <v>77</v>
      </c>
      <c r="C480">
        <v>29</v>
      </c>
    </row>
    <row r="481" spans="1:3" x14ac:dyDescent="0.25">
      <c r="A481" t="s">
        <v>509</v>
      </c>
      <c r="B481">
        <v>288</v>
      </c>
      <c r="C481">
        <v>33</v>
      </c>
    </row>
    <row r="482" spans="1:3" x14ac:dyDescent="0.25">
      <c r="A482" t="s">
        <v>509</v>
      </c>
      <c r="B482">
        <v>288</v>
      </c>
      <c r="C482">
        <v>33</v>
      </c>
    </row>
    <row r="483" spans="1:3" x14ac:dyDescent="0.25">
      <c r="A483" t="s">
        <v>509</v>
      </c>
      <c r="B483">
        <v>288</v>
      </c>
      <c r="C483">
        <v>33</v>
      </c>
    </row>
    <row r="484" spans="1:3" x14ac:dyDescent="0.25">
      <c r="A484" t="s">
        <v>509</v>
      </c>
      <c r="B484">
        <v>288</v>
      </c>
      <c r="C484">
        <v>33</v>
      </c>
    </row>
    <row r="485" spans="1:3" x14ac:dyDescent="0.25">
      <c r="A485" t="s">
        <v>509</v>
      </c>
      <c r="B485">
        <v>288</v>
      </c>
      <c r="C485">
        <v>33</v>
      </c>
    </row>
    <row r="486" spans="1:3" x14ac:dyDescent="0.25">
      <c r="A486" t="s">
        <v>73</v>
      </c>
      <c r="B486">
        <v>415</v>
      </c>
      <c r="C486">
        <v>28</v>
      </c>
    </row>
    <row r="487" spans="1:3" x14ac:dyDescent="0.25">
      <c r="A487" t="s">
        <v>73</v>
      </c>
      <c r="B487">
        <v>404</v>
      </c>
      <c r="C487">
        <v>7</v>
      </c>
    </row>
    <row r="488" spans="1:3" x14ac:dyDescent="0.25">
      <c r="A488" t="s">
        <v>73</v>
      </c>
      <c r="B488">
        <v>404</v>
      </c>
      <c r="C488">
        <v>15</v>
      </c>
    </row>
    <row r="489" spans="1:3" x14ac:dyDescent="0.25">
      <c r="A489" t="s">
        <v>73</v>
      </c>
      <c r="B489">
        <v>386</v>
      </c>
      <c r="C489">
        <v>12</v>
      </c>
    </row>
    <row r="490" spans="1:3" x14ac:dyDescent="0.25">
      <c r="A490" t="s">
        <v>73</v>
      </c>
      <c r="B490">
        <v>386</v>
      </c>
      <c r="C490">
        <v>16</v>
      </c>
    </row>
    <row r="491" spans="1:3" x14ac:dyDescent="0.25">
      <c r="A491" t="s">
        <v>73</v>
      </c>
      <c r="B491">
        <v>386</v>
      </c>
      <c r="C491">
        <v>16</v>
      </c>
    </row>
    <row r="492" spans="1:3" x14ac:dyDescent="0.25">
      <c r="A492" t="s">
        <v>73</v>
      </c>
      <c r="B492">
        <v>386</v>
      </c>
      <c r="C492">
        <v>17</v>
      </c>
    </row>
    <row r="493" spans="1:3" x14ac:dyDescent="0.25">
      <c r="A493" t="s">
        <v>73</v>
      </c>
      <c r="B493">
        <v>386</v>
      </c>
      <c r="C493">
        <v>16</v>
      </c>
    </row>
    <row r="494" spans="1:3" x14ac:dyDescent="0.25">
      <c r="A494" t="s">
        <v>73</v>
      </c>
      <c r="B494">
        <v>380</v>
      </c>
      <c r="C494">
        <v>1</v>
      </c>
    </row>
    <row r="495" spans="1:3" x14ac:dyDescent="0.25">
      <c r="A495" t="s">
        <v>73</v>
      </c>
      <c r="B495">
        <v>374</v>
      </c>
      <c r="C495">
        <v>3</v>
      </c>
    </row>
    <row r="496" spans="1:3" x14ac:dyDescent="0.25">
      <c r="A496" t="s">
        <v>73</v>
      </c>
      <c r="B496">
        <v>359</v>
      </c>
      <c r="C496">
        <v>24</v>
      </c>
    </row>
    <row r="497" spans="1:3" x14ac:dyDescent="0.25">
      <c r="A497" t="s">
        <v>73</v>
      </c>
      <c r="B497">
        <v>357</v>
      </c>
      <c r="C497">
        <v>0</v>
      </c>
    </row>
    <row r="498" spans="1:3" x14ac:dyDescent="0.25">
      <c r="A498" t="s">
        <v>73</v>
      </c>
      <c r="B498">
        <v>357</v>
      </c>
      <c r="C498">
        <v>0</v>
      </c>
    </row>
    <row r="499" spans="1:3" x14ac:dyDescent="0.25">
      <c r="A499" t="s">
        <v>73</v>
      </c>
      <c r="B499">
        <v>354</v>
      </c>
      <c r="C499">
        <v>25</v>
      </c>
    </row>
    <row r="500" spans="1:3" x14ac:dyDescent="0.25">
      <c r="A500" t="s">
        <v>73</v>
      </c>
      <c r="B500">
        <v>350</v>
      </c>
      <c r="C500">
        <v>15</v>
      </c>
    </row>
    <row r="501" spans="1:3" x14ac:dyDescent="0.25">
      <c r="A501" t="s">
        <v>73</v>
      </c>
      <c r="B501">
        <v>333</v>
      </c>
      <c r="C501">
        <v>20</v>
      </c>
    </row>
    <row r="502" spans="1:3" x14ac:dyDescent="0.25">
      <c r="A502" t="s">
        <v>73</v>
      </c>
      <c r="B502">
        <v>331</v>
      </c>
      <c r="C502">
        <v>26</v>
      </c>
    </row>
    <row r="503" spans="1:3" x14ac:dyDescent="0.25">
      <c r="A503" t="s">
        <v>73</v>
      </c>
      <c r="B503">
        <v>331</v>
      </c>
      <c r="C503">
        <v>25</v>
      </c>
    </row>
    <row r="504" spans="1:3" x14ac:dyDescent="0.25">
      <c r="A504" t="s">
        <v>73</v>
      </c>
      <c r="B504">
        <v>326</v>
      </c>
      <c r="C504">
        <v>0</v>
      </c>
    </row>
    <row r="505" spans="1:3" x14ac:dyDescent="0.25">
      <c r="A505" t="s">
        <v>73</v>
      </c>
      <c r="B505">
        <v>326</v>
      </c>
      <c r="C505">
        <v>0</v>
      </c>
    </row>
    <row r="506" spans="1:3" x14ac:dyDescent="0.25">
      <c r="A506" t="s">
        <v>73</v>
      </c>
      <c r="B506">
        <v>314</v>
      </c>
      <c r="C506">
        <v>24</v>
      </c>
    </row>
    <row r="507" spans="1:3" x14ac:dyDescent="0.25">
      <c r="A507" t="s">
        <v>73</v>
      </c>
      <c r="B507">
        <v>297</v>
      </c>
      <c r="C507">
        <v>1</v>
      </c>
    </row>
    <row r="508" spans="1:3" x14ac:dyDescent="0.25">
      <c r="A508" t="s">
        <v>73</v>
      </c>
      <c r="B508">
        <v>297</v>
      </c>
      <c r="C508">
        <v>0</v>
      </c>
    </row>
    <row r="509" spans="1:3" x14ac:dyDescent="0.25">
      <c r="A509" t="s">
        <v>73</v>
      </c>
      <c r="B509">
        <v>294</v>
      </c>
      <c r="C509">
        <v>14</v>
      </c>
    </row>
    <row r="510" spans="1:3" x14ac:dyDescent="0.25">
      <c r="A510" t="s">
        <v>73</v>
      </c>
      <c r="B510">
        <v>292</v>
      </c>
      <c r="C510">
        <v>4</v>
      </c>
    </row>
    <row r="511" spans="1:3" x14ac:dyDescent="0.25">
      <c r="A511" t="s">
        <v>73</v>
      </c>
      <c r="B511">
        <v>287</v>
      </c>
      <c r="C511">
        <v>24</v>
      </c>
    </row>
    <row r="512" spans="1:3" x14ac:dyDescent="0.25">
      <c r="A512" t="s">
        <v>73</v>
      </c>
      <c r="B512">
        <v>283</v>
      </c>
      <c r="C512">
        <v>22</v>
      </c>
    </row>
    <row r="513" spans="1:3" x14ac:dyDescent="0.25">
      <c r="A513" t="s">
        <v>73</v>
      </c>
      <c r="B513">
        <v>282</v>
      </c>
      <c r="C513">
        <v>22</v>
      </c>
    </row>
    <row r="514" spans="1:3" x14ac:dyDescent="0.25">
      <c r="A514" t="s">
        <v>73</v>
      </c>
      <c r="B514">
        <v>279</v>
      </c>
      <c r="C514">
        <v>24</v>
      </c>
    </row>
    <row r="515" spans="1:3" x14ac:dyDescent="0.25">
      <c r="A515" t="s">
        <v>73</v>
      </c>
      <c r="B515">
        <v>265</v>
      </c>
      <c r="C515">
        <v>1</v>
      </c>
    </row>
    <row r="516" spans="1:3" x14ac:dyDescent="0.25">
      <c r="A516" t="s">
        <v>73</v>
      </c>
      <c r="B516">
        <v>234</v>
      </c>
      <c r="C516">
        <v>23</v>
      </c>
    </row>
    <row r="517" spans="1:3" x14ac:dyDescent="0.25">
      <c r="A517" t="s">
        <v>73</v>
      </c>
      <c r="B517">
        <v>234</v>
      </c>
      <c r="C517">
        <v>20</v>
      </c>
    </row>
    <row r="518" spans="1:3" x14ac:dyDescent="0.25">
      <c r="A518" t="s">
        <v>73</v>
      </c>
      <c r="B518">
        <v>226</v>
      </c>
      <c r="C518">
        <v>0</v>
      </c>
    </row>
    <row r="519" spans="1:3" x14ac:dyDescent="0.25">
      <c r="A519" t="s">
        <v>73</v>
      </c>
      <c r="B519">
        <v>209</v>
      </c>
      <c r="C519">
        <v>23</v>
      </c>
    </row>
    <row r="520" spans="1:3" x14ac:dyDescent="0.25">
      <c r="A520" t="s">
        <v>73</v>
      </c>
      <c r="B520">
        <v>198</v>
      </c>
      <c r="C520">
        <v>3</v>
      </c>
    </row>
    <row r="521" spans="1:3" x14ac:dyDescent="0.25">
      <c r="A521" t="s">
        <v>73</v>
      </c>
      <c r="B521">
        <v>196</v>
      </c>
      <c r="C521">
        <v>22</v>
      </c>
    </row>
    <row r="522" spans="1:3" x14ac:dyDescent="0.25">
      <c r="A522" t="s">
        <v>73</v>
      </c>
      <c r="B522">
        <v>185</v>
      </c>
      <c r="C522">
        <v>19</v>
      </c>
    </row>
    <row r="523" spans="1:3" x14ac:dyDescent="0.25">
      <c r="A523" t="s">
        <v>73</v>
      </c>
      <c r="B523">
        <v>166</v>
      </c>
      <c r="C523">
        <v>17</v>
      </c>
    </row>
    <row r="524" spans="1:3" x14ac:dyDescent="0.25">
      <c r="A524" t="s">
        <v>73</v>
      </c>
      <c r="B524">
        <v>166</v>
      </c>
      <c r="C524">
        <v>21</v>
      </c>
    </row>
    <row r="525" spans="1:3" x14ac:dyDescent="0.25">
      <c r="A525" t="s">
        <v>73</v>
      </c>
      <c r="B525">
        <v>153</v>
      </c>
      <c r="C525">
        <v>18</v>
      </c>
    </row>
    <row r="526" spans="1:3" x14ac:dyDescent="0.25">
      <c r="A526" t="s">
        <v>73</v>
      </c>
      <c r="B526">
        <v>152</v>
      </c>
      <c r="C526">
        <v>14</v>
      </c>
    </row>
    <row r="527" spans="1:3" x14ac:dyDescent="0.25">
      <c r="A527" t="s">
        <v>73</v>
      </c>
      <c r="B527">
        <v>146</v>
      </c>
      <c r="C527">
        <v>0</v>
      </c>
    </row>
    <row r="528" spans="1:3" x14ac:dyDescent="0.25">
      <c r="A528" t="s">
        <v>73</v>
      </c>
      <c r="B528">
        <v>132</v>
      </c>
      <c r="C528">
        <v>14</v>
      </c>
    </row>
    <row r="529" spans="1:3" x14ac:dyDescent="0.25">
      <c r="A529" t="s">
        <v>73</v>
      </c>
      <c r="B529">
        <v>116</v>
      </c>
      <c r="C529">
        <v>21</v>
      </c>
    </row>
    <row r="530" spans="1:3" x14ac:dyDescent="0.25">
      <c r="A530" t="s">
        <v>73</v>
      </c>
      <c r="B530">
        <v>113</v>
      </c>
      <c r="C530">
        <v>18</v>
      </c>
    </row>
    <row r="531" spans="1:3" x14ac:dyDescent="0.25">
      <c r="A531" t="s">
        <v>73</v>
      </c>
      <c r="B531">
        <v>112</v>
      </c>
      <c r="C531">
        <v>0</v>
      </c>
    </row>
    <row r="532" spans="1:3" x14ac:dyDescent="0.25">
      <c r="A532" t="s">
        <v>73</v>
      </c>
      <c r="B532">
        <v>112</v>
      </c>
      <c r="C532">
        <v>0</v>
      </c>
    </row>
    <row r="533" spans="1:3" x14ac:dyDescent="0.25">
      <c r="A533" t="s">
        <v>73</v>
      </c>
      <c r="B533">
        <v>111</v>
      </c>
      <c r="C533">
        <v>0</v>
      </c>
    </row>
    <row r="534" spans="1:3" x14ac:dyDescent="0.25">
      <c r="A534" t="s">
        <v>73</v>
      </c>
      <c r="B534">
        <v>100</v>
      </c>
      <c r="C534">
        <v>25</v>
      </c>
    </row>
    <row r="535" spans="1:3" x14ac:dyDescent="0.25">
      <c r="A535" t="s">
        <v>73</v>
      </c>
      <c r="B535">
        <v>84</v>
      </c>
      <c r="C535">
        <v>24</v>
      </c>
    </row>
    <row r="536" spans="1:3" x14ac:dyDescent="0.25">
      <c r="A536" t="s">
        <v>73</v>
      </c>
      <c r="B536">
        <v>81</v>
      </c>
      <c r="C536">
        <v>17</v>
      </c>
    </row>
    <row r="537" spans="1:3" x14ac:dyDescent="0.25">
      <c r="A537" t="s">
        <v>73</v>
      </c>
      <c r="B537">
        <v>79</v>
      </c>
      <c r="C537">
        <v>25</v>
      </c>
    </row>
    <row r="538" spans="1:3" x14ac:dyDescent="0.25">
      <c r="A538" t="s">
        <v>73</v>
      </c>
      <c r="B538">
        <v>71</v>
      </c>
      <c r="C538">
        <v>13</v>
      </c>
    </row>
    <row r="539" spans="1:3" x14ac:dyDescent="0.25">
      <c r="A539" t="s">
        <v>73</v>
      </c>
      <c r="B539">
        <v>69</v>
      </c>
      <c r="C539">
        <v>23</v>
      </c>
    </row>
    <row r="540" spans="1:3" x14ac:dyDescent="0.25">
      <c r="A540" t="s">
        <v>73</v>
      </c>
      <c r="B540">
        <v>69</v>
      </c>
      <c r="C540">
        <v>23</v>
      </c>
    </row>
    <row r="541" spans="1:3" x14ac:dyDescent="0.25">
      <c r="A541" t="s">
        <v>73</v>
      </c>
      <c r="B541">
        <v>58</v>
      </c>
      <c r="C541">
        <v>3</v>
      </c>
    </row>
    <row r="542" spans="1:3" x14ac:dyDescent="0.25">
      <c r="A542" t="s">
        <v>73</v>
      </c>
      <c r="B542">
        <v>58</v>
      </c>
      <c r="C542">
        <v>13</v>
      </c>
    </row>
    <row r="543" spans="1:3" x14ac:dyDescent="0.25">
      <c r="A543" t="s">
        <v>73</v>
      </c>
      <c r="B543">
        <v>39</v>
      </c>
      <c r="C543">
        <v>0</v>
      </c>
    </row>
    <row r="544" spans="1:3" x14ac:dyDescent="0.25">
      <c r="A544" t="s">
        <v>73</v>
      </c>
      <c r="B544">
        <v>38</v>
      </c>
      <c r="C544">
        <v>16</v>
      </c>
    </row>
    <row r="545" spans="1:3" x14ac:dyDescent="0.25">
      <c r="A545" t="s">
        <v>73</v>
      </c>
      <c r="B545">
        <v>34</v>
      </c>
      <c r="C545">
        <v>11</v>
      </c>
    </row>
    <row r="546" spans="1:3" x14ac:dyDescent="0.25">
      <c r="A546" t="s">
        <v>73</v>
      </c>
      <c r="B546">
        <v>27</v>
      </c>
      <c r="C546">
        <v>3</v>
      </c>
    </row>
    <row r="547" spans="1:3" x14ac:dyDescent="0.25">
      <c r="A547" t="s">
        <v>73</v>
      </c>
      <c r="B547">
        <v>25</v>
      </c>
      <c r="C547">
        <v>2</v>
      </c>
    </row>
    <row r="548" spans="1:3" x14ac:dyDescent="0.25">
      <c r="A548" t="s">
        <v>73</v>
      </c>
      <c r="B548">
        <v>14</v>
      </c>
      <c r="C548">
        <v>21</v>
      </c>
    </row>
    <row r="549" spans="1:3" x14ac:dyDescent="0.25">
      <c r="A549" t="s">
        <v>73</v>
      </c>
      <c r="B549">
        <v>354</v>
      </c>
      <c r="C549">
        <v>25</v>
      </c>
    </row>
    <row r="550" spans="1:3" x14ac:dyDescent="0.25">
      <c r="A550" t="s">
        <v>73</v>
      </c>
      <c r="B550">
        <v>350</v>
      </c>
      <c r="C550">
        <v>15</v>
      </c>
    </row>
    <row r="551" spans="1:3" x14ac:dyDescent="0.25">
      <c r="A551" t="s">
        <v>73</v>
      </c>
      <c r="B551">
        <v>333</v>
      </c>
      <c r="C551">
        <v>20</v>
      </c>
    </row>
    <row r="552" spans="1:3" x14ac:dyDescent="0.25">
      <c r="A552" t="s">
        <v>73</v>
      </c>
      <c r="B552">
        <v>331</v>
      </c>
      <c r="C552">
        <v>26</v>
      </c>
    </row>
    <row r="553" spans="1:3" x14ac:dyDescent="0.25">
      <c r="A553" t="s">
        <v>73</v>
      </c>
      <c r="B553">
        <v>331</v>
      </c>
      <c r="C553">
        <v>25</v>
      </c>
    </row>
    <row r="554" spans="1:3" x14ac:dyDescent="0.25">
      <c r="A554" t="s">
        <v>73</v>
      </c>
      <c r="B554">
        <v>326</v>
      </c>
      <c r="C554">
        <v>0</v>
      </c>
    </row>
    <row r="555" spans="1:3" x14ac:dyDescent="0.25">
      <c r="A555" t="s">
        <v>73</v>
      </c>
      <c r="B555">
        <v>326</v>
      </c>
      <c r="C555">
        <v>0</v>
      </c>
    </row>
    <row r="556" spans="1:3" x14ac:dyDescent="0.25">
      <c r="A556" t="s">
        <v>73</v>
      </c>
      <c r="B556">
        <v>314</v>
      </c>
      <c r="C556">
        <v>24</v>
      </c>
    </row>
    <row r="557" spans="1:3" x14ac:dyDescent="0.25">
      <c r="A557" t="s">
        <v>73</v>
      </c>
      <c r="B557">
        <v>297</v>
      </c>
      <c r="C557">
        <v>1</v>
      </c>
    </row>
    <row r="558" spans="1:3" x14ac:dyDescent="0.25">
      <c r="A558" t="s">
        <v>73</v>
      </c>
      <c r="B558">
        <v>297</v>
      </c>
      <c r="C558">
        <v>0</v>
      </c>
    </row>
    <row r="559" spans="1:3" x14ac:dyDescent="0.25">
      <c r="A559" t="s">
        <v>73</v>
      </c>
      <c r="B559">
        <v>294</v>
      </c>
      <c r="C559">
        <v>14</v>
      </c>
    </row>
    <row r="560" spans="1:3" x14ac:dyDescent="0.25">
      <c r="A560" t="s">
        <v>73</v>
      </c>
      <c r="B560">
        <v>292</v>
      </c>
      <c r="C560">
        <v>4</v>
      </c>
    </row>
    <row r="561" spans="1:3" x14ac:dyDescent="0.25">
      <c r="A561" t="s">
        <v>73</v>
      </c>
      <c r="B561">
        <v>287</v>
      </c>
      <c r="C561">
        <v>24</v>
      </c>
    </row>
    <row r="562" spans="1:3" x14ac:dyDescent="0.25">
      <c r="A562" t="s">
        <v>73</v>
      </c>
      <c r="B562">
        <v>283</v>
      </c>
      <c r="C562">
        <v>22</v>
      </c>
    </row>
    <row r="563" spans="1:3" x14ac:dyDescent="0.25">
      <c r="A563" t="s">
        <v>73</v>
      </c>
      <c r="B563">
        <v>282</v>
      </c>
      <c r="C563">
        <v>22</v>
      </c>
    </row>
    <row r="564" spans="1:3" x14ac:dyDescent="0.25">
      <c r="A564" t="s">
        <v>73</v>
      </c>
      <c r="B564">
        <v>279</v>
      </c>
      <c r="C564">
        <v>24</v>
      </c>
    </row>
    <row r="565" spans="1:3" x14ac:dyDescent="0.25">
      <c r="A565" t="s">
        <v>73</v>
      </c>
      <c r="B565">
        <v>265</v>
      </c>
      <c r="C565">
        <v>1</v>
      </c>
    </row>
    <row r="566" spans="1:3" x14ac:dyDescent="0.25">
      <c r="A566" t="s">
        <v>73</v>
      </c>
      <c r="B566">
        <v>234</v>
      </c>
      <c r="C566">
        <v>23</v>
      </c>
    </row>
    <row r="567" spans="1:3" x14ac:dyDescent="0.25">
      <c r="A567" t="s">
        <v>73</v>
      </c>
      <c r="B567">
        <v>234</v>
      </c>
      <c r="C567">
        <v>20</v>
      </c>
    </row>
    <row r="568" spans="1:3" x14ac:dyDescent="0.25">
      <c r="A568" t="s">
        <v>73</v>
      </c>
      <c r="B568">
        <v>226</v>
      </c>
      <c r="C568">
        <v>0</v>
      </c>
    </row>
    <row r="569" spans="1:3" x14ac:dyDescent="0.25">
      <c r="A569" t="s">
        <v>73</v>
      </c>
      <c r="B569">
        <v>209</v>
      </c>
      <c r="C569">
        <v>23</v>
      </c>
    </row>
    <row r="570" spans="1:3" x14ac:dyDescent="0.25">
      <c r="A570" t="s">
        <v>73</v>
      </c>
      <c r="B570">
        <v>198</v>
      </c>
      <c r="C570">
        <v>3</v>
      </c>
    </row>
    <row r="571" spans="1:3" x14ac:dyDescent="0.25">
      <c r="A571" t="s">
        <v>73</v>
      </c>
      <c r="B571">
        <v>196</v>
      </c>
      <c r="C571">
        <v>22</v>
      </c>
    </row>
    <row r="572" spans="1:3" x14ac:dyDescent="0.25">
      <c r="A572" t="s">
        <v>73</v>
      </c>
      <c r="B572">
        <v>185</v>
      </c>
      <c r="C572">
        <v>19</v>
      </c>
    </row>
    <row r="573" spans="1:3" x14ac:dyDescent="0.25">
      <c r="A573" t="s">
        <v>73</v>
      </c>
      <c r="B573">
        <v>166</v>
      </c>
      <c r="C573">
        <v>17</v>
      </c>
    </row>
    <row r="574" spans="1:3" x14ac:dyDescent="0.25">
      <c r="A574" t="s">
        <v>73</v>
      </c>
      <c r="B574">
        <v>166</v>
      </c>
      <c r="C574">
        <v>21</v>
      </c>
    </row>
    <row r="575" spans="1:3" x14ac:dyDescent="0.25">
      <c r="A575" t="s">
        <v>73</v>
      </c>
      <c r="B575">
        <v>153</v>
      </c>
      <c r="C575">
        <v>18</v>
      </c>
    </row>
    <row r="576" spans="1:3" x14ac:dyDescent="0.25">
      <c r="A576" t="s">
        <v>73</v>
      </c>
      <c r="B576">
        <v>152</v>
      </c>
      <c r="C576">
        <v>14</v>
      </c>
    </row>
    <row r="577" spans="1:3" x14ac:dyDescent="0.25">
      <c r="A577" t="s">
        <v>73</v>
      </c>
      <c r="B577">
        <v>146</v>
      </c>
      <c r="C577">
        <v>0</v>
      </c>
    </row>
    <row r="578" spans="1:3" x14ac:dyDescent="0.25">
      <c r="A578" t="s">
        <v>73</v>
      </c>
      <c r="B578">
        <v>132</v>
      </c>
      <c r="C578">
        <v>14</v>
      </c>
    </row>
    <row r="579" spans="1:3" x14ac:dyDescent="0.25">
      <c r="A579" t="s">
        <v>73</v>
      </c>
      <c r="B579">
        <v>116</v>
      </c>
      <c r="C579">
        <v>21</v>
      </c>
    </row>
    <row r="580" spans="1:3" x14ac:dyDescent="0.25">
      <c r="A580" t="s">
        <v>73</v>
      </c>
      <c r="B580">
        <v>113</v>
      </c>
      <c r="C580">
        <v>18</v>
      </c>
    </row>
    <row r="581" spans="1:3" x14ac:dyDescent="0.25">
      <c r="A581" t="s">
        <v>73</v>
      </c>
      <c r="B581">
        <v>112</v>
      </c>
      <c r="C581">
        <v>0</v>
      </c>
    </row>
    <row r="582" spans="1:3" x14ac:dyDescent="0.25">
      <c r="A582" t="s">
        <v>73</v>
      </c>
      <c r="B582">
        <v>112</v>
      </c>
      <c r="C582">
        <v>0</v>
      </c>
    </row>
    <row r="583" spans="1:3" x14ac:dyDescent="0.25">
      <c r="A583" t="s">
        <v>73</v>
      </c>
      <c r="B583">
        <v>111</v>
      </c>
      <c r="C583">
        <v>0</v>
      </c>
    </row>
    <row r="584" spans="1:3" x14ac:dyDescent="0.25">
      <c r="A584" t="s">
        <v>73</v>
      </c>
      <c r="B584">
        <v>100</v>
      </c>
      <c r="C584">
        <v>25</v>
      </c>
    </row>
    <row r="585" spans="1:3" x14ac:dyDescent="0.25">
      <c r="A585" t="s">
        <v>73</v>
      </c>
      <c r="B585">
        <v>84</v>
      </c>
      <c r="C585">
        <v>24</v>
      </c>
    </row>
    <row r="586" spans="1:3" x14ac:dyDescent="0.25">
      <c r="A586" t="s">
        <v>73</v>
      </c>
      <c r="B586">
        <v>81</v>
      </c>
      <c r="C586">
        <v>17</v>
      </c>
    </row>
    <row r="587" spans="1:3" x14ac:dyDescent="0.25">
      <c r="A587" t="s">
        <v>73</v>
      </c>
      <c r="B587">
        <v>79</v>
      </c>
      <c r="C587">
        <v>25</v>
      </c>
    </row>
    <row r="588" spans="1:3" x14ac:dyDescent="0.25">
      <c r="A588" t="s">
        <v>73</v>
      </c>
      <c r="B588">
        <v>71</v>
      </c>
      <c r="C588">
        <v>13</v>
      </c>
    </row>
    <row r="589" spans="1:3" x14ac:dyDescent="0.25">
      <c r="A589" t="s">
        <v>73</v>
      </c>
      <c r="B589">
        <v>69</v>
      </c>
      <c r="C589">
        <v>23</v>
      </c>
    </row>
    <row r="590" spans="1:3" x14ac:dyDescent="0.25">
      <c r="A590" t="s">
        <v>73</v>
      </c>
      <c r="B590">
        <v>69</v>
      </c>
      <c r="C590">
        <v>23</v>
      </c>
    </row>
    <row r="591" spans="1:3" x14ac:dyDescent="0.25">
      <c r="A591" t="s">
        <v>73</v>
      </c>
      <c r="B591">
        <v>58</v>
      </c>
      <c r="C591">
        <v>3</v>
      </c>
    </row>
    <row r="592" spans="1:3" x14ac:dyDescent="0.25">
      <c r="A592" t="s">
        <v>73</v>
      </c>
      <c r="B592">
        <v>58</v>
      </c>
      <c r="C592">
        <v>13</v>
      </c>
    </row>
    <row r="593" spans="1:3" x14ac:dyDescent="0.25">
      <c r="A593" t="s">
        <v>73</v>
      </c>
      <c r="B593">
        <v>39</v>
      </c>
      <c r="C593">
        <v>0</v>
      </c>
    </row>
    <row r="594" spans="1:3" x14ac:dyDescent="0.25">
      <c r="A594" t="s">
        <v>73</v>
      </c>
      <c r="B594">
        <v>38</v>
      </c>
      <c r="C594">
        <v>16</v>
      </c>
    </row>
    <row r="595" spans="1:3" x14ac:dyDescent="0.25">
      <c r="A595" t="s">
        <v>73</v>
      </c>
      <c r="B595">
        <v>34</v>
      </c>
      <c r="C595">
        <v>11</v>
      </c>
    </row>
    <row r="596" spans="1:3" x14ac:dyDescent="0.25">
      <c r="A596" t="s">
        <v>73</v>
      </c>
      <c r="B596">
        <v>27</v>
      </c>
      <c r="C596">
        <v>3</v>
      </c>
    </row>
    <row r="597" spans="1:3" x14ac:dyDescent="0.25">
      <c r="A597" t="s">
        <v>73</v>
      </c>
      <c r="B597">
        <v>25</v>
      </c>
      <c r="C597">
        <v>2</v>
      </c>
    </row>
    <row r="598" spans="1:3" x14ac:dyDescent="0.25">
      <c r="A598" t="s">
        <v>73</v>
      </c>
      <c r="B598">
        <v>14</v>
      </c>
      <c r="C598">
        <v>21</v>
      </c>
    </row>
    <row r="599" spans="1:3" x14ac:dyDescent="0.25">
      <c r="A599" t="s">
        <v>73</v>
      </c>
      <c r="B599">
        <v>415</v>
      </c>
      <c r="C599">
        <v>28</v>
      </c>
    </row>
    <row r="600" spans="1:3" x14ac:dyDescent="0.25">
      <c r="A600" t="s">
        <v>73</v>
      </c>
      <c r="B600">
        <v>404</v>
      </c>
      <c r="C600">
        <v>7</v>
      </c>
    </row>
    <row r="601" spans="1:3" x14ac:dyDescent="0.25">
      <c r="A601" t="s">
        <v>73</v>
      </c>
      <c r="B601">
        <v>404</v>
      </c>
      <c r="C601">
        <v>15</v>
      </c>
    </row>
    <row r="602" spans="1:3" x14ac:dyDescent="0.25">
      <c r="A602" t="s">
        <v>73</v>
      </c>
      <c r="B602">
        <v>386</v>
      </c>
      <c r="C602">
        <v>12</v>
      </c>
    </row>
    <row r="603" spans="1:3" x14ac:dyDescent="0.25">
      <c r="A603" t="s">
        <v>73</v>
      </c>
      <c r="B603">
        <v>386</v>
      </c>
      <c r="C603">
        <v>16</v>
      </c>
    </row>
    <row r="604" spans="1:3" x14ac:dyDescent="0.25">
      <c r="A604" t="s">
        <v>73</v>
      </c>
      <c r="B604">
        <v>386</v>
      </c>
      <c r="C604">
        <v>16</v>
      </c>
    </row>
    <row r="605" spans="1:3" x14ac:dyDescent="0.25">
      <c r="A605" t="s">
        <v>73</v>
      </c>
      <c r="B605">
        <v>386</v>
      </c>
      <c r="C605">
        <v>17</v>
      </c>
    </row>
    <row r="606" spans="1:3" x14ac:dyDescent="0.25">
      <c r="A606" t="s">
        <v>73</v>
      </c>
      <c r="B606">
        <v>386</v>
      </c>
      <c r="C606">
        <v>16</v>
      </c>
    </row>
    <row r="607" spans="1:3" x14ac:dyDescent="0.25">
      <c r="A607" t="s">
        <v>73</v>
      </c>
      <c r="B607">
        <v>380</v>
      </c>
      <c r="C607">
        <v>1</v>
      </c>
    </row>
    <row r="608" spans="1:3" x14ac:dyDescent="0.25">
      <c r="A608" t="s">
        <v>73</v>
      </c>
      <c r="B608">
        <v>374</v>
      </c>
      <c r="C608">
        <v>3</v>
      </c>
    </row>
    <row r="609" spans="1:3" x14ac:dyDescent="0.25">
      <c r="A609" t="s">
        <v>73</v>
      </c>
      <c r="B609">
        <v>359</v>
      </c>
      <c r="C609">
        <v>24</v>
      </c>
    </row>
    <row r="610" spans="1:3" x14ac:dyDescent="0.25">
      <c r="A610" t="s">
        <v>73</v>
      </c>
      <c r="B610">
        <v>357</v>
      </c>
      <c r="C610">
        <v>0</v>
      </c>
    </row>
    <row r="611" spans="1:3" x14ac:dyDescent="0.25">
      <c r="A611" t="s">
        <v>73</v>
      </c>
      <c r="B611">
        <v>357</v>
      </c>
      <c r="C611">
        <v>0</v>
      </c>
    </row>
    <row r="612" spans="1:3" x14ac:dyDescent="0.25">
      <c r="A612" t="s">
        <v>73</v>
      </c>
      <c r="B612">
        <v>354</v>
      </c>
      <c r="C612">
        <v>25</v>
      </c>
    </row>
    <row r="613" spans="1:3" x14ac:dyDescent="0.25">
      <c r="A613" t="s">
        <v>73</v>
      </c>
      <c r="B613">
        <v>350</v>
      </c>
      <c r="C613">
        <v>15</v>
      </c>
    </row>
    <row r="614" spans="1:3" x14ac:dyDescent="0.25">
      <c r="A614" t="s">
        <v>73</v>
      </c>
      <c r="B614">
        <v>333</v>
      </c>
      <c r="C614">
        <v>20</v>
      </c>
    </row>
    <row r="615" spans="1:3" x14ac:dyDescent="0.25">
      <c r="A615" t="s">
        <v>73</v>
      </c>
      <c r="B615">
        <v>331</v>
      </c>
      <c r="C615">
        <v>26</v>
      </c>
    </row>
    <row r="616" spans="1:3" x14ac:dyDescent="0.25">
      <c r="A616" t="s">
        <v>73</v>
      </c>
      <c r="B616">
        <v>331</v>
      </c>
      <c r="C616">
        <v>25</v>
      </c>
    </row>
    <row r="617" spans="1:3" x14ac:dyDescent="0.25">
      <c r="A617" t="s">
        <v>73</v>
      </c>
      <c r="B617">
        <v>326</v>
      </c>
      <c r="C617">
        <v>0</v>
      </c>
    </row>
    <row r="618" spans="1:3" x14ac:dyDescent="0.25">
      <c r="A618" t="s">
        <v>73</v>
      </c>
      <c r="B618">
        <v>326</v>
      </c>
      <c r="C618">
        <v>0</v>
      </c>
    </row>
    <row r="619" spans="1:3" x14ac:dyDescent="0.25">
      <c r="A619" t="s">
        <v>73</v>
      </c>
      <c r="B619">
        <v>314</v>
      </c>
      <c r="C619">
        <v>24</v>
      </c>
    </row>
    <row r="620" spans="1:3" x14ac:dyDescent="0.25">
      <c r="A620" t="s">
        <v>73</v>
      </c>
      <c r="B620">
        <v>297</v>
      </c>
      <c r="C620">
        <v>1</v>
      </c>
    </row>
    <row r="621" spans="1:3" x14ac:dyDescent="0.25">
      <c r="A621" t="s">
        <v>73</v>
      </c>
      <c r="B621">
        <v>297</v>
      </c>
      <c r="C621">
        <v>0</v>
      </c>
    </row>
    <row r="622" spans="1:3" x14ac:dyDescent="0.25">
      <c r="A622" t="s">
        <v>73</v>
      </c>
      <c r="B622">
        <v>294</v>
      </c>
      <c r="C622">
        <v>14</v>
      </c>
    </row>
    <row r="623" spans="1:3" x14ac:dyDescent="0.25">
      <c r="A623" t="s">
        <v>73</v>
      </c>
      <c r="B623">
        <v>292</v>
      </c>
      <c r="C623">
        <v>4</v>
      </c>
    </row>
    <row r="624" spans="1:3" x14ac:dyDescent="0.25">
      <c r="A624" t="s">
        <v>73</v>
      </c>
      <c r="B624">
        <v>287</v>
      </c>
      <c r="C624">
        <v>24</v>
      </c>
    </row>
    <row r="625" spans="1:3" x14ac:dyDescent="0.25">
      <c r="A625" t="s">
        <v>73</v>
      </c>
      <c r="B625">
        <v>283</v>
      </c>
      <c r="C625">
        <v>22</v>
      </c>
    </row>
    <row r="626" spans="1:3" x14ac:dyDescent="0.25">
      <c r="A626" t="s">
        <v>73</v>
      </c>
      <c r="B626">
        <v>282</v>
      </c>
      <c r="C626">
        <v>22</v>
      </c>
    </row>
    <row r="627" spans="1:3" x14ac:dyDescent="0.25">
      <c r="A627" t="s">
        <v>73</v>
      </c>
      <c r="B627">
        <v>279</v>
      </c>
      <c r="C627">
        <v>24</v>
      </c>
    </row>
    <row r="628" spans="1:3" x14ac:dyDescent="0.25">
      <c r="A628" t="s">
        <v>73</v>
      </c>
      <c r="B628">
        <v>265</v>
      </c>
      <c r="C628">
        <v>1</v>
      </c>
    </row>
    <row r="629" spans="1:3" x14ac:dyDescent="0.25">
      <c r="A629" t="s">
        <v>73</v>
      </c>
      <c r="B629">
        <v>234</v>
      </c>
      <c r="C629">
        <v>23</v>
      </c>
    </row>
    <row r="630" spans="1:3" x14ac:dyDescent="0.25">
      <c r="A630" t="s">
        <v>73</v>
      </c>
      <c r="B630">
        <v>234</v>
      </c>
      <c r="C630">
        <v>20</v>
      </c>
    </row>
    <row r="631" spans="1:3" x14ac:dyDescent="0.25">
      <c r="A631" t="s">
        <v>73</v>
      </c>
      <c r="B631">
        <v>226</v>
      </c>
      <c r="C631">
        <v>0</v>
      </c>
    </row>
    <row r="632" spans="1:3" x14ac:dyDescent="0.25">
      <c r="A632" t="s">
        <v>73</v>
      </c>
      <c r="B632">
        <v>209</v>
      </c>
      <c r="C632">
        <v>23</v>
      </c>
    </row>
    <row r="633" spans="1:3" x14ac:dyDescent="0.25">
      <c r="A633" t="s">
        <v>73</v>
      </c>
      <c r="B633">
        <v>198</v>
      </c>
      <c r="C633">
        <v>3</v>
      </c>
    </row>
    <row r="634" spans="1:3" x14ac:dyDescent="0.25">
      <c r="A634" t="s">
        <v>73</v>
      </c>
      <c r="B634">
        <v>196</v>
      </c>
      <c r="C634">
        <v>22</v>
      </c>
    </row>
    <row r="635" spans="1:3" x14ac:dyDescent="0.25">
      <c r="A635" t="s">
        <v>73</v>
      </c>
      <c r="B635">
        <v>185</v>
      </c>
      <c r="C635">
        <v>19</v>
      </c>
    </row>
    <row r="636" spans="1:3" x14ac:dyDescent="0.25">
      <c r="A636" t="s">
        <v>73</v>
      </c>
      <c r="B636">
        <v>166</v>
      </c>
      <c r="C636">
        <v>17</v>
      </c>
    </row>
    <row r="637" spans="1:3" x14ac:dyDescent="0.25">
      <c r="A637" t="s">
        <v>73</v>
      </c>
      <c r="B637">
        <v>166</v>
      </c>
      <c r="C637">
        <v>21</v>
      </c>
    </row>
    <row r="638" spans="1:3" x14ac:dyDescent="0.25">
      <c r="A638" t="s">
        <v>73</v>
      </c>
      <c r="B638">
        <v>153</v>
      </c>
      <c r="C638">
        <v>18</v>
      </c>
    </row>
    <row r="639" spans="1:3" x14ac:dyDescent="0.25">
      <c r="A639" t="s">
        <v>73</v>
      </c>
      <c r="B639">
        <v>152</v>
      </c>
      <c r="C639">
        <v>14</v>
      </c>
    </row>
    <row r="640" spans="1:3" x14ac:dyDescent="0.25">
      <c r="A640" t="s">
        <v>73</v>
      </c>
      <c r="B640">
        <v>146</v>
      </c>
      <c r="C640">
        <v>0</v>
      </c>
    </row>
    <row r="641" spans="1:3" x14ac:dyDescent="0.25">
      <c r="A641" t="s">
        <v>73</v>
      </c>
      <c r="B641">
        <v>132</v>
      </c>
      <c r="C641">
        <v>14</v>
      </c>
    </row>
    <row r="642" spans="1:3" x14ac:dyDescent="0.25">
      <c r="A642" t="s">
        <v>73</v>
      </c>
      <c r="B642">
        <v>116</v>
      </c>
      <c r="C642">
        <v>21</v>
      </c>
    </row>
    <row r="643" spans="1:3" x14ac:dyDescent="0.25">
      <c r="A643" t="s">
        <v>73</v>
      </c>
      <c r="B643">
        <v>113</v>
      </c>
      <c r="C643">
        <v>18</v>
      </c>
    </row>
    <row r="644" spans="1:3" x14ac:dyDescent="0.25">
      <c r="A644" t="s">
        <v>73</v>
      </c>
      <c r="B644">
        <v>112</v>
      </c>
      <c r="C644">
        <v>0</v>
      </c>
    </row>
    <row r="645" spans="1:3" x14ac:dyDescent="0.25">
      <c r="A645" t="s">
        <v>73</v>
      </c>
      <c r="B645">
        <v>112</v>
      </c>
      <c r="C645">
        <v>0</v>
      </c>
    </row>
    <row r="646" spans="1:3" x14ac:dyDescent="0.25">
      <c r="A646" t="s">
        <v>73</v>
      </c>
      <c r="B646">
        <v>111</v>
      </c>
      <c r="C646">
        <v>0</v>
      </c>
    </row>
    <row r="647" spans="1:3" x14ac:dyDescent="0.25">
      <c r="A647" t="s">
        <v>73</v>
      </c>
      <c r="B647">
        <v>100</v>
      </c>
      <c r="C647">
        <v>25</v>
      </c>
    </row>
    <row r="648" spans="1:3" x14ac:dyDescent="0.25">
      <c r="A648" t="s">
        <v>73</v>
      </c>
      <c r="B648">
        <v>84</v>
      </c>
      <c r="C648">
        <v>24</v>
      </c>
    </row>
    <row r="649" spans="1:3" x14ac:dyDescent="0.25">
      <c r="A649" t="s">
        <v>73</v>
      </c>
      <c r="B649">
        <v>81</v>
      </c>
      <c r="C649">
        <v>17</v>
      </c>
    </row>
    <row r="650" spans="1:3" x14ac:dyDescent="0.25">
      <c r="A650" t="s">
        <v>73</v>
      </c>
      <c r="B650">
        <v>79</v>
      </c>
      <c r="C650">
        <v>25</v>
      </c>
    </row>
    <row r="651" spans="1:3" x14ac:dyDescent="0.25">
      <c r="A651" t="s">
        <v>73</v>
      </c>
      <c r="B651">
        <v>71</v>
      </c>
      <c r="C651">
        <v>13</v>
      </c>
    </row>
    <row r="652" spans="1:3" x14ac:dyDescent="0.25">
      <c r="A652" t="s">
        <v>73</v>
      </c>
      <c r="B652">
        <v>69</v>
      </c>
      <c r="C652">
        <v>23</v>
      </c>
    </row>
    <row r="653" spans="1:3" x14ac:dyDescent="0.25">
      <c r="A653" t="s">
        <v>73</v>
      </c>
      <c r="B653">
        <v>69</v>
      </c>
      <c r="C653">
        <v>23</v>
      </c>
    </row>
    <row r="654" spans="1:3" x14ac:dyDescent="0.25">
      <c r="A654" t="s">
        <v>73</v>
      </c>
      <c r="B654">
        <v>58</v>
      </c>
      <c r="C654">
        <v>3</v>
      </c>
    </row>
    <row r="655" spans="1:3" x14ac:dyDescent="0.25">
      <c r="A655" t="s">
        <v>73</v>
      </c>
      <c r="B655">
        <v>58</v>
      </c>
      <c r="C655">
        <v>13</v>
      </c>
    </row>
    <row r="656" spans="1:3" x14ac:dyDescent="0.25">
      <c r="A656" t="s">
        <v>73</v>
      </c>
      <c r="B656">
        <v>39</v>
      </c>
      <c r="C656">
        <v>0</v>
      </c>
    </row>
    <row r="657" spans="1:3" x14ac:dyDescent="0.25">
      <c r="A657" t="s">
        <v>73</v>
      </c>
      <c r="B657">
        <v>38</v>
      </c>
      <c r="C657">
        <v>16</v>
      </c>
    </row>
    <row r="658" spans="1:3" x14ac:dyDescent="0.25">
      <c r="A658" t="s">
        <v>73</v>
      </c>
      <c r="B658">
        <v>34</v>
      </c>
      <c r="C658">
        <v>11</v>
      </c>
    </row>
    <row r="659" spans="1:3" x14ac:dyDescent="0.25">
      <c r="A659" t="s">
        <v>73</v>
      </c>
      <c r="B659">
        <v>27</v>
      </c>
      <c r="C659">
        <v>3</v>
      </c>
    </row>
    <row r="660" spans="1:3" x14ac:dyDescent="0.25">
      <c r="A660" t="s">
        <v>73</v>
      </c>
      <c r="B660">
        <v>25</v>
      </c>
      <c r="C660">
        <v>2</v>
      </c>
    </row>
    <row r="661" spans="1:3" x14ac:dyDescent="0.25">
      <c r="A661" t="s">
        <v>73</v>
      </c>
      <c r="B661">
        <v>14</v>
      </c>
      <c r="C661">
        <v>21</v>
      </c>
    </row>
    <row r="662" spans="1:3" x14ac:dyDescent="0.25">
      <c r="A662" t="s">
        <v>73</v>
      </c>
      <c r="B662">
        <v>415</v>
      </c>
      <c r="C662">
        <v>28</v>
      </c>
    </row>
    <row r="663" spans="1:3" x14ac:dyDescent="0.25">
      <c r="A663" t="s">
        <v>73</v>
      </c>
      <c r="B663">
        <v>404</v>
      </c>
      <c r="C663">
        <v>7</v>
      </c>
    </row>
    <row r="664" spans="1:3" x14ac:dyDescent="0.25">
      <c r="A664" t="s">
        <v>73</v>
      </c>
      <c r="B664">
        <v>404</v>
      </c>
      <c r="C664">
        <v>15</v>
      </c>
    </row>
    <row r="665" spans="1:3" x14ac:dyDescent="0.25">
      <c r="A665" t="s">
        <v>73</v>
      </c>
      <c r="B665">
        <v>386</v>
      </c>
      <c r="C665">
        <v>12</v>
      </c>
    </row>
    <row r="666" spans="1:3" x14ac:dyDescent="0.25">
      <c r="A666" t="s">
        <v>73</v>
      </c>
      <c r="B666">
        <v>386</v>
      </c>
      <c r="C666">
        <v>16</v>
      </c>
    </row>
    <row r="667" spans="1:3" x14ac:dyDescent="0.25">
      <c r="A667" t="s">
        <v>73</v>
      </c>
      <c r="B667">
        <v>386</v>
      </c>
      <c r="C667">
        <v>16</v>
      </c>
    </row>
    <row r="668" spans="1:3" x14ac:dyDescent="0.25">
      <c r="A668" t="s">
        <v>73</v>
      </c>
      <c r="B668">
        <v>386</v>
      </c>
      <c r="C668">
        <v>17</v>
      </c>
    </row>
    <row r="669" spans="1:3" x14ac:dyDescent="0.25">
      <c r="A669" t="s">
        <v>73</v>
      </c>
      <c r="B669">
        <v>386</v>
      </c>
      <c r="C669">
        <v>16</v>
      </c>
    </row>
    <row r="670" spans="1:3" x14ac:dyDescent="0.25">
      <c r="A670" t="s">
        <v>73</v>
      </c>
      <c r="B670">
        <v>380</v>
      </c>
      <c r="C670">
        <v>1</v>
      </c>
    </row>
    <row r="671" spans="1:3" x14ac:dyDescent="0.25">
      <c r="A671" t="s">
        <v>73</v>
      </c>
      <c r="B671">
        <v>374</v>
      </c>
      <c r="C671">
        <v>3</v>
      </c>
    </row>
    <row r="672" spans="1:3" x14ac:dyDescent="0.25">
      <c r="A672" t="s">
        <v>73</v>
      </c>
      <c r="B672">
        <v>359</v>
      </c>
      <c r="C672">
        <v>24</v>
      </c>
    </row>
    <row r="673" spans="1:3" x14ac:dyDescent="0.25">
      <c r="A673" t="s">
        <v>73</v>
      </c>
      <c r="B673">
        <v>357</v>
      </c>
      <c r="C673">
        <v>0</v>
      </c>
    </row>
    <row r="674" spans="1:3" x14ac:dyDescent="0.25">
      <c r="A674" t="s">
        <v>73</v>
      </c>
      <c r="B674">
        <v>357</v>
      </c>
      <c r="C674">
        <v>0</v>
      </c>
    </row>
    <row r="675" spans="1:3" x14ac:dyDescent="0.25">
      <c r="A675" t="s">
        <v>73</v>
      </c>
      <c r="B675">
        <v>354</v>
      </c>
      <c r="C675">
        <v>25</v>
      </c>
    </row>
    <row r="676" spans="1:3" x14ac:dyDescent="0.25">
      <c r="A676" t="s">
        <v>73</v>
      </c>
      <c r="B676">
        <v>350</v>
      </c>
      <c r="C676">
        <v>15</v>
      </c>
    </row>
    <row r="677" spans="1:3" x14ac:dyDescent="0.25">
      <c r="A677" t="s">
        <v>73</v>
      </c>
      <c r="B677">
        <v>333</v>
      </c>
      <c r="C677">
        <v>20</v>
      </c>
    </row>
    <row r="678" spans="1:3" x14ac:dyDescent="0.25">
      <c r="A678" t="s">
        <v>73</v>
      </c>
      <c r="B678">
        <v>331</v>
      </c>
      <c r="C678">
        <v>26</v>
      </c>
    </row>
    <row r="679" spans="1:3" x14ac:dyDescent="0.25">
      <c r="A679" t="s">
        <v>73</v>
      </c>
      <c r="B679">
        <v>331</v>
      </c>
      <c r="C679">
        <v>25</v>
      </c>
    </row>
    <row r="680" spans="1:3" x14ac:dyDescent="0.25">
      <c r="A680" t="s">
        <v>73</v>
      </c>
      <c r="B680">
        <v>326</v>
      </c>
      <c r="C680">
        <v>0</v>
      </c>
    </row>
    <row r="681" spans="1:3" x14ac:dyDescent="0.25">
      <c r="A681" t="s">
        <v>73</v>
      </c>
      <c r="B681">
        <v>326</v>
      </c>
      <c r="C681">
        <v>0</v>
      </c>
    </row>
    <row r="682" spans="1:3" x14ac:dyDescent="0.25">
      <c r="A682" t="s">
        <v>73</v>
      </c>
      <c r="B682">
        <v>314</v>
      </c>
      <c r="C682">
        <v>24</v>
      </c>
    </row>
    <row r="683" spans="1:3" x14ac:dyDescent="0.25">
      <c r="A683" t="s">
        <v>73</v>
      </c>
      <c r="B683">
        <v>297</v>
      </c>
      <c r="C683">
        <v>1</v>
      </c>
    </row>
    <row r="684" spans="1:3" x14ac:dyDescent="0.25">
      <c r="A684" t="s">
        <v>73</v>
      </c>
      <c r="B684">
        <v>297</v>
      </c>
      <c r="C684">
        <v>0</v>
      </c>
    </row>
    <row r="685" spans="1:3" x14ac:dyDescent="0.25">
      <c r="A685" t="s">
        <v>73</v>
      </c>
      <c r="B685">
        <v>294</v>
      </c>
      <c r="C685">
        <v>14</v>
      </c>
    </row>
    <row r="686" spans="1:3" x14ac:dyDescent="0.25">
      <c r="A686" t="s">
        <v>73</v>
      </c>
      <c r="B686">
        <v>292</v>
      </c>
      <c r="C686">
        <v>4</v>
      </c>
    </row>
    <row r="687" spans="1:3" x14ac:dyDescent="0.25">
      <c r="A687" t="s">
        <v>73</v>
      </c>
      <c r="B687">
        <v>287</v>
      </c>
      <c r="C687">
        <v>24</v>
      </c>
    </row>
    <row r="688" spans="1:3" x14ac:dyDescent="0.25">
      <c r="A688" t="s">
        <v>73</v>
      </c>
      <c r="B688">
        <v>283</v>
      </c>
      <c r="C688">
        <v>22</v>
      </c>
    </row>
    <row r="689" spans="1:3" x14ac:dyDescent="0.25">
      <c r="A689" t="s">
        <v>73</v>
      </c>
      <c r="B689">
        <v>282</v>
      </c>
      <c r="C689">
        <v>22</v>
      </c>
    </row>
    <row r="690" spans="1:3" x14ac:dyDescent="0.25">
      <c r="A690" t="s">
        <v>73</v>
      </c>
      <c r="B690">
        <v>279</v>
      </c>
      <c r="C690">
        <v>24</v>
      </c>
    </row>
    <row r="691" spans="1:3" x14ac:dyDescent="0.25">
      <c r="A691" t="s">
        <v>73</v>
      </c>
      <c r="B691">
        <v>265</v>
      </c>
      <c r="C691">
        <v>1</v>
      </c>
    </row>
    <row r="692" spans="1:3" x14ac:dyDescent="0.25">
      <c r="A692" t="s">
        <v>73</v>
      </c>
      <c r="B692">
        <v>234</v>
      </c>
      <c r="C692">
        <v>23</v>
      </c>
    </row>
    <row r="693" spans="1:3" x14ac:dyDescent="0.25">
      <c r="A693" t="s">
        <v>73</v>
      </c>
      <c r="B693">
        <v>234</v>
      </c>
      <c r="C693">
        <v>20</v>
      </c>
    </row>
    <row r="694" spans="1:3" x14ac:dyDescent="0.25">
      <c r="A694" t="s">
        <v>73</v>
      </c>
      <c r="B694">
        <v>226</v>
      </c>
      <c r="C694">
        <v>0</v>
      </c>
    </row>
    <row r="695" spans="1:3" x14ac:dyDescent="0.25">
      <c r="A695" t="s">
        <v>73</v>
      </c>
      <c r="B695">
        <v>209</v>
      </c>
      <c r="C695">
        <v>23</v>
      </c>
    </row>
    <row r="696" spans="1:3" x14ac:dyDescent="0.25">
      <c r="A696" t="s">
        <v>73</v>
      </c>
      <c r="B696">
        <v>198</v>
      </c>
      <c r="C696">
        <v>3</v>
      </c>
    </row>
    <row r="697" spans="1:3" x14ac:dyDescent="0.25">
      <c r="A697" t="s">
        <v>73</v>
      </c>
      <c r="B697">
        <v>196</v>
      </c>
      <c r="C697">
        <v>22</v>
      </c>
    </row>
    <row r="698" spans="1:3" x14ac:dyDescent="0.25">
      <c r="A698" t="s">
        <v>73</v>
      </c>
      <c r="B698">
        <v>185</v>
      </c>
      <c r="C698">
        <v>19</v>
      </c>
    </row>
    <row r="699" spans="1:3" x14ac:dyDescent="0.25">
      <c r="A699" t="s">
        <v>73</v>
      </c>
      <c r="B699">
        <v>166</v>
      </c>
      <c r="C699">
        <v>17</v>
      </c>
    </row>
    <row r="700" spans="1:3" x14ac:dyDescent="0.25">
      <c r="A700" t="s">
        <v>73</v>
      </c>
      <c r="B700">
        <v>166</v>
      </c>
      <c r="C700">
        <v>21</v>
      </c>
    </row>
    <row r="701" spans="1:3" x14ac:dyDescent="0.25">
      <c r="A701" t="s">
        <v>73</v>
      </c>
      <c r="B701">
        <v>153</v>
      </c>
      <c r="C701">
        <v>18</v>
      </c>
    </row>
    <row r="702" spans="1:3" x14ac:dyDescent="0.25">
      <c r="A702" t="s">
        <v>73</v>
      </c>
      <c r="B702">
        <v>152</v>
      </c>
      <c r="C702">
        <v>14</v>
      </c>
    </row>
    <row r="703" spans="1:3" x14ac:dyDescent="0.25">
      <c r="A703" t="s">
        <v>73</v>
      </c>
      <c r="B703">
        <v>146</v>
      </c>
      <c r="C703">
        <v>0</v>
      </c>
    </row>
    <row r="704" spans="1:3" x14ac:dyDescent="0.25">
      <c r="A704" t="s">
        <v>73</v>
      </c>
      <c r="B704">
        <v>132</v>
      </c>
      <c r="C704">
        <v>14</v>
      </c>
    </row>
    <row r="705" spans="1:3" x14ac:dyDescent="0.25">
      <c r="A705" t="s">
        <v>73</v>
      </c>
      <c r="B705">
        <v>116</v>
      </c>
      <c r="C705">
        <v>21</v>
      </c>
    </row>
    <row r="706" spans="1:3" x14ac:dyDescent="0.25">
      <c r="A706" t="s">
        <v>73</v>
      </c>
      <c r="B706">
        <v>113</v>
      </c>
      <c r="C706">
        <v>18</v>
      </c>
    </row>
    <row r="707" spans="1:3" x14ac:dyDescent="0.25">
      <c r="A707" t="s">
        <v>73</v>
      </c>
      <c r="B707">
        <v>112</v>
      </c>
      <c r="C707">
        <v>0</v>
      </c>
    </row>
    <row r="708" spans="1:3" x14ac:dyDescent="0.25">
      <c r="A708" t="s">
        <v>73</v>
      </c>
      <c r="B708">
        <v>112</v>
      </c>
      <c r="C708">
        <v>0</v>
      </c>
    </row>
    <row r="709" spans="1:3" x14ac:dyDescent="0.25">
      <c r="A709" t="s">
        <v>73</v>
      </c>
      <c r="B709">
        <v>111</v>
      </c>
      <c r="C709">
        <v>0</v>
      </c>
    </row>
    <row r="710" spans="1:3" x14ac:dyDescent="0.25">
      <c r="A710" t="s">
        <v>73</v>
      </c>
      <c r="B710">
        <v>100</v>
      </c>
      <c r="C710">
        <v>25</v>
      </c>
    </row>
    <row r="711" spans="1:3" x14ac:dyDescent="0.25">
      <c r="A711" t="s">
        <v>73</v>
      </c>
      <c r="B711">
        <v>84</v>
      </c>
      <c r="C711">
        <v>24</v>
      </c>
    </row>
    <row r="712" spans="1:3" x14ac:dyDescent="0.25">
      <c r="A712" t="s">
        <v>73</v>
      </c>
      <c r="B712">
        <v>81</v>
      </c>
      <c r="C712">
        <v>17</v>
      </c>
    </row>
    <row r="713" spans="1:3" x14ac:dyDescent="0.25">
      <c r="A713" t="s">
        <v>73</v>
      </c>
      <c r="B713">
        <v>79</v>
      </c>
      <c r="C713">
        <v>25</v>
      </c>
    </row>
    <row r="714" spans="1:3" x14ac:dyDescent="0.25">
      <c r="A714" t="s">
        <v>73</v>
      </c>
      <c r="B714">
        <v>71</v>
      </c>
      <c r="C714">
        <v>13</v>
      </c>
    </row>
    <row r="715" spans="1:3" x14ac:dyDescent="0.25">
      <c r="A715" t="s">
        <v>73</v>
      </c>
      <c r="B715">
        <v>69</v>
      </c>
      <c r="C715">
        <v>23</v>
      </c>
    </row>
    <row r="716" spans="1:3" x14ac:dyDescent="0.25">
      <c r="A716" t="s">
        <v>73</v>
      </c>
      <c r="B716">
        <v>69</v>
      </c>
      <c r="C716">
        <v>23</v>
      </c>
    </row>
    <row r="717" spans="1:3" x14ac:dyDescent="0.25">
      <c r="A717" t="s">
        <v>73</v>
      </c>
      <c r="B717">
        <v>58</v>
      </c>
      <c r="C717">
        <v>3</v>
      </c>
    </row>
    <row r="718" spans="1:3" x14ac:dyDescent="0.25">
      <c r="A718" t="s">
        <v>73</v>
      </c>
      <c r="B718">
        <v>58</v>
      </c>
      <c r="C718">
        <v>13</v>
      </c>
    </row>
    <row r="719" spans="1:3" x14ac:dyDescent="0.25">
      <c r="A719" t="s">
        <v>73</v>
      </c>
      <c r="B719">
        <v>39</v>
      </c>
      <c r="C719">
        <v>0</v>
      </c>
    </row>
    <row r="720" spans="1:3" x14ac:dyDescent="0.25">
      <c r="A720" t="s">
        <v>73</v>
      </c>
      <c r="B720">
        <v>38</v>
      </c>
      <c r="C720">
        <v>16</v>
      </c>
    </row>
    <row r="721" spans="1:3" x14ac:dyDescent="0.25">
      <c r="A721" t="s">
        <v>73</v>
      </c>
      <c r="B721">
        <v>34</v>
      </c>
      <c r="C721">
        <v>11</v>
      </c>
    </row>
    <row r="722" spans="1:3" x14ac:dyDescent="0.25">
      <c r="A722" t="s">
        <v>73</v>
      </c>
      <c r="B722">
        <v>27</v>
      </c>
      <c r="C722">
        <v>3</v>
      </c>
    </row>
    <row r="723" spans="1:3" x14ac:dyDescent="0.25">
      <c r="A723" t="s">
        <v>73</v>
      </c>
      <c r="B723">
        <v>25</v>
      </c>
      <c r="C723">
        <v>2</v>
      </c>
    </row>
    <row r="724" spans="1:3" x14ac:dyDescent="0.25">
      <c r="A724" t="s">
        <v>73</v>
      </c>
      <c r="B724">
        <v>14</v>
      </c>
      <c r="C724">
        <v>21</v>
      </c>
    </row>
    <row r="725" spans="1:3" x14ac:dyDescent="0.25">
      <c r="A725" t="s">
        <v>73</v>
      </c>
      <c r="B725">
        <v>411</v>
      </c>
      <c r="C725">
        <v>28</v>
      </c>
    </row>
    <row r="726" spans="1:3" x14ac:dyDescent="0.25">
      <c r="A726" t="s">
        <v>73</v>
      </c>
      <c r="B726">
        <v>400</v>
      </c>
      <c r="C726">
        <v>7</v>
      </c>
    </row>
    <row r="727" spans="1:3" x14ac:dyDescent="0.25">
      <c r="A727" t="s">
        <v>73</v>
      </c>
      <c r="B727">
        <v>400</v>
      </c>
      <c r="C727">
        <v>15</v>
      </c>
    </row>
    <row r="728" spans="1:3" x14ac:dyDescent="0.25">
      <c r="A728" t="s">
        <v>73</v>
      </c>
      <c r="B728">
        <v>382</v>
      </c>
      <c r="C728">
        <v>12</v>
      </c>
    </row>
    <row r="729" spans="1:3" x14ac:dyDescent="0.25">
      <c r="A729" t="s">
        <v>73</v>
      </c>
      <c r="B729">
        <v>382</v>
      </c>
      <c r="C729">
        <v>16</v>
      </c>
    </row>
    <row r="730" spans="1:3" x14ac:dyDescent="0.25">
      <c r="A730" t="s">
        <v>73</v>
      </c>
      <c r="B730">
        <v>382</v>
      </c>
      <c r="C730">
        <v>16</v>
      </c>
    </row>
    <row r="731" spans="1:3" x14ac:dyDescent="0.25">
      <c r="A731" t="s">
        <v>73</v>
      </c>
      <c r="B731">
        <v>382</v>
      </c>
      <c r="C731">
        <v>17</v>
      </c>
    </row>
    <row r="732" spans="1:3" x14ac:dyDescent="0.25">
      <c r="A732" t="s">
        <v>73</v>
      </c>
      <c r="B732">
        <v>382</v>
      </c>
      <c r="C732">
        <v>16</v>
      </c>
    </row>
    <row r="733" spans="1:3" x14ac:dyDescent="0.25">
      <c r="A733" t="s">
        <v>73</v>
      </c>
      <c r="B733">
        <v>376</v>
      </c>
      <c r="C733">
        <v>1</v>
      </c>
    </row>
    <row r="734" spans="1:3" x14ac:dyDescent="0.25">
      <c r="A734" t="s">
        <v>73</v>
      </c>
      <c r="B734">
        <v>370</v>
      </c>
      <c r="C734">
        <v>3</v>
      </c>
    </row>
    <row r="735" spans="1:3" x14ac:dyDescent="0.25">
      <c r="A735" t="s">
        <v>73</v>
      </c>
      <c r="B735">
        <v>354</v>
      </c>
      <c r="C735">
        <v>25</v>
      </c>
    </row>
    <row r="736" spans="1:3" x14ac:dyDescent="0.25">
      <c r="A736" t="s">
        <v>73</v>
      </c>
      <c r="B736">
        <v>350</v>
      </c>
      <c r="C736">
        <v>15</v>
      </c>
    </row>
    <row r="737" spans="1:3" x14ac:dyDescent="0.25">
      <c r="A737" t="s">
        <v>73</v>
      </c>
      <c r="B737">
        <v>333</v>
      </c>
      <c r="C737">
        <v>20</v>
      </c>
    </row>
    <row r="738" spans="1:3" x14ac:dyDescent="0.25">
      <c r="A738" t="s">
        <v>73</v>
      </c>
      <c r="B738">
        <v>331</v>
      </c>
      <c r="C738">
        <v>26</v>
      </c>
    </row>
    <row r="739" spans="1:3" x14ac:dyDescent="0.25">
      <c r="A739" t="s">
        <v>73</v>
      </c>
      <c r="B739">
        <v>331</v>
      </c>
      <c r="C739">
        <v>25</v>
      </c>
    </row>
    <row r="740" spans="1:3" x14ac:dyDescent="0.25">
      <c r="A740" t="s">
        <v>73</v>
      </c>
      <c r="B740">
        <v>326</v>
      </c>
      <c r="C740">
        <v>0</v>
      </c>
    </row>
    <row r="741" spans="1:3" x14ac:dyDescent="0.25">
      <c r="A741" t="s">
        <v>73</v>
      </c>
      <c r="B741">
        <v>326</v>
      </c>
      <c r="C741">
        <v>0</v>
      </c>
    </row>
    <row r="742" spans="1:3" x14ac:dyDescent="0.25">
      <c r="A742" t="s">
        <v>73</v>
      </c>
      <c r="B742">
        <v>314</v>
      </c>
      <c r="C742">
        <v>24</v>
      </c>
    </row>
    <row r="743" spans="1:3" x14ac:dyDescent="0.25">
      <c r="A743" t="s">
        <v>73</v>
      </c>
      <c r="B743">
        <v>297</v>
      </c>
      <c r="C743">
        <v>1</v>
      </c>
    </row>
    <row r="744" spans="1:3" x14ac:dyDescent="0.25">
      <c r="A744" t="s">
        <v>73</v>
      </c>
      <c r="B744">
        <v>297</v>
      </c>
      <c r="C744">
        <v>0</v>
      </c>
    </row>
    <row r="745" spans="1:3" x14ac:dyDescent="0.25">
      <c r="A745" t="s">
        <v>73</v>
      </c>
      <c r="B745">
        <v>294</v>
      </c>
      <c r="C745">
        <v>14</v>
      </c>
    </row>
    <row r="746" spans="1:3" x14ac:dyDescent="0.25">
      <c r="A746" t="s">
        <v>73</v>
      </c>
      <c r="B746">
        <v>292</v>
      </c>
      <c r="C746">
        <v>4</v>
      </c>
    </row>
    <row r="747" spans="1:3" x14ac:dyDescent="0.25">
      <c r="A747" t="s">
        <v>73</v>
      </c>
      <c r="B747">
        <v>287</v>
      </c>
      <c r="C747">
        <v>24</v>
      </c>
    </row>
    <row r="748" spans="1:3" x14ac:dyDescent="0.25">
      <c r="A748" t="s">
        <v>73</v>
      </c>
      <c r="B748">
        <v>283</v>
      </c>
      <c r="C748">
        <v>22</v>
      </c>
    </row>
    <row r="749" spans="1:3" x14ac:dyDescent="0.25">
      <c r="A749" t="s">
        <v>73</v>
      </c>
      <c r="B749">
        <v>282</v>
      </c>
      <c r="C749">
        <v>22</v>
      </c>
    </row>
    <row r="750" spans="1:3" x14ac:dyDescent="0.25">
      <c r="A750" t="s">
        <v>73</v>
      </c>
      <c r="B750">
        <v>279</v>
      </c>
      <c r="C750">
        <v>24</v>
      </c>
    </row>
    <row r="751" spans="1:3" x14ac:dyDescent="0.25">
      <c r="A751" t="s">
        <v>73</v>
      </c>
      <c r="B751">
        <v>265</v>
      </c>
      <c r="C751">
        <v>1</v>
      </c>
    </row>
    <row r="752" spans="1:3" x14ac:dyDescent="0.25">
      <c r="A752" t="s">
        <v>73</v>
      </c>
      <c r="B752">
        <v>234</v>
      </c>
      <c r="C752">
        <v>23</v>
      </c>
    </row>
    <row r="753" spans="1:3" x14ac:dyDescent="0.25">
      <c r="A753" t="s">
        <v>73</v>
      </c>
      <c r="B753">
        <v>234</v>
      </c>
      <c r="C753">
        <v>20</v>
      </c>
    </row>
    <row r="754" spans="1:3" x14ac:dyDescent="0.25">
      <c r="A754" t="s">
        <v>73</v>
      </c>
      <c r="B754">
        <v>226</v>
      </c>
      <c r="C754">
        <v>0</v>
      </c>
    </row>
    <row r="755" spans="1:3" x14ac:dyDescent="0.25">
      <c r="A755" t="s">
        <v>73</v>
      </c>
      <c r="B755">
        <v>209</v>
      </c>
      <c r="C755">
        <v>23</v>
      </c>
    </row>
    <row r="756" spans="1:3" x14ac:dyDescent="0.25">
      <c r="A756" t="s">
        <v>73</v>
      </c>
      <c r="B756">
        <v>198</v>
      </c>
      <c r="C756">
        <v>3</v>
      </c>
    </row>
    <row r="757" spans="1:3" x14ac:dyDescent="0.25">
      <c r="A757" t="s">
        <v>73</v>
      </c>
      <c r="B757">
        <v>196</v>
      </c>
      <c r="C757">
        <v>22</v>
      </c>
    </row>
    <row r="758" spans="1:3" x14ac:dyDescent="0.25">
      <c r="A758" t="s">
        <v>73</v>
      </c>
      <c r="B758">
        <v>185</v>
      </c>
      <c r="C758">
        <v>19</v>
      </c>
    </row>
    <row r="759" spans="1:3" x14ac:dyDescent="0.25">
      <c r="A759" t="s">
        <v>73</v>
      </c>
      <c r="B759">
        <v>166</v>
      </c>
      <c r="C759">
        <v>17</v>
      </c>
    </row>
    <row r="760" spans="1:3" x14ac:dyDescent="0.25">
      <c r="A760" t="s">
        <v>73</v>
      </c>
      <c r="B760">
        <v>166</v>
      </c>
      <c r="C760">
        <v>21</v>
      </c>
    </row>
    <row r="761" spans="1:3" x14ac:dyDescent="0.25">
      <c r="A761" t="s">
        <v>73</v>
      </c>
      <c r="B761">
        <v>153</v>
      </c>
      <c r="C761">
        <v>18</v>
      </c>
    </row>
    <row r="762" spans="1:3" x14ac:dyDescent="0.25">
      <c r="A762" t="s">
        <v>73</v>
      </c>
      <c r="B762">
        <v>152</v>
      </c>
      <c r="C762">
        <v>14</v>
      </c>
    </row>
    <row r="763" spans="1:3" x14ac:dyDescent="0.25">
      <c r="A763" t="s">
        <v>73</v>
      </c>
      <c r="B763">
        <v>146</v>
      </c>
      <c r="C763">
        <v>0</v>
      </c>
    </row>
    <row r="764" spans="1:3" x14ac:dyDescent="0.25">
      <c r="A764" t="s">
        <v>73</v>
      </c>
      <c r="B764">
        <v>132</v>
      </c>
      <c r="C764">
        <v>14</v>
      </c>
    </row>
    <row r="765" spans="1:3" x14ac:dyDescent="0.25">
      <c r="A765" t="s">
        <v>73</v>
      </c>
      <c r="B765">
        <v>116</v>
      </c>
      <c r="C765">
        <v>21</v>
      </c>
    </row>
    <row r="766" spans="1:3" x14ac:dyDescent="0.25">
      <c r="A766" t="s">
        <v>73</v>
      </c>
      <c r="B766">
        <v>113</v>
      </c>
      <c r="C766">
        <v>18</v>
      </c>
    </row>
    <row r="767" spans="1:3" x14ac:dyDescent="0.25">
      <c r="A767" t="s">
        <v>73</v>
      </c>
      <c r="B767">
        <v>112</v>
      </c>
      <c r="C767">
        <v>0</v>
      </c>
    </row>
    <row r="768" spans="1:3" x14ac:dyDescent="0.25">
      <c r="A768" t="s">
        <v>73</v>
      </c>
      <c r="B768">
        <v>112</v>
      </c>
      <c r="C768">
        <v>0</v>
      </c>
    </row>
    <row r="769" spans="1:3" x14ac:dyDescent="0.25">
      <c r="A769" t="s">
        <v>73</v>
      </c>
      <c r="B769">
        <v>111</v>
      </c>
      <c r="C769">
        <v>0</v>
      </c>
    </row>
    <row r="770" spans="1:3" x14ac:dyDescent="0.25">
      <c r="A770" t="s">
        <v>73</v>
      </c>
      <c r="B770">
        <v>100</v>
      </c>
      <c r="C770">
        <v>25</v>
      </c>
    </row>
    <row r="771" spans="1:3" x14ac:dyDescent="0.25">
      <c r="A771" t="s">
        <v>73</v>
      </c>
      <c r="B771">
        <v>84</v>
      </c>
      <c r="C771">
        <v>24</v>
      </c>
    </row>
    <row r="772" spans="1:3" x14ac:dyDescent="0.25">
      <c r="A772" t="s">
        <v>73</v>
      </c>
      <c r="B772">
        <v>81</v>
      </c>
      <c r="C772">
        <v>17</v>
      </c>
    </row>
    <row r="773" spans="1:3" x14ac:dyDescent="0.25">
      <c r="A773" t="s">
        <v>73</v>
      </c>
      <c r="B773">
        <v>79</v>
      </c>
      <c r="C773">
        <v>25</v>
      </c>
    </row>
    <row r="774" spans="1:3" x14ac:dyDescent="0.25">
      <c r="A774" t="s">
        <v>73</v>
      </c>
      <c r="B774">
        <v>71</v>
      </c>
      <c r="C774">
        <v>13</v>
      </c>
    </row>
    <row r="775" spans="1:3" x14ac:dyDescent="0.25">
      <c r="A775" t="s">
        <v>73</v>
      </c>
      <c r="B775">
        <v>69</v>
      </c>
      <c r="C775">
        <v>23</v>
      </c>
    </row>
    <row r="776" spans="1:3" x14ac:dyDescent="0.25">
      <c r="A776" t="s">
        <v>73</v>
      </c>
      <c r="B776">
        <v>69</v>
      </c>
      <c r="C776">
        <v>23</v>
      </c>
    </row>
    <row r="777" spans="1:3" x14ac:dyDescent="0.25">
      <c r="A777" t="s">
        <v>73</v>
      </c>
      <c r="B777">
        <v>58</v>
      </c>
      <c r="C777">
        <v>3</v>
      </c>
    </row>
    <row r="778" spans="1:3" x14ac:dyDescent="0.25">
      <c r="A778" t="s">
        <v>73</v>
      </c>
      <c r="B778">
        <v>58</v>
      </c>
      <c r="C778">
        <v>13</v>
      </c>
    </row>
    <row r="779" spans="1:3" x14ac:dyDescent="0.25">
      <c r="A779" t="s">
        <v>73</v>
      </c>
      <c r="B779">
        <v>39</v>
      </c>
      <c r="C779">
        <v>0</v>
      </c>
    </row>
    <row r="780" spans="1:3" x14ac:dyDescent="0.25">
      <c r="A780" t="s">
        <v>73</v>
      </c>
      <c r="B780">
        <v>38</v>
      </c>
      <c r="C780">
        <v>16</v>
      </c>
    </row>
    <row r="781" spans="1:3" x14ac:dyDescent="0.25">
      <c r="A781" t="s">
        <v>73</v>
      </c>
      <c r="B781">
        <v>34</v>
      </c>
      <c r="C781">
        <v>11</v>
      </c>
    </row>
    <row r="782" spans="1:3" x14ac:dyDescent="0.25">
      <c r="A782" t="s">
        <v>73</v>
      </c>
      <c r="B782">
        <v>27</v>
      </c>
      <c r="C782">
        <v>3</v>
      </c>
    </row>
    <row r="783" spans="1:3" x14ac:dyDescent="0.25">
      <c r="A783" t="s">
        <v>73</v>
      </c>
      <c r="B783">
        <v>25</v>
      </c>
      <c r="C783">
        <v>2</v>
      </c>
    </row>
    <row r="784" spans="1:3" x14ac:dyDescent="0.25">
      <c r="A784" t="s">
        <v>73</v>
      </c>
      <c r="B784">
        <v>14</v>
      </c>
      <c r="C784">
        <v>21</v>
      </c>
    </row>
    <row r="785" spans="1:3" x14ac:dyDescent="0.25">
      <c r="A785" t="s">
        <v>73</v>
      </c>
      <c r="B785">
        <v>224</v>
      </c>
      <c r="C785">
        <v>28</v>
      </c>
    </row>
    <row r="786" spans="1:3" x14ac:dyDescent="0.25">
      <c r="A786" t="s">
        <v>73</v>
      </c>
      <c r="B786">
        <v>213</v>
      </c>
      <c r="C786">
        <v>7</v>
      </c>
    </row>
    <row r="787" spans="1:3" x14ac:dyDescent="0.25">
      <c r="A787" t="s">
        <v>73</v>
      </c>
      <c r="B787">
        <v>213</v>
      </c>
      <c r="C787">
        <v>15</v>
      </c>
    </row>
    <row r="788" spans="1:3" x14ac:dyDescent="0.25">
      <c r="A788" t="s">
        <v>73</v>
      </c>
      <c r="B788">
        <v>196</v>
      </c>
      <c r="C788">
        <v>22</v>
      </c>
    </row>
    <row r="789" spans="1:3" x14ac:dyDescent="0.25">
      <c r="A789" t="s">
        <v>73</v>
      </c>
      <c r="B789">
        <v>185</v>
      </c>
      <c r="C789">
        <v>19</v>
      </c>
    </row>
    <row r="790" spans="1:3" x14ac:dyDescent="0.25">
      <c r="A790" t="s">
        <v>73</v>
      </c>
      <c r="B790">
        <v>166</v>
      </c>
      <c r="C790">
        <v>17</v>
      </c>
    </row>
    <row r="791" spans="1:3" x14ac:dyDescent="0.25">
      <c r="A791" t="s">
        <v>73</v>
      </c>
      <c r="B791">
        <v>166</v>
      </c>
      <c r="C791">
        <v>21</v>
      </c>
    </row>
    <row r="792" spans="1:3" x14ac:dyDescent="0.25">
      <c r="A792" t="s">
        <v>73</v>
      </c>
      <c r="B792">
        <v>153</v>
      </c>
      <c r="C792">
        <v>18</v>
      </c>
    </row>
    <row r="793" spans="1:3" x14ac:dyDescent="0.25">
      <c r="A793" t="s">
        <v>73</v>
      </c>
      <c r="B793">
        <v>152</v>
      </c>
      <c r="C793">
        <v>14</v>
      </c>
    </row>
    <row r="794" spans="1:3" x14ac:dyDescent="0.25">
      <c r="A794" t="s">
        <v>73</v>
      </c>
      <c r="B794">
        <v>146</v>
      </c>
      <c r="C794">
        <v>0</v>
      </c>
    </row>
    <row r="795" spans="1:3" x14ac:dyDescent="0.25">
      <c r="A795" t="s">
        <v>73</v>
      </c>
      <c r="B795">
        <v>132</v>
      </c>
      <c r="C795">
        <v>14</v>
      </c>
    </row>
    <row r="796" spans="1:3" x14ac:dyDescent="0.25">
      <c r="A796" t="s">
        <v>73</v>
      </c>
      <c r="B796">
        <v>116</v>
      </c>
      <c r="C796">
        <v>21</v>
      </c>
    </row>
    <row r="797" spans="1:3" x14ac:dyDescent="0.25">
      <c r="A797" t="s">
        <v>73</v>
      </c>
      <c r="B797">
        <v>113</v>
      </c>
      <c r="C797">
        <v>18</v>
      </c>
    </row>
    <row r="798" spans="1:3" x14ac:dyDescent="0.25">
      <c r="A798" t="s">
        <v>73</v>
      </c>
      <c r="B798">
        <v>112</v>
      </c>
      <c r="C798">
        <v>0</v>
      </c>
    </row>
    <row r="799" spans="1:3" x14ac:dyDescent="0.25">
      <c r="A799" t="s">
        <v>73</v>
      </c>
      <c r="B799">
        <v>112</v>
      </c>
      <c r="C799">
        <v>0</v>
      </c>
    </row>
    <row r="800" spans="1:3" x14ac:dyDescent="0.25">
      <c r="A800" t="s">
        <v>73</v>
      </c>
      <c r="B800">
        <v>111</v>
      </c>
      <c r="C800">
        <v>0</v>
      </c>
    </row>
    <row r="801" spans="1:3" x14ac:dyDescent="0.25">
      <c r="A801" t="s">
        <v>73</v>
      </c>
      <c r="B801">
        <v>100</v>
      </c>
      <c r="C801">
        <v>25</v>
      </c>
    </row>
    <row r="802" spans="1:3" x14ac:dyDescent="0.25">
      <c r="A802" t="s">
        <v>73</v>
      </c>
      <c r="B802">
        <v>84</v>
      </c>
      <c r="C802">
        <v>24</v>
      </c>
    </row>
    <row r="803" spans="1:3" x14ac:dyDescent="0.25">
      <c r="A803" t="s">
        <v>73</v>
      </c>
      <c r="B803">
        <v>81</v>
      </c>
      <c r="C803">
        <v>17</v>
      </c>
    </row>
    <row r="804" spans="1:3" x14ac:dyDescent="0.25">
      <c r="A804" t="s">
        <v>73</v>
      </c>
      <c r="B804">
        <v>79</v>
      </c>
      <c r="C804">
        <v>25</v>
      </c>
    </row>
    <row r="805" spans="1:3" x14ac:dyDescent="0.25">
      <c r="A805" t="s">
        <v>73</v>
      </c>
      <c r="B805">
        <v>71</v>
      </c>
      <c r="C805">
        <v>13</v>
      </c>
    </row>
    <row r="806" spans="1:3" x14ac:dyDescent="0.25">
      <c r="A806" t="s">
        <v>73</v>
      </c>
      <c r="B806">
        <v>69</v>
      </c>
      <c r="C806">
        <v>23</v>
      </c>
    </row>
    <row r="807" spans="1:3" x14ac:dyDescent="0.25">
      <c r="A807" t="s">
        <v>73</v>
      </c>
      <c r="B807">
        <v>69</v>
      </c>
      <c r="C807">
        <v>23</v>
      </c>
    </row>
    <row r="808" spans="1:3" x14ac:dyDescent="0.25">
      <c r="A808" t="s">
        <v>73</v>
      </c>
      <c r="B808">
        <v>58</v>
      </c>
      <c r="C808">
        <v>3</v>
      </c>
    </row>
    <row r="809" spans="1:3" x14ac:dyDescent="0.25">
      <c r="A809" t="s">
        <v>73</v>
      </c>
      <c r="B809">
        <v>58</v>
      </c>
      <c r="C809">
        <v>13</v>
      </c>
    </row>
    <row r="810" spans="1:3" x14ac:dyDescent="0.25">
      <c r="A810" t="s">
        <v>73</v>
      </c>
      <c r="B810">
        <v>39</v>
      </c>
      <c r="C810">
        <v>0</v>
      </c>
    </row>
    <row r="811" spans="1:3" x14ac:dyDescent="0.25">
      <c r="A811" t="s">
        <v>73</v>
      </c>
      <c r="B811">
        <v>38</v>
      </c>
      <c r="C811">
        <v>16</v>
      </c>
    </row>
    <row r="812" spans="1:3" x14ac:dyDescent="0.25">
      <c r="A812" t="s">
        <v>73</v>
      </c>
      <c r="B812">
        <v>34</v>
      </c>
      <c r="C812">
        <v>11</v>
      </c>
    </row>
    <row r="813" spans="1:3" x14ac:dyDescent="0.25">
      <c r="A813" t="s">
        <v>73</v>
      </c>
      <c r="B813">
        <v>27</v>
      </c>
      <c r="C813">
        <v>3</v>
      </c>
    </row>
    <row r="814" spans="1:3" x14ac:dyDescent="0.25">
      <c r="A814" t="s">
        <v>73</v>
      </c>
      <c r="B814">
        <v>25</v>
      </c>
      <c r="C814">
        <v>2</v>
      </c>
    </row>
    <row r="815" spans="1:3" x14ac:dyDescent="0.25">
      <c r="A815" t="s">
        <v>73</v>
      </c>
      <c r="B815">
        <v>14</v>
      </c>
      <c r="C815">
        <v>21</v>
      </c>
    </row>
    <row r="816" spans="1:3" x14ac:dyDescent="0.25">
      <c r="A816" t="s">
        <v>467</v>
      </c>
      <c r="B816">
        <v>308</v>
      </c>
      <c r="C816">
        <v>16</v>
      </c>
    </row>
    <row r="817" spans="1:3" x14ac:dyDescent="0.25">
      <c r="A817" t="s">
        <v>467</v>
      </c>
      <c r="B817">
        <v>308</v>
      </c>
      <c r="C817">
        <v>14</v>
      </c>
    </row>
    <row r="818" spans="1:3" x14ac:dyDescent="0.25">
      <c r="A818" t="s">
        <v>467</v>
      </c>
      <c r="B818">
        <v>308</v>
      </c>
      <c r="C818">
        <v>16</v>
      </c>
    </row>
    <row r="819" spans="1:3" x14ac:dyDescent="0.25">
      <c r="A819" t="s">
        <v>467</v>
      </c>
      <c r="B819">
        <v>308</v>
      </c>
      <c r="C819">
        <v>14</v>
      </c>
    </row>
    <row r="820" spans="1:3" x14ac:dyDescent="0.25">
      <c r="A820" t="s">
        <v>467</v>
      </c>
      <c r="B820">
        <v>308</v>
      </c>
      <c r="C820">
        <v>16</v>
      </c>
    </row>
    <row r="821" spans="1:3" x14ac:dyDescent="0.25">
      <c r="A821" t="s">
        <v>467</v>
      </c>
      <c r="B821">
        <v>308</v>
      </c>
      <c r="C821">
        <v>14</v>
      </c>
    </row>
    <row r="822" spans="1:3" x14ac:dyDescent="0.25">
      <c r="A822" t="s">
        <v>467</v>
      </c>
      <c r="B822">
        <v>308</v>
      </c>
      <c r="C822">
        <v>16</v>
      </c>
    </row>
    <row r="823" spans="1:3" x14ac:dyDescent="0.25">
      <c r="A823" t="s">
        <v>467</v>
      </c>
      <c r="B823">
        <v>308</v>
      </c>
      <c r="C823">
        <v>14</v>
      </c>
    </row>
    <row r="824" spans="1:3" x14ac:dyDescent="0.25">
      <c r="A824" t="s">
        <v>467</v>
      </c>
      <c r="B824">
        <v>308</v>
      </c>
      <c r="C824">
        <v>16</v>
      </c>
    </row>
    <row r="825" spans="1:3" x14ac:dyDescent="0.25">
      <c r="A825" t="s">
        <v>467</v>
      </c>
      <c r="B825">
        <v>308</v>
      </c>
      <c r="C825">
        <v>14</v>
      </c>
    </row>
    <row r="826" spans="1:3" x14ac:dyDescent="0.25">
      <c r="A826" t="s">
        <v>292</v>
      </c>
      <c r="B826">
        <v>365</v>
      </c>
      <c r="C826">
        <v>22</v>
      </c>
    </row>
    <row r="827" spans="1:3" x14ac:dyDescent="0.25">
      <c r="A827" t="s">
        <v>292</v>
      </c>
      <c r="B827">
        <v>365</v>
      </c>
      <c r="C827">
        <v>16</v>
      </c>
    </row>
    <row r="828" spans="1:3" x14ac:dyDescent="0.25">
      <c r="A828" t="s">
        <v>292</v>
      </c>
      <c r="B828">
        <v>365</v>
      </c>
      <c r="C828">
        <v>17</v>
      </c>
    </row>
    <row r="829" spans="1:3" x14ac:dyDescent="0.25">
      <c r="A829" t="s">
        <v>292</v>
      </c>
      <c r="B829">
        <v>365</v>
      </c>
      <c r="C829">
        <v>22</v>
      </c>
    </row>
    <row r="830" spans="1:3" x14ac:dyDescent="0.25">
      <c r="A830" t="s">
        <v>292</v>
      </c>
      <c r="B830">
        <v>365</v>
      </c>
      <c r="C830">
        <v>16</v>
      </c>
    </row>
    <row r="831" spans="1:3" x14ac:dyDescent="0.25">
      <c r="A831" t="s">
        <v>292</v>
      </c>
      <c r="B831">
        <v>365</v>
      </c>
      <c r="C831">
        <v>17</v>
      </c>
    </row>
    <row r="832" spans="1:3" x14ac:dyDescent="0.25">
      <c r="A832" t="s">
        <v>292</v>
      </c>
      <c r="B832">
        <v>365</v>
      </c>
      <c r="C832">
        <v>22</v>
      </c>
    </row>
    <row r="833" spans="1:3" x14ac:dyDescent="0.25">
      <c r="A833" t="s">
        <v>292</v>
      </c>
      <c r="B833">
        <v>365</v>
      </c>
      <c r="C833">
        <v>16</v>
      </c>
    </row>
    <row r="834" spans="1:3" x14ac:dyDescent="0.25">
      <c r="A834" t="s">
        <v>292</v>
      </c>
      <c r="B834">
        <v>365</v>
      </c>
      <c r="C834">
        <v>17</v>
      </c>
    </row>
    <row r="835" spans="1:3" x14ac:dyDescent="0.25">
      <c r="A835" t="s">
        <v>292</v>
      </c>
      <c r="B835">
        <v>361</v>
      </c>
      <c r="C835">
        <v>22</v>
      </c>
    </row>
    <row r="836" spans="1:3" x14ac:dyDescent="0.25">
      <c r="A836" t="s">
        <v>292</v>
      </c>
      <c r="B836">
        <v>361</v>
      </c>
      <c r="C836">
        <v>16</v>
      </c>
    </row>
    <row r="837" spans="1:3" x14ac:dyDescent="0.25">
      <c r="A837" t="s">
        <v>292</v>
      </c>
      <c r="B837">
        <v>361</v>
      </c>
      <c r="C837">
        <v>17</v>
      </c>
    </row>
    <row r="838" spans="1:3" x14ac:dyDescent="0.25">
      <c r="A838" t="s">
        <v>282</v>
      </c>
      <c r="B838">
        <v>365</v>
      </c>
      <c r="C838">
        <v>0</v>
      </c>
    </row>
    <row r="839" spans="1:3" x14ac:dyDescent="0.25">
      <c r="A839" t="s">
        <v>282</v>
      </c>
      <c r="B839">
        <v>365</v>
      </c>
      <c r="C839">
        <v>22</v>
      </c>
    </row>
    <row r="840" spans="1:3" x14ac:dyDescent="0.25">
      <c r="A840" t="s">
        <v>282</v>
      </c>
      <c r="B840">
        <v>365</v>
      </c>
      <c r="C840">
        <v>22</v>
      </c>
    </row>
    <row r="841" spans="1:3" x14ac:dyDescent="0.25">
      <c r="A841" t="s">
        <v>282</v>
      </c>
      <c r="B841">
        <v>344</v>
      </c>
      <c r="C841">
        <v>23</v>
      </c>
    </row>
    <row r="842" spans="1:3" x14ac:dyDescent="0.25">
      <c r="A842" t="s">
        <v>282</v>
      </c>
      <c r="B842">
        <v>309</v>
      </c>
      <c r="C842">
        <v>0</v>
      </c>
    </row>
    <row r="843" spans="1:3" x14ac:dyDescent="0.25">
      <c r="A843" t="s">
        <v>282</v>
      </c>
      <c r="B843">
        <v>300</v>
      </c>
      <c r="C843">
        <v>14</v>
      </c>
    </row>
    <row r="844" spans="1:3" x14ac:dyDescent="0.25">
      <c r="A844" t="s">
        <v>282</v>
      </c>
      <c r="B844">
        <v>300</v>
      </c>
      <c r="C844">
        <v>19</v>
      </c>
    </row>
    <row r="845" spans="1:3" x14ac:dyDescent="0.25">
      <c r="A845" t="s">
        <v>282</v>
      </c>
      <c r="B845">
        <v>293</v>
      </c>
      <c r="C845">
        <v>1</v>
      </c>
    </row>
    <row r="846" spans="1:3" x14ac:dyDescent="0.25">
      <c r="A846" t="s">
        <v>282</v>
      </c>
      <c r="B846">
        <v>293</v>
      </c>
      <c r="C846">
        <v>1</v>
      </c>
    </row>
    <row r="847" spans="1:3" x14ac:dyDescent="0.25">
      <c r="A847" t="s">
        <v>282</v>
      </c>
      <c r="B847">
        <v>247</v>
      </c>
      <c r="C847">
        <v>14</v>
      </c>
    </row>
    <row r="848" spans="1:3" x14ac:dyDescent="0.25">
      <c r="A848" t="s">
        <v>282</v>
      </c>
      <c r="B848">
        <v>247</v>
      </c>
      <c r="C848">
        <v>13</v>
      </c>
    </row>
    <row r="849" spans="1:3" x14ac:dyDescent="0.25">
      <c r="A849" t="s">
        <v>282</v>
      </c>
      <c r="B849">
        <v>240</v>
      </c>
      <c r="C849">
        <v>18</v>
      </c>
    </row>
    <row r="850" spans="1:3" x14ac:dyDescent="0.25">
      <c r="A850" t="s">
        <v>282</v>
      </c>
      <c r="B850">
        <v>240</v>
      </c>
      <c r="C850">
        <v>18</v>
      </c>
    </row>
    <row r="851" spans="1:3" x14ac:dyDescent="0.25">
      <c r="A851" t="s">
        <v>282</v>
      </c>
      <c r="B851">
        <v>240</v>
      </c>
      <c r="C851">
        <v>22</v>
      </c>
    </row>
    <row r="852" spans="1:3" x14ac:dyDescent="0.25">
      <c r="A852" t="s">
        <v>282</v>
      </c>
      <c r="B852">
        <v>157</v>
      </c>
      <c r="C852">
        <v>22</v>
      </c>
    </row>
    <row r="853" spans="1:3" x14ac:dyDescent="0.25">
      <c r="A853" t="s">
        <v>282</v>
      </c>
      <c r="B853">
        <v>157</v>
      </c>
      <c r="C853">
        <v>21</v>
      </c>
    </row>
    <row r="854" spans="1:3" x14ac:dyDescent="0.25">
      <c r="A854" t="s">
        <v>282</v>
      </c>
      <c r="B854">
        <v>57</v>
      </c>
      <c r="C854">
        <v>21</v>
      </c>
    </row>
    <row r="855" spans="1:3" x14ac:dyDescent="0.25">
      <c r="A855" t="s">
        <v>282</v>
      </c>
      <c r="B855">
        <v>359</v>
      </c>
      <c r="C855">
        <v>7</v>
      </c>
    </row>
    <row r="856" spans="1:3" x14ac:dyDescent="0.25">
      <c r="A856" t="s">
        <v>282</v>
      </c>
      <c r="B856">
        <v>357</v>
      </c>
      <c r="C856">
        <v>7</v>
      </c>
    </row>
    <row r="857" spans="1:3" x14ac:dyDescent="0.25">
      <c r="A857" t="s">
        <v>282</v>
      </c>
      <c r="B857">
        <v>344</v>
      </c>
      <c r="C857">
        <v>23</v>
      </c>
    </row>
    <row r="858" spans="1:3" x14ac:dyDescent="0.25">
      <c r="A858" t="s">
        <v>282</v>
      </c>
      <c r="B858">
        <v>309</v>
      </c>
      <c r="C858">
        <v>0</v>
      </c>
    </row>
    <row r="859" spans="1:3" x14ac:dyDescent="0.25">
      <c r="A859" t="s">
        <v>282</v>
      </c>
      <c r="B859">
        <v>300</v>
      </c>
      <c r="C859">
        <v>14</v>
      </c>
    </row>
    <row r="860" spans="1:3" x14ac:dyDescent="0.25">
      <c r="A860" t="s">
        <v>282</v>
      </c>
      <c r="B860">
        <v>300</v>
      </c>
      <c r="C860">
        <v>19</v>
      </c>
    </row>
    <row r="861" spans="1:3" x14ac:dyDescent="0.25">
      <c r="A861" t="s">
        <v>282</v>
      </c>
      <c r="B861">
        <v>293</v>
      </c>
      <c r="C861">
        <v>1</v>
      </c>
    </row>
    <row r="862" spans="1:3" x14ac:dyDescent="0.25">
      <c r="A862" t="s">
        <v>282</v>
      </c>
      <c r="B862">
        <v>293</v>
      </c>
      <c r="C862">
        <v>1</v>
      </c>
    </row>
    <row r="863" spans="1:3" x14ac:dyDescent="0.25">
      <c r="A863" t="s">
        <v>282</v>
      </c>
      <c r="B863">
        <v>247</v>
      </c>
      <c r="C863">
        <v>14</v>
      </c>
    </row>
    <row r="864" spans="1:3" x14ac:dyDescent="0.25">
      <c r="A864" t="s">
        <v>282</v>
      </c>
      <c r="B864">
        <v>247</v>
      </c>
      <c r="C864">
        <v>13</v>
      </c>
    </row>
    <row r="865" spans="1:3" x14ac:dyDescent="0.25">
      <c r="A865" t="s">
        <v>282</v>
      </c>
      <c r="B865">
        <v>240</v>
      </c>
      <c r="C865">
        <v>18</v>
      </c>
    </row>
    <row r="866" spans="1:3" x14ac:dyDescent="0.25">
      <c r="A866" t="s">
        <v>282</v>
      </c>
      <c r="B866">
        <v>240</v>
      </c>
      <c r="C866">
        <v>18</v>
      </c>
    </row>
    <row r="867" spans="1:3" x14ac:dyDescent="0.25">
      <c r="A867" t="s">
        <v>282</v>
      </c>
      <c r="B867">
        <v>240</v>
      </c>
      <c r="C867">
        <v>22</v>
      </c>
    </row>
    <row r="868" spans="1:3" x14ac:dyDescent="0.25">
      <c r="A868" t="s">
        <v>282</v>
      </c>
      <c r="B868">
        <v>157</v>
      </c>
      <c r="C868">
        <v>22</v>
      </c>
    </row>
    <row r="869" spans="1:3" x14ac:dyDescent="0.25">
      <c r="A869" t="s">
        <v>282</v>
      </c>
      <c r="B869">
        <v>157</v>
      </c>
      <c r="C869">
        <v>21</v>
      </c>
    </row>
    <row r="870" spans="1:3" x14ac:dyDescent="0.25">
      <c r="A870" t="s">
        <v>282</v>
      </c>
      <c r="B870">
        <v>57</v>
      </c>
      <c r="C870">
        <v>21</v>
      </c>
    </row>
    <row r="871" spans="1:3" x14ac:dyDescent="0.25">
      <c r="A871" t="s">
        <v>282</v>
      </c>
      <c r="B871">
        <v>365</v>
      </c>
      <c r="C871">
        <v>0</v>
      </c>
    </row>
    <row r="872" spans="1:3" x14ac:dyDescent="0.25">
      <c r="A872" t="s">
        <v>282</v>
      </c>
      <c r="B872">
        <v>365</v>
      </c>
      <c r="C872">
        <v>22</v>
      </c>
    </row>
    <row r="873" spans="1:3" x14ac:dyDescent="0.25">
      <c r="A873" t="s">
        <v>282</v>
      </c>
      <c r="B873">
        <v>365</v>
      </c>
      <c r="C873">
        <v>22</v>
      </c>
    </row>
    <row r="874" spans="1:3" x14ac:dyDescent="0.25">
      <c r="A874" t="s">
        <v>282</v>
      </c>
      <c r="B874">
        <v>344</v>
      </c>
      <c r="C874">
        <v>23</v>
      </c>
    </row>
    <row r="875" spans="1:3" x14ac:dyDescent="0.25">
      <c r="A875" t="s">
        <v>282</v>
      </c>
      <c r="B875">
        <v>309</v>
      </c>
      <c r="C875">
        <v>0</v>
      </c>
    </row>
    <row r="876" spans="1:3" x14ac:dyDescent="0.25">
      <c r="A876" t="s">
        <v>282</v>
      </c>
      <c r="B876">
        <v>300</v>
      </c>
      <c r="C876">
        <v>14</v>
      </c>
    </row>
    <row r="877" spans="1:3" x14ac:dyDescent="0.25">
      <c r="A877" t="s">
        <v>282</v>
      </c>
      <c r="B877">
        <v>300</v>
      </c>
      <c r="C877">
        <v>19</v>
      </c>
    </row>
    <row r="878" spans="1:3" x14ac:dyDescent="0.25">
      <c r="A878" t="s">
        <v>282</v>
      </c>
      <c r="B878">
        <v>293</v>
      </c>
      <c r="C878">
        <v>1</v>
      </c>
    </row>
    <row r="879" spans="1:3" x14ac:dyDescent="0.25">
      <c r="A879" t="s">
        <v>282</v>
      </c>
      <c r="B879">
        <v>293</v>
      </c>
      <c r="C879">
        <v>1</v>
      </c>
    </row>
    <row r="880" spans="1:3" x14ac:dyDescent="0.25">
      <c r="A880" t="s">
        <v>282</v>
      </c>
      <c r="B880">
        <v>247</v>
      </c>
      <c r="C880">
        <v>14</v>
      </c>
    </row>
    <row r="881" spans="1:3" x14ac:dyDescent="0.25">
      <c r="A881" t="s">
        <v>282</v>
      </c>
      <c r="B881">
        <v>247</v>
      </c>
      <c r="C881">
        <v>13</v>
      </c>
    </row>
    <row r="882" spans="1:3" x14ac:dyDescent="0.25">
      <c r="A882" t="s">
        <v>282</v>
      </c>
      <c r="B882">
        <v>240</v>
      </c>
      <c r="C882">
        <v>18</v>
      </c>
    </row>
    <row r="883" spans="1:3" x14ac:dyDescent="0.25">
      <c r="A883" t="s">
        <v>282</v>
      </c>
      <c r="B883">
        <v>240</v>
      </c>
      <c r="C883">
        <v>18</v>
      </c>
    </row>
    <row r="884" spans="1:3" x14ac:dyDescent="0.25">
      <c r="A884" t="s">
        <v>282</v>
      </c>
      <c r="B884">
        <v>240</v>
      </c>
      <c r="C884">
        <v>22</v>
      </c>
    </row>
    <row r="885" spans="1:3" x14ac:dyDescent="0.25">
      <c r="A885" t="s">
        <v>282</v>
      </c>
      <c r="B885">
        <v>157</v>
      </c>
      <c r="C885">
        <v>22</v>
      </c>
    </row>
    <row r="886" spans="1:3" x14ac:dyDescent="0.25">
      <c r="A886" t="s">
        <v>282</v>
      </c>
      <c r="B886">
        <v>157</v>
      </c>
      <c r="C886">
        <v>21</v>
      </c>
    </row>
    <row r="887" spans="1:3" x14ac:dyDescent="0.25">
      <c r="A887" t="s">
        <v>282</v>
      </c>
      <c r="B887">
        <v>57</v>
      </c>
      <c r="C887">
        <v>21</v>
      </c>
    </row>
    <row r="888" spans="1:3" x14ac:dyDescent="0.25">
      <c r="A888" t="s">
        <v>282</v>
      </c>
      <c r="B888">
        <v>365</v>
      </c>
      <c r="C888">
        <v>0</v>
      </c>
    </row>
    <row r="889" spans="1:3" x14ac:dyDescent="0.25">
      <c r="A889" t="s">
        <v>282</v>
      </c>
      <c r="B889">
        <v>365</v>
      </c>
      <c r="C889">
        <v>22</v>
      </c>
    </row>
    <row r="890" spans="1:3" x14ac:dyDescent="0.25">
      <c r="A890" t="s">
        <v>282</v>
      </c>
      <c r="B890">
        <v>365</v>
      </c>
      <c r="C890">
        <v>22</v>
      </c>
    </row>
    <row r="891" spans="1:3" x14ac:dyDescent="0.25">
      <c r="A891" t="s">
        <v>282</v>
      </c>
      <c r="B891">
        <v>344</v>
      </c>
      <c r="C891">
        <v>23</v>
      </c>
    </row>
    <row r="892" spans="1:3" x14ac:dyDescent="0.25">
      <c r="A892" t="s">
        <v>282</v>
      </c>
      <c r="B892">
        <v>309</v>
      </c>
      <c r="C892">
        <v>0</v>
      </c>
    </row>
    <row r="893" spans="1:3" x14ac:dyDescent="0.25">
      <c r="A893" t="s">
        <v>282</v>
      </c>
      <c r="B893">
        <v>300</v>
      </c>
      <c r="C893">
        <v>14</v>
      </c>
    </row>
    <row r="894" spans="1:3" x14ac:dyDescent="0.25">
      <c r="A894" t="s">
        <v>282</v>
      </c>
      <c r="B894">
        <v>300</v>
      </c>
      <c r="C894">
        <v>19</v>
      </c>
    </row>
    <row r="895" spans="1:3" x14ac:dyDescent="0.25">
      <c r="A895" t="s">
        <v>282</v>
      </c>
      <c r="B895">
        <v>293</v>
      </c>
      <c r="C895">
        <v>1</v>
      </c>
    </row>
    <row r="896" spans="1:3" x14ac:dyDescent="0.25">
      <c r="A896" t="s">
        <v>282</v>
      </c>
      <c r="B896">
        <v>293</v>
      </c>
      <c r="C896">
        <v>1</v>
      </c>
    </row>
    <row r="897" spans="1:3" x14ac:dyDescent="0.25">
      <c r="A897" t="s">
        <v>282</v>
      </c>
      <c r="B897">
        <v>247</v>
      </c>
      <c r="C897">
        <v>14</v>
      </c>
    </row>
    <row r="898" spans="1:3" x14ac:dyDescent="0.25">
      <c r="A898" t="s">
        <v>282</v>
      </c>
      <c r="B898">
        <v>247</v>
      </c>
      <c r="C898">
        <v>13</v>
      </c>
    </row>
    <row r="899" spans="1:3" x14ac:dyDescent="0.25">
      <c r="A899" t="s">
        <v>282</v>
      </c>
      <c r="B899">
        <v>240</v>
      </c>
      <c r="C899">
        <v>18</v>
      </c>
    </row>
    <row r="900" spans="1:3" x14ac:dyDescent="0.25">
      <c r="A900" t="s">
        <v>282</v>
      </c>
      <c r="B900">
        <v>240</v>
      </c>
      <c r="C900">
        <v>18</v>
      </c>
    </row>
    <row r="901" spans="1:3" x14ac:dyDescent="0.25">
      <c r="A901" t="s">
        <v>282</v>
      </c>
      <c r="B901">
        <v>240</v>
      </c>
      <c r="C901">
        <v>22</v>
      </c>
    </row>
    <row r="902" spans="1:3" x14ac:dyDescent="0.25">
      <c r="A902" t="s">
        <v>282</v>
      </c>
      <c r="B902">
        <v>157</v>
      </c>
      <c r="C902">
        <v>22</v>
      </c>
    </row>
    <row r="903" spans="1:3" x14ac:dyDescent="0.25">
      <c r="A903" t="s">
        <v>282</v>
      </c>
      <c r="B903">
        <v>157</v>
      </c>
      <c r="C903">
        <v>21</v>
      </c>
    </row>
    <row r="904" spans="1:3" x14ac:dyDescent="0.25">
      <c r="A904" t="s">
        <v>282</v>
      </c>
      <c r="B904">
        <v>57</v>
      </c>
      <c r="C904">
        <v>21</v>
      </c>
    </row>
    <row r="905" spans="1:3" x14ac:dyDescent="0.25">
      <c r="A905" t="s">
        <v>282</v>
      </c>
      <c r="B905">
        <v>361</v>
      </c>
      <c r="C905">
        <v>0</v>
      </c>
    </row>
    <row r="906" spans="1:3" x14ac:dyDescent="0.25">
      <c r="A906" t="s">
        <v>282</v>
      </c>
      <c r="B906">
        <v>361</v>
      </c>
      <c r="C906">
        <v>22</v>
      </c>
    </row>
    <row r="907" spans="1:3" x14ac:dyDescent="0.25">
      <c r="A907" t="s">
        <v>282</v>
      </c>
      <c r="B907">
        <v>361</v>
      </c>
      <c r="C907">
        <v>22</v>
      </c>
    </row>
    <row r="908" spans="1:3" x14ac:dyDescent="0.25">
      <c r="A908" t="s">
        <v>282</v>
      </c>
      <c r="B908">
        <v>344</v>
      </c>
      <c r="C908">
        <v>23</v>
      </c>
    </row>
    <row r="909" spans="1:3" x14ac:dyDescent="0.25">
      <c r="A909" t="s">
        <v>282</v>
      </c>
      <c r="B909">
        <v>309</v>
      </c>
      <c r="C909">
        <v>0</v>
      </c>
    </row>
    <row r="910" spans="1:3" x14ac:dyDescent="0.25">
      <c r="A910" t="s">
        <v>282</v>
      </c>
      <c r="B910">
        <v>300</v>
      </c>
      <c r="C910">
        <v>14</v>
      </c>
    </row>
    <row r="911" spans="1:3" x14ac:dyDescent="0.25">
      <c r="A911" t="s">
        <v>282</v>
      </c>
      <c r="B911">
        <v>300</v>
      </c>
      <c r="C911">
        <v>19</v>
      </c>
    </row>
    <row r="912" spans="1:3" x14ac:dyDescent="0.25">
      <c r="A912" t="s">
        <v>282</v>
      </c>
      <c r="B912">
        <v>293</v>
      </c>
      <c r="C912">
        <v>1</v>
      </c>
    </row>
    <row r="913" spans="1:3" x14ac:dyDescent="0.25">
      <c r="A913" t="s">
        <v>282</v>
      </c>
      <c r="B913">
        <v>293</v>
      </c>
      <c r="C913">
        <v>1</v>
      </c>
    </row>
    <row r="914" spans="1:3" x14ac:dyDescent="0.25">
      <c r="A914" t="s">
        <v>282</v>
      </c>
      <c r="B914">
        <v>247</v>
      </c>
      <c r="C914">
        <v>14</v>
      </c>
    </row>
    <row r="915" spans="1:3" x14ac:dyDescent="0.25">
      <c r="A915" t="s">
        <v>282</v>
      </c>
      <c r="B915">
        <v>247</v>
      </c>
      <c r="C915">
        <v>13</v>
      </c>
    </row>
    <row r="916" spans="1:3" x14ac:dyDescent="0.25">
      <c r="A916" t="s">
        <v>282</v>
      </c>
      <c r="B916">
        <v>240</v>
      </c>
      <c r="C916">
        <v>18</v>
      </c>
    </row>
    <row r="917" spans="1:3" x14ac:dyDescent="0.25">
      <c r="A917" t="s">
        <v>282</v>
      </c>
      <c r="B917">
        <v>240</v>
      </c>
      <c r="C917">
        <v>18</v>
      </c>
    </row>
    <row r="918" spans="1:3" x14ac:dyDescent="0.25">
      <c r="A918" t="s">
        <v>282</v>
      </c>
      <c r="B918">
        <v>240</v>
      </c>
      <c r="C918">
        <v>22</v>
      </c>
    </row>
    <row r="919" spans="1:3" x14ac:dyDescent="0.25">
      <c r="A919" t="s">
        <v>282</v>
      </c>
      <c r="B919">
        <v>157</v>
      </c>
      <c r="C919">
        <v>22</v>
      </c>
    </row>
    <row r="920" spans="1:3" x14ac:dyDescent="0.25">
      <c r="A920" t="s">
        <v>282</v>
      </c>
      <c r="B920">
        <v>157</v>
      </c>
      <c r="C920">
        <v>21</v>
      </c>
    </row>
    <row r="921" spans="1:3" x14ac:dyDescent="0.25">
      <c r="A921" t="s">
        <v>282</v>
      </c>
      <c r="B921">
        <v>57</v>
      </c>
      <c r="C921">
        <v>21</v>
      </c>
    </row>
    <row r="922" spans="1:3" x14ac:dyDescent="0.25">
      <c r="A922" t="s">
        <v>282</v>
      </c>
      <c r="B922">
        <v>157</v>
      </c>
      <c r="C922">
        <v>22</v>
      </c>
    </row>
    <row r="923" spans="1:3" x14ac:dyDescent="0.25">
      <c r="A923" t="s">
        <v>282</v>
      </c>
      <c r="B923">
        <v>157</v>
      </c>
      <c r="C923">
        <v>21</v>
      </c>
    </row>
    <row r="924" spans="1:3" x14ac:dyDescent="0.25">
      <c r="A924" t="s">
        <v>282</v>
      </c>
      <c r="B924">
        <v>57</v>
      </c>
      <c r="C924">
        <v>21</v>
      </c>
    </row>
    <row r="925" spans="1:3" x14ac:dyDescent="0.25">
      <c r="A925" t="s">
        <v>193</v>
      </c>
      <c r="B925">
        <v>387</v>
      </c>
      <c r="C925">
        <v>0</v>
      </c>
    </row>
    <row r="926" spans="1:3" x14ac:dyDescent="0.25">
      <c r="A926" t="s">
        <v>193</v>
      </c>
      <c r="B926">
        <v>172</v>
      </c>
      <c r="C926">
        <v>3</v>
      </c>
    </row>
    <row r="927" spans="1:3" x14ac:dyDescent="0.25">
      <c r="A927" t="s">
        <v>193</v>
      </c>
      <c r="B927">
        <v>172</v>
      </c>
      <c r="C927">
        <v>0</v>
      </c>
    </row>
    <row r="928" spans="1:3" x14ac:dyDescent="0.25">
      <c r="A928" t="s">
        <v>193</v>
      </c>
      <c r="B928">
        <v>172</v>
      </c>
      <c r="C928">
        <v>3</v>
      </c>
    </row>
    <row r="929" spans="1:3" x14ac:dyDescent="0.25">
      <c r="A929" t="s">
        <v>193</v>
      </c>
      <c r="B929">
        <v>172</v>
      </c>
      <c r="C929">
        <v>0</v>
      </c>
    </row>
    <row r="930" spans="1:3" x14ac:dyDescent="0.25">
      <c r="A930" t="s">
        <v>193</v>
      </c>
      <c r="B930">
        <v>387</v>
      </c>
      <c r="C930">
        <v>0</v>
      </c>
    </row>
    <row r="931" spans="1:3" x14ac:dyDescent="0.25">
      <c r="A931" t="s">
        <v>193</v>
      </c>
      <c r="B931">
        <v>172</v>
      </c>
      <c r="C931">
        <v>3</v>
      </c>
    </row>
    <row r="932" spans="1:3" x14ac:dyDescent="0.25">
      <c r="A932" t="s">
        <v>193</v>
      </c>
      <c r="B932">
        <v>172</v>
      </c>
      <c r="C932">
        <v>0</v>
      </c>
    </row>
    <row r="933" spans="1:3" x14ac:dyDescent="0.25">
      <c r="A933" t="s">
        <v>193</v>
      </c>
      <c r="B933">
        <v>387</v>
      </c>
      <c r="C933">
        <v>0</v>
      </c>
    </row>
    <row r="934" spans="1:3" x14ac:dyDescent="0.25">
      <c r="A934" t="s">
        <v>193</v>
      </c>
      <c r="B934">
        <v>172</v>
      </c>
      <c r="C934">
        <v>3</v>
      </c>
    </row>
    <row r="935" spans="1:3" x14ac:dyDescent="0.25">
      <c r="A935" t="s">
        <v>193</v>
      </c>
      <c r="B935">
        <v>172</v>
      </c>
      <c r="C935">
        <v>0</v>
      </c>
    </row>
    <row r="936" spans="1:3" x14ac:dyDescent="0.25">
      <c r="A936" t="s">
        <v>193</v>
      </c>
      <c r="B936">
        <v>383</v>
      </c>
      <c r="C936">
        <v>0</v>
      </c>
    </row>
    <row r="937" spans="1:3" x14ac:dyDescent="0.25">
      <c r="A937" t="s">
        <v>193</v>
      </c>
      <c r="B937">
        <v>172</v>
      </c>
      <c r="C937">
        <v>3</v>
      </c>
    </row>
    <row r="938" spans="1:3" x14ac:dyDescent="0.25">
      <c r="A938" t="s">
        <v>193</v>
      </c>
      <c r="B938">
        <v>172</v>
      </c>
      <c r="C938">
        <v>0</v>
      </c>
    </row>
    <row r="939" spans="1:3" x14ac:dyDescent="0.25">
      <c r="A939" t="s">
        <v>193</v>
      </c>
      <c r="B939">
        <v>172</v>
      </c>
      <c r="C939">
        <v>3</v>
      </c>
    </row>
    <row r="940" spans="1:3" x14ac:dyDescent="0.25">
      <c r="A940" t="s">
        <v>193</v>
      </c>
      <c r="B940">
        <v>172</v>
      </c>
      <c r="C940">
        <v>0</v>
      </c>
    </row>
    <row r="941" spans="1:3" x14ac:dyDescent="0.25">
      <c r="A941" t="s">
        <v>944</v>
      </c>
      <c r="B941">
        <v>82</v>
      </c>
      <c r="C941">
        <v>21</v>
      </c>
    </row>
    <row r="942" spans="1:3" x14ac:dyDescent="0.25">
      <c r="A942" t="s">
        <v>944</v>
      </c>
      <c r="B942">
        <v>82</v>
      </c>
      <c r="C942">
        <v>19</v>
      </c>
    </row>
    <row r="943" spans="1:3" x14ac:dyDescent="0.25">
      <c r="A943" t="s">
        <v>944</v>
      </c>
      <c r="B943">
        <v>82</v>
      </c>
      <c r="C943">
        <v>21</v>
      </c>
    </row>
    <row r="944" spans="1:3" x14ac:dyDescent="0.25">
      <c r="A944" t="s">
        <v>944</v>
      </c>
      <c r="B944">
        <v>82</v>
      </c>
      <c r="C944">
        <v>19</v>
      </c>
    </row>
    <row r="945" spans="1:3" x14ac:dyDescent="0.25">
      <c r="A945" t="s">
        <v>944</v>
      </c>
      <c r="B945">
        <v>82</v>
      </c>
      <c r="C945">
        <v>21</v>
      </c>
    </row>
    <row r="946" spans="1:3" x14ac:dyDescent="0.25">
      <c r="A946" t="s">
        <v>944</v>
      </c>
      <c r="B946">
        <v>82</v>
      </c>
      <c r="C946">
        <v>19</v>
      </c>
    </row>
    <row r="947" spans="1:3" x14ac:dyDescent="0.25">
      <c r="A947" t="s">
        <v>944</v>
      </c>
      <c r="B947">
        <v>82</v>
      </c>
      <c r="C947">
        <v>21</v>
      </c>
    </row>
    <row r="948" spans="1:3" x14ac:dyDescent="0.25">
      <c r="A948" t="s">
        <v>944</v>
      </c>
      <c r="B948">
        <v>82</v>
      </c>
      <c r="C948">
        <v>19</v>
      </c>
    </row>
    <row r="949" spans="1:3" x14ac:dyDescent="0.25">
      <c r="A949" t="s">
        <v>944</v>
      </c>
      <c r="B949">
        <v>82</v>
      </c>
      <c r="C949">
        <v>21</v>
      </c>
    </row>
    <row r="950" spans="1:3" x14ac:dyDescent="0.25">
      <c r="A950" t="s">
        <v>944</v>
      </c>
      <c r="B950">
        <v>82</v>
      </c>
      <c r="C950">
        <v>19</v>
      </c>
    </row>
    <row r="951" spans="1:3" x14ac:dyDescent="0.25">
      <c r="A951" t="s">
        <v>944</v>
      </c>
      <c r="B951">
        <v>82</v>
      </c>
      <c r="C951">
        <v>21</v>
      </c>
    </row>
    <row r="952" spans="1:3" x14ac:dyDescent="0.25">
      <c r="A952" t="s">
        <v>944</v>
      </c>
      <c r="B952">
        <v>82</v>
      </c>
      <c r="C952">
        <v>19</v>
      </c>
    </row>
    <row r="953" spans="1:3" x14ac:dyDescent="0.25">
      <c r="A953" t="s">
        <v>178</v>
      </c>
      <c r="B953">
        <v>393</v>
      </c>
      <c r="C953">
        <v>23</v>
      </c>
    </row>
    <row r="954" spans="1:3" x14ac:dyDescent="0.25">
      <c r="A954" t="s">
        <v>178</v>
      </c>
      <c r="B954">
        <v>393</v>
      </c>
      <c r="C954">
        <v>23</v>
      </c>
    </row>
    <row r="955" spans="1:3" x14ac:dyDescent="0.25">
      <c r="A955" t="s">
        <v>178</v>
      </c>
      <c r="B955">
        <v>393</v>
      </c>
      <c r="C955">
        <v>23</v>
      </c>
    </row>
    <row r="956" spans="1:3" x14ac:dyDescent="0.25">
      <c r="A956" t="s">
        <v>178</v>
      </c>
      <c r="B956">
        <v>63</v>
      </c>
      <c r="C956">
        <v>25</v>
      </c>
    </row>
    <row r="957" spans="1:3" x14ac:dyDescent="0.25">
      <c r="A957" t="s">
        <v>178</v>
      </c>
      <c r="B957">
        <v>63</v>
      </c>
      <c r="C957">
        <v>23</v>
      </c>
    </row>
    <row r="958" spans="1:3" x14ac:dyDescent="0.25">
      <c r="A958" t="s">
        <v>178</v>
      </c>
      <c r="B958">
        <v>63</v>
      </c>
      <c r="C958">
        <v>25</v>
      </c>
    </row>
    <row r="959" spans="1:3" x14ac:dyDescent="0.25">
      <c r="A959" t="s">
        <v>178</v>
      </c>
      <c r="B959">
        <v>63</v>
      </c>
      <c r="C959">
        <v>23</v>
      </c>
    </row>
    <row r="960" spans="1:3" x14ac:dyDescent="0.25">
      <c r="A960" t="s">
        <v>178</v>
      </c>
      <c r="B960">
        <v>393</v>
      </c>
      <c r="C960">
        <v>23</v>
      </c>
    </row>
    <row r="961" spans="1:3" x14ac:dyDescent="0.25">
      <c r="A961" t="s">
        <v>178</v>
      </c>
      <c r="B961">
        <v>393</v>
      </c>
      <c r="C961">
        <v>23</v>
      </c>
    </row>
    <row r="962" spans="1:3" x14ac:dyDescent="0.25">
      <c r="A962" t="s">
        <v>178</v>
      </c>
      <c r="B962">
        <v>393</v>
      </c>
      <c r="C962">
        <v>23</v>
      </c>
    </row>
    <row r="963" spans="1:3" x14ac:dyDescent="0.25">
      <c r="A963" t="s">
        <v>178</v>
      </c>
      <c r="B963">
        <v>63</v>
      </c>
      <c r="C963">
        <v>25</v>
      </c>
    </row>
    <row r="964" spans="1:3" x14ac:dyDescent="0.25">
      <c r="A964" t="s">
        <v>178</v>
      </c>
      <c r="B964">
        <v>63</v>
      </c>
      <c r="C964">
        <v>23</v>
      </c>
    </row>
    <row r="965" spans="1:3" x14ac:dyDescent="0.25">
      <c r="A965" t="s">
        <v>178</v>
      </c>
      <c r="B965">
        <v>393</v>
      </c>
      <c r="C965">
        <v>23</v>
      </c>
    </row>
    <row r="966" spans="1:3" x14ac:dyDescent="0.25">
      <c r="A966" t="s">
        <v>178</v>
      </c>
      <c r="B966">
        <v>393</v>
      </c>
      <c r="C966">
        <v>23</v>
      </c>
    </row>
    <row r="967" spans="1:3" x14ac:dyDescent="0.25">
      <c r="A967" t="s">
        <v>178</v>
      </c>
      <c r="B967">
        <v>393</v>
      </c>
      <c r="C967">
        <v>23</v>
      </c>
    </row>
    <row r="968" spans="1:3" x14ac:dyDescent="0.25">
      <c r="A968" t="s">
        <v>178</v>
      </c>
      <c r="B968">
        <v>63</v>
      </c>
      <c r="C968">
        <v>25</v>
      </c>
    </row>
    <row r="969" spans="1:3" x14ac:dyDescent="0.25">
      <c r="A969" t="s">
        <v>178</v>
      </c>
      <c r="B969">
        <v>63</v>
      </c>
      <c r="C969">
        <v>23</v>
      </c>
    </row>
    <row r="970" spans="1:3" x14ac:dyDescent="0.25">
      <c r="A970" t="s">
        <v>178</v>
      </c>
      <c r="B970">
        <v>389</v>
      </c>
      <c r="C970">
        <v>23</v>
      </c>
    </row>
    <row r="971" spans="1:3" x14ac:dyDescent="0.25">
      <c r="A971" t="s">
        <v>178</v>
      </c>
      <c r="B971">
        <v>389</v>
      </c>
      <c r="C971">
        <v>23</v>
      </c>
    </row>
    <row r="972" spans="1:3" x14ac:dyDescent="0.25">
      <c r="A972" t="s">
        <v>178</v>
      </c>
      <c r="B972">
        <v>389</v>
      </c>
      <c r="C972">
        <v>23</v>
      </c>
    </row>
    <row r="973" spans="1:3" x14ac:dyDescent="0.25">
      <c r="A973" t="s">
        <v>178</v>
      </c>
      <c r="B973">
        <v>63</v>
      </c>
      <c r="C973">
        <v>25</v>
      </c>
    </row>
    <row r="974" spans="1:3" x14ac:dyDescent="0.25">
      <c r="A974" t="s">
        <v>178</v>
      </c>
      <c r="B974">
        <v>63</v>
      </c>
      <c r="C974">
        <v>23</v>
      </c>
    </row>
    <row r="975" spans="1:3" x14ac:dyDescent="0.25">
      <c r="A975" t="s">
        <v>178</v>
      </c>
      <c r="B975">
        <v>202</v>
      </c>
      <c r="C975">
        <v>23</v>
      </c>
    </row>
    <row r="976" spans="1:3" x14ac:dyDescent="0.25">
      <c r="A976" t="s">
        <v>178</v>
      </c>
      <c r="B976">
        <v>202</v>
      </c>
      <c r="C976">
        <v>23</v>
      </c>
    </row>
    <row r="977" spans="1:3" x14ac:dyDescent="0.25">
      <c r="A977" t="s">
        <v>178</v>
      </c>
      <c r="B977">
        <v>202</v>
      </c>
      <c r="C977">
        <v>23</v>
      </c>
    </row>
    <row r="978" spans="1:3" x14ac:dyDescent="0.25">
      <c r="A978" t="s">
        <v>178</v>
      </c>
      <c r="B978">
        <v>63</v>
      </c>
      <c r="C978">
        <v>25</v>
      </c>
    </row>
    <row r="979" spans="1:3" x14ac:dyDescent="0.25">
      <c r="A979" t="s">
        <v>178</v>
      </c>
      <c r="B979">
        <v>63</v>
      </c>
      <c r="C979">
        <v>23</v>
      </c>
    </row>
    <row r="980" spans="1:3" x14ac:dyDescent="0.25">
      <c r="A980" t="s">
        <v>276</v>
      </c>
      <c r="B980">
        <v>366</v>
      </c>
      <c r="C980">
        <v>24</v>
      </c>
    </row>
    <row r="981" spans="1:3" x14ac:dyDescent="0.25">
      <c r="A981" t="s">
        <v>276</v>
      </c>
      <c r="B981">
        <v>366</v>
      </c>
      <c r="C981">
        <v>25</v>
      </c>
    </row>
    <row r="982" spans="1:3" x14ac:dyDescent="0.25">
      <c r="A982" t="s">
        <v>276</v>
      </c>
      <c r="B982">
        <v>366</v>
      </c>
      <c r="C982">
        <v>24</v>
      </c>
    </row>
    <row r="983" spans="1:3" x14ac:dyDescent="0.25">
      <c r="A983" t="s">
        <v>276</v>
      </c>
      <c r="B983">
        <v>366</v>
      </c>
      <c r="C983">
        <v>25</v>
      </c>
    </row>
    <row r="984" spans="1:3" x14ac:dyDescent="0.25">
      <c r="A984" t="s">
        <v>276</v>
      </c>
      <c r="B984">
        <v>366</v>
      </c>
      <c r="C984">
        <v>24</v>
      </c>
    </row>
    <row r="985" spans="1:3" x14ac:dyDescent="0.25">
      <c r="A985" t="s">
        <v>276</v>
      </c>
      <c r="B985">
        <v>366</v>
      </c>
      <c r="C985">
        <v>25</v>
      </c>
    </row>
    <row r="986" spans="1:3" x14ac:dyDescent="0.25">
      <c r="A986" t="s">
        <v>276</v>
      </c>
      <c r="B986">
        <v>362</v>
      </c>
      <c r="C986">
        <v>24</v>
      </c>
    </row>
    <row r="987" spans="1:3" x14ac:dyDescent="0.25">
      <c r="A987" t="s">
        <v>276</v>
      </c>
      <c r="B987">
        <v>362</v>
      </c>
      <c r="C987">
        <v>25</v>
      </c>
    </row>
    <row r="988" spans="1:3" x14ac:dyDescent="0.25">
      <c r="A988" t="s">
        <v>659</v>
      </c>
      <c r="B988">
        <v>228</v>
      </c>
      <c r="C988">
        <v>0</v>
      </c>
    </row>
    <row r="989" spans="1:3" x14ac:dyDescent="0.25">
      <c r="A989" t="s">
        <v>659</v>
      </c>
      <c r="B989">
        <v>109</v>
      </c>
      <c r="C989">
        <v>22</v>
      </c>
    </row>
    <row r="990" spans="1:3" x14ac:dyDescent="0.25">
      <c r="A990" t="s">
        <v>659</v>
      </c>
      <c r="B990">
        <v>6</v>
      </c>
      <c r="C990">
        <v>17</v>
      </c>
    </row>
    <row r="991" spans="1:3" x14ac:dyDescent="0.25">
      <c r="A991" t="s">
        <v>659</v>
      </c>
      <c r="B991">
        <v>228</v>
      </c>
      <c r="C991">
        <v>0</v>
      </c>
    </row>
    <row r="992" spans="1:3" x14ac:dyDescent="0.25">
      <c r="A992" t="s">
        <v>659</v>
      </c>
      <c r="B992">
        <v>109</v>
      </c>
      <c r="C992">
        <v>22</v>
      </c>
    </row>
    <row r="993" spans="1:3" x14ac:dyDescent="0.25">
      <c r="A993" t="s">
        <v>659</v>
      </c>
      <c r="B993">
        <v>6</v>
      </c>
      <c r="C993">
        <v>17</v>
      </c>
    </row>
    <row r="994" spans="1:3" x14ac:dyDescent="0.25">
      <c r="A994" t="s">
        <v>659</v>
      </c>
      <c r="B994">
        <v>228</v>
      </c>
      <c r="C994">
        <v>0</v>
      </c>
    </row>
    <row r="995" spans="1:3" x14ac:dyDescent="0.25">
      <c r="A995" t="s">
        <v>659</v>
      </c>
      <c r="B995">
        <v>109</v>
      </c>
      <c r="C995">
        <v>22</v>
      </c>
    </row>
    <row r="996" spans="1:3" x14ac:dyDescent="0.25">
      <c r="A996" t="s">
        <v>659</v>
      </c>
      <c r="B996">
        <v>6</v>
      </c>
      <c r="C996">
        <v>17</v>
      </c>
    </row>
    <row r="997" spans="1:3" x14ac:dyDescent="0.25">
      <c r="A997" t="s">
        <v>659</v>
      </c>
      <c r="B997">
        <v>228</v>
      </c>
      <c r="C997">
        <v>0</v>
      </c>
    </row>
    <row r="998" spans="1:3" x14ac:dyDescent="0.25">
      <c r="A998" t="s">
        <v>659</v>
      </c>
      <c r="B998">
        <v>109</v>
      </c>
      <c r="C998">
        <v>22</v>
      </c>
    </row>
    <row r="999" spans="1:3" x14ac:dyDescent="0.25">
      <c r="A999" t="s">
        <v>659</v>
      </c>
      <c r="B999">
        <v>6</v>
      </c>
      <c r="C999">
        <v>17</v>
      </c>
    </row>
    <row r="1000" spans="1:3" x14ac:dyDescent="0.25">
      <c r="A1000" t="s">
        <v>659</v>
      </c>
      <c r="B1000">
        <v>228</v>
      </c>
      <c r="C1000">
        <v>0</v>
      </c>
    </row>
    <row r="1001" spans="1:3" x14ac:dyDescent="0.25">
      <c r="A1001" t="s">
        <v>659</v>
      </c>
      <c r="B1001">
        <v>109</v>
      </c>
      <c r="C1001">
        <v>22</v>
      </c>
    </row>
    <row r="1002" spans="1:3" x14ac:dyDescent="0.25">
      <c r="A1002" t="s">
        <v>659</v>
      </c>
      <c r="B1002">
        <v>6</v>
      </c>
      <c r="C1002">
        <v>17</v>
      </c>
    </row>
    <row r="1003" spans="1:3" x14ac:dyDescent="0.25">
      <c r="A1003" t="s">
        <v>659</v>
      </c>
      <c r="B1003">
        <v>109</v>
      </c>
      <c r="C1003">
        <v>22</v>
      </c>
    </row>
    <row r="1004" spans="1:3" x14ac:dyDescent="0.25">
      <c r="A1004" t="s">
        <v>659</v>
      </c>
      <c r="B1004">
        <v>6</v>
      </c>
      <c r="C1004">
        <v>17</v>
      </c>
    </row>
    <row r="1005" spans="1:3" x14ac:dyDescent="0.25">
      <c r="A1005" t="s">
        <v>183</v>
      </c>
      <c r="B1005">
        <v>393</v>
      </c>
      <c r="C1005">
        <v>22</v>
      </c>
    </row>
    <row r="1006" spans="1:3" x14ac:dyDescent="0.25">
      <c r="A1006" t="s">
        <v>183</v>
      </c>
      <c r="B1006">
        <v>393</v>
      </c>
      <c r="C1006">
        <v>22</v>
      </c>
    </row>
    <row r="1007" spans="1:3" x14ac:dyDescent="0.25">
      <c r="A1007" t="s">
        <v>183</v>
      </c>
      <c r="B1007">
        <v>393</v>
      </c>
      <c r="C1007">
        <v>22</v>
      </c>
    </row>
    <row r="1008" spans="1:3" x14ac:dyDescent="0.25">
      <c r="A1008" t="s">
        <v>183</v>
      </c>
      <c r="B1008">
        <v>393</v>
      </c>
      <c r="C1008">
        <v>22</v>
      </c>
    </row>
    <row r="1009" spans="1:3" x14ac:dyDescent="0.25">
      <c r="A1009" t="s">
        <v>183</v>
      </c>
      <c r="B1009">
        <v>393</v>
      </c>
      <c r="C1009">
        <v>22</v>
      </c>
    </row>
    <row r="1010" spans="1:3" x14ac:dyDescent="0.25">
      <c r="A1010" t="s">
        <v>183</v>
      </c>
      <c r="B1010">
        <v>393</v>
      </c>
      <c r="C1010">
        <v>22</v>
      </c>
    </row>
    <row r="1011" spans="1:3" x14ac:dyDescent="0.25">
      <c r="A1011" t="s">
        <v>183</v>
      </c>
      <c r="B1011">
        <v>389</v>
      </c>
      <c r="C1011">
        <v>22</v>
      </c>
    </row>
    <row r="1012" spans="1:3" x14ac:dyDescent="0.25">
      <c r="A1012" t="s">
        <v>183</v>
      </c>
      <c r="B1012">
        <v>389</v>
      </c>
      <c r="C1012">
        <v>22</v>
      </c>
    </row>
    <row r="1013" spans="1:3" x14ac:dyDescent="0.25">
      <c r="A1013" t="s">
        <v>183</v>
      </c>
      <c r="B1013">
        <v>202</v>
      </c>
      <c r="C1013">
        <v>22</v>
      </c>
    </row>
    <row r="1014" spans="1:3" x14ac:dyDescent="0.25">
      <c r="A1014" t="s">
        <v>183</v>
      </c>
      <c r="B1014">
        <v>202</v>
      </c>
      <c r="C1014">
        <v>22</v>
      </c>
    </row>
    <row r="1015" spans="1:3" x14ac:dyDescent="0.25">
      <c r="A1015" t="s">
        <v>323</v>
      </c>
      <c r="B1015">
        <v>360</v>
      </c>
      <c r="C1015">
        <v>26</v>
      </c>
    </row>
    <row r="1016" spans="1:3" x14ac:dyDescent="0.25">
      <c r="A1016" t="s">
        <v>323</v>
      </c>
      <c r="B1016">
        <v>360</v>
      </c>
      <c r="C1016">
        <v>28</v>
      </c>
    </row>
    <row r="1017" spans="1:3" x14ac:dyDescent="0.25">
      <c r="A1017" t="s">
        <v>323</v>
      </c>
      <c r="B1017">
        <v>360</v>
      </c>
      <c r="C1017">
        <v>26</v>
      </c>
    </row>
    <row r="1018" spans="1:3" x14ac:dyDescent="0.25">
      <c r="A1018" t="s">
        <v>323</v>
      </c>
      <c r="B1018">
        <v>247</v>
      </c>
      <c r="C1018">
        <v>22</v>
      </c>
    </row>
    <row r="1019" spans="1:3" x14ac:dyDescent="0.25">
      <c r="A1019" t="s">
        <v>323</v>
      </c>
      <c r="B1019">
        <v>247</v>
      </c>
      <c r="C1019">
        <v>19</v>
      </c>
    </row>
    <row r="1020" spans="1:3" x14ac:dyDescent="0.25">
      <c r="A1020" t="s">
        <v>323</v>
      </c>
      <c r="B1020">
        <v>247</v>
      </c>
      <c r="C1020">
        <v>22</v>
      </c>
    </row>
    <row r="1021" spans="1:3" x14ac:dyDescent="0.25">
      <c r="A1021" t="s">
        <v>323</v>
      </c>
      <c r="B1021">
        <v>247</v>
      </c>
      <c r="C1021">
        <v>19</v>
      </c>
    </row>
    <row r="1022" spans="1:3" x14ac:dyDescent="0.25">
      <c r="A1022" t="s">
        <v>323</v>
      </c>
      <c r="B1022">
        <v>360</v>
      </c>
      <c r="C1022">
        <v>26</v>
      </c>
    </row>
    <row r="1023" spans="1:3" x14ac:dyDescent="0.25">
      <c r="A1023" t="s">
        <v>323</v>
      </c>
      <c r="B1023">
        <v>360</v>
      </c>
      <c r="C1023">
        <v>28</v>
      </c>
    </row>
    <row r="1024" spans="1:3" x14ac:dyDescent="0.25">
      <c r="A1024" t="s">
        <v>323</v>
      </c>
      <c r="B1024">
        <v>360</v>
      </c>
      <c r="C1024">
        <v>26</v>
      </c>
    </row>
    <row r="1025" spans="1:3" x14ac:dyDescent="0.25">
      <c r="A1025" t="s">
        <v>323</v>
      </c>
      <c r="B1025">
        <v>247</v>
      </c>
      <c r="C1025">
        <v>22</v>
      </c>
    </row>
    <row r="1026" spans="1:3" x14ac:dyDescent="0.25">
      <c r="A1026" t="s">
        <v>323</v>
      </c>
      <c r="B1026">
        <v>247</v>
      </c>
      <c r="C1026">
        <v>19</v>
      </c>
    </row>
    <row r="1027" spans="1:3" x14ac:dyDescent="0.25">
      <c r="A1027" t="s">
        <v>323</v>
      </c>
      <c r="B1027">
        <v>360</v>
      </c>
      <c r="C1027">
        <v>26</v>
      </c>
    </row>
    <row r="1028" spans="1:3" x14ac:dyDescent="0.25">
      <c r="A1028" t="s">
        <v>323</v>
      </c>
      <c r="B1028">
        <v>360</v>
      </c>
      <c r="C1028">
        <v>28</v>
      </c>
    </row>
    <row r="1029" spans="1:3" x14ac:dyDescent="0.25">
      <c r="A1029" t="s">
        <v>323</v>
      </c>
      <c r="B1029">
        <v>360</v>
      </c>
      <c r="C1029">
        <v>26</v>
      </c>
    </row>
    <row r="1030" spans="1:3" x14ac:dyDescent="0.25">
      <c r="A1030" t="s">
        <v>323</v>
      </c>
      <c r="B1030">
        <v>247</v>
      </c>
      <c r="C1030">
        <v>22</v>
      </c>
    </row>
    <row r="1031" spans="1:3" x14ac:dyDescent="0.25">
      <c r="A1031" t="s">
        <v>323</v>
      </c>
      <c r="B1031">
        <v>247</v>
      </c>
      <c r="C1031">
        <v>19</v>
      </c>
    </row>
    <row r="1032" spans="1:3" x14ac:dyDescent="0.25">
      <c r="A1032" t="s">
        <v>323</v>
      </c>
      <c r="B1032">
        <v>356</v>
      </c>
      <c r="C1032">
        <v>26</v>
      </c>
    </row>
    <row r="1033" spans="1:3" x14ac:dyDescent="0.25">
      <c r="A1033" t="s">
        <v>323</v>
      </c>
      <c r="B1033">
        <v>356</v>
      </c>
      <c r="C1033">
        <v>28</v>
      </c>
    </row>
    <row r="1034" spans="1:3" x14ac:dyDescent="0.25">
      <c r="A1034" t="s">
        <v>323</v>
      </c>
      <c r="B1034">
        <v>356</v>
      </c>
      <c r="C1034">
        <v>26</v>
      </c>
    </row>
    <row r="1035" spans="1:3" x14ac:dyDescent="0.25">
      <c r="A1035" t="s">
        <v>323</v>
      </c>
      <c r="B1035">
        <v>247</v>
      </c>
      <c r="C1035">
        <v>22</v>
      </c>
    </row>
    <row r="1036" spans="1:3" x14ac:dyDescent="0.25">
      <c r="A1036" t="s">
        <v>323</v>
      </c>
      <c r="B1036">
        <v>247</v>
      </c>
      <c r="C1036">
        <v>19</v>
      </c>
    </row>
    <row r="1037" spans="1:3" x14ac:dyDescent="0.25">
      <c r="B1037">
        <v>418</v>
      </c>
      <c r="C1037">
        <v>20</v>
      </c>
    </row>
    <row r="1038" spans="1:3" x14ac:dyDescent="0.25">
      <c r="B1038">
        <v>417</v>
      </c>
      <c r="C1038">
        <v>17</v>
      </c>
    </row>
    <row r="1039" spans="1:3" x14ac:dyDescent="0.25">
      <c r="B1039">
        <v>417</v>
      </c>
      <c r="C1039">
        <v>12</v>
      </c>
    </row>
    <row r="1040" spans="1:3" x14ac:dyDescent="0.25">
      <c r="B1040">
        <v>416</v>
      </c>
      <c r="C1040">
        <v>23</v>
      </c>
    </row>
    <row r="1041" spans="2:3" x14ac:dyDescent="0.25">
      <c r="B1041">
        <v>414</v>
      </c>
      <c r="C1041">
        <v>24</v>
      </c>
    </row>
    <row r="1042" spans="2:3" x14ac:dyDescent="0.25">
      <c r="B1042">
        <v>413</v>
      </c>
      <c r="C1042">
        <v>13</v>
      </c>
    </row>
    <row r="1043" spans="2:3" x14ac:dyDescent="0.25">
      <c r="B1043">
        <v>413</v>
      </c>
      <c r="C1043">
        <v>10</v>
      </c>
    </row>
    <row r="1044" spans="2:3" x14ac:dyDescent="0.25">
      <c r="B1044">
        <v>410</v>
      </c>
      <c r="C1044">
        <v>24</v>
      </c>
    </row>
    <row r="1045" spans="2:3" x14ac:dyDescent="0.25">
      <c r="B1045">
        <v>407</v>
      </c>
      <c r="C1045">
        <v>24</v>
      </c>
    </row>
    <row r="1046" spans="2:3" x14ac:dyDescent="0.25">
      <c r="B1046">
        <v>407</v>
      </c>
      <c r="C1046">
        <v>19</v>
      </c>
    </row>
    <row r="1047" spans="2:3" x14ac:dyDescent="0.25">
      <c r="B1047">
        <v>406</v>
      </c>
      <c r="C1047">
        <v>9</v>
      </c>
    </row>
    <row r="1048" spans="2:3" x14ac:dyDescent="0.25">
      <c r="B1048">
        <v>406</v>
      </c>
      <c r="C1048">
        <v>6</v>
      </c>
    </row>
    <row r="1049" spans="2:3" x14ac:dyDescent="0.25">
      <c r="B1049">
        <v>405</v>
      </c>
      <c r="C1049">
        <v>0</v>
      </c>
    </row>
    <row r="1050" spans="2:3" x14ac:dyDescent="0.25">
      <c r="B1050">
        <v>405</v>
      </c>
      <c r="C1050">
        <v>0</v>
      </c>
    </row>
    <row r="1051" spans="2:3" x14ac:dyDescent="0.25">
      <c r="B1051">
        <v>404</v>
      </c>
      <c r="C1051">
        <v>0</v>
      </c>
    </row>
    <row r="1052" spans="2:3" x14ac:dyDescent="0.25">
      <c r="B1052">
        <v>403</v>
      </c>
      <c r="C1052">
        <v>16</v>
      </c>
    </row>
    <row r="1053" spans="2:3" x14ac:dyDescent="0.25">
      <c r="B1053">
        <v>401</v>
      </c>
      <c r="C1053">
        <v>4</v>
      </c>
    </row>
    <row r="1054" spans="2:3" x14ac:dyDescent="0.25">
      <c r="B1054">
        <v>401</v>
      </c>
      <c r="C1054">
        <v>0</v>
      </c>
    </row>
    <row r="1055" spans="2:3" x14ac:dyDescent="0.25">
      <c r="B1055">
        <v>400</v>
      </c>
      <c r="C1055">
        <v>18</v>
      </c>
    </row>
    <row r="1056" spans="2:3" x14ac:dyDescent="0.25">
      <c r="B1056">
        <v>399</v>
      </c>
      <c r="C1056">
        <v>1</v>
      </c>
    </row>
    <row r="1057" spans="2:3" x14ac:dyDescent="0.25">
      <c r="B1057">
        <v>399</v>
      </c>
      <c r="C1057">
        <v>0</v>
      </c>
    </row>
    <row r="1058" spans="2:3" x14ac:dyDescent="0.25">
      <c r="B1058">
        <v>398</v>
      </c>
      <c r="C1058">
        <v>2</v>
      </c>
    </row>
    <row r="1059" spans="2:3" x14ac:dyDescent="0.25">
      <c r="B1059">
        <v>397</v>
      </c>
      <c r="C1059">
        <v>20</v>
      </c>
    </row>
    <row r="1060" spans="2:3" x14ac:dyDescent="0.25">
      <c r="B1060">
        <v>395</v>
      </c>
      <c r="C1060">
        <v>0</v>
      </c>
    </row>
    <row r="1061" spans="2:3" x14ac:dyDescent="0.25">
      <c r="B1061">
        <v>389</v>
      </c>
      <c r="C1061">
        <v>1</v>
      </c>
    </row>
    <row r="1062" spans="2:3" x14ac:dyDescent="0.25">
      <c r="B1062">
        <v>388</v>
      </c>
      <c r="C1062">
        <v>0</v>
      </c>
    </row>
    <row r="1063" spans="2:3" x14ac:dyDescent="0.25">
      <c r="B1063">
        <v>385</v>
      </c>
      <c r="C1063">
        <v>21</v>
      </c>
    </row>
    <row r="1064" spans="2:3" x14ac:dyDescent="0.25">
      <c r="B1064">
        <v>385</v>
      </c>
      <c r="C1064">
        <v>18</v>
      </c>
    </row>
    <row r="1065" spans="2:3" x14ac:dyDescent="0.25">
      <c r="B1065">
        <v>385</v>
      </c>
      <c r="C1065">
        <v>19</v>
      </c>
    </row>
    <row r="1066" spans="2:3" x14ac:dyDescent="0.25">
      <c r="B1066">
        <v>383</v>
      </c>
      <c r="C1066">
        <v>15</v>
      </c>
    </row>
    <row r="1067" spans="2:3" x14ac:dyDescent="0.25">
      <c r="B1067">
        <v>382</v>
      </c>
      <c r="C1067">
        <v>14</v>
      </c>
    </row>
    <row r="1068" spans="2:3" x14ac:dyDescent="0.25">
      <c r="B1068">
        <v>382</v>
      </c>
      <c r="C1068">
        <v>3</v>
      </c>
    </row>
    <row r="1069" spans="2:3" x14ac:dyDescent="0.25">
      <c r="B1069">
        <v>382</v>
      </c>
      <c r="C1069">
        <v>10</v>
      </c>
    </row>
    <row r="1070" spans="2:3" x14ac:dyDescent="0.25">
      <c r="B1070">
        <v>379</v>
      </c>
      <c r="C1070">
        <v>7</v>
      </c>
    </row>
    <row r="1071" spans="2:3" x14ac:dyDescent="0.25">
      <c r="B1071">
        <v>376</v>
      </c>
      <c r="C1071">
        <v>0</v>
      </c>
    </row>
    <row r="1072" spans="2:3" x14ac:dyDescent="0.25">
      <c r="B1072">
        <v>375</v>
      </c>
      <c r="C1072">
        <v>14</v>
      </c>
    </row>
    <row r="1073" spans="2:3" x14ac:dyDescent="0.25">
      <c r="B1073">
        <v>373</v>
      </c>
      <c r="C1073">
        <v>23</v>
      </c>
    </row>
    <row r="1074" spans="2:3" x14ac:dyDescent="0.25">
      <c r="B1074">
        <v>373</v>
      </c>
      <c r="C1074">
        <v>21</v>
      </c>
    </row>
    <row r="1075" spans="2:3" x14ac:dyDescent="0.25">
      <c r="B1075">
        <v>372</v>
      </c>
      <c r="C1075">
        <v>19</v>
      </c>
    </row>
    <row r="1076" spans="2:3" x14ac:dyDescent="0.25">
      <c r="B1076">
        <v>372</v>
      </c>
      <c r="C1076">
        <v>8</v>
      </c>
    </row>
    <row r="1077" spans="2:3" x14ac:dyDescent="0.25">
      <c r="B1077">
        <v>371</v>
      </c>
      <c r="C1077">
        <v>24</v>
      </c>
    </row>
    <row r="1078" spans="2:3" x14ac:dyDescent="0.25">
      <c r="B1078">
        <v>371</v>
      </c>
      <c r="C1078">
        <v>22</v>
      </c>
    </row>
    <row r="1079" spans="2:3" x14ac:dyDescent="0.25">
      <c r="B1079">
        <v>370</v>
      </c>
      <c r="C1079">
        <v>25</v>
      </c>
    </row>
    <row r="1080" spans="2:3" x14ac:dyDescent="0.25">
      <c r="B1080">
        <v>370</v>
      </c>
      <c r="C1080">
        <v>24</v>
      </c>
    </row>
    <row r="1081" spans="2:3" x14ac:dyDescent="0.25">
      <c r="B1081">
        <v>368</v>
      </c>
      <c r="C1081">
        <v>25</v>
      </c>
    </row>
    <row r="1082" spans="2:3" x14ac:dyDescent="0.25">
      <c r="B1082">
        <v>367</v>
      </c>
      <c r="C1082">
        <v>16</v>
      </c>
    </row>
    <row r="1083" spans="2:3" x14ac:dyDescent="0.25">
      <c r="B1083">
        <v>366</v>
      </c>
      <c r="C1083">
        <v>23</v>
      </c>
    </row>
    <row r="1084" spans="2:3" x14ac:dyDescent="0.25">
      <c r="B1084">
        <v>364</v>
      </c>
      <c r="C1084">
        <v>0</v>
      </c>
    </row>
    <row r="1085" spans="2:3" x14ac:dyDescent="0.25">
      <c r="B1085">
        <v>363</v>
      </c>
      <c r="C1085">
        <v>16</v>
      </c>
    </row>
    <row r="1086" spans="2:3" x14ac:dyDescent="0.25">
      <c r="B1086">
        <v>363</v>
      </c>
      <c r="C1086">
        <v>19</v>
      </c>
    </row>
    <row r="1087" spans="2:3" x14ac:dyDescent="0.25">
      <c r="B1087">
        <v>362</v>
      </c>
      <c r="C1087">
        <v>28</v>
      </c>
    </row>
    <row r="1088" spans="2:3" x14ac:dyDescent="0.25">
      <c r="B1088">
        <v>362</v>
      </c>
      <c r="C1088">
        <v>24</v>
      </c>
    </row>
    <row r="1089" spans="2:3" x14ac:dyDescent="0.25">
      <c r="B1089">
        <v>361</v>
      </c>
      <c r="C1089">
        <v>24</v>
      </c>
    </row>
    <row r="1090" spans="2:3" x14ac:dyDescent="0.25">
      <c r="B1090">
        <v>361</v>
      </c>
      <c r="C1090">
        <v>21</v>
      </c>
    </row>
    <row r="1091" spans="2:3" x14ac:dyDescent="0.25">
      <c r="B1091">
        <v>361</v>
      </c>
      <c r="C1091">
        <v>14</v>
      </c>
    </row>
    <row r="1092" spans="2:3" x14ac:dyDescent="0.25">
      <c r="B1092">
        <v>360</v>
      </c>
      <c r="C1092">
        <v>28</v>
      </c>
    </row>
    <row r="1093" spans="2:3" x14ac:dyDescent="0.25">
      <c r="B1093">
        <v>356</v>
      </c>
      <c r="C1093">
        <v>32</v>
      </c>
    </row>
    <row r="1094" spans="2:3" x14ac:dyDescent="0.25">
      <c r="B1094">
        <v>353</v>
      </c>
      <c r="C1094">
        <v>18</v>
      </c>
    </row>
    <row r="1095" spans="2:3" x14ac:dyDescent="0.25">
      <c r="B1095">
        <v>351</v>
      </c>
      <c r="C1095">
        <v>26</v>
      </c>
    </row>
    <row r="1096" spans="2:3" x14ac:dyDescent="0.25">
      <c r="B1096">
        <v>351</v>
      </c>
      <c r="C1096">
        <v>19</v>
      </c>
    </row>
    <row r="1097" spans="2:3" x14ac:dyDescent="0.25">
      <c r="B1097">
        <v>351</v>
      </c>
      <c r="C1097">
        <v>22</v>
      </c>
    </row>
    <row r="1098" spans="2:3" x14ac:dyDescent="0.25">
      <c r="B1098">
        <v>350</v>
      </c>
      <c r="C1098">
        <v>11</v>
      </c>
    </row>
    <row r="1099" spans="2:3" x14ac:dyDescent="0.25">
      <c r="B1099">
        <v>350</v>
      </c>
      <c r="C1099">
        <v>11</v>
      </c>
    </row>
    <row r="1100" spans="2:3" x14ac:dyDescent="0.25">
      <c r="B1100">
        <v>349</v>
      </c>
      <c r="C1100">
        <v>0</v>
      </c>
    </row>
    <row r="1101" spans="2:3" x14ac:dyDescent="0.25">
      <c r="B1101">
        <v>347</v>
      </c>
      <c r="C1101">
        <v>16</v>
      </c>
    </row>
    <row r="1102" spans="2:3" x14ac:dyDescent="0.25">
      <c r="B1102">
        <v>347</v>
      </c>
      <c r="C1102">
        <v>5</v>
      </c>
    </row>
    <row r="1103" spans="2:3" x14ac:dyDescent="0.25">
      <c r="B1103">
        <v>346</v>
      </c>
      <c r="C1103">
        <v>20</v>
      </c>
    </row>
    <row r="1104" spans="2:3" x14ac:dyDescent="0.25">
      <c r="B1104">
        <v>345</v>
      </c>
      <c r="C1104">
        <v>12</v>
      </c>
    </row>
    <row r="1105" spans="2:3" x14ac:dyDescent="0.25">
      <c r="B1105">
        <v>345</v>
      </c>
      <c r="C1105">
        <v>0</v>
      </c>
    </row>
    <row r="1106" spans="2:3" x14ac:dyDescent="0.25">
      <c r="B1106">
        <v>344</v>
      </c>
      <c r="C1106">
        <v>21</v>
      </c>
    </row>
    <row r="1107" spans="2:3" x14ac:dyDescent="0.25">
      <c r="B1107">
        <v>341</v>
      </c>
      <c r="C1107">
        <v>24</v>
      </c>
    </row>
    <row r="1108" spans="2:3" x14ac:dyDescent="0.25">
      <c r="B1108">
        <v>340</v>
      </c>
      <c r="C1108">
        <v>26</v>
      </c>
    </row>
    <row r="1109" spans="2:3" x14ac:dyDescent="0.25">
      <c r="B1109">
        <v>339</v>
      </c>
      <c r="C1109">
        <v>0</v>
      </c>
    </row>
    <row r="1110" spans="2:3" x14ac:dyDescent="0.25">
      <c r="B1110">
        <v>339</v>
      </c>
      <c r="C1110">
        <v>18</v>
      </c>
    </row>
    <row r="1111" spans="2:3" x14ac:dyDescent="0.25">
      <c r="B1111">
        <v>339</v>
      </c>
      <c r="C1111">
        <v>8</v>
      </c>
    </row>
    <row r="1112" spans="2:3" x14ac:dyDescent="0.25">
      <c r="B1112">
        <v>335</v>
      </c>
      <c r="C1112">
        <v>18</v>
      </c>
    </row>
    <row r="1113" spans="2:3" x14ac:dyDescent="0.25">
      <c r="B1113">
        <v>335</v>
      </c>
      <c r="C1113">
        <v>7</v>
      </c>
    </row>
    <row r="1114" spans="2:3" x14ac:dyDescent="0.25">
      <c r="B1114">
        <v>329</v>
      </c>
      <c r="C1114">
        <v>0</v>
      </c>
    </row>
    <row r="1115" spans="2:3" x14ac:dyDescent="0.25">
      <c r="B1115">
        <v>328</v>
      </c>
      <c r="C1115">
        <v>1</v>
      </c>
    </row>
    <row r="1116" spans="2:3" x14ac:dyDescent="0.25">
      <c r="B1116">
        <v>325</v>
      </c>
      <c r="C1116">
        <v>0</v>
      </c>
    </row>
    <row r="1117" spans="2:3" x14ac:dyDescent="0.25">
      <c r="B1117">
        <v>325</v>
      </c>
      <c r="C1117">
        <v>13</v>
      </c>
    </row>
    <row r="1118" spans="2:3" x14ac:dyDescent="0.25">
      <c r="B1118">
        <v>321</v>
      </c>
      <c r="C1118">
        <v>24</v>
      </c>
    </row>
    <row r="1119" spans="2:3" x14ac:dyDescent="0.25">
      <c r="B1119">
        <v>318</v>
      </c>
      <c r="C1119">
        <v>10</v>
      </c>
    </row>
    <row r="1120" spans="2:3" x14ac:dyDescent="0.25">
      <c r="B1120">
        <v>317</v>
      </c>
      <c r="C1120">
        <v>25</v>
      </c>
    </row>
    <row r="1121" spans="2:3" x14ac:dyDescent="0.25">
      <c r="B1121">
        <v>317</v>
      </c>
      <c r="C1121">
        <v>18</v>
      </c>
    </row>
    <row r="1122" spans="2:3" x14ac:dyDescent="0.25">
      <c r="B1122">
        <v>317</v>
      </c>
      <c r="C1122">
        <v>21</v>
      </c>
    </row>
    <row r="1123" spans="2:3" x14ac:dyDescent="0.25">
      <c r="B1123">
        <v>316</v>
      </c>
      <c r="C1123">
        <v>15</v>
      </c>
    </row>
    <row r="1124" spans="2:3" x14ac:dyDescent="0.25">
      <c r="B1124">
        <v>315</v>
      </c>
      <c r="C1124">
        <v>25</v>
      </c>
    </row>
    <row r="1125" spans="2:3" x14ac:dyDescent="0.25">
      <c r="B1125">
        <v>313</v>
      </c>
      <c r="C1125">
        <v>26</v>
      </c>
    </row>
    <row r="1126" spans="2:3" x14ac:dyDescent="0.25">
      <c r="B1126">
        <v>312</v>
      </c>
      <c r="C1126">
        <v>0</v>
      </c>
    </row>
    <row r="1127" spans="2:3" x14ac:dyDescent="0.25">
      <c r="B1127">
        <v>311</v>
      </c>
      <c r="C1127">
        <v>0</v>
      </c>
    </row>
    <row r="1128" spans="2:3" x14ac:dyDescent="0.25">
      <c r="B1128">
        <v>304</v>
      </c>
      <c r="C1128">
        <v>0</v>
      </c>
    </row>
    <row r="1129" spans="2:3" x14ac:dyDescent="0.25">
      <c r="B1129">
        <v>303</v>
      </c>
      <c r="C1129">
        <v>2</v>
      </c>
    </row>
    <row r="1130" spans="2:3" x14ac:dyDescent="0.25">
      <c r="B1130">
        <v>302</v>
      </c>
      <c r="C1130">
        <v>9</v>
      </c>
    </row>
    <row r="1131" spans="2:3" x14ac:dyDescent="0.25">
      <c r="B1131">
        <v>299</v>
      </c>
      <c r="C1131">
        <v>2</v>
      </c>
    </row>
    <row r="1132" spans="2:3" x14ac:dyDescent="0.25">
      <c r="B1132">
        <v>295</v>
      </c>
      <c r="C1132">
        <v>0</v>
      </c>
    </row>
    <row r="1133" spans="2:3" x14ac:dyDescent="0.25">
      <c r="B1133">
        <v>292</v>
      </c>
      <c r="C1133">
        <v>11</v>
      </c>
    </row>
    <row r="1134" spans="2:3" x14ac:dyDescent="0.25">
      <c r="B1134">
        <v>291</v>
      </c>
      <c r="C1134">
        <v>20</v>
      </c>
    </row>
    <row r="1135" spans="2:3" x14ac:dyDescent="0.25">
      <c r="B1135">
        <v>289</v>
      </c>
      <c r="C1135">
        <v>3</v>
      </c>
    </row>
    <row r="1136" spans="2:3" x14ac:dyDescent="0.25">
      <c r="B1136">
        <v>284</v>
      </c>
      <c r="C1136">
        <v>23</v>
      </c>
    </row>
    <row r="1137" spans="2:3" x14ac:dyDescent="0.25">
      <c r="B1137">
        <v>275</v>
      </c>
      <c r="C1137">
        <v>0</v>
      </c>
    </row>
    <row r="1138" spans="2:3" x14ac:dyDescent="0.25">
      <c r="B1138">
        <v>274</v>
      </c>
      <c r="C1138">
        <v>21</v>
      </c>
    </row>
    <row r="1139" spans="2:3" x14ac:dyDescent="0.25">
      <c r="B1139">
        <v>274</v>
      </c>
      <c r="C1139">
        <v>24</v>
      </c>
    </row>
    <row r="1140" spans="2:3" x14ac:dyDescent="0.25">
      <c r="B1140">
        <v>272</v>
      </c>
      <c r="C1140">
        <v>16</v>
      </c>
    </row>
    <row r="1141" spans="2:3" x14ac:dyDescent="0.25">
      <c r="B1141">
        <v>271</v>
      </c>
      <c r="C1141">
        <v>13</v>
      </c>
    </row>
    <row r="1142" spans="2:3" x14ac:dyDescent="0.25">
      <c r="B1142">
        <v>270</v>
      </c>
      <c r="C1142">
        <v>23</v>
      </c>
    </row>
    <row r="1143" spans="2:3" x14ac:dyDescent="0.25">
      <c r="B1143">
        <v>267</v>
      </c>
      <c r="C1143">
        <v>4</v>
      </c>
    </row>
    <row r="1144" spans="2:3" x14ac:dyDescent="0.25">
      <c r="B1144">
        <v>266</v>
      </c>
      <c r="C1144">
        <v>15</v>
      </c>
    </row>
    <row r="1145" spans="2:3" x14ac:dyDescent="0.25">
      <c r="B1145">
        <v>262</v>
      </c>
      <c r="C1145">
        <v>23</v>
      </c>
    </row>
    <row r="1146" spans="2:3" x14ac:dyDescent="0.25">
      <c r="B1146">
        <v>261</v>
      </c>
      <c r="C1146">
        <v>22</v>
      </c>
    </row>
    <row r="1147" spans="2:3" x14ac:dyDescent="0.25">
      <c r="B1147">
        <v>257</v>
      </c>
      <c r="C1147">
        <v>0</v>
      </c>
    </row>
    <row r="1148" spans="2:3" x14ac:dyDescent="0.25">
      <c r="B1148">
        <v>257</v>
      </c>
      <c r="C1148">
        <v>0</v>
      </c>
    </row>
    <row r="1149" spans="2:3" x14ac:dyDescent="0.25">
      <c r="B1149">
        <v>257</v>
      </c>
      <c r="C1149">
        <v>0</v>
      </c>
    </row>
    <row r="1150" spans="2:3" x14ac:dyDescent="0.25">
      <c r="B1150">
        <v>256</v>
      </c>
      <c r="C1150">
        <v>4</v>
      </c>
    </row>
    <row r="1151" spans="2:3" x14ac:dyDescent="0.25">
      <c r="B1151">
        <v>254</v>
      </c>
      <c r="C1151">
        <v>0</v>
      </c>
    </row>
    <row r="1152" spans="2:3" x14ac:dyDescent="0.25">
      <c r="B1152">
        <v>253</v>
      </c>
      <c r="C1152">
        <v>0</v>
      </c>
    </row>
    <row r="1153" spans="2:3" x14ac:dyDescent="0.25">
      <c r="B1153">
        <v>252</v>
      </c>
      <c r="C1153">
        <v>4</v>
      </c>
    </row>
    <row r="1154" spans="2:3" x14ac:dyDescent="0.25">
      <c r="B1154">
        <v>252</v>
      </c>
      <c r="C1154">
        <v>0</v>
      </c>
    </row>
    <row r="1155" spans="2:3" x14ac:dyDescent="0.25">
      <c r="B1155">
        <v>251</v>
      </c>
      <c r="C1155">
        <v>20</v>
      </c>
    </row>
    <row r="1156" spans="2:3" x14ac:dyDescent="0.25">
      <c r="B1156">
        <v>251</v>
      </c>
      <c r="C1156">
        <v>18</v>
      </c>
    </row>
    <row r="1157" spans="2:3" x14ac:dyDescent="0.25">
      <c r="B1157">
        <v>250</v>
      </c>
      <c r="C1157">
        <v>5</v>
      </c>
    </row>
    <row r="1158" spans="2:3" x14ac:dyDescent="0.25">
      <c r="B1158">
        <v>250</v>
      </c>
      <c r="C1158">
        <v>10</v>
      </c>
    </row>
    <row r="1159" spans="2:3" x14ac:dyDescent="0.25">
      <c r="B1159">
        <v>250</v>
      </c>
      <c r="C1159">
        <v>9</v>
      </c>
    </row>
    <row r="1160" spans="2:3" x14ac:dyDescent="0.25">
      <c r="B1160">
        <v>250</v>
      </c>
      <c r="C1160">
        <v>10</v>
      </c>
    </row>
    <row r="1161" spans="2:3" x14ac:dyDescent="0.25">
      <c r="B1161">
        <v>249</v>
      </c>
      <c r="C1161">
        <v>20</v>
      </c>
    </row>
    <row r="1162" spans="2:3" x14ac:dyDescent="0.25">
      <c r="B1162">
        <v>246</v>
      </c>
      <c r="C1162">
        <v>5</v>
      </c>
    </row>
    <row r="1163" spans="2:3" x14ac:dyDescent="0.25">
      <c r="B1163">
        <v>245</v>
      </c>
      <c r="C1163">
        <v>23</v>
      </c>
    </row>
    <row r="1164" spans="2:3" x14ac:dyDescent="0.25">
      <c r="B1164">
        <v>244</v>
      </c>
      <c r="C1164">
        <v>23</v>
      </c>
    </row>
    <row r="1165" spans="2:3" x14ac:dyDescent="0.25">
      <c r="B1165">
        <v>242</v>
      </c>
      <c r="C1165">
        <v>23</v>
      </c>
    </row>
    <row r="1166" spans="2:3" x14ac:dyDescent="0.25">
      <c r="B1166">
        <v>240</v>
      </c>
      <c r="C1166">
        <v>24</v>
      </c>
    </row>
    <row r="1167" spans="2:3" x14ac:dyDescent="0.25">
      <c r="B1167">
        <v>239</v>
      </c>
      <c r="C1167">
        <v>18</v>
      </c>
    </row>
    <row r="1168" spans="2:3" x14ac:dyDescent="0.25">
      <c r="B1168">
        <v>239</v>
      </c>
      <c r="C1168">
        <v>16</v>
      </c>
    </row>
    <row r="1169" spans="2:3" x14ac:dyDescent="0.25">
      <c r="B1169">
        <v>238</v>
      </c>
      <c r="C1169">
        <v>22</v>
      </c>
    </row>
    <row r="1170" spans="2:3" x14ac:dyDescent="0.25">
      <c r="B1170">
        <v>236</v>
      </c>
      <c r="C1170">
        <v>0</v>
      </c>
    </row>
    <row r="1171" spans="2:3" x14ac:dyDescent="0.25">
      <c r="B1171">
        <v>235</v>
      </c>
      <c r="C1171">
        <v>0</v>
      </c>
    </row>
    <row r="1172" spans="2:3" x14ac:dyDescent="0.25">
      <c r="B1172">
        <v>235</v>
      </c>
      <c r="C1172">
        <v>21</v>
      </c>
    </row>
    <row r="1173" spans="2:3" x14ac:dyDescent="0.25">
      <c r="B1173">
        <v>235</v>
      </c>
      <c r="C1173">
        <v>10</v>
      </c>
    </row>
    <row r="1174" spans="2:3" x14ac:dyDescent="0.25">
      <c r="B1174">
        <v>233</v>
      </c>
      <c r="C1174">
        <v>21</v>
      </c>
    </row>
    <row r="1175" spans="2:3" x14ac:dyDescent="0.25">
      <c r="B1175">
        <v>231</v>
      </c>
      <c r="C1175">
        <v>13</v>
      </c>
    </row>
    <row r="1176" spans="2:3" x14ac:dyDescent="0.25">
      <c r="B1176">
        <v>231</v>
      </c>
      <c r="C1176">
        <v>18</v>
      </c>
    </row>
    <row r="1177" spans="2:3" x14ac:dyDescent="0.25">
      <c r="B1177">
        <v>230</v>
      </c>
      <c r="C1177">
        <v>10</v>
      </c>
    </row>
    <row r="1178" spans="2:3" x14ac:dyDescent="0.25">
      <c r="B1178">
        <v>229</v>
      </c>
      <c r="C1178">
        <v>12</v>
      </c>
    </row>
    <row r="1179" spans="2:3" x14ac:dyDescent="0.25">
      <c r="B1179">
        <v>227</v>
      </c>
      <c r="C1179">
        <v>19</v>
      </c>
    </row>
    <row r="1180" spans="2:3" x14ac:dyDescent="0.25">
      <c r="B1180">
        <v>226</v>
      </c>
      <c r="C1180">
        <v>0</v>
      </c>
    </row>
    <row r="1181" spans="2:3" x14ac:dyDescent="0.25">
      <c r="B1181">
        <v>222</v>
      </c>
      <c r="C1181">
        <v>25</v>
      </c>
    </row>
    <row r="1182" spans="2:3" x14ac:dyDescent="0.25">
      <c r="B1182">
        <v>221</v>
      </c>
      <c r="C1182">
        <v>19</v>
      </c>
    </row>
    <row r="1183" spans="2:3" x14ac:dyDescent="0.25">
      <c r="B1183">
        <v>220</v>
      </c>
      <c r="C1183">
        <v>16</v>
      </c>
    </row>
    <row r="1184" spans="2:3" x14ac:dyDescent="0.25">
      <c r="B1184">
        <v>212</v>
      </c>
      <c r="C1184">
        <v>26</v>
      </c>
    </row>
    <row r="1185" spans="2:3" x14ac:dyDescent="0.25">
      <c r="B1185">
        <v>212</v>
      </c>
      <c r="C1185">
        <v>25</v>
      </c>
    </row>
    <row r="1186" spans="2:3" x14ac:dyDescent="0.25">
      <c r="B1186">
        <v>212</v>
      </c>
      <c r="C1186">
        <v>21</v>
      </c>
    </row>
    <row r="1187" spans="2:3" x14ac:dyDescent="0.25">
      <c r="B1187">
        <v>211</v>
      </c>
      <c r="C1187">
        <v>23</v>
      </c>
    </row>
    <row r="1188" spans="2:3" x14ac:dyDescent="0.25">
      <c r="B1188">
        <v>209</v>
      </c>
      <c r="C1188">
        <v>21</v>
      </c>
    </row>
    <row r="1189" spans="2:3" x14ac:dyDescent="0.25">
      <c r="B1189">
        <v>206</v>
      </c>
      <c r="C1189">
        <v>23</v>
      </c>
    </row>
    <row r="1190" spans="2:3" x14ac:dyDescent="0.25">
      <c r="B1190">
        <v>206</v>
      </c>
      <c r="C1190">
        <v>1</v>
      </c>
    </row>
    <row r="1191" spans="2:3" x14ac:dyDescent="0.25">
      <c r="B1191">
        <v>205</v>
      </c>
      <c r="C1191">
        <v>5</v>
      </c>
    </row>
    <row r="1192" spans="2:3" x14ac:dyDescent="0.25">
      <c r="B1192">
        <v>205</v>
      </c>
      <c r="C1192">
        <v>13</v>
      </c>
    </row>
    <row r="1193" spans="2:3" x14ac:dyDescent="0.25">
      <c r="B1193">
        <v>203</v>
      </c>
      <c r="C1193">
        <v>12</v>
      </c>
    </row>
    <row r="1194" spans="2:3" x14ac:dyDescent="0.25">
      <c r="B1194">
        <v>202</v>
      </c>
      <c r="C1194">
        <v>11</v>
      </c>
    </row>
    <row r="1195" spans="2:3" x14ac:dyDescent="0.25">
      <c r="B1195">
        <v>202</v>
      </c>
      <c r="C1195">
        <v>1</v>
      </c>
    </row>
    <row r="1196" spans="2:3" x14ac:dyDescent="0.25">
      <c r="B1196">
        <v>201</v>
      </c>
      <c r="C1196">
        <v>6</v>
      </c>
    </row>
    <row r="1197" spans="2:3" x14ac:dyDescent="0.25">
      <c r="B1197">
        <v>201</v>
      </c>
      <c r="C1197">
        <v>12</v>
      </c>
    </row>
    <row r="1198" spans="2:3" x14ac:dyDescent="0.25">
      <c r="B1198">
        <v>199</v>
      </c>
      <c r="C1198">
        <v>0</v>
      </c>
    </row>
    <row r="1199" spans="2:3" x14ac:dyDescent="0.25">
      <c r="B1199">
        <v>193</v>
      </c>
      <c r="C1199">
        <v>18</v>
      </c>
    </row>
    <row r="1200" spans="2:3" x14ac:dyDescent="0.25">
      <c r="B1200">
        <v>192</v>
      </c>
      <c r="C1200">
        <v>18</v>
      </c>
    </row>
    <row r="1201" spans="2:3" x14ac:dyDescent="0.25">
      <c r="B1201">
        <v>192</v>
      </c>
      <c r="C1201">
        <v>24</v>
      </c>
    </row>
    <row r="1202" spans="2:3" x14ac:dyDescent="0.25">
      <c r="B1202">
        <v>190</v>
      </c>
      <c r="C1202">
        <v>22</v>
      </c>
    </row>
    <row r="1203" spans="2:3" x14ac:dyDescent="0.25">
      <c r="B1203">
        <v>188</v>
      </c>
      <c r="C1203">
        <v>7</v>
      </c>
    </row>
    <row r="1204" spans="2:3" x14ac:dyDescent="0.25">
      <c r="B1204">
        <v>188</v>
      </c>
      <c r="C1204">
        <v>14</v>
      </c>
    </row>
    <row r="1205" spans="2:3" x14ac:dyDescent="0.25">
      <c r="B1205">
        <v>187</v>
      </c>
      <c r="C1205">
        <v>14</v>
      </c>
    </row>
    <row r="1206" spans="2:3" x14ac:dyDescent="0.25">
      <c r="B1206">
        <v>187</v>
      </c>
      <c r="C1206">
        <v>17</v>
      </c>
    </row>
    <row r="1207" spans="2:3" x14ac:dyDescent="0.25">
      <c r="B1207">
        <v>186</v>
      </c>
      <c r="C1207">
        <v>22</v>
      </c>
    </row>
    <row r="1208" spans="2:3" x14ac:dyDescent="0.25">
      <c r="B1208">
        <v>186</v>
      </c>
      <c r="C1208">
        <v>17</v>
      </c>
    </row>
    <row r="1209" spans="2:3" x14ac:dyDescent="0.25">
      <c r="B1209">
        <v>183</v>
      </c>
      <c r="C1209">
        <v>0</v>
      </c>
    </row>
    <row r="1210" spans="2:3" x14ac:dyDescent="0.25">
      <c r="B1210">
        <v>177</v>
      </c>
      <c r="C1210">
        <v>24</v>
      </c>
    </row>
    <row r="1211" spans="2:3" x14ac:dyDescent="0.25">
      <c r="B1211">
        <v>177</v>
      </c>
      <c r="C1211">
        <v>18</v>
      </c>
    </row>
    <row r="1212" spans="2:3" x14ac:dyDescent="0.25">
      <c r="B1212">
        <v>176</v>
      </c>
      <c r="C1212">
        <v>11</v>
      </c>
    </row>
    <row r="1213" spans="2:3" x14ac:dyDescent="0.25">
      <c r="B1213">
        <v>175</v>
      </c>
      <c r="C1213">
        <v>11</v>
      </c>
    </row>
    <row r="1214" spans="2:3" x14ac:dyDescent="0.25">
      <c r="B1214">
        <v>174</v>
      </c>
      <c r="C1214">
        <v>0</v>
      </c>
    </row>
    <row r="1215" spans="2:3" x14ac:dyDescent="0.25">
      <c r="B1215">
        <v>172</v>
      </c>
      <c r="C1215">
        <v>0</v>
      </c>
    </row>
    <row r="1216" spans="2:3" x14ac:dyDescent="0.25">
      <c r="B1216">
        <v>170</v>
      </c>
      <c r="C1216">
        <v>20</v>
      </c>
    </row>
    <row r="1217" spans="2:3" x14ac:dyDescent="0.25">
      <c r="B1217">
        <v>169</v>
      </c>
      <c r="C1217">
        <v>0</v>
      </c>
    </row>
    <row r="1218" spans="2:3" x14ac:dyDescent="0.25">
      <c r="B1218">
        <v>168</v>
      </c>
      <c r="C1218">
        <v>5</v>
      </c>
    </row>
    <row r="1219" spans="2:3" x14ac:dyDescent="0.25">
      <c r="B1219">
        <v>164</v>
      </c>
      <c r="C1219">
        <v>20</v>
      </c>
    </row>
    <row r="1220" spans="2:3" x14ac:dyDescent="0.25">
      <c r="B1220">
        <v>160</v>
      </c>
      <c r="C1220">
        <v>8</v>
      </c>
    </row>
    <row r="1221" spans="2:3" x14ac:dyDescent="0.25">
      <c r="B1221">
        <v>160</v>
      </c>
      <c r="C1221">
        <v>13</v>
      </c>
    </row>
    <row r="1222" spans="2:3" x14ac:dyDescent="0.25">
      <c r="B1222">
        <v>158</v>
      </c>
      <c r="C1222">
        <v>17</v>
      </c>
    </row>
    <row r="1223" spans="2:3" x14ac:dyDescent="0.25">
      <c r="B1223">
        <v>157</v>
      </c>
      <c r="C1223">
        <v>0</v>
      </c>
    </row>
    <row r="1224" spans="2:3" x14ac:dyDescent="0.25">
      <c r="B1224">
        <v>156</v>
      </c>
      <c r="C1224">
        <v>11</v>
      </c>
    </row>
    <row r="1225" spans="2:3" x14ac:dyDescent="0.25">
      <c r="B1225">
        <v>154</v>
      </c>
      <c r="C1225">
        <v>23</v>
      </c>
    </row>
    <row r="1226" spans="2:3" x14ac:dyDescent="0.25">
      <c r="B1226">
        <v>151</v>
      </c>
      <c r="C1226">
        <v>0</v>
      </c>
    </row>
    <row r="1227" spans="2:3" x14ac:dyDescent="0.25">
      <c r="B1227">
        <v>151</v>
      </c>
      <c r="C1227">
        <v>5</v>
      </c>
    </row>
    <row r="1228" spans="2:3" x14ac:dyDescent="0.25">
      <c r="B1228">
        <v>150</v>
      </c>
      <c r="C1228">
        <v>13</v>
      </c>
    </row>
    <row r="1229" spans="2:3" x14ac:dyDescent="0.25">
      <c r="B1229">
        <v>145</v>
      </c>
      <c r="C1229">
        <v>0</v>
      </c>
    </row>
    <row r="1230" spans="2:3" x14ac:dyDescent="0.25">
      <c r="B1230">
        <v>144</v>
      </c>
      <c r="C1230">
        <v>11</v>
      </c>
    </row>
    <row r="1231" spans="2:3" x14ac:dyDescent="0.25">
      <c r="B1231">
        <v>143</v>
      </c>
      <c r="C1231">
        <v>22</v>
      </c>
    </row>
    <row r="1232" spans="2:3" x14ac:dyDescent="0.25">
      <c r="B1232">
        <v>143</v>
      </c>
      <c r="C1232">
        <v>22</v>
      </c>
    </row>
    <row r="1233" spans="2:3" x14ac:dyDescent="0.25">
      <c r="B1233">
        <v>139</v>
      </c>
      <c r="C1233">
        <v>22</v>
      </c>
    </row>
    <row r="1234" spans="2:3" x14ac:dyDescent="0.25">
      <c r="B1234">
        <v>139</v>
      </c>
      <c r="C1234">
        <v>22</v>
      </c>
    </row>
    <row r="1235" spans="2:3" x14ac:dyDescent="0.25">
      <c r="B1235">
        <v>139</v>
      </c>
      <c r="C1235">
        <v>23</v>
      </c>
    </row>
    <row r="1236" spans="2:3" x14ac:dyDescent="0.25">
      <c r="B1236">
        <v>137</v>
      </c>
      <c r="C1236">
        <v>15</v>
      </c>
    </row>
    <row r="1237" spans="2:3" x14ac:dyDescent="0.25">
      <c r="B1237">
        <v>136</v>
      </c>
      <c r="C1237">
        <v>27</v>
      </c>
    </row>
    <row r="1238" spans="2:3" x14ac:dyDescent="0.25">
      <c r="B1238">
        <v>135</v>
      </c>
      <c r="C1238">
        <v>19</v>
      </c>
    </row>
    <row r="1239" spans="2:3" x14ac:dyDescent="0.25">
      <c r="B1239">
        <v>134</v>
      </c>
      <c r="C1239">
        <v>22</v>
      </c>
    </row>
    <row r="1240" spans="2:3" x14ac:dyDescent="0.25">
      <c r="B1240">
        <v>134</v>
      </c>
      <c r="C1240">
        <v>18</v>
      </c>
    </row>
    <row r="1241" spans="2:3" x14ac:dyDescent="0.25">
      <c r="B1241">
        <v>132</v>
      </c>
      <c r="C1241">
        <v>2</v>
      </c>
    </row>
    <row r="1242" spans="2:3" x14ac:dyDescent="0.25">
      <c r="B1242">
        <v>131</v>
      </c>
      <c r="C1242">
        <v>16</v>
      </c>
    </row>
    <row r="1243" spans="2:3" x14ac:dyDescent="0.25">
      <c r="B1243">
        <v>129</v>
      </c>
      <c r="C1243">
        <v>0</v>
      </c>
    </row>
    <row r="1244" spans="2:3" x14ac:dyDescent="0.25">
      <c r="B1244">
        <v>129</v>
      </c>
      <c r="C1244">
        <v>7</v>
      </c>
    </row>
    <row r="1245" spans="2:3" x14ac:dyDescent="0.25">
      <c r="B1245">
        <v>127</v>
      </c>
      <c r="C1245">
        <v>17</v>
      </c>
    </row>
    <row r="1246" spans="2:3" x14ac:dyDescent="0.25">
      <c r="B1246">
        <v>125</v>
      </c>
      <c r="C1246">
        <v>22</v>
      </c>
    </row>
    <row r="1247" spans="2:3" x14ac:dyDescent="0.25">
      <c r="B1247">
        <v>121</v>
      </c>
      <c r="C1247">
        <v>14</v>
      </c>
    </row>
    <row r="1248" spans="2:3" x14ac:dyDescent="0.25">
      <c r="B1248">
        <v>121</v>
      </c>
      <c r="C1248">
        <v>20</v>
      </c>
    </row>
    <row r="1249" spans="2:3" x14ac:dyDescent="0.25">
      <c r="B1249">
        <v>116</v>
      </c>
      <c r="C1249">
        <v>1</v>
      </c>
    </row>
    <row r="1250" spans="2:3" x14ac:dyDescent="0.25">
      <c r="B1250">
        <v>115</v>
      </c>
      <c r="C1250">
        <v>2</v>
      </c>
    </row>
    <row r="1251" spans="2:3" x14ac:dyDescent="0.25">
      <c r="B1251">
        <v>115</v>
      </c>
      <c r="C1251">
        <v>0</v>
      </c>
    </row>
    <row r="1252" spans="2:3" x14ac:dyDescent="0.25">
      <c r="B1252">
        <v>114</v>
      </c>
      <c r="C1252">
        <v>13</v>
      </c>
    </row>
    <row r="1253" spans="2:3" x14ac:dyDescent="0.25">
      <c r="B1253">
        <v>114</v>
      </c>
      <c r="C1253">
        <v>6</v>
      </c>
    </row>
    <row r="1254" spans="2:3" x14ac:dyDescent="0.25">
      <c r="B1254">
        <v>113</v>
      </c>
      <c r="C1254">
        <v>21</v>
      </c>
    </row>
    <row r="1255" spans="2:3" x14ac:dyDescent="0.25">
      <c r="B1255">
        <v>112</v>
      </c>
      <c r="C1255">
        <v>9</v>
      </c>
    </row>
    <row r="1256" spans="2:3" x14ac:dyDescent="0.25">
      <c r="B1256">
        <v>108</v>
      </c>
      <c r="C1256">
        <v>20</v>
      </c>
    </row>
    <row r="1257" spans="2:3" x14ac:dyDescent="0.25">
      <c r="B1257">
        <v>108</v>
      </c>
      <c r="C1257">
        <v>22</v>
      </c>
    </row>
    <row r="1258" spans="2:3" x14ac:dyDescent="0.25">
      <c r="B1258">
        <v>108</v>
      </c>
      <c r="C1258">
        <v>14</v>
      </c>
    </row>
    <row r="1259" spans="2:3" x14ac:dyDescent="0.25">
      <c r="B1259">
        <v>105</v>
      </c>
      <c r="C1259">
        <v>0</v>
      </c>
    </row>
    <row r="1260" spans="2:3" x14ac:dyDescent="0.25">
      <c r="B1260">
        <v>102</v>
      </c>
      <c r="C1260">
        <v>22</v>
      </c>
    </row>
    <row r="1261" spans="2:3" x14ac:dyDescent="0.25">
      <c r="B1261">
        <v>102</v>
      </c>
      <c r="C1261">
        <v>3</v>
      </c>
    </row>
    <row r="1262" spans="2:3" x14ac:dyDescent="0.25">
      <c r="B1262">
        <v>99</v>
      </c>
      <c r="C1262">
        <v>18</v>
      </c>
    </row>
    <row r="1263" spans="2:3" x14ac:dyDescent="0.25">
      <c r="B1263">
        <v>98</v>
      </c>
      <c r="C1263">
        <v>4</v>
      </c>
    </row>
    <row r="1264" spans="2:3" x14ac:dyDescent="0.25">
      <c r="B1264">
        <v>98</v>
      </c>
      <c r="C1264">
        <v>0</v>
      </c>
    </row>
    <row r="1265" spans="2:3" x14ac:dyDescent="0.25">
      <c r="B1265">
        <v>96</v>
      </c>
      <c r="C1265">
        <v>24</v>
      </c>
    </row>
    <row r="1266" spans="2:3" x14ac:dyDescent="0.25">
      <c r="B1266">
        <v>96</v>
      </c>
      <c r="C1266">
        <v>25</v>
      </c>
    </row>
    <row r="1267" spans="2:3" x14ac:dyDescent="0.25">
      <c r="B1267">
        <v>95</v>
      </c>
      <c r="C1267">
        <v>10</v>
      </c>
    </row>
    <row r="1268" spans="2:3" x14ac:dyDescent="0.25">
      <c r="B1268">
        <v>95</v>
      </c>
      <c r="C1268">
        <v>15</v>
      </c>
    </row>
    <row r="1269" spans="2:3" x14ac:dyDescent="0.25">
      <c r="B1269">
        <v>94</v>
      </c>
      <c r="C1269">
        <v>12</v>
      </c>
    </row>
    <row r="1270" spans="2:3" x14ac:dyDescent="0.25">
      <c r="B1270">
        <v>94</v>
      </c>
      <c r="C1270">
        <v>18</v>
      </c>
    </row>
    <row r="1271" spans="2:3" x14ac:dyDescent="0.25">
      <c r="B1271">
        <v>92</v>
      </c>
      <c r="C1271">
        <v>23</v>
      </c>
    </row>
    <row r="1272" spans="2:3" x14ac:dyDescent="0.25">
      <c r="B1272">
        <v>92</v>
      </c>
      <c r="C1272">
        <v>0</v>
      </c>
    </row>
    <row r="1273" spans="2:3" x14ac:dyDescent="0.25">
      <c r="B1273">
        <v>90</v>
      </c>
      <c r="C1273">
        <v>22</v>
      </c>
    </row>
    <row r="1274" spans="2:3" x14ac:dyDescent="0.25">
      <c r="B1274">
        <v>90</v>
      </c>
      <c r="C1274">
        <v>23</v>
      </c>
    </row>
    <row r="1275" spans="2:3" x14ac:dyDescent="0.25">
      <c r="B1275">
        <v>90</v>
      </c>
      <c r="C1275">
        <v>21</v>
      </c>
    </row>
    <row r="1276" spans="2:3" x14ac:dyDescent="0.25">
      <c r="B1276">
        <v>88</v>
      </c>
      <c r="C1276">
        <v>23</v>
      </c>
    </row>
    <row r="1277" spans="2:3" x14ac:dyDescent="0.25">
      <c r="B1277">
        <v>88</v>
      </c>
      <c r="C1277">
        <v>22</v>
      </c>
    </row>
    <row r="1278" spans="2:3" x14ac:dyDescent="0.25">
      <c r="B1278">
        <v>85</v>
      </c>
      <c r="C1278">
        <v>27</v>
      </c>
    </row>
    <row r="1279" spans="2:3" x14ac:dyDescent="0.25">
      <c r="B1279">
        <v>84</v>
      </c>
      <c r="C1279">
        <v>25</v>
      </c>
    </row>
    <row r="1280" spans="2:3" x14ac:dyDescent="0.25">
      <c r="B1280">
        <v>83</v>
      </c>
      <c r="C1280">
        <v>17</v>
      </c>
    </row>
    <row r="1281" spans="2:3" x14ac:dyDescent="0.25">
      <c r="B1281">
        <v>80</v>
      </c>
      <c r="C1281">
        <v>23</v>
      </c>
    </row>
    <row r="1282" spans="2:3" x14ac:dyDescent="0.25">
      <c r="B1282">
        <v>79</v>
      </c>
      <c r="C1282">
        <v>11</v>
      </c>
    </row>
    <row r="1283" spans="2:3" x14ac:dyDescent="0.25">
      <c r="B1283">
        <v>79</v>
      </c>
      <c r="C1283">
        <v>11</v>
      </c>
    </row>
    <row r="1284" spans="2:3" x14ac:dyDescent="0.25">
      <c r="B1284">
        <v>76</v>
      </c>
      <c r="C1284">
        <v>22</v>
      </c>
    </row>
    <row r="1285" spans="2:3" x14ac:dyDescent="0.25">
      <c r="B1285">
        <v>75</v>
      </c>
      <c r="C1285">
        <v>19</v>
      </c>
    </row>
    <row r="1286" spans="2:3" x14ac:dyDescent="0.25">
      <c r="B1286">
        <v>75</v>
      </c>
      <c r="C1286">
        <v>27</v>
      </c>
    </row>
    <row r="1287" spans="2:3" x14ac:dyDescent="0.25">
      <c r="B1287">
        <v>71</v>
      </c>
      <c r="C1287">
        <v>13</v>
      </c>
    </row>
    <row r="1288" spans="2:3" x14ac:dyDescent="0.25">
      <c r="B1288">
        <v>67</v>
      </c>
      <c r="C1288">
        <v>0</v>
      </c>
    </row>
    <row r="1289" spans="2:3" x14ac:dyDescent="0.25">
      <c r="B1289">
        <v>66</v>
      </c>
      <c r="C1289">
        <v>14</v>
      </c>
    </row>
    <row r="1290" spans="2:3" x14ac:dyDescent="0.25">
      <c r="B1290">
        <v>66</v>
      </c>
      <c r="C1290">
        <v>16</v>
      </c>
    </row>
    <row r="1291" spans="2:3" x14ac:dyDescent="0.25">
      <c r="B1291">
        <v>64</v>
      </c>
      <c r="C1291">
        <v>8</v>
      </c>
    </row>
    <row r="1292" spans="2:3" x14ac:dyDescent="0.25">
      <c r="B1292">
        <v>60</v>
      </c>
      <c r="C1292">
        <v>1</v>
      </c>
    </row>
    <row r="1293" spans="2:3" x14ac:dyDescent="0.25">
      <c r="B1293">
        <v>59</v>
      </c>
      <c r="C1293">
        <v>21</v>
      </c>
    </row>
    <row r="1294" spans="2:3" x14ac:dyDescent="0.25">
      <c r="B1294">
        <v>58</v>
      </c>
      <c r="C1294">
        <v>18</v>
      </c>
    </row>
    <row r="1295" spans="2:3" x14ac:dyDescent="0.25">
      <c r="B1295">
        <v>58</v>
      </c>
      <c r="C1295">
        <v>16</v>
      </c>
    </row>
    <row r="1296" spans="2:3" x14ac:dyDescent="0.25">
      <c r="B1296">
        <v>55</v>
      </c>
      <c r="C1296">
        <v>18</v>
      </c>
    </row>
    <row r="1297" spans="2:3" x14ac:dyDescent="0.25">
      <c r="B1297">
        <v>55</v>
      </c>
      <c r="C1297">
        <v>7</v>
      </c>
    </row>
    <row r="1298" spans="2:3" x14ac:dyDescent="0.25">
      <c r="B1298">
        <v>53</v>
      </c>
      <c r="C1298">
        <v>8</v>
      </c>
    </row>
    <row r="1299" spans="2:3" x14ac:dyDescent="0.25">
      <c r="B1299">
        <v>53</v>
      </c>
      <c r="C1299">
        <v>0</v>
      </c>
    </row>
    <row r="1300" spans="2:3" x14ac:dyDescent="0.25">
      <c r="B1300">
        <v>52</v>
      </c>
      <c r="C1300">
        <v>13</v>
      </c>
    </row>
    <row r="1301" spans="2:3" x14ac:dyDescent="0.25">
      <c r="B1301">
        <v>51</v>
      </c>
      <c r="C1301">
        <v>0</v>
      </c>
    </row>
    <row r="1302" spans="2:3" x14ac:dyDescent="0.25">
      <c r="B1302">
        <v>50</v>
      </c>
      <c r="C1302">
        <v>4</v>
      </c>
    </row>
    <row r="1303" spans="2:3" x14ac:dyDescent="0.25">
      <c r="B1303">
        <v>50</v>
      </c>
      <c r="C1303">
        <v>5</v>
      </c>
    </row>
    <row r="1304" spans="2:3" x14ac:dyDescent="0.25">
      <c r="B1304">
        <v>47</v>
      </c>
      <c r="C1304">
        <v>0</v>
      </c>
    </row>
    <row r="1305" spans="2:3" x14ac:dyDescent="0.25">
      <c r="B1305">
        <v>46</v>
      </c>
      <c r="C1305">
        <v>12</v>
      </c>
    </row>
    <row r="1306" spans="2:3" x14ac:dyDescent="0.25">
      <c r="B1306">
        <v>45</v>
      </c>
      <c r="C1306">
        <v>0</v>
      </c>
    </row>
    <row r="1307" spans="2:3" x14ac:dyDescent="0.25">
      <c r="B1307">
        <v>45</v>
      </c>
      <c r="C1307">
        <v>1</v>
      </c>
    </row>
    <row r="1308" spans="2:3" x14ac:dyDescent="0.25">
      <c r="B1308">
        <v>44</v>
      </c>
      <c r="C1308">
        <v>0</v>
      </c>
    </row>
    <row r="1309" spans="2:3" x14ac:dyDescent="0.25">
      <c r="B1309">
        <v>43</v>
      </c>
      <c r="C1309">
        <v>0</v>
      </c>
    </row>
    <row r="1310" spans="2:3" x14ac:dyDescent="0.25">
      <c r="B1310">
        <v>43</v>
      </c>
      <c r="C1310">
        <v>0</v>
      </c>
    </row>
    <row r="1311" spans="2:3" x14ac:dyDescent="0.25">
      <c r="B1311">
        <v>43</v>
      </c>
      <c r="C1311">
        <v>9</v>
      </c>
    </row>
    <row r="1312" spans="2:3" x14ac:dyDescent="0.25">
      <c r="B1312">
        <v>40</v>
      </c>
      <c r="C1312">
        <v>7</v>
      </c>
    </row>
    <row r="1313" spans="2:3" x14ac:dyDescent="0.25">
      <c r="B1313">
        <v>38</v>
      </c>
      <c r="C1313">
        <v>0</v>
      </c>
    </row>
    <row r="1314" spans="2:3" x14ac:dyDescent="0.25">
      <c r="B1314">
        <v>37</v>
      </c>
      <c r="C1314">
        <v>0</v>
      </c>
    </row>
    <row r="1315" spans="2:3" x14ac:dyDescent="0.25">
      <c r="B1315">
        <v>36</v>
      </c>
      <c r="C1315">
        <v>12</v>
      </c>
    </row>
    <row r="1316" spans="2:3" x14ac:dyDescent="0.25">
      <c r="B1316">
        <v>35</v>
      </c>
      <c r="C1316">
        <v>10</v>
      </c>
    </row>
    <row r="1317" spans="2:3" x14ac:dyDescent="0.25">
      <c r="B1317">
        <v>35</v>
      </c>
      <c r="C1317">
        <v>12</v>
      </c>
    </row>
    <row r="1318" spans="2:3" x14ac:dyDescent="0.25">
      <c r="B1318">
        <v>31</v>
      </c>
      <c r="C1318">
        <v>12</v>
      </c>
    </row>
    <row r="1319" spans="2:3" x14ac:dyDescent="0.25">
      <c r="B1319">
        <v>31</v>
      </c>
      <c r="C1319">
        <v>4</v>
      </c>
    </row>
    <row r="1320" spans="2:3" x14ac:dyDescent="0.25">
      <c r="B1320">
        <v>30</v>
      </c>
      <c r="C1320">
        <v>14</v>
      </c>
    </row>
    <row r="1321" spans="2:3" x14ac:dyDescent="0.25">
      <c r="B1321">
        <v>28</v>
      </c>
      <c r="C1321">
        <v>12</v>
      </c>
    </row>
    <row r="1322" spans="2:3" x14ac:dyDescent="0.25">
      <c r="B1322">
        <v>27</v>
      </c>
      <c r="C1322">
        <v>2</v>
      </c>
    </row>
    <row r="1323" spans="2:3" x14ac:dyDescent="0.25">
      <c r="B1323">
        <v>27</v>
      </c>
      <c r="C1323">
        <v>2</v>
      </c>
    </row>
    <row r="1324" spans="2:3" x14ac:dyDescent="0.25">
      <c r="B1324">
        <v>26</v>
      </c>
      <c r="C1324">
        <v>19</v>
      </c>
    </row>
    <row r="1325" spans="2:3" x14ac:dyDescent="0.25">
      <c r="B1325">
        <v>26</v>
      </c>
      <c r="C1325">
        <v>16</v>
      </c>
    </row>
    <row r="1326" spans="2:3" x14ac:dyDescent="0.25">
      <c r="B1326">
        <v>24</v>
      </c>
      <c r="C1326">
        <v>16</v>
      </c>
    </row>
    <row r="1327" spans="2:3" x14ac:dyDescent="0.25">
      <c r="B1327">
        <v>24</v>
      </c>
      <c r="C1327">
        <v>19</v>
      </c>
    </row>
    <row r="1328" spans="2:3" x14ac:dyDescent="0.25">
      <c r="B1328">
        <v>23</v>
      </c>
      <c r="C1328">
        <v>14</v>
      </c>
    </row>
    <row r="1329" spans="2:3" x14ac:dyDescent="0.25">
      <c r="B1329">
        <v>22</v>
      </c>
      <c r="C1329">
        <v>8</v>
      </c>
    </row>
    <row r="1330" spans="2:3" x14ac:dyDescent="0.25">
      <c r="B1330">
        <v>21</v>
      </c>
      <c r="C1330">
        <v>0</v>
      </c>
    </row>
    <row r="1331" spans="2:3" x14ac:dyDescent="0.25">
      <c r="B1331">
        <v>21</v>
      </c>
      <c r="C1331">
        <v>0</v>
      </c>
    </row>
    <row r="1332" spans="2:3" x14ac:dyDescent="0.25">
      <c r="B1332">
        <v>20</v>
      </c>
      <c r="C1332">
        <v>16</v>
      </c>
    </row>
    <row r="1333" spans="2:3" x14ac:dyDescent="0.25">
      <c r="B1333">
        <v>20</v>
      </c>
      <c r="C1333">
        <v>11</v>
      </c>
    </row>
    <row r="1334" spans="2:3" x14ac:dyDescent="0.25">
      <c r="B1334">
        <v>19</v>
      </c>
      <c r="C1334">
        <v>10</v>
      </c>
    </row>
    <row r="1335" spans="2:3" x14ac:dyDescent="0.25">
      <c r="B1335">
        <v>17</v>
      </c>
      <c r="C1335">
        <v>18</v>
      </c>
    </row>
    <row r="1336" spans="2:3" x14ac:dyDescent="0.25">
      <c r="B1336">
        <v>17</v>
      </c>
      <c r="C1336">
        <v>13</v>
      </c>
    </row>
    <row r="1337" spans="2:3" x14ac:dyDescent="0.25">
      <c r="B1337">
        <v>17</v>
      </c>
      <c r="C1337">
        <v>21</v>
      </c>
    </row>
    <row r="1338" spans="2:3" x14ac:dyDescent="0.25">
      <c r="B1338">
        <v>16</v>
      </c>
      <c r="C1338">
        <v>22</v>
      </c>
    </row>
    <row r="1339" spans="2:3" x14ac:dyDescent="0.25">
      <c r="B1339">
        <v>14</v>
      </c>
      <c r="C1339">
        <v>21</v>
      </c>
    </row>
    <row r="1340" spans="2:3" x14ac:dyDescent="0.25">
      <c r="B1340">
        <v>12</v>
      </c>
      <c r="C1340">
        <v>22</v>
      </c>
    </row>
    <row r="1341" spans="2:3" x14ac:dyDescent="0.25">
      <c r="B1341">
        <v>9</v>
      </c>
      <c r="C1341">
        <v>21</v>
      </c>
    </row>
    <row r="1342" spans="2:3" x14ac:dyDescent="0.25">
      <c r="B1342">
        <v>8</v>
      </c>
      <c r="C1342">
        <v>16</v>
      </c>
    </row>
    <row r="1343" spans="2:3" x14ac:dyDescent="0.25">
      <c r="B1343">
        <v>8</v>
      </c>
      <c r="C1343">
        <v>19</v>
      </c>
    </row>
    <row r="1344" spans="2:3" x14ac:dyDescent="0.25">
      <c r="B1344">
        <v>8</v>
      </c>
      <c r="C1344">
        <v>8</v>
      </c>
    </row>
    <row r="1345" spans="2:3" x14ac:dyDescent="0.25">
      <c r="B1345">
        <v>5</v>
      </c>
      <c r="C1345">
        <v>14</v>
      </c>
    </row>
    <row r="1346" spans="2:3" x14ac:dyDescent="0.25">
      <c r="B1346">
        <v>5</v>
      </c>
      <c r="C1346">
        <v>0</v>
      </c>
    </row>
    <row r="1347" spans="2:3" x14ac:dyDescent="0.25">
      <c r="B1347">
        <v>5</v>
      </c>
      <c r="C1347">
        <v>0</v>
      </c>
    </row>
    <row r="1348" spans="2:3" x14ac:dyDescent="0.25">
      <c r="B1348">
        <v>4</v>
      </c>
      <c r="C1348">
        <v>24</v>
      </c>
    </row>
    <row r="1349" spans="2:3" x14ac:dyDescent="0.25">
      <c r="B1349">
        <v>4</v>
      </c>
      <c r="C1349">
        <v>19</v>
      </c>
    </row>
    <row r="1350" spans="2:3" x14ac:dyDescent="0.25">
      <c r="B1350">
        <v>3</v>
      </c>
      <c r="C1350">
        <v>16</v>
      </c>
    </row>
    <row r="1351" spans="2:3" x14ac:dyDescent="0.25">
      <c r="B1351">
        <v>3</v>
      </c>
      <c r="C1351">
        <v>21</v>
      </c>
    </row>
    <row r="1352" spans="2:3" x14ac:dyDescent="0.25">
      <c r="B1352">
        <v>3</v>
      </c>
      <c r="C1352">
        <v>20</v>
      </c>
    </row>
    <row r="1353" spans="2:3" x14ac:dyDescent="0.25">
      <c r="B1353">
        <v>2</v>
      </c>
      <c r="C1353">
        <v>18</v>
      </c>
    </row>
    <row r="1354" spans="2:3" x14ac:dyDescent="0.25">
      <c r="B1354">
        <v>2</v>
      </c>
      <c r="C1354">
        <v>0</v>
      </c>
    </row>
    <row r="1355" spans="2:3" x14ac:dyDescent="0.25">
      <c r="B1355">
        <v>359</v>
      </c>
      <c r="C1355">
        <v>12</v>
      </c>
    </row>
    <row r="1356" spans="2:3" x14ac:dyDescent="0.25">
      <c r="B1356">
        <v>359</v>
      </c>
      <c r="C1356">
        <v>12</v>
      </c>
    </row>
    <row r="1357" spans="2:3" x14ac:dyDescent="0.25">
      <c r="B1357">
        <v>359</v>
      </c>
      <c r="C1357">
        <v>12</v>
      </c>
    </row>
    <row r="1358" spans="2:3" x14ac:dyDescent="0.25">
      <c r="B1358">
        <v>356</v>
      </c>
      <c r="C1358">
        <v>34</v>
      </c>
    </row>
    <row r="1359" spans="2:3" x14ac:dyDescent="0.25">
      <c r="B1359">
        <v>356</v>
      </c>
      <c r="C1359">
        <v>33</v>
      </c>
    </row>
    <row r="1360" spans="2:3" x14ac:dyDescent="0.25">
      <c r="B1360">
        <v>356</v>
      </c>
      <c r="C1360">
        <v>35</v>
      </c>
    </row>
    <row r="1361" spans="2:3" x14ac:dyDescent="0.25">
      <c r="B1361">
        <v>353</v>
      </c>
      <c r="C1361">
        <v>18</v>
      </c>
    </row>
    <row r="1362" spans="2:3" x14ac:dyDescent="0.25">
      <c r="B1362">
        <v>351</v>
      </c>
      <c r="C1362">
        <v>26</v>
      </c>
    </row>
    <row r="1363" spans="2:3" x14ac:dyDescent="0.25">
      <c r="B1363">
        <v>351</v>
      </c>
      <c r="C1363">
        <v>19</v>
      </c>
    </row>
    <row r="1364" spans="2:3" x14ac:dyDescent="0.25">
      <c r="B1364">
        <v>351</v>
      </c>
      <c r="C1364">
        <v>22</v>
      </c>
    </row>
    <row r="1365" spans="2:3" x14ac:dyDescent="0.25">
      <c r="B1365">
        <v>350</v>
      </c>
      <c r="C1365">
        <v>11</v>
      </c>
    </row>
    <row r="1366" spans="2:3" x14ac:dyDescent="0.25">
      <c r="B1366">
        <v>350</v>
      </c>
      <c r="C1366">
        <v>11</v>
      </c>
    </row>
    <row r="1367" spans="2:3" x14ac:dyDescent="0.25">
      <c r="B1367">
        <v>349</v>
      </c>
      <c r="C1367">
        <v>0</v>
      </c>
    </row>
    <row r="1368" spans="2:3" x14ac:dyDescent="0.25">
      <c r="B1368">
        <v>347</v>
      </c>
      <c r="C1368">
        <v>16</v>
      </c>
    </row>
    <row r="1369" spans="2:3" x14ac:dyDescent="0.25">
      <c r="B1369">
        <v>347</v>
      </c>
      <c r="C1369">
        <v>5</v>
      </c>
    </row>
    <row r="1370" spans="2:3" x14ac:dyDescent="0.25">
      <c r="B1370">
        <v>346</v>
      </c>
      <c r="C1370">
        <v>20</v>
      </c>
    </row>
    <row r="1371" spans="2:3" x14ac:dyDescent="0.25">
      <c r="B1371">
        <v>345</v>
      </c>
      <c r="C1371">
        <v>12</v>
      </c>
    </row>
    <row r="1372" spans="2:3" x14ac:dyDescent="0.25">
      <c r="B1372">
        <v>345</v>
      </c>
      <c r="C1372">
        <v>0</v>
      </c>
    </row>
    <row r="1373" spans="2:3" x14ac:dyDescent="0.25">
      <c r="B1373">
        <v>344</v>
      </c>
      <c r="C1373">
        <v>21</v>
      </c>
    </row>
    <row r="1374" spans="2:3" x14ac:dyDescent="0.25">
      <c r="B1374">
        <v>341</v>
      </c>
      <c r="C1374">
        <v>24</v>
      </c>
    </row>
    <row r="1375" spans="2:3" x14ac:dyDescent="0.25">
      <c r="B1375">
        <v>340</v>
      </c>
      <c r="C1375">
        <v>26</v>
      </c>
    </row>
    <row r="1376" spans="2:3" x14ac:dyDescent="0.25">
      <c r="B1376">
        <v>339</v>
      </c>
      <c r="C1376">
        <v>0</v>
      </c>
    </row>
    <row r="1377" spans="2:3" x14ac:dyDescent="0.25">
      <c r="B1377">
        <v>339</v>
      </c>
      <c r="C1377">
        <v>18</v>
      </c>
    </row>
    <row r="1378" spans="2:3" x14ac:dyDescent="0.25">
      <c r="B1378">
        <v>339</v>
      </c>
      <c r="C1378">
        <v>8</v>
      </c>
    </row>
    <row r="1379" spans="2:3" x14ac:dyDescent="0.25">
      <c r="B1379">
        <v>335</v>
      </c>
      <c r="C1379">
        <v>18</v>
      </c>
    </row>
    <row r="1380" spans="2:3" x14ac:dyDescent="0.25">
      <c r="B1380">
        <v>335</v>
      </c>
      <c r="C1380">
        <v>7</v>
      </c>
    </row>
    <row r="1381" spans="2:3" x14ac:dyDescent="0.25">
      <c r="B1381">
        <v>329</v>
      </c>
      <c r="C1381">
        <v>0</v>
      </c>
    </row>
    <row r="1382" spans="2:3" x14ac:dyDescent="0.25">
      <c r="B1382">
        <v>328</v>
      </c>
      <c r="C1382">
        <v>1</v>
      </c>
    </row>
    <row r="1383" spans="2:3" x14ac:dyDescent="0.25">
      <c r="B1383">
        <v>325</v>
      </c>
      <c r="C1383">
        <v>0</v>
      </c>
    </row>
    <row r="1384" spans="2:3" x14ac:dyDescent="0.25">
      <c r="B1384">
        <v>325</v>
      </c>
      <c r="C1384">
        <v>13</v>
      </c>
    </row>
    <row r="1385" spans="2:3" x14ac:dyDescent="0.25">
      <c r="B1385">
        <v>321</v>
      </c>
      <c r="C1385">
        <v>24</v>
      </c>
    </row>
    <row r="1386" spans="2:3" x14ac:dyDescent="0.25">
      <c r="B1386">
        <v>318</v>
      </c>
      <c r="C1386">
        <v>10</v>
      </c>
    </row>
    <row r="1387" spans="2:3" x14ac:dyDescent="0.25">
      <c r="B1387">
        <v>317</v>
      </c>
      <c r="C1387">
        <v>25</v>
      </c>
    </row>
    <row r="1388" spans="2:3" x14ac:dyDescent="0.25">
      <c r="B1388">
        <v>317</v>
      </c>
      <c r="C1388">
        <v>18</v>
      </c>
    </row>
    <row r="1389" spans="2:3" x14ac:dyDescent="0.25">
      <c r="B1389">
        <v>317</v>
      </c>
      <c r="C1389">
        <v>21</v>
      </c>
    </row>
    <row r="1390" spans="2:3" x14ac:dyDescent="0.25">
      <c r="B1390">
        <v>316</v>
      </c>
      <c r="C1390">
        <v>15</v>
      </c>
    </row>
    <row r="1391" spans="2:3" x14ac:dyDescent="0.25">
      <c r="B1391">
        <v>315</v>
      </c>
      <c r="C1391">
        <v>25</v>
      </c>
    </row>
    <row r="1392" spans="2:3" x14ac:dyDescent="0.25">
      <c r="B1392">
        <v>313</v>
      </c>
      <c r="C1392">
        <v>26</v>
      </c>
    </row>
    <row r="1393" spans="2:3" x14ac:dyDescent="0.25">
      <c r="B1393">
        <v>312</v>
      </c>
      <c r="C1393">
        <v>0</v>
      </c>
    </row>
    <row r="1394" spans="2:3" x14ac:dyDescent="0.25">
      <c r="B1394">
        <v>311</v>
      </c>
      <c r="C1394">
        <v>0</v>
      </c>
    </row>
    <row r="1395" spans="2:3" x14ac:dyDescent="0.25">
      <c r="B1395">
        <v>304</v>
      </c>
      <c r="C1395">
        <v>0</v>
      </c>
    </row>
    <row r="1396" spans="2:3" x14ac:dyDescent="0.25">
      <c r="B1396">
        <v>303</v>
      </c>
      <c r="C1396">
        <v>2</v>
      </c>
    </row>
    <row r="1397" spans="2:3" x14ac:dyDescent="0.25">
      <c r="B1397">
        <v>302</v>
      </c>
      <c r="C1397">
        <v>9</v>
      </c>
    </row>
    <row r="1398" spans="2:3" x14ac:dyDescent="0.25">
      <c r="B1398">
        <v>299</v>
      </c>
      <c r="C1398">
        <v>2</v>
      </c>
    </row>
    <row r="1399" spans="2:3" x14ac:dyDescent="0.25">
      <c r="B1399">
        <v>295</v>
      </c>
      <c r="C1399">
        <v>0</v>
      </c>
    </row>
    <row r="1400" spans="2:3" x14ac:dyDescent="0.25">
      <c r="B1400">
        <v>292</v>
      </c>
      <c r="C1400">
        <v>11</v>
      </c>
    </row>
    <row r="1401" spans="2:3" x14ac:dyDescent="0.25">
      <c r="B1401">
        <v>291</v>
      </c>
      <c r="C1401">
        <v>20</v>
      </c>
    </row>
    <row r="1402" spans="2:3" x14ac:dyDescent="0.25">
      <c r="B1402">
        <v>289</v>
      </c>
      <c r="C1402">
        <v>3</v>
      </c>
    </row>
    <row r="1403" spans="2:3" x14ac:dyDescent="0.25">
      <c r="B1403">
        <v>284</v>
      </c>
      <c r="C1403">
        <v>23</v>
      </c>
    </row>
    <row r="1404" spans="2:3" x14ac:dyDescent="0.25">
      <c r="B1404">
        <v>275</v>
      </c>
      <c r="C1404">
        <v>0</v>
      </c>
    </row>
    <row r="1405" spans="2:3" x14ac:dyDescent="0.25">
      <c r="B1405">
        <v>274</v>
      </c>
      <c r="C1405">
        <v>21</v>
      </c>
    </row>
    <row r="1406" spans="2:3" x14ac:dyDescent="0.25">
      <c r="B1406">
        <v>274</v>
      </c>
      <c r="C1406">
        <v>24</v>
      </c>
    </row>
    <row r="1407" spans="2:3" x14ac:dyDescent="0.25">
      <c r="B1407">
        <v>272</v>
      </c>
      <c r="C1407">
        <v>16</v>
      </c>
    </row>
    <row r="1408" spans="2:3" x14ac:dyDescent="0.25">
      <c r="B1408">
        <v>271</v>
      </c>
      <c r="C1408">
        <v>13</v>
      </c>
    </row>
    <row r="1409" spans="2:3" x14ac:dyDescent="0.25">
      <c r="B1409">
        <v>270</v>
      </c>
      <c r="C1409">
        <v>23</v>
      </c>
    </row>
    <row r="1410" spans="2:3" x14ac:dyDescent="0.25">
      <c r="B1410">
        <v>267</v>
      </c>
      <c r="C1410">
        <v>4</v>
      </c>
    </row>
    <row r="1411" spans="2:3" x14ac:dyDescent="0.25">
      <c r="B1411">
        <v>266</v>
      </c>
      <c r="C1411">
        <v>15</v>
      </c>
    </row>
    <row r="1412" spans="2:3" x14ac:dyDescent="0.25">
      <c r="B1412">
        <v>262</v>
      </c>
      <c r="C1412">
        <v>23</v>
      </c>
    </row>
    <row r="1413" spans="2:3" x14ac:dyDescent="0.25">
      <c r="B1413">
        <v>261</v>
      </c>
      <c r="C1413">
        <v>22</v>
      </c>
    </row>
    <row r="1414" spans="2:3" x14ac:dyDescent="0.25">
      <c r="B1414">
        <v>257</v>
      </c>
      <c r="C1414">
        <v>0</v>
      </c>
    </row>
    <row r="1415" spans="2:3" x14ac:dyDescent="0.25">
      <c r="B1415">
        <v>257</v>
      </c>
      <c r="C1415">
        <v>0</v>
      </c>
    </row>
    <row r="1416" spans="2:3" x14ac:dyDescent="0.25">
      <c r="B1416">
        <v>257</v>
      </c>
      <c r="C1416">
        <v>0</v>
      </c>
    </row>
    <row r="1417" spans="2:3" x14ac:dyDescent="0.25">
      <c r="B1417">
        <v>256</v>
      </c>
      <c r="C1417">
        <v>4</v>
      </c>
    </row>
    <row r="1418" spans="2:3" x14ac:dyDescent="0.25">
      <c r="B1418">
        <v>254</v>
      </c>
      <c r="C1418">
        <v>0</v>
      </c>
    </row>
    <row r="1419" spans="2:3" x14ac:dyDescent="0.25">
      <c r="B1419">
        <v>253</v>
      </c>
      <c r="C1419">
        <v>0</v>
      </c>
    </row>
    <row r="1420" spans="2:3" x14ac:dyDescent="0.25">
      <c r="B1420">
        <v>252</v>
      </c>
      <c r="C1420">
        <v>4</v>
      </c>
    </row>
    <row r="1421" spans="2:3" x14ac:dyDescent="0.25">
      <c r="B1421">
        <v>252</v>
      </c>
      <c r="C1421">
        <v>0</v>
      </c>
    </row>
    <row r="1422" spans="2:3" x14ac:dyDescent="0.25">
      <c r="B1422">
        <v>251</v>
      </c>
      <c r="C1422">
        <v>20</v>
      </c>
    </row>
    <row r="1423" spans="2:3" x14ac:dyDescent="0.25">
      <c r="B1423">
        <v>251</v>
      </c>
      <c r="C1423">
        <v>18</v>
      </c>
    </row>
    <row r="1424" spans="2:3" x14ac:dyDescent="0.25">
      <c r="B1424">
        <v>250</v>
      </c>
      <c r="C1424">
        <v>5</v>
      </c>
    </row>
    <row r="1425" spans="2:3" x14ac:dyDescent="0.25">
      <c r="B1425">
        <v>250</v>
      </c>
      <c r="C1425">
        <v>10</v>
      </c>
    </row>
    <row r="1426" spans="2:3" x14ac:dyDescent="0.25">
      <c r="B1426">
        <v>250</v>
      </c>
      <c r="C1426">
        <v>9</v>
      </c>
    </row>
    <row r="1427" spans="2:3" x14ac:dyDescent="0.25">
      <c r="B1427">
        <v>250</v>
      </c>
      <c r="C1427">
        <v>10</v>
      </c>
    </row>
    <row r="1428" spans="2:3" x14ac:dyDescent="0.25">
      <c r="B1428">
        <v>249</v>
      </c>
      <c r="C1428">
        <v>20</v>
      </c>
    </row>
    <row r="1429" spans="2:3" x14ac:dyDescent="0.25">
      <c r="B1429">
        <v>246</v>
      </c>
      <c r="C1429">
        <v>5</v>
      </c>
    </row>
    <row r="1430" spans="2:3" x14ac:dyDescent="0.25">
      <c r="B1430">
        <v>245</v>
      </c>
      <c r="C1430">
        <v>23</v>
      </c>
    </row>
    <row r="1431" spans="2:3" x14ac:dyDescent="0.25">
      <c r="B1431">
        <v>244</v>
      </c>
      <c r="C1431">
        <v>23</v>
      </c>
    </row>
    <row r="1432" spans="2:3" x14ac:dyDescent="0.25">
      <c r="B1432">
        <v>242</v>
      </c>
      <c r="C1432">
        <v>23</v>
      </c>
    </row>
    <row r="1433" spans="2:3" x14ac:dyDescent="0.25">
      <c r="B1433">
        <v>240</v>
      </c>
      <c r="C1433">
        <v>24</v>
      </c>
    </row>
    <row r="1434" spans="2:3" x14ac:dyDescent="0.25">
      <c r="B1434">
        <v>239</v>
      </c>
      <c r="C1434">
        <v>18</v>
      </c>
    </row>
    <row r="1435" spans="2:3" x14ac:dyDescent="0.25">
      <c r="B1435">
        <v>239</v>
      </c>
      <c r="C1435">
        <v>16</v>
      </c>
    </row>
    <row r="1436" spans="2:3" x14ac:dyDescent="0.25">
      <c r="B1436">
        <v>238</v>
      </c>
      <c r="C1436">
        <v>22</v>
      </c>
    </row>
    <row r="1437" spans="2:3" x14ac:dyDescent="0.25">
      <c r="B1437">
        <v>236</v>
      </c>
      <c r="C1437">
        <v>0</v>
      </c>
    </row>
    <row r="1438" spans="2:3" x14ac:dyDescent="0.25">
      <c r="B1438">
        <v>235</v>
      </c>
      <c r="C1438">
        <v>0</v>
      </c>
    </row>
    <row r="1439" spans="2:3" x14ac:dyDescent="0.25">
      <c r="B1439">
        <v>235</v>
      </c>
      <c r="C1439">
        <v>21</v>
      </c>
    </row>
    <row r="1440" spans="2:3" x14ac:dyDescent="0.25">
      <c r="B1440">
        <v>235</v>
      </c>
      <c r="C1440">
        <v>10</v>
      </c>
    </row>
    <row r="1441" spans="2:3" x14ac:dyDescent="0.25">
      <c r="B1441">
        <v>233</v>
      </c>
      <c r="C1441">
        <v>21</v>
      </c>
    </row>
    <row r="1442" spans="2:3" x14ac:dyDescent="0.25">
      <c r="B1442">
        <v>231</v>
      </c>
      <c r="C1442">
        <v>13</v>
      </c>
    </row>
    <row r="1443" spans="2:3" x14ac:dyDescent="0.25">
      <c r="B1443">
        <v>231</v>
      </c>
      <c r="C1443">
        <v>18</v>
      </c>
    </row>
    <row r="1444" spans="2:3" x14ac:dyDescent="0.25">
      <c r="B1444">
        <v>230</v>
      </c>
      <c r="C1444">
        <v>10</v>
      </c>
    </row>
    <row r="1445" spans="2:3" x14ac:dyDescent="0.25">
      <c r="B1445">
        <v>229</v>
      </c>
      <c r="C1445">
        <v>12</v>
      </c>
    </row>
    <row r="1446" spans="2:3" x14ac:dyDescent="0.25">
      <c r="B1446">
        <v>227</v>
      </c>
      <c r="C1446">
        <v>19</v>
      </c>
    </row>
    <row r="1447" spans="2:3" x14ac:dyDescent="0.25">
      <c r="B1447">
        <v>226</v>
      </c>
      <c r="C1447">
        <v>0</v>
      </c>
    </row>
    <row r="1448" spans="2:3" x14ac:dyDescent="0.25">
      <c r="B1448">
        <v>222</v>
      </c>
      <c r="C1448">
        <v>25</v>
      </c>
    </row>
    <row r="1449" spans="2:3" x14ac:dyDescent="0.25">
      <c r="B1449">
        <v>221</v>
      </c>
      <c r="C1449">
        <v>19</v>
      </c>
    </row>
    <row r="1450" spans="2:3" x14ac:dyDescent="0.25">
      <c r="B1450">
        <v>220</v>
      </c>
      <c r="C1450">
        <v>16</v>
      </c>
    </row>
    <row r="1451" spans="2:3" x14ac:dyDescent="0.25">
      <c r="B1451">
        <v>212</v>
      </c>
      <c r="C1451">
        <v>26</v>
      </c>
    </row>
    <row r="1452" spans="2:3" x14ac:dyDescent="0.25">
      <c r="B1452">
        <v>212</v>
      </c>
      <c r="C1452">
        <v>25</v>
      </c>
    </row>
    <row r="1453" spans="2:3" x14ac:dyDescent="0.25">
      <c r="B1453">
        <v>212</v>
      </c>
      <c r="C1453">
        <v>21</v>
      </c>
    </row>
    <row r="1454" spans="2:3" x14ac:dyDescent="0.25">
      <c r="B1454">
        <v>211</v>
      </c>
      <c r="C1454">
        <v>23</v>
      </c>
    </row>
    <row r="1455" spans="2:3" x14ac:dyDescent="0.25">
      <c r="B1455">
        <v>209</v>
      </c>
      <c r="C1455">
        <v>21</v>
      </c>
    </row>
    <row r="1456" spans="2:3" x14ac:dyDescent="0.25">
      <c r="B1456">
        <v>206</v>
      </c>
      <c r="C1456">
        <v>23</v>
      </c>
    </row>
    <row r="1457" spans="2:3" x14ac:dyDescent="0.25">
      <c r="B1457">
        <v>206</v>
      </c>
      <c r="C1457">
        <v>1</v>
      </c>
    </row>
    <row r="1458" spans="2:3" x14ac:dyDescent="0.25">
      <c r="B1458">
        <v>205</v>
      </c>
      <c r="C1458">
        <v>5</v>
      </c>
    </row>
    <row r="1459" spans="2:3" x14ac:dyDescent="0.25">
      <c r="B1459">
        <v>205</v>
      </c>
      <c r="C1459">
        <v>13</v>
      </c>
    </row>
    <row r="1460" spans="2:3" x14ac:dyDescent="0.25">
      <c r="B1460">
        <v>203</v>
      </c>
      <c r="C1460">
        <v>12</v>
      </c>
    </row>
    <row r="1461" spans="2:3" x14ac:dyDescent="0.25">
      <c r="B1461">
        <v>202</v>
      </c>
      <c r="C1461">
        <v>11</v>
      </c>
    </row>
    <row r="1462" spans="2:3" x14ac:dyDescent="0.25">
      <c r="B1462">
        <v>202</v>
      </c>
      <c r="C1462">
        <v>1</v>
      </c>
    </row>
    <row r="1463" spans="2:3" x14ac:dyDescent="0.25">
      <c r="B1463">
        <v>201</v>
      </c>
      <c r="C1463">
        <v>6</v>
      </c>
    </row>
    <row r="1464" spans="2:3" x14ac:dyDescent="0.25">
      <c r="B1464">
        <v>201</v>
      </c>
      <c r="C1464">
        <v>12</v>
      </c>
    </row>
    <row r="1465" spans="2:3" x14ac:dyDescent="0.25">
      <c r="B1465">
        <v>199</v>
      </c>
      <c r="C1465">
        <v>0</v>
      </c>
    </row>
    <row r="1466" spans="2:3" x14ac:dyDescent="0.25">
      <c r="B1466">
        <v>193</v>
      </c>
      <c r="C1466">
        <v>18</v>
      </c>
    </row>
    <row r="1467" spans="2:3" x14ac:dyDescent="0.25">
      <c r="B1467">
        <v>192</v>
      </c>
      <c r="C1467">
        <v>18</v>
      </c>
    </row>
    <row r="1468" spans="2:3" x14ac:dyDescent="0.25">
      <c r="B1468">
        <v>192</v>
      </c>
      <c r="C1468">
        <v>24</v>
      </c>
    </row>
    <row r="1469" spans="2:3" x14ac:dyDescent="0.25">
      <c r="B1469">
        <v>190</v>
      </c>
      <c r="C1469">
        <v>22</v>
      </c>
    </row>
    <row r="1470" spans="2:3" x14ac:dyDescent="0.25">
      <c r="B1470">
        <v>188</v>
      </c>
      <c r="C1470">
        <v>7</v>
      </c>
    </row>
    <row r="1471" spans="2:3" x14ac:dyDescent="0.25">
      <c r="B1471">
        <v>188</v>
      </c>
      <c r="C1471">
        <v>14</v>
      </c>
    </row>
    <row r="1472" spans="2:3" x14ac:dyDescent="0.25">
      <c r="B1472">
        <v>187</v>
      </c>
      <c r="C1472">
        <v>14</v>
      </c>
    </row>
    <row r="1473" spans="2:3" x14ac:dyDescent="0.25">
      <c r="B1473">
        <v>187</v>
      </c>
      <c r="C1473">
        <v>17</v>
      </c>
    </row>
    <row r="1474" spans="2:3" x14ac:dyDescent="0.25">
      <c r="B1474">
        <v>186</v>
      </c>
      <c r="C1474">
        <v>22</v>
      </c>
    </row>
    <row r="1475" spans="2:3" x14ac:dyDescent="0.25">
      <c r="B1475">
        <v>186</v>
      </c>
      <c r="C1475">
        <v>17</v>
      </c>
    </row>
    <row r="1476" spans="2:3" x14ac:dyDescent="0.25">
      <c r="B1476">
        <v>183</v>
      </c>
      <c r="C1476">
        <v>0</v>
      </c>
    </row>
    <row r="1477" spans="2:3" x14ac:dyDescent="0.25">
      <c r="B1477">
        <v>177</v>
      </c>
      <c r="C1477">
        <v>24</v>
      </c>
    </row>
    <row r="1478" spans="2:3" x14ac:dyDescent="0.25">
      <c r="B1478">
        <v>177</v>
      </c>
      <c r="C1478">
        <v>18</v>
      </c>
    </row>
    <row r="1479" spans="2:3" x14ac:dyDescent="0.25">
      <c r="B1479">
        <v>176</v>
      </c>
      <c r="C1479">
        <v>11</v>
      </c>
    </row>
    <row r="1480" spans="2:3" x14ac:dyDescent="0.25">
      <c r="B1480">
        <v>175</v>
      </c>
      <c r="C1480">
        <v>11</v>
      </c>
    </row>
    <row r="1481" spans="2:3" x14ac:dyDescent="0.25">
      <c r="B1481">
        <v>174</v>
      </c>
      <c r="C1481">
        <v>0</v>
      </c>
    </row>
    <row r="1482" spans="2:3" x14ac:dyDescent="0.25">
      <c r="B1482">
        <v>172</v>
      </c>
      <c r="C1482">
        <v>0</v>
      </c>
    </row>
    <row r="1483" spans="2:3" x14ac:dyDescent="0.25">
      <c r="B1483">
        <v>170</v>
      </c>
      <c r="C1483">
        <v>20</v>
      </c>
    </row>
    <row r="1484" spans="2:3" x14ac:dyDescent="0.25">
      <c r="B1484">
        <v>169</v>
      </c>
      <c r="C1484">
        <v>0</v>
      </c>
    </row>
    <row r="1485" spans="2:3" x14ac:dyDescent="0.25">
      <c r="B1485">
        <v>168</v>
      </c>
      <c r="C1485">
        <v>5</v>
      </c>
    </row>
    <row r="1486" spans="2:3" x14ac:dyDescent="0.25">
      <c r="B1486">
        <v>164</v>
      </c>
      <c r="C1486">
        <v>20</v>
      </c>
    </row>
    <row r="1487" spans="2:3" x14ac:dyDescent="0.25">
      <c r="B1487">
        <v>160</v>
      </c>
      <c r="C1487">
        <v>8</v>
      </c>
    </row>
    <row r="1488" spans="2:3" x14ac:dyDescent="0.25">
      <c r="B1488">
        <v>160</v>
      </c>
      <c r="C1488">
        <v>13</v>
      </c>
    </row>
    <row r="1489" spans="2:3" x14ac:dyDescent="0.25">
      <c r="B1489">
        <v>158</v>
      </c>
      <c r="C1489">
        <v>17</v>
      </c>
    </row>
    <row r="1490" spans="2:3" x14ac:dyDescent="0.25">
      <c r="B1490">
        <v>157</v>
      </c>
      <c r="C1490">
        <v>0</v>
      </c>
    </row>
    <row r="1491" spans="2:3" x14ac:dyDescent="0.25">
      <c r="B1491">
        <v>156</v>
      </c>
      <c r="C1491">
        <v>11</v>
      </c>
    </row>
    <row r="1492" spans="2:3" x14ac:dyDescent="0.25">
      <c r="B1492">
        <v>154</v>
      </c>
      <c r="C1492">
        <v>23</v>
      </c>
    </row>
    <row r="1493" spans="2:3" x14ac:dyDescent="0.25">
      <c r="B1493">
        <v>151</v>
      </c>
      <c r="C1493">
        <v>0</v>
      </c>
    </row>
    <row r="1494" spans="2:3" x14ac:dyDescent="0.25">
      <c r="B1494">
        <v>151</v>
      </c>
      <c r="C1494">
        <v>5</v>
      </c>
    </row>
    <row r="1495" spans="2:3" x14ac:dyDescent="0.25">
      <c r="B1495">
        <v>150</v>
      </c>
      <c r="C1495">
        <v>13</v>
      </c>
    </row>
    <row r="1496" spans="2:3" x14ac:dyDescent="0.25">
      <c r="B1496">
        <v>145</v>
      </c>
      <c r="C1496">
        <v>0</v>
      </c>
    </row>
    <row r="1497" spans="2:3" x14ac:dyDescent="0.25">
      <c r="B1497">
        <v>144</v>
      </c>
      <c r="C1497">
        <v>11</v>
      </c>
    </row>
    <row r="1498" spans="2:3" x14ac:dyDescent="0.25">
      <c r="B1498">
        <v>143</v>
      </c>
      <c r="C1498">
        <v>22</v>
      </c>
    </row>
    <row r="1499" spans="2:3" x14ac:dyDescent="0.25">
      <c r="B1499">
        <v>143</v>
      </c>
      <c r="C1499">
        <v>22</v>
      </c>
    </row>
    <row r="1500" spans="2:3" x14ac:dyDescent="0.25">
      <c r="B1500">
        <v>139</v>
      </c>
      <c r="C1500">
        <v>22</v>
      </c>
    </row>
    <row r="1501" spans="2:3" x14ac:dyDescent="0.25">
      <c r="B1501">
        <v>139</v>
      </c>
      <c r="C1501">
        <v>22</v>
      </c>
    </row>
    <row r="1502" spans="2:3" x14ac:dyDescent="0.25">
      <c r="B1502">
        <v>139</v>
      </c>
      <c r="C1502">
        <v>23</v>
      </c>
    </row>
    <row r="1503" spans="2:3" x14ac:dyDescent="0.25">
      <c r="B1503">
        <v>137</v>
      </c>
      <c r="C1503">
        <v>15</v>
      </c>
    </row>
    <row r="1504" spans="2:3" x14ac:dyDescent="0.25">
      <c r="B1504">
        <v>136</v>
      </c>
      <c r="C1504">
        <v>27</v>
      </c>
    </row>
    <row r="1505" spans="2:3" x14ac:dyDescent="0.25">
      <c r="B1505">
        <v>135</v>
      </c>
      <c r="C1505">
        <v>19</v>
      </c>
    </row>
    <row r="1506" spans="2:3" x14ac:dyDescent="0.25">
      <c r="B1506">
        <v>134</v>
      </c>
      <c r="C1506">
        <v>22</v>
      </c>
    </row>
    <row r="1507" spans="2:3" x14ac:dyDescent="0.25">
      <c r="B1507">
        <v>134</v>
      </c>
      <c r="C1507">
        <v>18</v>
      </c>
    </row>
    <row r="1508" spans="2:3" x14ac:dyDescent="0.25">
      <c r="B1508">
        <v>132</v>
      </c>
      <c r="C1508">
        <v>2</v>
      </c>
    </row>
    <row r="1509" spans="2:3" x14ac:dyDescent="0.25">
      <c r="B1509">
        <v>131</v>
      </c>
      <c r="C1509">
        <v>16</v>
      </c>
    </row>
    <row r="1510" spans="2:3" x14ac:dyDescent="0.25">
      <c r="B1510">
        <v>129</v>
      </c>
      <c r="C1510">
        <v>0</v>
      </c>
    </row>
    <row r="1511" spans="2:3" x14ac:dyDescent="0.25">
      <c r="B1511">
        <v>129</v>
      </c>
      <c r="C1511">
        <v>7</v>
      </c>
    </row>
    <row r="1512" spans="2:3" x14ac:dyDescent="0.25">
      <c r="B1512">
        <v>127</v>
      </c>
      <c r="C1512">
        <v>17</v>
      </c>
    </row>
    <row r="1513" spans="2:3" x14ac:dyDescent="0.25">
      <c r="B1513">
        <v>125</v>
      </c>
      <c r="C1513">
        <v>22</v>
      </c>
    </row>
    <row r="1514" spans="2:3" x14ac:dyDescent="0.25">
      <c r="B1514">
        <v>121</v>
      </c>
      <c r="C1514">
        <v>14</v>
      </c>
    </row>
    <row r="1515" spans="2:3" x14ac:dyDescent="0.25">
      <c r="B1515">
        <v>121</v>
      </c>
      <c r="C1515">
        <v>20</v>
      </c>
    </row>
    <row r="1516" spans="2:3" x14ac:dyDescent="0.25">
      <c r="B1516">
        <v>116</v>
      </c>
      <c r="C1516">
        <v>1</v>
      </c>
    </row>
    <row r="1517" spans="2:3" x14ac:dyDescent="0.25">
      <c r="B1517">
        <v>115</v>
      </c>
      <c r="C1517">
        <v>2</v>
      </c>
    </row>
    <row r="1518" spans="2:3" x14ac:dyDescent="0.25">
      <c r="B1518">
        <v>115</v>
      </c>
      <c r="C1518">
        <v>0</v>
      </c>
    </row>
    <row r="1519" spans="2:3" x14ac:dyDescent="0.25">
      <c r="B1519">
        <v>114</v>
      </c>
      <c r="C1519">
        <v>13</v>
      </c>
    </row>
    <row r="1520" spans="2:3" x14ac:dyDescent="0.25">
      <c r="B1520">
        <v>114</v>
      </c>
      <c r="C1520">
        <v>6</v>
      </c>
    </row>
    <row r="1521" spans="2:3" x14ac:dyDescent="0.25">
      <c r="B1521">
        <v>113</v>
      </c>
      <c r="C1521">
        <v>21</v>
      </c>
    </row>
    <row r="1522" spans="2:3" x14ac:dyDescent="0.25">
      <c r="B1522">
        <v>112</v>
      </c>
      <c r="C1522">
        <v>9</v>
      </c>
    </row>
    <row r="1523" spans="2:3" x14ac:dyDescent="0.25">
      <c r="B1523">
        <v>108</v>
      </c>
      <c r="C1523">
        <v>20</v>
      </c>
    </row>
    <row r="1524" spans="2:3" x14ac:dyDescent="0.25">
      <c r="B1524">
        <v>108</v>
      </c>
      <c r="C1524">
        <v>22</v>
      </c>
    </row>
    <row r="1525" spans="2:3" x14ac:dyDescent="0.25">
      <c r="B1525">
        <v>108</v>
      </c>
      <c r="C1525">
        <v>14</v>
      </c>
    </row>
    <row r="1526" spans="2:3" x14ac:dyDescent="0.25">
      <c r="B1526">
        <v>105</v>
      </c>
      <c r="C1526">
        <v>0</v>
      </c>
    </row>
    <row r="1527" spans="2:3" x14ac:dyDescent="0.25">
      <c r="B1527">
        <v>102</v>
      </c>
      <c r="C1527">
        <v>22</v>
      </c>
    </row>
    <row r="1528" spans="2:3" x14ac:dyDescent="0.25">
      <c r="B1528">
        <v>102</v>
      </c>
      <c r="C1528">
        <v>3</v>
      </c>
    </row>
    <row r="1529" spans="2:3" x14ac:dyDescent="0.25">
      <c r="B1529">
        <v>99</v>
      </c>
      <c r="C1529">
        <v>18</v>
      </c>
    </row>
    <row r="1530" spans="2:3" x14ac:dyDescent="0.25">
      <c r="B1530">
        <v>98</v>
      </c>
      <c r="C1530">
        <v>4</v>
      </c>
    </row>
    <row r="1531" spans="2:3" x14ac:dyDescent="0.25">
      <c r="B1531">
        <v>98</v>
      </c>
      <c r="C1531">
        <v>0</v>
      </c>
    </row>
    <row r="1532" spans="2:3" x14ac:dyDescent="0.25">
      <c r="B1532">
        <v>96</v>
      </c>
      <c r="C1532">
        <v>24</v>
      </c>
    </row>
    <row r="1533" spans="2:3" x14ac:dyDescent="0.25">
      <c r="B1533">
        <v>96</v>
      </c>
      <c r="C1533">
        <v>25</v>
      </c>
    </row>
    <row r="1534" spans="2:3" x14ac:dyDescent="0.25">
      <c r="B1534">
        <v>95</v>
      </c>
      <c r="C1534">
        <v>10</v>
      </c>
    </row>
    <row r="1535" spans="2:3" x14ac:dyDescent="0.25">
      <c r="B1535">
        <v>95</v>
      </c>
      <c r="C1535">
        <v>15</v>
      </c>
    </row>
    <row r="1536" spans="2:3" x14ac:dyDescent="0.25">
      <c r="B1536">
        <v>94</v>
      </c>
      <c r="C1536">
        <v>12</v>
      </c>
    </row>
    <row r="1537" spans="2:3" x14ac:dyDescent="0.25">
      <c r="B1537">
        <v>94</v>
      </c>
      <c r="C1537">
        <v>18</v>
      </c>
    </row>
    <row r="1538" spans="2:3" x14ac:dyDescent="0.25">
      <c r="B1538">
        <v>92</v>
      </c>
      <c r="C1538">
        <v>23</v>
      </c>
    </row>
    <row r="1539" spans="2:3" x14ac:dyDescent="0.25">
      <c r="B1539">
        <v>92</v>
      </c>
      <c r="C1539">
        <v>0</v>
      </c>
    </row>
    <row r="1540" spans="2:3" x14ac:dyDescent="0.25">
      <c r="B1540">
        <v>90</v>
      </c>
      <c r="C1540">
        <v>22</v>
      </c>
    </row>
    <row r="1541" spans="2:3" x14ac:dyDescent="0.25">
      <c r="B1541">
        <v>90</v>
      </c>
      <c r="C1541">
        <v>23</v>
      </c>
    </row>
    <row r="1542" spans="2:3" x14ac:dyDescent="0.25">
      <c r="B1542">
        <v>90</v>
      </c>
      <c r="C1542">
        <v>21</v>
      </c>
    </row>
    <row r="1543" spans="2:3" x14ac:dyDescent="0.25">
      <c r="B1543">
        <v>88</v>
      </c>
      <c r="C1543">
        <v>23</v>
      </c>
    </row>
    <row r="1544" spans="2:3" x14ac:dyDescent="0.25">
      <c r="B1544">
        <v>88</v>
      </c>
      <c r="C1544">
        <v>22</v>
      </c>
    </row>
    <row r="1545" spans="2:3" x14ac:dyDescent="0.25">
      <c r="B1545">
        <v>85</v>
      </c>
      <c r="C1545">
        <v>27</v>
      </c>
    </row>
    <row r="1546" spans="2:3" x14ac:dyDescent="0.25">
      <c r="B1546">
        <v>84</v>
      </c>
      <c r="C1546">
        <v>25</v>
      </c>
    </row>
    <row r="1547" spans="2:3" x14ac:dyDescent="0.25">
      <c r="B1547">
        <v>83</v>
      </c>
      <c r="C1547">
        <v>17</v>
      </c>
    </row>
    <row r="1548" spans="2:3" x14ac:dyDescent="0.25">
      <c r="B1548">
        <v>80</v>
      </c>
      <c r="C1548">
        <v>23</v>
      </c>
    </row>
    <row r="1549" spans="2:3" x14ac:dyDescent="0.25">
      <c r="B1549">
        <v>79</v>
      </c>
      <c r="C1549">
        <v>11</v>
      </c>
    </row>
    <row r="1550" spans="2:3" x14ac:dyDescent="0.25">
      <c r="B1550">
        <v>79</v>
      </c>
      <c r="C1550">
        <v>11</v>
      </c>
    </row>
    <row r="1551" spans="2:3" x14ac:dyDescent="0.25">
      <c r="B1551">
        <v>76</v>
      </c>
      <c r="C1551">
        <v>22</v>
      </c>
    </row>
    <row r="1552" spans="2:3" x14ac:dyDescent="0.25">
      <c r="B1552">
        <v>75</v>
      </c>
      <c r="C1552">
        <v>19</v>
      </c>
    </row>
    <row r="1553" spans="2:3" x14ac:dyDescent="0.25">
      <c r="B1553">
        <v>75</v>
      </c>
      <c r="C1553">
        <v>27</v>
      </c>
    </row>
    <row r="1554" spans="2:3" x14ac:dyDescent="0.25">
      <c r="B1554">
        <v>71</v>
      </c>
      <c r="C1554">
        <v>13</v>
      </c>
    </row>
    <row r="1555" spans="2:3" x14ac:dyDescent="0.25">
      <c r="B1555">
        <v>67</v>
      </c>
      <c r="C1555">
        <v>0</v>
      </c>
    </row>
    <row r="1556" spans="2:3" x14ac:dyDescent="0.25">
      <c r="B1556">
        <v>66</v>
      </c>
      <c r="C1556">
        <v>14</v>
      </c>
    </row>
    <row r="1557" spans="2:3" x14ac:dyDescent="0.25">
      <c r="B1557">
        <v>66</v>
      </c>
      <c r="C1557">
        <v>16</v>
      </c>
    </row>
    <row r="1558" spans="2:3" x14ac:dyDescent="0.25">
      <c r="B1558">
        <v>64</v>
      </c>
      <c r="C1558">
        <v>8</v>
      </c>
    </row>
    <row r="1559" spans="2:3" x14ac:dyDescent="0.25">
      <c r="B1559">
        <v>60</v>
      </c>
      <c r="C1559">
        <v>1</v>
      </c>
    </row>
    <row r="1560" spans="2:3" x14ac:dyDescent="0.25">
      <c r="B1560">
        <v>59</v>
      </c>
      <c r="C1560">
        <v>21</v>
      </c>
    </row>
    <row r="1561" spans="2:3" x14ac:dyDescent="0.25">
      <c r="B1561">
        <v>58</v>
      </c>
      <c r="C1561">
        <v>18</v>
      </c>
    </row>
    <row r="1562" spans="2:3" x14ac:dyDescent="0.25">
      <c r="B1562">
        <v>58</v>
      </c>
      <c r="C1562">
        <v>16</v>
      </c>
    </row>
    <row r="1563" spans="2:3" x14ac:dyDescent="0.25">
      <c r="B1563">
        <v>55</v>
      </c>
      <c r="C1563">
        <v>18</v>
      </c>
    </row>
    <row r="1564" spans="2:3" x14ac:dyDescent="0.25">
      <c r="B1564">
        <v>55</v>
      </c>
      <c r="C1564">
        <v>7</v>
      </c>
    </row>
    <row r="1565" spans="2:3" x14ac:dyDescent="0.25">
      <c r="B1565">
        <v>53</v>
      </c>
      <c r="C1565">
        <v>8</v>
      </c>
    </row>
    <row r="1566" spans="2:3" x14ac:dyDescent="0.25">
      <c r="B1566">
        <v>53</v>
      </c>
      <c r="C1566">
        <v>0</v>
      </c>
    </row>
    <row r="1567" spans="2:3" x14ac:dyDescent="0.25">
      <c r="B1567">
        <v>52</v>
      </c>
      <c r="C1567">
        <v>13</v>
      </c>
    </row>
    <row r="1568" spans="2:3" x14ac:dyDescent="0.25">
      <c r="B1568">
        <v>51</v>
      </c>
      <c r="C1568">
        <v>0</v>
      </c>
    </row>
    <row r="1569" spans="2:3" x14ac:dyDescent="0.25">
      <c r="B1569">
        <v>50</v>
      </c>
      <c r="C1569">
        <v>4</v>
      </c>
    </row>
    <row r="1570" spans="2:3" x14ac:dyDescent="0.25">
      <c r="B1570">
        <v>50</v>
      </c>
      <c r="C1570">
        <v>5</v>
      </c>
    </row>
    <row r="1571" spans="2:3" x14ac:dyDescent="0.25">
      <c r="B1571">
        <v>47</v>
      </c>
      <c r="C1571">
        <v>0</v>
      </c>
    </row>
    <row r="1572" spans="2:3" x14ac:dyDescent="0.25">
      <c r="B1572">
        <v>46</v>
      </c>
      <c r="C1572">
        <v>12</v>
      </c>
    </row>
    <row r="1573" spans="2:3" x14ac:dyDescent="0.25">
      <c r="B1573">
        <v>45</v>
      </c>
      <c r="C1573">
        <v>0</v>
      </c>
    </row>
    <row r="1574" spans="2:3" x14ac:dyDescent="0.25">
      <c r="B1574">
        <v>45</v>
      </c>
      <c r="C1574">
        <v>1</v>
      </c>
    </row>
    <row r="1575" spans="2:3" x14ac:dyDescent="0.25">
      <c r="B1575">
        <v>44</v>
      </c>
      <c r="C1575">
        <v>0</v>
      </c>
    </row>
    <row r="1576" spans="2:3" x14ac:dyDescent="0.25">
      <c r="B1576">
        <v>43</v>
      </c>
      <c r="C1576">
        <v>0</v>
      </c>
    </row>
    <row r="1577" spans="2:3" x14ac:dyDescent="0.25">
      <c r="B1577">
        <v>43</v>
      </c>
      <c r="C1577">
        <v>0</v>
      </c>
    </row>
    <row r="1578" spans="2:3" x14ac:dyDescent="0.25">
      <c r="B1578">
        <v>43</v>
      </c>
      <c r="C1578">
        <v>9</v>
      </c>
    </row>
    <row r="1579" spans="2:3" x14ac:dyDescent="0.25">
      <c r="B1579">
        <v>40</v>
      </c>
      <c r="C1579">
        <v>7</v>
      </c>
    </row>
    <row r="1580" spans="2:3" x14ac:dyDescent="0.25">
      <c r="B1580">
        <v>38</v>
      </c>
      <c r="C1580">
        <v>0</v>
      </c>
    </row>
    <row r="1581" spans="2:3" x14ac:dyDescent="0.25">
      <c r="B1581">
        <v>37</v>
      </c>
      <c r="C1581">
        <v>0</v>
      </c>
    </row>
    <row r="1582" spans="2:3" x14ac:dyDescent="0.25">
      <c r="B1582">
        <v>36</v>
      </c>
      <c r="C1582">
        <v>12</v>
      </c>
    </row>
    <row r="1583" spans="2:3" x14ac:dyDescent="0.25">
      <c r="B1583">
        <v>35</v>
      </c>
      <c r="C1583">
        <v>10</v>
      </c>
    </row>
    <row r="1584" spans="2:3" x14ac:dyDescent="0.25">
      <c r="B1584">
        <v>35</v>
      </c>
      <c r="C1584">
        <v>12</v>
      </c>
    </row>
    <row r="1585" spans="2:3" x14ac:dyDescent="0.25">
      <c r="B1585">
        <v>31</v>
      </c>
      <c r="C1585">
        <v>12</v>
      </c>
    </row>
    <row r="1586" spans="2:3" x14ac:dyDescent="0.25">
      <c r="B1586">
        <v>31</v>
      </c>
      <c r="C1586">
        <v>4</v>
      </c>
    </row>
    <row r="1587" spans="2:3" x14ac:dyDescent="0.25">
      <c r="B1587">
        <v>30</v>
      </c>
      <c r="C1587">
        <v>14</v>
      </c>
    </row>
    <row r="1588" spans="2:3" x14ac:dyDescent="0.25">
      <c r="B1588">
        <v>28</v>
      </c>
      <c r="C1588">
        <v>12</v>
      </c>
    </row>
    <row r="1589" spans="2:3" x14ac:dyDescent="0.25">
      <c r="B1589">
        <v>27</v>
      </c>
      <c r="C1589">
        <v>2</v>
      </c>
    </row>
    <row r="1590" spans="2:3" x14ac:dyDescent="0.25">
      <c r="B1590">
        <v>27</v>
      </c>
      <c r="C1590">
        <v>2</v>
      </c>
    </row>
    <row r="1591" spans="2:3" x14ac:dyDescent="0.25">
      <c r="B1591">
        <v>26</v>
      </c>
      <c r="C1591">
        <v>19</v>
      </c>
    </row>
    <row r="1592" spans="2:3" x14ac:dyDescent="0.25">
      <c r="B1592">
        <v>26</v>
      </c>
      <c r="C1592">
        <v>16</v>
      </c>
    </row>
    <row r="1593" spans="2:3" x14ac:dyDescent="0.25">
      <c r="B1593">
        <v>24</v>
      </c>
      <c r="C1593">
        <v>16</v>
      </c>
    </row>
    <row r="1594" spans="2:3" x14ac:dyDescent="0.25">
      <c r="B1594">
        <v>24</v>
      </c>
      <c r="C1594">
        <v>19</v>
      </c>
    </row>
    <row r="1595" spans="2:3" x14ac:dyDescent="0.25">
      <c r="B1595">
        <v>23</v>
      </c>
      <c r="C1595">
        <v>14</v>
      </c>
    </row>
    <row r="1596" spans="2:3" x14ac:dyDescent="0.25">
      <c r="B1596">
        <v>22</v>
      </c>
      <c r="C1596">
        <v>8</v>
      </c>
    </row>
    <row r="1597" spans="2:3" x14ac:dyDescent="0.25">
      <c r="B1597">
        <v>21</v>
      </c>
      <c r="C1597">
        <v>0</v>
      </c>
    </row>
    <row r="1598" spans="2:3" x14ac:dyDescent="0.25">
      <c r="B1598">
        <v>21</v>
      </c>
      <c r="C1598">
        <v>0</v>
      </c>
    </row>
    <row r="1599" spans="2:3" x14ac:dyDescent="0.25">
      <c r="B1599">
        <v>20</v>
      </c>
      <c r="C1599">
        <v>16</v>
      </c>
    </row>
    <row r="1600" spans="2:3" x14ac:dyDescent="0.25">
      <c r="B1600">
        <v>20</v>
      </c>
      <c r="C1600">
        <v>11</v>
      </c>
    </row>
    <row r="1601" spans="2:3" x14ac:dyDescent="0.25">
      <c r="B1601">
        <v>19</v>
      </c>
      <c r="C1601">
        <v>10</v>
      </c>
    </row>
    <row r="1602" spans="2:3" x14ac:dyDescent="0.25">
      <c r="B1602">
        <v>17</v>
      </c>
      <c r="C1602">
        <v>18</v>
      </c>
    </row>
    <row r="1603" spans="2:3" x14ac:dyDescent="0.25">
      <c r="B1603">
        <v>17</v>
      </c>
      <c r="C1603">
        <v>13</v>
      </c>
    </row>
    <row r="1604" spans="2:3" x14ac:dyDescent="0.25">
      <c r="B1604">
        <v>17</v>
      </c>
      <c r="C1604">
        <v>21</v>
      </c>
    </row>
    <row r="1605" spans="2:3" x14ac:dyDescent="0.25">
      <c r="B1605">
        <v>16</v>
      </c>
      <c r="C1605">
        <v>22</v>
      </c>
    </row>
    <row r="1606" spans="2:3" x14ac:dyDescent="0.25">
      <c r="B1606">
        <v>14</v>
      </c>
      <c r="C1606">
        <v>21</v>
      </c>
    </row>
    <row r="1607" spans="2:3" x14ac:dyDescent="0.25">
      <c r="B1607">
        <v>12</v>
      </c>
      <c r="C1607">
        <v>22</v>
      </c>
    </row>
    <row r="1608" spans="2:3" x14ac:dyDescent="0.25">
      <c r="B1608">
        <v>9</v>
      </c>
      <c r="C1608">
        <v>21</v>
      </c>
    </row>
    <row r="1609" spans="2:3" x14ac:dyDescent="0.25">
      <c r="B1609">
        <v>8</v>
      </c>
      <c r="C1609">
        <v>16</v>
      </c>
    </row>
    <row r="1610" spans="2:3" x14ac:dyDescent="0.25">
      <c r="B1610">
        <v>8</v>
      </c>
      <c r="C1610">
        <v>19</v>
      </c>
    </row>
    <row r="1611" spans="2:3" x14ac:dyDescent="0.25">
      <c r="B1611">
        <v>8</v>
      </c>
      <c r="C1611">
        <v>8</v>
      </c>
    </row>
    <row r="1612" spans="2:3" x14ac:dyDescent="0.25">
      <c r="B1612">
        <v>5</v>
      </c>
      <c r="C1612">
        <v>14</v>
      </c>
    </row>
    <row r="1613" spans="2:3" x14ac:dyDescent="0.25">
      <c r="B1613">
        <v>5</v>
      </c>
      <c r="C1613">
        <v>0</v>
      </c>
    </row>
    <row r="1614" spans="2:3" x14ac:dyDescent="0.25">
      <c r="B1614">
        <v>5</v>
      </c>
      <c r="C1614">
        <v>0</v>
      </c>
    </row>
    <row r="1615" spans="2:3" x14ac:dyDescent="0.25">
      <c r="B1615">
        <v>4</v>
      </c>
      <c r="C1615">
        <v>24</v>
      </c>
    </row>
    <row r="1616" spans="2:3" x14ac:dyDescent="0.25">
      <c r="B1616">
        <v>4</v>
      </c>
      <c r="C1616">
        <v>19</v>
      </c>
    </row>
    <row r="1617" spans="2:3" x14ac:dyDescent="0.25">
      <c r="B1617">
        <v>3</v>
      </c>
      <c r="C1617">
        <v>16</v>
      </c>
    </row>
    <row r="1618" spans="2:3" x14ac:dyDescent="0.25">
      <c r="B1618">
        <v>3</v>
      </c>
      <c r="C1618">
        <v>21</v>
      </c>
    </row>
    <row r="1619" spans="2:3" x14ac:dyDescent="0.25">
      <c r="B1619">
        <v>3</v>
      </c>
      <c r="C1619">
        <v>20</v>
      </c>
    </row>
    <row r="1620" spans="2:3" x14ac:dyDescent="0.25">
      <c r="B1620">
        <v>2</v>
      </c>
      <c r="C1620">
        <v>18</v>
      </c>
    </row>
    <row r="1621" spans="2:3" x14ac:dyDescent="0.25">
      <c r="B1621">
        <v>2</v>
      </c>
      <c r="C1621">
        <v>0</v>
      </c>
    </row>
    <row r="1622" spans="2:3" x14ac:dyDescent="0.25">
      <c r="B1622">
        <v>418</v>
      </c>
      <c r="C1622">
        <v>20</v>
      </c>
    </row>
    <row r="1623" spans="2:3" x14ac:dyDescent="0.25">
      <c r="B1623">
        <v>417</v>
      </c>
      <c r="C1623">
        <v>17</v>
      </c>
    </row>
    <row r="1624" spans="2:3" x14ac:dyDescent="0.25">
      <c r="B1624">
        <v>417</v>
      </c>
      <c r="C1624">
        <v>12</v>
      </c>
    </row>
    <row r="1625" spans="2:3" x14ac:dyDescent="0.25">
      <c r="B1625">
        <v>416</v>
      </c>
      <c r="C1625">
        <v>23</v>
      </c>
    </row>
    <row r="1626" spans="2:3" x14ac:dyDescent="0.25">
      <c r="B1626">
        <v>414</v>
      </c>
      <c r="C1626">
        <v>24</v>
      </c>
    </row>
    <row r="1627" spans="2:3" x14ac:dyDescent="0.25">
      <c r="B1627">
        <v>413</v>
      </c>
      <c r="C1627">
        <v>13</v>
      </c>
    </row>
    <row r="1628" spans="2:3" x14ac:dyDescent="0.25">
      <c r="B1628">
        <v>413</v>
      </c>
      <c r="C1628">
        <v>10</v>
      </c>
    </row>
    <row r="1629" spans="2:3" x14ac:dyDescent="0.25">
      <c r="B1629">
        <v>410</v>
      </c>
      <c r="C1629">
        <v>24</v>
      </c>
    </row>
    <row r="1630" spans="2:3" x14ac:dyDescent="0.25">
      <c r="B1630">
        <v>407</v>
      </c>
      <c r="C1630">
        <v>24</v>
      </c>
    </row>
    <row r="1631" spans="2:3" x14ac:dyDescent="0.25">
      <c r="B1631">
        <v>407</v>
      </c>
      <c r="C1631">
        <v>19</v>
      </c>
    </row>
    <row r="1632" spans="2:3" x14ac:dyDescent="0.25">
      <c r="B1632">
        <v>406</v>
      </c>
      <c r="C1632">
        <v>9</v>
      </c>
    </row>
    <row r="1633" spans="2:3" x14ac:dyDescent="0.25">
      <c r="B1633">
        <v>406</v>
      </c>
      <c r="C1633">
        <v>6</v>
      </c>
    </row>
    <row r="1634" spans="2:3" x14ac:dyDescent="0.25">
      <c r="B1634">
        <v>405</v>
      </c>
      <c r="C1634">
        <v>0</v>
      </c>
    </row>
    <row r="1635" spans="2:3" x14ac:dyDescent="0.25">
      <c r="B1635">
        <v>405</v>
      </c>
      <c r="C1635">
        <v>0</v>
      </c>
    </row>
    <row r="1636" spans="2:3" x14ac:dyDescent="0.25">
      <c r="B1636">
        <v>404</v>
      </c>
      <c r="C1636">
        <v>0</v>
      </c>
    </row>
    <row r="1637" spans="2:3" x14ac:dyDescent="0.25">
      <c r="B1637">
        <v>403</v>
      </c>
      <c r="C1637">
        <v>16</v>
      </c>
    </row>
    <row r="1638" spans="2:3" x14ac:dyDescent="0.25">
      <c r="B1638">
        <v>401</v>
      </c>
      <c r="C1638">
        <v>4</v>
      </c>
    </row>
    <row r="1639" spans="2:3" x14ac:dyDescent="0.25">
      <c r="B1639">
        <v>401</v>
      </c>
      <c r="C1639">
        <v>0</v>
      </c>
    </row>
    <row r="1640" spans="2:3" x14ac:dyDescent="0.25">
      <c r="B1640">
        <v>400</v>
      </c>
      <c r="C1640">
        <v>18</v>
      </c>
    </row>
    <row r="1641" spans="2:3" x14ac:dyDescent="0.25">
      <c r="B1641">
        <v>399</v>
      </c>
      <c r="C1641">
        <v>1</v>
      </c>
    </row>
    <row r="1642" spans="2:3" x14ac:dyDescent="0.25">
      <c r="B1642">
        <v>399</v>
      </c>
      <c r="C1642">
        <v>0</v>
      </c>
    </row>
    <row r="1643" spans="2:3" x14ac:dyDescent="0.25">
      <c r="B1643">
        <v>398</v>
      </c>
      <c r="C1643">
        <v>2</v>
      </c>
    </row>
    <row r="1644" spans="2:3" x14ac:dyDescent="0.25">
      <c r="B1644">
        <v>397</v>
      </c>
      <c r="C1644">
        <v>20</v>
      </c>
    </row>
    <row r="1645" spans="2:3" x14ac:dyDescent="0.25">
      <c r="B1645">
        <v>395</v>
      </c>
      <c r="C1645">
        <v>0</v>
      </c>
    </row>
    <row r="1646" spans="2:3" x14ac:dyDescent="0.25">
      <c r="B1646">
        <v>389</v>
      </c>
      <c r="C1646">
        <v>1</v>
      </c>
    </row>
    <row r="1647" spans="2:3" x14ac:dyDescent="0.25">
      <c r="B1647">
        <v>388</v>
      </c>
      <c r="C1647">
        <v>0</v>
      </c>
    </row>
    <row r="1648" spans="2:3" x14ac:dyDescent="0.25">
      <c r="B1648">
        <v>385</v>
      </c>
      <c r="C1648">
        <v>21</v>
      </c>
    </row>
    <row r="1649" spans="2:3" x14ac:dyDescent="0.25">
      <c r="B1649">
        <v>385</v>
      </c>
      <c r="C1649">
        <v>18</v>
      </c>
    </row>
    <row r="1650" spans="2:3" x14ac:dyDescent="0.25">
      <c r="B1650">
        <v>385</v>
      </c>
      <c r="C1650">
        <v>19</v>
      </c>
    </row>
    <row r="1651" spans="2:3" x14ac:dyDescent="0.25">
      <c r="B1651">
        <v>383</v>
      </c>
      <c r="C1651">
        <v>15</v>
      </c>
    </row>
    <row r="1652" spans="2:3" x14ac:dyDescent="0.25">
      <c r="B1652">
        <v>382</v>
      </c>
      <c r="C1652">
        <v>14</v>
      </c>
    </row>
    <row r="1653" spans="2:3" x14ac:dyDescent="0.25">
      <c r="B1653">
        <v>382</v>
      </c>
      <c r="C1653">
        <v>3</v>
      </c>
    </row>
    <row r="1654" spans="2:3" x14ac:dyDescent="0.25">
      <c r="B1654">
        <v>382</v>
      </c>
      <c r="C1654">
        <v>10</v>
      </c>
    </row>
    <row r="1655" spans="2:3" x14ac:dyDescent="0.25">
      <c r="B1655">
        <v>379</v>
      </c>
      <c r="C1655">
        <v>7</v>
      </c>
    </row>
    <row r="1656" spans="2:3" x14ac:dyDescent="0.25">
      <c r="B1656">
        <v>376</v>
      </c>
      <c r="C1656">
        <v>0</v>
      </c>
    </row>
    <row r="1657" spans="2:3" x14ac:dyDescent="0.25">
      <c r="B1657">
        <v>375</v>
      </c>
      <c r="C1657">
        <v>14</v>
      </c>
    </row>
    <row r="1658" spans="2:3" x14ac:dyDescent="0.25">
      <c r="B1658">
        <v>373</v>
      </c>
      <c r="C1658">
        <v>23</v>
      </c>
    </row>
    <row r="1659" spans="2:3" x14ac:dyDescent="0.25">
      <c r="B1659">
        <v>373</v>
      </c>
      <c r="C1659">
        <v>21</v>
      </c>
    </row>
    <row r="1660" spans="2:3" x14ac:dyDescent="0.25">
      <c r="B1660">
        <v>372</v>
      </c>
      <c r="C1660">
        <v>19</v>
      </c>
    </row>
    <row r="1661" spans="2:3" x14ac:dyDescent="0.25">
      <c r="B1661">
        <v>372</v>
      </c>
      <c r="C1661">
        <v>8</v>
      </c>
    </row>
    <row r="1662" spans="2:3" x14ac:dyDescent="0.25">
      <c r="B1662">
        <v>371</v>
      </c>
      <c r="C1662">
        <v>24</v>
      </c>
    </row>
    <row r="1663" spans="2:3" x14ac:dyDescent="0.25">
      <c r="B1663">
        <v>371</v>
      </c>
      <c r="C1663">
        <v>22</v>
      </c>
    </row>
    <row r="1664" spans="2:3" x14ac:dyDescent="0.25">
      <c r="B1664">
        <v>370</v>
      </c>
      <c r="C1664">
        <v>25</v>
      </c>
    </row>
    <row r="1665" spans="2:3" x14ac:dyDescent="0.25">
      <c r="B1665">
        <v>370</v>
      </c>
      <c r="C1665">
        <v>24</v>
      </c>
    </row>
    <row r="1666" spans="2:3" x14ac:dyDescent="0.25">
      <c r="B1666">
        <v>368</v>
      </c>
      <c r="C1666">
        <v>25</v>
      </c>
    </row>
    <row r="1667" spans="2:3" x14ac:dyDescent="0.25">
      <c r="B1667">
        <v>367</v>
      </c>
      <c r="C1667">
        <v>16</v>
      </c>
    </row>
    <row r="1668" spans="2:3" x14ac:dyDescent="0.25">
      <c r="B1668">
        <v>366</v>
      </c>
      <c r="C1668">
        <v>23</v>
      </c>
    </row>
    <row r="1669" spans="2:3" x14ac:dyDescent="0.25">
      <c r="B1669">
        <v>364</v>
      </c>
      <c r="C1669">
        <v>0</v>
      </c>
    </row>
    <row r="1670" spans="2:3" x14ac:dyDescent="0.25">
      <c r="B1670">
        <v>363</v>
      </c>
      <c r="C1670">
        <v>16</v>
      </c>
    </row>
    <row r="1671" spans="2:3" x14ac:dyDescent="0.25">
      <c r="B1671">
        <v>363</v>
      </c>
      <c r="C1671">
        <v>19</v>
      </c>
    </row>
    <row r="1672" spans="2:3" x14ac:dyDescent="0.25">
      <c r="B1672">
        <v>362</v>
      </c>
      <c r="C1672">
        <v>28</v>
      </c>
    </row>
    <row r="1673" spans="2:3" x14ac:dyDescent="0.25">
      <c r="B1673">
        <v>362</v>
      </c>
      <c r="C1673">
        <v>24</v>
      </c>
    </row>
    <row r="1674" spans="2:3" x14ac:dyDescent="0.25">
      <c r="B1674">
        <v>361</v>
      </c>
      <c r="C1674">
        <v>24</v>
      </c>
    </row>
    <row r="1675" spans="2:3" x14ac:dyDescent="0.25">
      <c r="B1675">
        <v>361</v>
      </c>
      <c r="C1675">
        <v>21</v>
      </c>
    </row>
    <row r="1676" spans="2:3" x14ac:dyDescent="0.25">
      <c r="B1676">
        <v>361</v>
      </c>
      <c r="C1676">
        <v>14</v>
      </c>
    </row>
    <row r="1677" spans="2:3" x14ac:dyDescent="0.25">
      <c r="B1677">
        <v>360</v>
      </c>
      <c r="C1677">
        <v>28</v>
      </c>
    </row>
    <row r="1678" spans="2:3" x14ac:dyDescent="0.25">
      <c r="B1678">
        <v>356</v>
      </c>
      <c r="C1678">
        <v>32</v>
      </c>
    </row>
    <row r="1679" spans="2:3" x14ac:dyDescent="0.25">
      <c r="B1679">
        <v>353</v>
      </c>
      <c r="C1679">
        <v>18</v>
      </c>
    </row>
    <row r="1680" spans="2:3" x14ac:dyDescent="0.25">
      <c r="B1680">
        <v>351</v>
      </c>
      <c r="C1680">
        <v>26</v>
      </c>
    </row>
    <row r="1681" spans="2:3" x14ac:dyDescent="0.25">
      <c r="B1681">
        <v>351</v>
      </c>
      <c r="C1681">
        <v>19</v>
      </c>
    </row>
    <row r="1682" spans="2:3" x14ac:dyDescent="0.25">
      <c r="B1682">
        <v>351</v>
      </c>
      <c r="C1682">
        <v>22</v>
      </c>
    </row>
    <row r="1683" spans="2:3" x14ac:dyDescent="0.25">
      <c r="B1683">
        <v>350</v>
      </c>
      <c r="C1683">
        <v>11</v>
      </c>
    </row>
    <row r="1684" spans="2:3" x14ac:dyDescent="0.25">
      <c r="B1684">
        <v>350</v>
      </c>
      <c r="C1684">
        <v>11</v>
      </c>
    </row>
    <row r="1685" spans="2:3" x14ac:dyDescent="0.25">
      <c r="B1685">
        <v>349</v>
      </c>
      <c r="C1685">
        <v>0</v>
      </c>
    </row>
    <row r="1686" spans="2:3" x14ac:dyDescent="0.25">
      <c r="B1686">
        <v>347</v>
      </c>
      <c r="C1686">
        <v>16</v>
      </c>
    </row>
    <row r="1687" spans="2:3" x14ac:dyDescent="0.25">
      <c r="B1687">
        <v>347</v>
      </c>
      <c r="C1687">
        <v>5</v>
      </c>
    </row>
    <row r="1688" spans="2:3" x14ac:dyDescent="0.25">
      <c r="B1688">
        <v>346</v>
      </c>
      <c r="C1688">
        <v>20</v>
      </c>
    </row>
    <row r="1689" spans="2:3" x14ac:dyDescent="0.25">
      <c r="B1689">
        <v>345</v>
      </c>
      <c r="C1689">
        <v>12</v>
      </c>
    </row>
    <row r="1690" spans="2:3" x14ac:dyDescent="0.25">
      <c r="B1690">
        <v>345</v>
      </c>
      <c r="C1690">
        <v>0</v>
      </c>
    </row>
    <row r="1691" spans="2:3" x14ac:dyDescent="0.25">
      <c r="B1691">
        <v>344</v>
      </c>
      <c r="C1691">
        <v>21</v>
      </c>
    </row>
    <row r="1692" spans="2:3" x14ac:dyDescent="0.25">
      <c r="B1692">
        <v>341</v>
      </c>
      <c r="C1692">
        <v>24</v>
      </c>
    </row>
    <row r="1693" spans="2:3" x14ac:dyDescent="0.25">
      <c r="B1693">
        <v>340</v>
      </c>
      <c r="C1693">
        <v>26</v>
      </c>
    </row>
    <row r="1694" spans="2:3" x14ac:dyDescent="0.25">
      <c r="B1694">
        <v>339</v>
      </c>
      <c r="C1694">
        <v>0</v>
      </c>
    </row>
    <row r="1695" spans="2:3" x14ac:dyDescent="0.25">
      <c r="B1695">
        <v>339</v>
      </c>
      <c r="C1695">
        <v>18</v>
      </c>
    </row>
    <row r="1696" spans="2:3" x14ac:dyDescent="0.25">
      <c r="B1696">
        <v>339</v>
      </c>
      <c r="C1696">
        <v>8</v>
      </c>
    </row>
    <row r="1697" spans="2:3" x14ac:dyDescent="0.25">
      <c r="B1697">
        <v>335</v>
      </c>
      <c r="C1697">
        <v>18</v>
      </c>
    </row>
    <row r="1698" spans="2:3" x14ac:dyDescent="0.25">
      <c r="B1698">
        <v>335</v>
      </c>
      <c r="C1698">
        <v>7</v>
      </c>
    </row>
    <row r="1699" spans="2:3" x14ac:dyDescent="0.25">
      <c r="B1699">
        <v>329</v>
      </c>
      <c r="C1699">
        <v>0</v>
      </c>
    </row>
    <row r="1700" spans="2:3" x14ac:dyDescent="0.25">
      <c r="B1700">
        <v>328</v>
      </c>
      <c r="C1700">
        <v>1</v>
      </c>
    </row>
    <row r="1701" spans="2:3" x14ac:dyDescent="0.25">
      <c r="B1701">
        <v>325</v>
      </c>
      <c r="C1701">
        <v>0</v>
      </c>
    </row>
    <row r="1702" spans="2:3" x14ac:dyDescent="0.25">
      <c r="B1702">
        <v>325</v>
      </c>
      <c r="C1702">
        <v>13</v>
      </c>
    </row>
    <row r="1703" spans="2:3" x14ac:dyDescent="0.25">
      <c r="B1703">
        <v>321</v>
      </c>
      <c r="C1703">
        <v>24</v>
      </c>
    </row>
    <row r="1704" spans="2:3" x14ac:dyDescent="0.25">
      <c r="B1704">
        <v>318</v>
      </c>
      <c r="C1704">
        <v>10</v>
      </c>
    </row>
    <row r="1705" spans="2:3" x14ac:dyDescent="0.25">
      <c r="B1705">
        <v>317</v>
      </c>
      <c r="C1705">
        <v>25</v>
      </c>
    </row>
    <row r="1706" spans="2:3" x14ac:dyDescent="0.25">
      <c r="B1706">
        <v>317</v>
      </c>
      <c r="C1706">
        <v>18</v>
      </c>
    </row>
    <row r="1707" spans="2:3" x14ac:dyDescent="0.25">
      <c r="B1707">
        <v>317</v>
      </c>
      <c r="C1707">
        <v>21</v>
      </c>
    </row>
    <row r="1708" spans="2:3" x14ac:dyDescent="0.25">
      <c r="B1708">
        <v>316</v>
      </c>
      <c r="C1708">
        <v>15</v>
      </c>
    </row>
    <row r="1709" spans="2:3" x14ac:dyDescent="0.25">
      <c r="B1709">
        <v>315</v>
      </c>
      <c r="C1709">
        <v>25</v>
      </c>
    </row>
    <row r="1710" spans="2:3" x14ac:dyDescent="0.25">
      <c r="B1710">
        <v>313</v>
      </c>
      <c r="C1710">
        <v>26</v>
      </c>
    </row>
    <row r="1711" spans="2:3" x14ac:dyDescent="0.25">
      <c r="B1711">
        <v>312</v>
      </c>
      <c r="C1711">
        <v>0</v>
      </c>
    </row>
    <row r="1712" spans="2:3" x14ac:dyDescent="0.25">
      <c r="B1712">
        <v>311</v>
      </c>
      <c r="C1712">
        <v>0</v>
      </c>
    </row>
    <row r="1713" spans="2:3" x14ac:dyDescent="0.25">
      <c r="B1713">
        <v>304</v>
      </c>
      <c r="C1713">
        <v>0</v>
      </c>
    </row>
    <row r="1714" spans="2:3" x14ac:dyDescent="0.25">
      <c r="B1714">
        <v>303</v>
      </c>
      <c r="C1714">
        <v>2</v>
      </c>
    </row>
    <row r="1715" spans="2:3" x14ac:dyDescent="0.25">
      <c r="B1715">
        <v>302</v>
      </c>
      <c r="C1715">
        <v>9</v>
      </c>
    </row>
    <row r="1716" spans="2:3" x14ac:dyDescent="0.25">
      <c r="B1716">
        <v>299</v>
      </c>
      <c r="C1716">
        <v>2</v>
      </c>
    </row>
    <row r="1717" spans="2:3" x14ac:dyDescent="0.25">
      <c r="B1717">
        <v>295</v>
      </c>
      <c r="C1717">
        <v>0</v>
      </c>
    </row>
    <row r="1718" spans="2:3" x14ac:dyDescent="0.25">
      <c r="B1718">
        <v>292</v>
      </c>
      <c r="C1718">
        <v>11</v>
      </c>
    </row>
    <row r="1719" spans="2:3" x14ac:dyDescent="0.25">
      <c r="B1719">
        <v>291</v>
      </c>
      <c r="C1719">
        <v>20</v>
      </c>
    </row>
    <row r="1720" spans="2:3" x14ac:dyDescent="0.25">
      <c r="B1720">
        <v>289</v>
      </c>
      <c r="C1720">
        <v>3</v>
      </c>
    </row>
    <row r="1721" spans="2:3" x14ac:dyDescent="0.25">
      <c r="B1721">
        <v>284</v>
      </c>
      <c r="C1721">
        <v>23</v>
      </c>
    </row>
    <row r="1722" spans="2:3" x14ac:dyDescent="0.25">
      <c r="B1722">
        <v>275</v>
      </c>
      <c r="C1722">
        <v>0</v>
      </c>
    </row>
    <row r="1723" spans="2:3" x14ac:dyDescent="0.25">
      <c r="B1723">
        <v>274</v>
      </c>
      <c r="C1723">
        <v>21</v>
      </c>
    </row>
    <row r="1724" spans="2:3" x14ac:dyDescent="0.25">
      <c r="B1724">
        <v>274</v>
      </c>
      <c r="C1724">
        <v>24</v>
      </c>
    </row>
    <row r="1725" spans="2:3" x14ac:dyDescent="0.25">
      <c r="B1725">
        <v>272</v>
      </c>
      <c r="C1725">
        <v>16</v>
      </c>
    </row>
    <row r="1726" spans="2:3" x14ac:dyDescent="0.25">
      <c r="B1726">
        <v>271</v>
      </c>
      <c r="C1726">
        <v>13</v>
      </c>
    </row>
    <row r="1727" spans="2:3" x14ac:dyDescent="0.25">
      <c r="B1727">
        <v>270</v>
      </c>
      <c r="C1727">
        <v>23</v>
      </c>
    </row>
    <row r="1728" spans="2:3" x14ac:dyDescent="0.25">
      <c r="B1728">
        <v>267</v>
      </c>
      <c r="C1728">
        <v>4</v>
      </c>
    </row>
    <row r="1729" spans="2:3" x14ac:dyDescent="0.25">
      <c r="B1729">
        <v>266</v>
      </c>
      <c r="C1729">
        <v>15</v>
      </c>
    </row>
    <row r="1730" spans="2:3" x14ac:dyDescent="0.25">
      <c r="B1730">
        <v>262</v>
      </c>
      <c r="C1730">
        <v>23</v>
      </c>
    </row>
    <row r="1731" spans="2:3" x14ac:dyDescent="0.25">
      <c r="B1731">
        <v>261</v>
      </c>
      <c r="C1731">
        <v>22</v>
      </c>
    </row>
    <row r="1732" spans="2:3" x14ac:dyDescent="0.25">
      <c r="B1732">
        <v>257</v>
      </c>
      <c r="C1732">
        <v>0</v>
      </c>
    </row>
    <row r="1733" spans="2:3" x14ac:dyDescent="0.25">
      <c r="B1733">
        <v>257</v>
      </c>
      <c r="C1733">
        <v>0</v>
      </c>
    </row>
    <row r="1734" spans="2:3" x14ac:dyDescent="0.25">
      <c r="B1734">
        <v>257</v>
      </c>
      <c r="C1734">
        <v>0</v>
      </c>
    </row>
    <row r="1735" spans="2:3" x14ac:dyDescent="0.25">
      <c r="B1735">
        <v>256</v>
      </c>
      <c r="C1735">
        <v>4</v>
      </c>
    </row>
    <row r="1736" spans="2:3" x14ac:dyDescent="0.25">
      <c r="B1736">
        <v>254</v>
      </c>
      <c r="C1736">
        <v>0</v>
      </c>
    </row>
    <row r="1737" spans="2:3" x14ac:dyDescent="0.25">
      <c r="B1737">
        <v>253</v>
      </c>
      <c r="C1737">
        <v>0</v>
      </c>
    </row>
    <row r="1738" spans="2:3" x14ac:dyDescent="0.25">
      <c r="B1738">
        <v>252</v>
      </c>
      <c r="C1738">
        <v>4</v>
      </c>
    </row>
    <row r="1739" spans="2:3" x14ac:dyDescent="0.25">
      <c r="B1739">
        <v>252</v>
      </c>
      <c r="C1739">
        <v>0</v>
      </c>
    </row>
    <row r="1740" spans="2:3" x14ac:dyDescent="0.25">
      <c r="B1740">
        <v>251</v>
      </c>
      <c r="C1740">
        <v>20</v>
      </c>
    </row>
    <row r="1741" spans="2:3" x14ac:dyDescent="0.25">
      <c r="B1741">
        <v>251</v>
      </c>
      <c r="C1741">
        <v>18</v>
      </c>
    </row>
    <row r="1742" spans="2:3" x14ac:dyDescent="0.25">
      <c r="B1742">
        <v>250</v>
      </c>
      <c r="C1742">
        <v>5</v>
      </c>
    </row>
    <row r="1743" spans="2:3" x14ac:dyDescent="0.25">
      <c r="B1743">
        <v>250</v>
      </c>
      <c r="C1743">
        <v>10</v>
      </c>
    </row>
    <row r="1744" spans="2:3" x14ac:dyDescent="0.25">
      <c r="B1744">
        <v>250</v>
      </c>
      <c r="C1744">
        <v>9</v>
      </c>
    </row>
    <row r="1745" spans="2:3" x14ac:dyDescent="0.25">
      <c r="B1745">
        <v>250</v>
      </c>
      <c r="C1745">
        <v>10</v>
      </c>
    </row>
    <row r="1746" spans="2:3" x14ac:dyDescent="0.25">
      <c r="B1746">
        <v>249</v>
      </c>
      <c r="C1746">
        <v>20</v>
      </c>
    </row>
    <row r="1747" spans="2:3" x14ac:dyDescent="0.25">
      <c r="B1747">
        <v>246</v>
      </c>
      <c r="C1747">
        <v>5</v>
      </c>
    </row>
    <row r="1748" spans="2:3" x14ac:dyDescent="0.25">
      <c r="B1748">
        <v>245</v>
      </c>
      <c r="C1748">
        <v>23</v>
      </c>
    </row>
    <row r="1749" spans="2:3" x14ac:dyDescent="0.25">
      <c r="B1749">
        <v>244</v>
      </c>
      <c r="C1749">
        <v>23</v>
      </c>
    </row>
    <row r="1750" spans="2:3" x14ac:dyDescent="0.25">
      <c r="B1750">
        <v>242</v>
      </c>
      <c r="C1750">
        <v>23</v>
      </c>
    </row>
    <row r="1751" spans="2:3" x14ac:dyDescent="0.25">
      <c r="B1751">
        <v>240</v>
      </c>
      <c r="C1751">
        <v>24</v>
      </c>
    </row>
    <row r="1752" spans="2:3" x14ac:dyDescent="0.25">
      <c r="B1752">
        <v>239</v>
      </c>
      <c r="C1752">
        <v>18</v>
      </c>
    </row>
    <row r="1753" spans="2:3" x14ac:dyDescent="0.25">
      <c r="B1753">
        <v>239</v>
      </c>
      <c r="C1753">
        <v>16</v>
      </c>
    </row>
    <row r="1754" spans="2:3" x14ac:dyDescent="0.25">
      <c r="B1754">
        <v>238</v>
      </c>
      <c r="C1754">
        <v>22</v>
      </c>
    </row>
    <row r="1755" spans="2:3" x14ac:dyDescent="0.25">
      <c r="B1755">
        <v>236</v>
      </c>
      <c r="C1755">
        <v>0</v>
      </c>
    </row>
    <row r="1756" spans="2:3" x14ac:dyDescent="0.25">
      <c r="B1756">
        <v>235</v>
      </c>
      <c r="C1756">
        <v>0</v>
      </c>
    </row>
    <row r="1757" spans="2:3" x14ac:dyDescent="0.25">
      <c r="B1757">
        <v>235</v>
      </c>
      <c r="C1757">
        <v>21</v>
      </c>
    </row>
    <row r="1758" spans="2:3" x14ac:dyDescent="0.25">
      <c r="B1758">
        <v>235</v>
      </c>
      <c r="C1758">
        <v>10</v>
      </c>
    </row>
    <row r="1759" spans="2:3" x14ac:dyDescent="0.25">
      <c r="B1759">
        <v>233</v>
      </c>
      <c r="C1759">
        <v>21</v>
      </c>
    </row>
    <row r="1760" spans="2:3" x14ac:dyDescent="0.25">
      <c r="B1760">
        <v>231</v>
      </c>
      <c r="C1760">
        <v>13</v>
      </c>
    </row>
    <row r="1761" spans="2:3" x14ac:dyDescent="0.25">
      <c r="B1761">
        <v>231</v>
      </c>
      <c r="C1761">
        <v>18</v>
      </c>
    </row>
    <row r="1762" spans="2:3" x14ac:dyDescent="0.25">
      <c r="B1762">
        <v>230</v>
      </c>
      <c r="C1762">
        <v>10</v>
      </c>
    </row>
    <row r="1763" spans="2:3" x14ac:dyDescent="0.25">
      <c r="B1763">
        <v>229</v>
      </c>
      <c r="C1763">
        <v>12</v>
      </c>
    </row>
    <row r="1764" spans="2:3" x14ac:dyDescent="0.25">
      <c r="B1764">
        <v>227</v>
      </c>
      <c r="C1764">
        <v>19</v>
      </c>
    </row>
    <row r="1765" spans="2:3" x14ac:dyDescent="0.25">
      <c r="B1765">
        <v>226</v>
      </c>
      <c r="C1765">
        <v>0</v>
      </c>
    </row>
    <row r="1766" spans="2:3" x14ac:dyDescent="0.25">
      <c r="B1766">
        <v>222</v>
      </c>
      <c r="C1766">
        <v>25</v>
      </c>
    </row>
    <row r="1767" spans="2:3" x14ac:dyDescent="0.25">
      <c r="B1767">
        <v>221</v>
      </c>
      <c r="C1767">
        <v>19</v>
      </c>
    </row>
    <row r="1768" spans="2:3" x14ac:dyDescent="0.25">
      <c r="B1768">
        <v>220</v>
      </c>
      <c r="C1768">
        <v>16</v>
      </c>
    </row>
    <row r="1769" spans="2:3" x14ac:dyDescent="0.25">
      <c r="B1769">
        <v>212</v>
      </c>
      <c r="C1769">
        <v>26</v>
      </c>
    </row>
    <row r="1770" spans="2:3" x14ac:dyDescent="0.25">
      <c r="B1770">
        <v>212</v>
      </c>
      <c r="C1770">
        <v>25</v>
      </c>
    </row>
    <row r="1771" spans="2:3" x14ac:dyDescent="0.25">
      <c r="B1771">
        <v>212</v>
      </c>
      <c r="C1771">
        <v>21</v>
      </c>
    </row>
    <row r="1772" spans="2:3" x14ac:dyDescent="0.25">
      <c r="B1772">
        <v>211</v>
      </c>
      <c r="C1772">
        <v>23</v>
      </c>
    </row>
    <row r="1773" spans="2:3" x14ac:dyDescent="0.25">
      <c r="B1773">
        <v>209</v>
      </c>
      <c r="C1773">
        <v>21</v>
      </c>
    </row>
    <row r="1774" spans="2:3" x14ac:dyDescent="0.25">
      <c r="B1774">
        <v>206</v>
      </c>
      <c r="C1774">
        <v>23</v>
      </c>
    </row>
    <row r="1775" spans="2:3" x14ac:dyDescent="0.25">
      <c r="B1775">
        <v>206</v>
      </c>
      <c r="C1775">
        <v>1</v>
      </c>
    </row>
    <row r="1776" spans="2:3" x14ac:dyDescent="0.25">
      <c r="B1776">
        <v>205</v>
      </c>
      <c r="C1776">
        <v>5</v>
      </c>
    </row>
    <row r="1777" spans="2:3" x14ac:dyDescent="0.25">
      <c r="B1777">
        <v>205</v>
      </c>
      <c r="C1777">
        <v>13</v>
      </c>
    </row>
    <row r="1778" spans="2:3" x14ac:dyDescent="0.25">
      <c r="B1778">
        <v>203</v>
      </c>
      <c r="C1778">
        <v>12</v>
      </c>
    </row>
    <row r="1779" spans="2:3" x14ac:dyDescent="0.25">
      <c r="B1779">
        <v>202</v>
      </c>
      <c r="C1779">
        <v>11</v>
      </c>
    </row>
    <row r="1780" spans="2:3" x14ac:dyDescent="0.25">
      <c r="B1780">
        <v>202</v>
      </c>
      <c r="C1780">
        <v>1</v>
      </c>
    </row>
    <row r="1781" spans="2:3" x14ac:dyDescent="0.25">
      <c r="B1781">
        <v>201</v>
      </c>
      <c r="C1781">
        <v>6</v>
      </c>
    </row>
    <row r="1782" spans="2:3" x14ac:dyDescent="0.25">
      <c r="B1782">
        <v>201</v>
      </c>
      <c r="C1782">
        <v>12</v>
      </c>
    </row>
    <row r="1783" spans="2:3" x14ac:dyDescent="0.25">
      <c r="B1783">
        <v>199</v>
      </c>
      <c r="C1783">
        <v>0</v>
      </c>
    </row>
    <row r="1784" spans="2:3" x14ac:dyDescent="0.25">
      <c r="B1784">
        <v>193</v>
      </c>
      <c r="C1784">
        <v>18</v>
      </c>
    </row>
    <row r="1785" spans="2:3" x14ac:dyDescent="0.25">
      <c r="B1785">
        <v>192</v>
      </c>
      <c r="C1785">
        <v>18</v>
      </c>
    </row>
    <row r="1786" spans="2:3" x14ac:dyDescent="0.25">
      <c r="B1786">
        <v>192</v>
      </c>
      <c r="C1786">
        <v>24</v>
      </c>
    </row>
    <row r="1787" spans="2:3" x14ac:dyDescent="0.25">
      <c r="B1787">
        <v>190</v>
      </c>
      <c r="C1787">
        <v>22</v>
      </c>
    </row>
    <row r="1788" spans="2:3" x14ac:dyDescent="0.25">
      <c r="B1788">
        <v>188</v>
      </c>
      <c r="C1788">
        <v>7</v>
      </c>
    </row>
    <row r="1789" spans="2:3" x14ac:dyDescent="0.25">
      <c r="B1789">
        <v>188</v>
      </c>
      <c r="C1789">
        <v>14</v>
      </c>
    </row>
    <row r="1790" spans="2:3" x14ac:dyDescent="0.25">
      <c r="B1790">
        <v>187</v>
      </c>
      <c r="C1790">
        <v>14</v>
      </c>
    </row>
    <row r="1791" spans="2:3" x14ac:dyDescent="0.25">
      <c r="B1791">
        <v>187</v>
      </c>
      <c r="C1791">
        <v>17</v>
      </c>
    </row>
    <row r="1792" spans="2:3" x14ac:dyDescent="0.25">
      <c r="B1792">
        <v>186</v>
      </c>
      <c r="C1792">
        <v>22</v>
      </c>
    </row>
    <row r="1793" spans="2:3" x14ac:dyDescent="0.25">
      <c r="B1793">
        <v>186</v>
      </c>
      <c r="C1793">
        <v>17</v>
      </c>
    </row>
    <row r="1794" spans="2:3" x14ac:dyDescent="0.25">
      <c r="B1794">
        <v>183</v>
      </c>
      <c r="C1794">
        <v>0</v>
      </c>
    </row>
    <row r="1795" spans="2:3" x14ac:dyDescent="0.25">
      <c r="B1795">
        <v>177</v>
      </c>
      <c r="C1795">
        <v>24</v>
      </c>
    </row>
    <row r="1796" spans="2:3" x14ac:dyDescent="0.25">
      <c r="B1796">
        <v>177</v>
      </c>
      <c r="C1796">
        <v>18</v>
      </c>
    </row>
    <row r="1797" spans="2:3" x14ac:dyDescent="0.25">
      <c r="B1797">
        <v>176</v>
      </c>
      <c r="C1797">
        <v>11</v>
      </c>
    </row>
    <row r="1798" spans="2:3" x14ac:dyDescent="0.25">
      <c r="B1798">
        <v>175</v>
      </c>
      <c r="C1798">
        <v>11</v>
      </c>
    </row>
    <row r="1799" spans="2:3" x14ac:dyDescent="0.25">
      <c r="B1799">
        <v>174</v>
      </c>
      <c r="C1799">
        <v>0</v>
      </c>
    </row>
    <row r="1800" spans="2:3" x14ac:dyDescent="0.25">
      <c r="B1800">
        <v>172</v>
      </c>
      <c r="C1800">
        <v>0</v>
      </c>
    </row>
    <row r="1801" spans="2:3" x14ac:dyDescent="0.25">
      <c r="B1801">
        <v>170</v>
      </c>
      <c r="C1801">
        <v>20</v>
      </c>
    </row>
    <row r="1802" spans="2:3" x14ac:dyDescent="0.25">
      <c r="B1802">
        <v>169</v>
      </c>
      <c r="C1802">
        <v>0</v>
      </c>
    </row>
    <row r="1803" spans="2:3" x14ac:dyDescent="0.25">
      <c r="B1803">
        <v>168</v>
      </c>
      <c r="C1803">
        <v>5</v>
      </c>
    </row>
    <row r="1804" spans="2:3" x14ac:dyDescent="0.25">
      <c r="B1804">
        <v>164</v>
      </c>
      <c r="C1804">
        <v>20</v>
      </c>
    </row>
    <row r="1805" spans="2:3" x14ac:dyDescent="0.25">
      <c r="B1805">
        <v>160</v>
      </c>
      <c r="C1805">
        <v>8</v>
      </c>
    </row>
    <row r="1806" spans="2:3" x14ac:dyDescent="0.25">
      <c r="B1806">
        <v>160</v>
      </c>
      <c r="C1806">
        <v>13</v>
      </c>
    </row>
    <row r="1807" spans="2:3" x14ac:dyDescent="0.25">
      <c r="B1807">
        <v>158</v>
      </c>
      <c r="C1807">
        <v>17</v>
      </c>
    </row>
    <row r="1808" spans="2:3" x14ac:dyDescent="0.25">
      <c r="B1808">
        <v>157</v>
      </c>
      <c r="C1808">
        <v>0</v>
      </c>
    </row>
    <row r="1809" spans="2:3" x14ac:dyDescent="0.25">
      <c r="B1809">
        <v>156</v>
      </c>
      <c r="C1809">
        <v>11</v>
      </c>
    </row>
    <row r="1810" spans="2:3" x14ac:dyDescent="0.25">
      <c r="B1810">
        <v>154</v>
      </c>
      <c r="C1810">
        <v>23</v>
      </c>
    </row>
    <row r="1811" spans="2:3" x14ac:dyDescent="0.25">
      <c r="B1811">
        <v>151</v>
      </c>
      <c r="C1811">
        <v>0</v>
      </c>
    </row>
    <row r="1812" spans="2:3" x14ac:dyDescent="0.25">
      <c r="B1812">
        <v>151</v>
      </c>
      <c r="C1812">
        <v>5</v>
      </c>
    </row>
    <row r="1813" spans="2:3" x14ac:dyDescent="0.25">
      <c r="B1813">
        <v>150</v>
      </c>
      <c r="C1813">
        <v>13</v>
      </c>
    </row>
    <row r="1814" spans="2:3" x14ac:dyDescent="0.25">
      <c r="B1814">
        <v>145</v>
      </c>
      <c r="C1814">
        <v>0</v>
      </c>
    </row>
    <row r="1815" spans="2:3" x14ac:dyDescent="0.25">
      <c r="B1815">
        <v>144</v>
      </c>
      <c r="C1815">
        <v>11</v>
      </c>
    </row>
    <row r="1816" spans="2:3" x14ac:dyDescent="0.25">
      <c r="B1816">
        <v>143</v>
      </c>
      <c r="C1816">
        <v>22</v>
      </c>
    </row>
    <row r="1817" spans="2:3" x14ac:dyDescent="0.25">
      <c r="B1817">
        <v>143</v>
      </c>
      <c r="C1817">
        <v>22</v>
      </c>
    </row>
    <row r="1818" spans="2:3" x14ac:dyDescent="0.25">
      <c r="B1818">
        <v>139</v>
      </c>
      <c r="C1818">
        <v>22</v>
      </c>
    </row>
    <row r="1819" spans="2:3" x14ac:dyDescent="0.25">
      <c r="B1819">
        <v>139</v>
      </c>
      <c r="C1819">
        <v>22</v>
      </c>
    </row>
    <row r="1820" spans="2:3" x14ac:dyDescent="0.25">
      <c r="B1820">
        <v>139</v>
      </c>
      <c r="C1820">
        <v>23</v>
      </c>
    </row>
    <row r="1821" spans="2:3" x14ac:dyDescent="0.25">
      <c r="B1821">
        <v>137</v>
      </c>
      <c r="C1821">
        <v>15</v>
      </c>
    </row>
    <row r="1822" spans="2:3" x14ac:dyDescent="0.25">
      <c r="B1822">
        <v>136</v>
      </c>
      <c r="C1822">
        <v>27</v>
      </c>
    </row>
    <row r="1823" spans="2:3" x14ac:dyDescent="0.25">
      <c r="B1823">
        <v>135</v>
      </c>
      <c r="C1823">
        <v>19</v>
      </c>
    </row>
    <row r="1824" spans="2:3" x14ac:dyDescent="0.25">
      <c r="B1824">
        <v>134</v>
      </c>
      <c r="C1824">
        <v>22</v>
      </c>
    </row>
    <row r="1825" spans="2:3" x14ac:dyDescent="0.25">
      <c r="B1825">
        <v>134</v>
      </c>
      <c r="C1825">
        <v>18</v>
      </c>
    </row>
    <row r="1826" spans="2:3" x14ac:dyDescent="0.25">
      <c r="B1826">
        <v>132</v>
      </c>
      <c r="C1826">
        <v>2</v>
      </c>
    </row>
    <row r="1827" spans="2:3" x14ac:dyDescent="0.25">
      <c r="B1827">
        <v>131</v>
      </c>
      <c r="C1827">
        <v>16</v>
      </c>
    </row>
    <row r="1828" spans="2:3" x14ac:dyDescent="0.25">
      <c r="B1828">
        <v>129</v>
      </c>
      <c r="C1828">
        <v>0</v>
      </c>
    </row>
    <row r="1829" spans="2:3" x14ac:dyDescent="0.25">
      <c r="B1829">
        <v>129</v>
      </c>
      <c r="C1829">
        <v>7</v>
      </c>
    </row>
    <row r="1830" spans="2:3" x14ac:dyDescent="0.25">
      <c r="B1830">
        <v>127</v>
      </c>
      <c r="C1830">
        <v>17</v>
      </c>
    </row>
    <row r="1831" spans="2:3" x14ac:dyDescent="0.25">
      <c r="B1831">
        <v>125</v>
      </c>
      <c r="C1831">
        <v>22</v>
      </c>
    </row>
    <row r="1832" spans="2:3" x14ac:dyDescent="0.25">
      <c r="B1832">
        <v>121</v>
      </c>
      <c r="C1832">
        <v>14</v>
      </c>
    </row>
    <row r="1833" spans="2:3" x14ac:dyDescent="0.25">
      <c r="B1833">
        <v>121</v>
      </c>
      <c r="C1833">
        <v>20</v>
      </c>
    </row>
    <row r="1834" spans="2:3" x14ac:dyDescent="0.25">
      <c r="B1834">
        <v>116</v>
      </c>
      <c r="C1834">
        <v>1</v>
      </c>
    </row>
    <row r="1835" spans="2:3" x14ac:dyDescent="0.25">
      <c r="B1835">
        <v>115</v>
      </c>
      <c r="C1835">
        <v>2</v>
      </c>
    </row>
    <row r="1836" spans="2:3" x14ac:dyDescent="0.25">
      <c r="B1836">
        <v>115</v>
      </c>
      <c r="C1836">
        <v>0</v>
      </c>
    </row>
    <row r="1837" spans="2:3" x14ac:dyDescent="0.25">
      <c r="B1837">
        <v>114</v>
      </c>
      <c r="C1837">
        <v>13</v>
      </c>
    </row>
    <row r="1838" spans="2:3" x14ac:dyDescent="0.25">
      <c r="B1838">
        <v>114</v>
      </c>
      <c r="C1838">
        <v>6</v>
      </c>
    </row>
    <row r="1839" spans="2:3" x14ac:dyDescent="0.25">
      <c r="B1839">
        <v>113</v>
      </c>
      <c r="C1839">
        <v>21</v>
      </c>
    </row>
    <row r="1840" spans="2:3" x14ac:dyDescent="0.25">
      <c r="B1840">
        <v>112</v>
      </c>
      <c r="C1840">
        <v>9</v>
      </c>
    </row>
    <row r="1841" spans="2:3" x14ac:dyDescent="0.25">
      <c r="B1841">
        <v>108</v>
      </c>
      <c r="C1841">
        <v>20</v>
      </c>
    </row>
    <row r="1842" spans="2:3" x14ac:dyDescent="0.25">
      <c r="B1842">
        <v>108</v>
      </c>
      <c r="C1842">
        <v>22</v>
      </c>
    </row>
    <row r="1843" spans="2:3" x14ac:dyDescent="0.25">
      <c r="B1843">
        <v>108</v>
      </c>
      <c r="C1843">
        <v>14</v>
      </c>
    </row>
    <row r="1844" spans="2:3" x14ac:dyDescent="0.25">
      <c r="B1844">
        <v>105</v>
      </c>
      <c r="C1844">
        <v>0</v>
      </c>
    </row>
    <row r="1845" spans="2:3" x14ac:dyDescent="0.25">
      <c r="B1845">
        <v>102</v>
      </c>
      <c r="C1845">
        <v>22</v>
      </c>
    </row>
    <row r="1846" spans="2:3" x14ac:dyDescent="0.25">
      <c r="B1846">
        <v>102</v>
      </c>
      <c r="C1846">
        <v>3</v>
      </c>
    </row>
    <row r="1847" spans="2:3" x14ac:dyDescent="0.25">
      <c r="B1847">
        <v>99</v>
      </c>
      <c r="C1847">
        <v>18</v>
      </c>
    </row>
    <row r="1848" spans="2:3" x14ac:dyDescent="0.25">
      <c r="B1848">
        <v>98</v>
      </c>
      <c r="C1848">
        <v>4</v>
      </c>
    </row>
    <row r="1849" spans="2:3" x14ac:dyDescent="0.25">
      <c r="B1849">
        <v>98</v>
      </c>
      <c r="C1849">
        <v>0</v>
      </c>
    </row>
    <row r="1850" spans="2:3" x14ac:dyDescent="0.25">
      <c r="B1850">
        <v>96</v>
      </c>
      <c r="C1850">
        <v>24</v>
      </c>
    </row>
    <row r="1851" spans="2:3" x14ac:dyDescent="0.25">
      <c r="B1851">
        <v>96</v>
      </c>
      <c r="C1851">
        <v>25</v>
      </c>
    </row>
    <row r="1852" spans="2:3" x14ac:dyDescent="0.25">
      <c r="B1852">
        <v>95</v>
      </c>
      <c r="C1852">
        <v>10</v>
      </c>
    </row>
    <row r="1853" spans="2:3" x14ac:dyDescent="0.25">
      <c r="B1853">
        <v>95</v>
      </c>
      <c r="C1853">
        <v>15</v>
      </c>
    </row>
    <row r="1854" spans="2:3" x14ac:dyDescent="0.25">
      <c r="B1854">
        <v>94</v>
      </c>
      <c r="C1854">
        <v>12</v>
      </c>
    </row>
    <row r="1855" spans="2:3" x14ac:dyDescent="0.25">
      <c r="B1855">
        <v>94</v>
      </c>
      <c r="C1855">
        <v>18</v>
      </c>
    </row>
    <row r="1856" spans="2:3" x14ac:dyDescent="0.25">
      <c r="B1856">
        <v>92</v>
      </c>
      <c r="C1856">
        <v>23</v>
      </c>
    </row>
    <row r="1857" spans="2:3" x14ac:dyDescent="0.25">
      <c r="B1857">
        <v>92</v>
      </c>
      <c r="C1857">
        <v>0</v>
      </c>
    </row>
    <row r="1858" spans="2:3" x14ac:dyDescent="0.25">
      <c r="B1858">
        <v>90</v>
      </c>
      <c r="C1858">
        <v>22</v>
      </c>
    </row>
    <row r="1859" spans="2:3" x14ac:dyDescent="0.25">
      <c r="B1859">
        <v>90</v>
      </c>
      <c r="C1859">
        <v>23</v>
      </c>
    </row>
    <row r="1860" spans="2:3" x14ac:dyDescent="0.25">
      <c r="B1860">
        <v>90</v>
      </c>
      <c r="C1860">
        <v>21</v>
      </c>
    </row>
    <row r="1861" spans="2:3" x14ac:dyDescent="0.25">
      <c r="B1861">
        <v>88</v>
      </c>
      <c r="C1861">
        <v>23</v>
      </c>
    </row>
    <row r="1862" spans="2:3" x14ac:dyDescent="0.25">
      <c r="B1862">
        <v>88</v>
      </c>
      <c r="C1862">
        <v>22</v>
      </c>
    </row>
    <row r="1863" spans="2:3" x14ac:dyDescent="0.25">
      <c r="B1863">
        <v>85</v>
      </c>
      <c r="C1863">
        <v>27</v>
      </c>
    </row>
    <row r="1864" spans="2:3" x14ac:dyDescent="0.25">
      <c r="B1864">
        <v>84</v>
      </c>
      <c r="C1864">
        <v>25</v>
      </c>
    </row>
    <row r="1865" spans="2:3" x14ac:dyDescent="0.25">
      <c r="B1865">
        <v>83</v>
      </c>
      <c r="C1865">
        <v>17</v>
      </c>
    </row>
    <row r="1866" spans="2:3" x14ac:dyDescent="0.25">
      <c r="B1866">
        <v>80</v>
      </c>
      <c r="C1866">
        <v>23</v>
      </c>
    </row>
    <row r="1867" spans="2:3" x14ac:dyDescent="0.25">
      <c r="B1867">
        <v>79</v>
      </c>
      <c r="C1867">
        <v>11</v>
      </c>
    </row>
    <row r="1868" spans="2:3" x14ac:dyDescent="0.25">
      <c r="B1868">
        <v>79</v>
      </c>
      <c r="C1868">
        <v>11</v>
      </c>
    </row>
    <row r="1869" spans="2:3" x14ac:dyDescent="0.25">
      <c r="B1869">
        <v>76</v>
      </c>
      <c r="C1869">
        <v>22</v>
      </c>
    </row>
    <row r="1870" spans="2:3" x14ac:dyDescent="0.25">
      <c r="B1870">
        <v>75</v>
      </c>
      <c r="C1870">
        <v>19</v>
      </c>
    </row>
    <row r="1871" spans="2:3" x14ac:dyDescent="0.25">
      <c r="B1871">
        <v>75</v>
      </c>
      <c r="C1871">
        <v>27</v>
      </c>
    </row>
    <row r="1872" spans="2:3" x14ac:dyDescent="0.25">
      <c r="B1872">
        <v>71</v>
      </c>
      <c r="C1872">
        <v>13</v>
      </c>
    </row>
    <row r="1873" spans="2:3" x14ac:dyDescent="0.25">
      <c r="B1873">
        <v>67</v>
      </c>
      <c r="C1873">
        <v>0</v>
      </c>
    </row>
    <row r="1874" spans="2:3" x14ac:dyDescent="0.25">
      <c r="B1874">
        <v>66</v>
      </c>
      <c r="C1874">
        <v>14</v>
      </c>
    </row>
    <row r="1875" spans="2:3" x14ac:dyDescent="0.25">
      <c r="B1875">
        <v>66</v>
      </c>
      <c r="C1875">
        <v>16</v>
      </c>
    </row>
    <row r="1876" spans="2:3" x14ac:dyDescent="0.25">
      <c r="B1876">
        <v>64</v>
      </c>
      <c r="C1876">
        <v>8</v>
      </c>
    </row>
    <row r="1877" spans="2:3" x14ac:dyDescent="0.25">
      <c r="B1877">
        <v>60</v>
      </c>
      <c r="C1877">
        <v>1</v>
      </c>
    </row>
    <row r="1878" spans="2:3" x14ac:dyDescent="0.25">
      <c r="B1878">
        <v>59</v>
      </c>
      <c r="C1878">
        <v>21</v>
      </c>
    </row>
    <row r="1879" spans="2:3" x14ac:dyDescent="0.25">
      <c r="B1879">
        <v>58</v>
      </c>
      <c r="C1879">
        <v>18</v>
      </c>
    </row>
    <row r="1880" spans="2:3" x14ac:dyDescent="0.25">
      <c r="B1880">
        <v>58</v>
      </c>
      <c r="C1880">
        <v>16</v>
      </c>
    </row>
    <row r="1881" spans="2:3" x14ac:dyDescent="0.25">
      <c r="B1881">
        <v>55</v>
      </c>
      <c r="C1881">
        <v>18</v>
      </c>
    </row>
    <row r="1882" spans="2:3" x14ac:dyDescent="0.25">
      <c r="B1882">
        <v>55</v>
      </c>
      <c r="C1882">
        <v>7</v>
      </c>
    </row>
    <row r="1883" spans="2:3" x14ac:dyDescent="0.25">
      <c r="B1883">
        <v>53</v>
      </c>
      <c r="C1883">
        <v>8</v>
      </c>
    </row>
    <row r="1884" spans="2:3" x14ac:dyDescent="0.25">
      <c r="B1884">
        <v>53</v>
      </c>
      <c r="C1884">
        <v>0</v>
      </c>
    </row>
    <row r="1885" spans="2:3" x14ac:dyDescent="0.25">
      <c r="B1885">
        <v>52</v>
      </c>
      <c r="C1885">
        <v>13</v>
      </c>
    </row>
    <row r="1886" spans="2:3" x14ac:dyDescent="0.25">
      <c r="B1886">
        <v>51</v>
      </c>
      <c r="C1886">
        <v>0</v>
      </c>
    </row>
    <row r="1887" spans="2:3" x14ac:dyDescent="0.25">
      <c r="B1887">
        <v>50</v>
      </c>
      <c r="C1887">
        <v>4</v>
      </c>
    </row>
    <row r="1888" spans="2:3" x14ac:dyDescent="0.25">
      <c r="B1888">
        <v>50</v>
      </c>
      <c r="C1888">
        <v>5</v>
      </c>
    </row>
    <row r="1889" spans="2:3" x14ac:dyDescent="0.25">
      <c r="B1889">
        <v>47</v>
      </c>
      <c r="C1889">
        <v>0</v>
      </c>
    </row>
    <row r="1890" spans="2:3" x14ac:dyDescent="0.25">
      <c r="B1890">
        <v>46</v>
      </c>
      <c r="C1890">
        <v>12</v>
      </c>
    </row>
    <row r="1891" spans="2:3" x14ac:dyDescent="0.25">
      <c r="B1891">
        <v>45</v>
      </c>
      <c r="C1891">
        <v>0</v>
      </c>
    </row>
    <row r="1892" spans="2:3" x14ac:dyDescent="0.25">
      <c r="B1892">
        <v>45</v>
      </c>
      <c r="C1892">
        <v>1</v>
      </c>
    </row>
    <row r="1893" spans="2:3" x14ac:dyDescent="0.25">
      <c r="B1893">
        <v>44</v>
      </c>
      <c r="C1893">
        <v>0</v>
      </c>
    </row>
    <row r="1894" spans="2:3" x14ac:dyDescent="0.25">
      <c r="B1894">
        <v>43</v>
      </c>
      <c r="C1894">
        <v>0</v>
      </c>
    </row>
    <row r="1895" spans="2:3" x14ac:dyDescent="0.25">
      <c r="B1895">
        <v>43</v>
      </c>
      <c r="C1895">
        <v>0</v>
      </c>
    </row>
    <row r="1896" spans="2:3" x14ac:dyDescent="0.25">
      <c r="B1896">
        <v>43</v>
      </c>
      <c r="C1896">
        <v>9</v>
      </c>
    </row>
    <row r="1897" spans="2:3" x14ac:dyDescent="0.25">
      <c r="B1897">
        <v>40</v>
      </c>
      <c r="C1897">
        <v>7</v>
      </c>
    </row>
    <row r="1898" spans="2:3" x14ac:dyDescent="0.25">
      <c r="B1898">
        <v>38</v>
      </c>
      <c r="C1898">
        <v>0</v>
      </c>
    </row>
    <row r="1899" spans="2:3" x14ac:dyDescent="0.25">
      <c r="B1899">
        <v>37</v>
      </c>
      <c r="C1899">
        <v>0</v>
      </c>
    </row>
    <row r="1900" spans="2:3" x14ac:dyDescent="0.25">
      <c r="B1900">
        <v>36</v>
      </c>
      <c r="C1900">
        <v>12</v>
      </c>
    </row>
    <row r="1901" spans="2:3" x14ac:dyDescent="0.25">
      <c r="B1901">
        <v>35</v>
      </c>
      <c r="C1901">
        <v>10</v>
      </c>
    </row>
    <row r="1902" spans="2:3" x14ac:dyDescent="0.25">
      <c r="B1902">
        <v>35</v>
      </c>
      <c r="C1902">
        <v>12</v>
      </c>
    </row>
    <row r="1903" spans="2:3" x14ac:dyDescent="0.25">
      <c r="B1903">
        <v>31</v>
      </c>
      <c r="C1903">
        <v>12</v>
      </c>
    </row>
    <row r="1904" spans="2:3" x14ac:dyDescent="0.25">
      <c r="B1904">
        <v>31</v>
      </c>
      <c r="C1904">
        <v>4</v>
      </c>
    </row>
    <row r="1905" spans="2:3" x14ac:dyDescent="0.25">
      <c r="B1905">
        <v>30</v>
      </c>
      <c r="C1905">
        <v>14</v>
      </c>
    </row>
    <row r="1906" spans="2:3" x14ac:dyDescent="0.25">
      <c r="B1906">
        <v>28</v>
      </c>
      <c r="C1906">
        <v>12</v>
      </c>
    </row>
    <row r="1907" spans="2:3" x14ac:dyDescent="0.25">
      <c r="B1907">
        <v>27</v>
      </c>
      <c r="C1907">
        <v>2</v>
      </c>
    </row>
    <row r="1908" spans="2:3" x14ac:dyDescent="0.25">
      <c r="B1908">
        <v>27</v>
      </c>
      <c r="C1908">
        <v>2</v>
      </c>
    </row>
    <row r="1909" spans="2:3" x14ac:dyDescent="0.25">
      <c r="B1909">
        <v>26</v>
      </c>
      <c r="C1909">
        <v>19</v>
      </c>
    </row>
    <row r="1910" spans="2:3" x14ac:dyDescent="0.25">
      <c r="B1910">
        <v>26</v>
      </c>
      <c r="C1910">
        <v>16</v>
      </c>
    </row>
    <row r="1911" spans="2:3" x14ac:dyDescent="0.25">
      <c r="B1911">
        <v>24</v>
      </c>
      <c r="C1911">
        <v>16</v>
      </c>
    </row>
    <row r="1912" spans="2:3" x14ac:dyDescent="0.25">
      <c r="B1912">
        <v>24</v>
      </c>
      <c r="C1912">
        <v>19</v>
      </c>
    </row>
    <row r="1913" spans="2:3" x14ac:dyDescent="0.25">
      <c r="B1913">
        <v>23</v>
      </c>
      <c r="C1913">
        <v>14</v>
      </c>
    </row>
    <row r="1914" spans="2:3" x14ac:dyDescent="0.25">
      <c r="B1914">
        <v>22</v>
      </c>
      <c r="C1914">
        <v>8</v>
      </c>
    </row>
    <row r="1915" spans="2:3" x14ac:dyDescent="0.25">
      <c r="B1915">
        <v>21</v>
      </c>
      <c r="C1915">
        <v>0</v>
      </c>
    </row>
    <row r="1916" spans="2:3" x14ac:dyDescent="0.25">
      <c r="B1916">
        <v>21</v>
      </c>
      <c r="C1916">
        <v>0</v>
      </c>
    </row>
    <row r="1917" spans="2:3" x14ac:dyDescent="0.25">
      <c r="B1917">
        <v>20</v>
      </c>
      <c r="C1917">
        <v>16</v>
      </c>
    </row>
    <row r="1918" spans="2:3" x14ac:dyDescent="0.25">
      <c r="B1918">
        <v>20</v>
      </c>
      <c r="C1918">
        <v>11</v>
      </c>
    </row>
    <row r="1919" spans="2:3" x14ac:dyDescent="0.25">
      <c r="B1919">
        <v>19</v>
      </c>
      <c r="C1919">
        <v>10</v>
      </c>
    </row>
    <row r="1920" spans="2:3" x14ac:dyDescent="0.25">
      <c r="B1920">
        <v>17</v>
      </c>
      <c r="C1920">
        <v>18</v>
      </c>
    </row>
    <row r="1921" spans="2:3" x14ac:dyDescent="0.25">
      <c r="B1921">
        <v>17</v>
      </c>
      <c r="C1921">
        <v>13</v>
      </c>
    </row>
    <row r="1922" spans="2:3" x14ac:dyDescent="0.25">
      <c r="B1922">
        <v>17</v>
      </c>
      <c r="C1922">
        <v>21</v>
      </c>
    </row>
    <row r="1923" spans="2:3" x14ac:dyDescent="0.25">
      <c r="B1923">
        <v>16</v>
      </c>
      <c r="C1923">
        <v>22</v>
      </c>
    </row>
    <row r="1924" spans="2:3" x14ac:dyDescent="0.25">
      <c r="B1924">
        <v>14</v>
      </c>
      <c r="C1924">
        <v>21</v>
      </c>
    </row>
    <row r="1925" spans="2:3" x14ac:dyDescent="0.25">
      <c r="B1925">
        <v>12</v>
      </c>
      <c r="C1925">
        <v>22</v>
      </c>
    </row>
    <row r="1926" spans="2:3" x14ac:dyDescent="0.25">
      <c r="B1926">
        <v>9</v>
      </c>
      <c r="C1926">
        <v>21</v>
      </c>
    </row>
    <row r="1927" spans="2:3" x14ac:dyDescent="0.25">
      <c r="B1927">
        <v>8</v>
      </c>
      <c r="C1927">
        <v>16</v>
      </c>
    </row>
    <row r="1928" spans="2:3" x14ac:dyDescent="0.25">
      <c r="B1928">
        <v>8</v>
      </c>
      <c r="C1928">
        <v>19</v>
      </c>
    </row>
    <row r="1929" spans="2:3" x14ac:dyDescent="0.25">
      <c r="B1929">
        <v>8</v>
      </c>
      <c r="C1929">
        <v>8</v>
      </c>
    </row>
    <row r="1930" spans="2:3" x14ac:dyDescent="0.25">
      <c r="B1930">
        <v>5</v>
      </c>
      <c r="C1930">
        <v>14</v>
      </c>
    </row>
    <row r="1931" spans="2:3" x14ac:dyDescent="0.25">
      <c r="B1931">
        <v>5</v>
      </c>
      <c r="C1931">
        <v>0</v>
      </c>
    </row>
    <row r="1932" spans="2:3" x14ac:dyDescent="0.25">
      <c r="B1932">
        <v>5</v>
      </c>
      <c r="C1932">
        <v>0</v>
      </c>
    </row>
    <row r="1933" spans="2:3" x14ac:dyDescent="0.25">
      <c r="B1933">
        <v>4</v>
      </c>
      <c r="C1933">
        <v>24</v>
      </c>
    </row>
    <row r="1934" spans="2:3" x14ac:dyDescent="0.25">
      <c r="B1934">
        <v>4</v>
      </c>
      <c r="C1934">
        <v>19</v>
      </c>
    </row>
    <row r="1935" spans="2:3" x14ac:dyDescent="0.25">
      <c r="B1935">
        <v>3</v>
      </c>
      <c r="C1935">
        <v>16</v>
      </c>
    </row>
    <row r="1936" spans="2:3" x14ac:dyDescent="0.25">
      <c r="B1936">
        <v>3</v>
      </c>
      <c r="C1936">
        <v>21</v>
      </c>
    </row>
    <row r="1937" spans="2:3" x14ac:dyDescent="0.25">
      <c r="B1937">
        <v>3</v>
      </c>
      <c r="C1937">
        <v>20</v>
      </c>
    </row>
    <row r="1938" spans="2:3" x14ac:dyDescent="0.25">
      <c r="B1938">
        <v>2</v>
      </c>
      <c r="C1938">
        <v>18</v>
      </c>
    </row>
    <row r="1939" spans="2:3" x14ac:dyDescent="0.25">
      <c r="B1939">
        <v>2</v>
      </c>
      <c r="C1939">
        <v>0</v>
      </c>
    </row>
    <row r="1940" spans="2:3" x14ac:dyDescent="0.25">
      <c r="B1940">
        <v>418</v>
      </c>
      <c r="C1940">
        <v>20</v>
      </c>
    </row>
    <row r="1941" spans="2:3" x14ac:dyDescent="0.25">
      <c r="B1941">
        <v>417</v>
      </c>
      <c r="C1941">
        <v>17</v>
      </c>
    </row>
    <row r="1942" spans="2:3" x14ac:dyDescent="0.25">
      <c r="B1942">
        <v>417</v>
      </c>
      <c r="C1942">
        <v>12</v>
      </c>
    </row>
    <row r="1943" spans="2:3" x14ac:dyDescent="0.25">
      <c r="B1943">
        <v>416</v>
      </c>
      <c r="C1943">
        <v>23</v>
      </c>
    </row>
    <row r="1944" spans="2:3" x14ac:dyDescent="0.25">
      <c r="B1944">
        <v>414</v>
      </c>
      <c r="C1944">
        <v>24</v>
      </c>
    </row>
    <row r="1945" spans="2:3" x14ac:dyDescent="0.25">
      <c r="B1945">
        <v>413</v>
      </c>
      <c r="C1945">
        <v>13</v>
      </c>
    </row>
    <row r="1946" spans="2:3" x14ac:dyDescent="0.25">
      <c r="B1946">
        <v>413</v>
      </c>
      <c r="C1946">
        <v>10</v>
      </c>
    </row>
    <row r="1947" spans="2:3" x14ac:dyDescent="0.25">
      <c r="B1947">
        <v>410</v>
      </c>
      <c r="C1947">
        <v>24</v>
      </c>
    </row>
    <row r="1948" spans="2:3" x14ac:dyDescent="0.25">
      <c r="B1948">
        <v>407</v>
      </c>
      <c r="C1948">
        <v>24</v>
      </c>
    </row>
    <row r="1949" spans="2:3" x14ac:dyDescent="0.25">
      <c r="B1949">
        <v>407</v>
      </c>
      <c r="C1949">
        <v>19</v>
      </c>
    </row>
    <row r="1950" spans="2:3" x14ac:dyDescent="0.25">
      <c r="B1950">
        <v>406</v>
      </c>
      <c r="C1950">
        <v>9</v>
      </c>
    </row>
    <row r="1951" spans="2:3" x14ac:dyDescent="0.25">
      <c r="B1951">
        <v>406</v>
      </c>
      <c r="C1951">
        <v>6</v>
      </c>
    </row>
    <row r="1952" spans="2:3" x14ac:dyDescent="0.25">
      <c r="B1952">
        <v>405</v>
      </c>
      <c r="C1952">
        <v>0</v>
      </c>
    </row>
    <row r="1953" spans="2:3" x14ac:dyDescent="0.25">
      <c r="B1953">
        <v>405</v>
      </c>
      <c r="C1953">
        <v>0</v>
      </c>
    </row>
    <row r="1954" spans="2:3" x14ac:dyDescent="0.25">
      <c r="B1954">
        <v>404</v>
      </c>
      <c r="C1954">
        <v>0</v>
      </c>
    </row>
    <row r="1955" spans="2:3" x14ac:dyDescent="0.25">
      <c r="B1955">
        <v>403</v>
      </c>
      <c r="C1955">
        <v>16</v>
      </c>
    </row>
    <row r="1956" spans="2:3" x14ac:dyDescent="0.25">
      <c r="B1956">
        <v>401</v>
      </c>
      <c r="C1956">
        <v>4</v>
      </c>
    </row>
    <row r="1957" spans="2:3" x14ac:dyDescent="0.25">
      <c r="B1957">
        <v>401</v>
      </c>
      <c r="C1957">
        <v>0</v>
      </c>
    </row>
    <row r="1958" spans="2:3" x14ac:dyDescent="0.25">
      <c r="B1958">
        <v>400</v>
      </c>
      <c r="C1958">
        <v>18</v>
      </c>
    </row>
    <row r="1959" spans="2:3" x14ac:dyDescent="0.25">
      <c r="B1959">
        <v>399</v>
      </c>
      <c r="C1959">
        <v>1</v>
      </c>
    </row>
    <row r="1960" spans="2:3" x14ac:dyDescent="0.25">
      <c r="B1960">
        <v>399</v>
      </c>
      <c r="C1960">
        <v>0</v>
      </c>
    </row>
    <row r="1961" spans="2:3" x14ac:dyDescent="0.25">
      <c r="B1961">
        <v>398</v>
      </c>
      <c r="C1961">
        <v>2</v>
      </c>
    </row>
    <row r="1962" spans="2:3" x14ac:dyDescent="0.25">
      <c r="B1962">
        <v>397</v>
      </c>
      <c r="C1962">
        <v>20</v>
      </c>
    </row>
    <row r="1963" spans="2:3" x14ac:dyDescent="0.25">
      <c r="B1963">
        <v>395</v>
      </c>
      <c r="C1963">
        <v>0</v>
      </c>
    </row>
    <row r="1964" spans="2:3" x14ac:dyDescent="0.25">
      <c r="B1964">
        <v>389</v>
      </c>
      <c r="C1964">
        <v>1</v>
      </c>
    </row>
    <row r="1965" spans="2:3" x14ac:dyDescent="0.25">
      <c r="B1965">
        <v>388</v>
      </c>
      <c r="C1965">
        <v>0</v>
      </c>
    </row>
    <row r="1966" spans="2:3" x14ac:dyDescent="0.25">
      <c r="B1966">
        <v>385</v>
      </c>
      <c r="C1966">
        <v>21</v>
      </c>
    </row>
    <row r="1967" spans="2:3" x14ac:dyDescent="0.25">
      <c r="B1967">
        <v>385</v>
      </c>
      <c r="C1967">
        <v>18</v>
      </c>
    </row>
    <row r="1968" spans="2:3" x14ac:dyDescent="0.25">
      <c r="B1968">
        <v>385</v>
      </c>
      <c r="C1968">
        <v>19</v>
      </c>
    </row>
    <row r="1969" spans="2:3" x14ac:dyDescent="0.25">
      <c r="B1969">
        <v>383</v>
      </c>
      <c r="C1969">
        <v>15</v>
      </c>
    </row>
    <row r="1970" spans="2:3" x14ac:dyDescent="0.25">
      <c r="B1970">
        <v>382</v>
      </c>
      <c r="C1970">
        <v>14</v>
      </c>
    </row>
    <row r="1971" spans="2:3" x14ac:dyDescent="0.25">
      <c r="B1971">
        <v>382</v>
      </c>
      <c r="C1971">
        <v>3</v>
      </c>
    </row>
    <row r="1972" spans="2:3" x14ac:dyDescent="0.25">
      <c r="B1972">
        <v>382</v>
      </c>
      <c r="C1972">
        <v>10</v>
      </c>
    </row>
    <row r="1973" spans="2:3" x14ac:dyDescent="0.25">
      <c r="B1973">
        <v>379</v>
      </c>
      <c r="C1973">
        <v>7</v>
      </c>
    </row>
    <row r="1974" spans="2:3" x14ac:dyDescent="0.25">
      <c r="B1974">
        <v>376</v>
      </c>
      <c r="C1974">
        <v>0</v>
      </c>
    </row>
    <row r="1975" spans="2:3" x14ac:dyDescent="0.25">
      <c r="B1975">
        <v>375</v>
      </c>
      <c r="C1975">
        <v>14</v>
      </c>
    </row>
    <row r="1976" spans="2:3" x14ac:dyDescent="0.25">
      <c r="B1976">
        <v>373</v>
      </c>
      <c r="C1976">
        <v>23</v>
      </c>
    </row>
    <row r="1977" spans="2:3" x14ac:dyDescent="0.25">
      <c r="B1977">
        <v>373</v>
      </c>
      <c r="C1977">
        <v>21</v>
      </c>
    </row>
    <row r="1978" spans="2:3" x14ac:dyDescent="0.25">
      <c r="B1978">
        <v>372</v>
      </c>
      <c r="C1978">
        <v>19</v>
      </c>
    </row>
    <row r="1979" spans="2:3" x14ac:dyDescent="0.25">
      <c r="B1979">
        <v>372</v>
      </c>
      <c r="C1979">
        <v>8</v>
      </c>
    </row>
    <row r="1980" spans="2:3" x14ac:dyDescent="0.25">
      <c r="B1980">
        <v>371</v>
      </c>
      <c r="C1980">
        <v>24</v>
      </c>
    </row>
    <row r="1981" spans="2:3" x14ac:dyDescent="0.25">
      <c r="B1981">
        <v>371</v>
      </c>
      <c r="C1981">
        <v>22</v>
      </c>
    </row>
    <row r="1982" spans="2:3" x14ac:dyDescent="0.25">
      <c r="B1982">
        <v>370</v>
      </c>
      <c r="C1982">
        <v>25</v>
      </c>
    </row>
    <row r="1983" spans="2:3" x14ac:dyDescent="0.25">
      <c r="B1983">
        <v>370</v>
      </c>
      <c r="C1983">
        <v>24</v>
      </c>
    </row>
    <row r="1984" spans="2:3" x14ac:dyDescent="0.25">
      <c r="B1984">
        <v>368</v>
      </c>
      <c r="C1984">
        <v>25</v>
      </c>
    </row>
    <row r="1985" spans="2:3" x14ac:dyDescent="0.25">
      <c r="B1985">
        <v>367</v>
      </c>
      <c r="C1985">
        <v>16</v>
      </c>
    </row>
    <row r="1986" spans="2:3" x14ac:dyDescent="0.25">
      <c r="B1986">
        <v>366</v>
      </c>
      <c r="C1986">
        <v>23</v>
      </c>
    </row>
    <row r="1987" spans="2:3" x14ac:dyDescent="0.25">
      <c r="B1987">
        <v>364</v>
      </c>
      <c r="C1987">
        <v>0</v>
      </c>
    </row>
    <row r="1988" spans="2:3" x14ac:dyDescent="0.25">
      <c r="B1988">
        <v>363</v>
      </c>
      <c r="C1988">
        <v>16</v>
      </c>
    </row>
    <row r="1989" spans="2:3" x14ac:dyDescent="0.25">
      <c r="B1989">
        <v>363</v>
      </c>
      <c r="C1989">
        <v>19</v>
      </c>
    </row>
    <row r="1990" spans="2:3" x14ac:dyDescent="0.25">
      <c r="B1990">
        <v>362</v>
      </c>
      <c r="C1990">
        <v>28</v>
      </c>
    </row>
    <row r="1991" spans="2:3" x14ac:dyDescent="0.25">
      <c r="B1991">
        <v>362</v>
      </c>
      <c r="C1991">
        <v>24</v>
      </c>
    </row>
    <row r="1992" spans="2:3" x14ac:dyDescent="0.25">
      <c r="B1992">
        <v>361</v>
      </c>
      <c r="C1992">
        <v>24</v>
      </c>
    </row>
    <row r="1993" spans="2:3" x14ac:dyDescent="0.25">
      <c r="B1993">
        <v>361</v>
      </c>
      <c r="C1993">
        <v>21</v>
      </c>
    </row>
    <row r="1994" spans="2:3" x14ac:dyDescent="0.25">
      <c r="B1994">
        <v>361</v>
      </c>
      <c r="C1994">
        <v>14</v>
      </c>
    </row>
    <row r="1995" spans="2:3" x14ac:dyDescent="0.25">
      <c r="B1995">
        <v>360</v>
      </c>
      <c r="C1995">
        <v>28</v>
      </c>
    </row>
    <row r="1996" spans="2:3" x14ac:dyDescent="0.25">
      <c r="B1996">
        <v>356</v>
      </c>
      <c r="C1996">
        <v>32</v>
      </c>
    </row>
    <row r="1997" spans="2:3" x14ac:dyDescent="0.25">
      <c r="B1997">
        <v>353</v>
      </c>
      <c r="C1997">
        <v>18</v>
      </c>
    </row>
    <row r="1998" spans="2:3" x14ac:dyDescent="0.25">
      <c r="B1998">
        <v>351</v>
      </c>
      <c r="C1998">
        <v>26</v>
      </c>
    </row>
    <row r="1999" spans="2:3" x14ac:dyDescent="0.25">
      <c r="B1999">
        <v>351</v>
      </c>
      <c r="C1999">
        <v>19</v>
      </c>
    </row>
    <row r="2000" spans="2:3" x14ac:dyDescent="0.25">
      <c r="B2000">
        <v>351</v>
      </c>
      <c r="C2000">
        <v>22</v>
      </c>
    </row>
    <row r="2001" spans="2:3" x14ac:dyDescent="0.25">
      <c r="B2001">
        <v>350</v>
      </c>
      <c r="C2001">
        <v>11</v>
      </c>
    </row>
    <row r="2002" spans="2:3" x14ac:dyDescent="0.25">
      <c r="B2002">
        <v>350</v>
      </c>
      <c r="C2002">
        <v>11</v>
      </c>
    </row>
    <row r="2003" spans="2:3" x14ac:dyDescent="0.25">
      <c r="B2003">
        <v>349</v>
      </c>
      <c r="C2003">
        <v>0</v>
      </c>
    </row>
    <row r="2004" spans="2:3" x14ac:dyDescent="0.25">
      <c r="B2004">
        <v>347</v>
      </c>
      <c r="C2004">
        <v>16</v>
      </c>
    </row>
    <row r="2005" spans="2:3" x14ac:dyDescent="0.25">
      <c r="B2005">
        <v>347</v>
      </c>
      <c r="C2005">
        <v>5</v>
      </c>
    </row>
    <row r="2006" spans="2:3" x14ac:dyDescent="0.25">
      <c r="B2006">
        <v>346</v>
      </c>
      <c r="C2006">
        <v>20</v>
      </c>
    </row>
    <row r="2007" spans="2:3" x14ac:dyDescent="0.25">
      <c r="B2007">
        <v>345</v>
      </c>
      <c r="C2007">
        <v>12</v>
      </c>
    </row>
    <row r="2008" spans="2:3" x14ac:dyDescent="0.25">
      <c r="B2008">
        <v>345</v>
      </c>
      <c r="C2008">
        <v>0</v>
      </c>
    </row>
    <row r="2009" spans="2:3" x14ac:dyDescent="0.25">
      <c r="B2009">
        <v>344</v>
      </c>
      <c r="C2009">
        <v>21</v>
      </c>
    </row>
    <row r="2010" spans="2:3" x14ac:dyDescent="0.25">
      <c r="B2010">
        <v>341</v>
      </c>
      <c r="C2010">
        <v>24</v>
      </c>
    </row>
    <row r="2011" spans="2:3" x14ac:dyDescent="0.25">
      <c r="B2011">
        <v>340</v>
      </c>
      <c r="C2011">
        <v>26</v>
      </c>
    </row>
    <row r="2012" spans="2:3" x14ac:dyDescent="0.25">
      <c r="B2012">
        <v>339</v>
      </c>
      <c r="C2012">
        <v>0</v>
      </c>
    </row>
    <row r="2013" spans="2:3" x14ac:dyDescent="0.25">
      <c r="B2013">
        <v>339</v>
      </c>
      <c r="C2013">
        <v>18</v>
      </c>
    </row>
    <row r="2014" spans="2:3" x14ac:dyDescent="0.25">
      <c r="B2014">
        <v>339</v>
      </c>
      <c r="C2014">
        <v>8</v>
      </c>
    </row>
    <row r="2015" spans="2:3" x14ac:dyDescent="0.25">
      <c r="B2015">
        <v>335</v>
      </c>
      <c r="C2015">
        <v>18</v>
      </c>
    </row>
    <row r="2016" spans="2:3" x14ac:dyDescent="0.25">
      <c r="B2016">
        <v>335</v>
      </c>
      <c r="C2016">
        <v>7</v>
      </c>
    </row>
    <row r="2017" spans="2:3" x14ac:dyDescent="0.25">
      <c r="B2017">
        <v>329</v>
      </c>
      <c r="C2017">
        <v>0</v>
      </c>
    </row>
    <row r="2018" spans="2:3" x14ac:dyDescent="0.25">
      <c r="B2018">
        <v>328</v>
      </c>
      <c r="C2018">
        <v>1</v>
      </c>
    </row>
    <row r="2019" spans="2:3" x14ac:dyDescent="0.25">
      <c r="B2019">
        <v>325</v>
      </c>
      <c r="C2019">
        <v>0</v>
      </c>
    </row>
    <row r="2020" spans="2:3" x14ac:dyDescent="0.25">
      <c r="B2020">
        <v>325</v>
      </c>
      <c r="C2020">
        <v>13</v>
      </c>
    </row>
    <row r="2021" spans="2:3" x14ac:dyDescent="0.25">
      <c r="B2021">
        <v>321</v>
      </c>
      <c r="C2021">
        <v>24</v>
      </c>
    </row>
    <row r="2022" spans="2:3" x14ac:dyDescent="0.25">
      <c r="B2022">
        <v>318</v>
      </c>
      <c r="C2022">
        <v>10</v>
      </c>
    </row>
    <row r="2023" spans="2:3" x14ac:dyDescent="0.25">
      <c r="B2023">
        <v>317</v>
      </c>
      <c r="C2023">
        <v>25</v>
      </c>
    </row>
    <row r="2024" spans="2:3" x14ac:dyDescent="0.25">
      <c r="B2024">
        <v>317</v>
      </c>
      <c r="C2024">
        <v>18</v>
      </c>
    </row>
    <row r="2025" spans="2:3" x14ac:dyDescent="0.25">
      <c r="B2025">
        <v>317</v>
      </c>
      <c r="C2025">
        <v>21</v>
      </c>
    </row>
    <row r="2026" spans="2:3" x14ac:dyDescent="0.25">
      <c r="B2026">
        <v>316</v>
      </c>
      <c r="C2026">
        <v>15</v>
      </c>
    </row>
    <row r="2027" spans="2:3" x14ac:dyDescent="0.25">
      <c r="B2027">
        <v>315</v>
      </c>
      <c r="C2027">
        <v>25</v>
      </c>
    </row>
    <row r="2028" spans="2:3" x14ac:dyDescent="0.25">
      <c r="B2028">
        <v>313</v>
      </c>
      <c r="C2028">
        <v>26</v>
      </c>
    </row>
    <row r="2029" spans="2:3" x14ac:dyDescent="0.25">
      <c r="B2029">
        <v>312</v>
      </c>
      <c r="C2029">
        <v>0</v>
      </c>
    </row>
    <row r="2030" spans="2:3" x14ac:dyDescent="0.25">
      <c r="B2030">
        <v>311</v>
      </c>
      <c r="C2030">
        <v>0</v>
      </c>
    </row>
    <row r="2031" spans="2:3" x14ac:dyDescent="0.25">
      <c r="B2031">
        <v>304</v>
      </c>
      <c r="C2031">
        <v>0</v>
      </c>
    </row>
    <row r="2032" spans="2:3" x14ac:dyDescent="0.25">
      <c r="B2032">
        <v>303</v>
      </c>
      <c r="C2032">
        <v>2</v>
      </c>
    </row>
    <row r="2033" spans="2:3" x14ac:dyDescent="0.25">
      <c r="B2033">
        <v>302</v>
      </c>
      <c r="C2033">
        <v>9</v>
      </c>
    </row>
    <row r="2034" spans="2:3" x14ac:dyDescent="0.25">
      <c r="B2034">
        <v>299</v>
      </c>
      <c r="C2034">
        <v>2</v>
      </c>
    </row>
    <row r="2035" spans="2:3" x14ac:dyDescent="0.25">
      <c r="B2035">
        <v>295</v>
      </c>
      <c r="C2035">
        <v>0</v>
      </c>
    </row>
    <row r="2036" spans="2:3" x14ac:dyDescent="0.25">
      <c r="B2036">
        <v>292</v>
      </c>
      <c r="C2036">
        <v>11</v>
      </c>
    </row>
    <row r="2037" spans="2:3" x14ac:dyDescent="0.25">
      <c r="B2037">
        <v>291</v>
      </c>
      <c r="C2037">
        <v>20</v>
      </c>
    </row>
    <row r="2038" spans="2:3" x14ac:dyDescent="0.25">
      <c r="B2038">
        <v>289</v>
      </c>
      <c r="C2038">
        <v>3</v>
      </c>
    </row>
    <row r="2039" spans="2:3" x14ac:dyDescent="0.25">
      <c r="B2039">
        <v>284</v>
      </c>
      <c r="C2039">
        <v>23</v>
      </c>
    </row>
    <row r="2040" spans="2:3" x14ac:dyDescent="0.25">
      <c r="B2040">
        <v>275</v>
      </c>
      <c r="C2040">
        <v>0</v>
      </c>
    </row>
    <row r="2041" spans="2:3" x14ac:dyDescent="0.25">
      <c r="B2041">
        <v>274</v>
      </c>
      <c r="C2041">
        <v>21</v>
      </c>
    </row>
    <row r="2042" spans="2:3" x14ac:dyDescent="0.25">
      <c r="B2042">
        <v>274</v>
      </c>
      <c r="C2042">
        <v>24</v>
      </c>
    </row>
    <row r="2043" spans="2:3" x14ac:dyDescent="0.25">
      <c r="B2043">
        <v>272</v>
      </c>
      <c r="C2043">
        <v>16</v>
      </c>
    </row>
    <row r="2044" spans="2:3" x14ac:dyDescent="0.25">
      <c r="B2044">
        <v>271</v>
      </c>
      <c r="C2044">
        <v>13</v>
      </c>
    </row>
    <row r="2045" spans="2:3" x14ac:dyDescent="0.25">
      <c r="B2045">
        <v>270</v>
      </c>
      <c r="C2045">
        <v>23</v>
      </c>
    </row>
    <row r="2046" spans="2:3" x14ac:dyDescent="0.25">
      <c r="B2046">
        <v>267</v>
      </c>
      <c r="C2046">
        <v>4</v>
      </c>
    </row>
    <row r="2047" spans="2:3" x14ac:dyDescent="0.25">
      <c r="B2047">
        <v>266</v>
      </c>
      <c r="C2047">
        <v>15</v>
      </c>
    </row>
    <row r="2048" spans="2:3" x14ac:dyDescent="0.25">
      <c r="B2048">
        <v>262</v>
      </c>
      <c r="C2048">
        <v>23</v>
      </c>
    </row>
    <row r="2049" spans="2:3" x14ac:dyDescent="0.25">
      <c r="B2049">
        <v>261</v>
      </c>
      <c r="C2049">
        <v>22</v>
      </c>
    </row>
    <row r="2050" spans="2:3" x14ac:dyDescent="0.25">
      <c r="B2050">
        <v>257</v>
      </c>
      <c r="C2050">
        <v>0</v>
      </c>
    </row>
    <row r="2051" spans="2:3" x14ac:dyDescent="0.25">
      <c r="B2051">
        <v>257</v>
      </c>
      <c r="C2051">
        <v>0</v>
      </c>
    </row>
    <row r="2052" spans="2:3" x14ac:dyDescent="0.25">
      <c r="B2052">
        <v>257</v>
      </c>
      <c r="C2052">
        <v>0</v>
      </c>
    </row>
    <row r="2053" spans="2:3" x14ac:dyDescent="0.25">
      <c r="B2053">
        <v>256</v>
      </c>
      <c r="C2053">
        <v>4</v>
      </c>
    </row>
    <row r="2054" spans="2:3" x14ac:dyDescent="0.25">
      <c r="B2054">
        <v>254</v>
      </c>
      <c r="C2054">
        <v>0</v>
      </c>
    </row>
    <row r="2055" spans="2:3" x14ac:dyDescent="0.25">
      <c r="B2055">
        <v>253</v>
      </c>
      <c r="C2055">
        <v>0</v>
      </c>
    </row>
    <row r="2056" spans="2:3" x14ac:dyDescent="0.25">
      <c r="B2056">
        <v>252</v>
      </c>
      <c r="C2056">
        <v>4</v>
      </c>
    </row>
    <row r="2057" spans="2:3" x14ac:dyDescent="0.25">
      <c r="B2057">
        <v>252</v>
      </c>
      <c r="C2057">
        <v>0</v>
      </c>
    </row>
    <row r="2058" spans="2:3" x14ac:dyDescent="0.25">
      <c r="B2058">
        <v>251</v>
      </c>
      <c r="C2058">
        <v>20</v>
      </c>
    </row>
    <row r="2059" spans="2:3" x14ac:dyDescent="0.25">
      <c r="B2059">
        <v>251</v>
      </c>
      <c r="C2059">
        <v>18</v>
      </c>
    </row>
    <row r="2060" spans="2:3" x14ac:dyDescent="0.25">
      <c r="B2060">
        <v>250</v>
      </c>
      <c r="C2060">
        <v>5</v>
      </c>
    </row>
    <row r="2061" spans="2:3" x14ac:dyDescent="0.25">
      <c r="B2061">
        <v>250</v>
      </c>
      <c r="C2061">
        <v>10</v>
      </c>
    </row>
    <row r="2062" spans="2:3" x14ac:dyDescent="0.25">
      <c r="B2062">
        <v>250</v>
      </c>
      <c r="C2062">
        <v>9</v>
      </c>
    </row>
    <row r="2063" spans="2:3" x14ac:dyDescent="0.25">
      <c r="B2063">
        <v>250</v>
      </c>
      <c r="C2063">
        <v>10</v>
      </c>
    </row>
    <row r="2064" spans="2:3" x14ac:dyDescent="0.25">
      <c r="B2064">
        <v>249</v>
      </c>
      <c r="C2064">
        <v>20</v>
      </c>
    </row>
    <row r="2065" spans="2:3" x14ac:dyDescent="0.25">
      <c r="B2065">
        <v>246</v>
      </c>
      <c r="C2065">
        <v>5</v>
      </c>
    </row>
    <row r="2066" spans="2:3" x14ac:dyDescent="0.25">
      <c r="B2066">
        <v>245</v>
      </c>
      <c r="C2066">
        <v>23</v>
      </c>
    </row>
    <row r="2067" spans="2:3" x14ac:dyDescent="0.25">
      <c r="B2067">
        <v>244</v>
      </c>
      <c r="C2067">
        <v>23</v>
      </c>
    </row>
    <row r="2068" spans="2:3" x14ac:dyDescent="0.25">
      <c r="B2068">
        <v>242</v>
      </c>
      <c r="C2068">
        <v>23</v>
      </c>
    </row>
    <row r="2069" spans="2:3" x14ac:dyDescent="0.25">
      <c r="B2069">
        <v>240</v>
      </c>
      <c r="C2069">
        <v>24</v>
      </c>
    </row>
    <row r="2070" spans="2:3" x14ac:dyDescent="0.25">
      <c r="B2070">
        <v>239</v>
      </c>
      <c r="C2070">
        <v>18</v>
      </c>
    </row>
    <row r="2071" spans="2:3" x14ac:dyDescent="0.25">
      <c r="B2071">
        <v>239</v>
      </c>
      <c r="C2071">
        <v>16</v>
      </c>
    </row>
    <row r="2072" spans="2:3" x14ac:dyDescent="0.25">
      <c r="B2072">
        <v>238</v>
      </c>
      <c r="C2072">
        <v>22</v>
      </c>
    </row>
    <row r="2073" spans="2:3" x14ac:dyDescent="0.25">
      <c r="B2073">
        <v>236</v>
      </c>
      <c r="C2073">
        <v>0</v>
      </c>
    </row>
    <row r="2074" spans="2:3" x14ac:dyDescent="0.25">
      <c r="B2074">
        <v>235</v>
      </c>
      <c r="C2074">
        <v>0</v>
      </c>
    </row>
    <row r="2075" spans="2:3" x14ac:dyDescent="0.25">
      <c r="B2075">
        <v>235</v>
      </c>
      <c r="C2075">
        <v>21</v>
      </c>
    </row>
    <row r="2076" spans="2:3" x14ac:dyDescent="0.25">
      <c r="B2076">
        <v>235</v>
      </c>
      <c r="C2076">
        <v>10</v>
      </c>
    </row>
    <row r="2077" spans="2:3" x14ac:dyDescent="0.25">
      <c r="B2077">
        <v>233</v>
      </c>
      <c r="C2077">
        <v>21</v>
      </c>
    </row>
    <row r="2078" spans="2:3" x14ac:dyDescent="0.25">
      <c r="B2078">
        <v>231</v>
      </c>
      <c r="C2078">
        <v>13</v>
      </c>
    </row>
    <row r="2079" spans="2:3" x14ac:dyDescent="0.25">
      <c r="B2079">
        <v>231</v>
      </c>
      <c r="C2079">
        <v>18</v>
      </c>
    </row>
    <row r="2080" spans="2:3" x14ac:dyDescent="0.25">
      <c r="B2080">
        <v>230</v>
      </c>
      <c r="C2080">
        <v>10</v>
      </c>
    </row>
    <row r="2081" spans="2:3" x14ac:dyDescent="0.25">
      <c r="B2081">
        <v>229</v>
      </c>
      <c r="C2081">
        <v>12</v>
      </c>
    </row>
    <row r="2082" spans="2:3" x14ac:dyDescent="0.25">
      <c r="B2082">
        <v>227</v>
      </c>
      <c r="C2082">
        <v>19</v>
      </c>
    </row>
    <row r="2083" spans="2:3" x14ac:dyDescent="0.25">
      <c r="B2083">
        <v>226</v>
      </c>
      <c r="C2083">
        <v>0</v>
      </c>
    </row>
    <row r="2084" spans="2:3" x14ac:dyDescent="0.25">
      <c r="B2084">
        <v>222</v>
      </c>
      <c r="C2084">
        <v>25</v>
      </c>
    </row>
    <row r="2085" spans="2:3" x14ac:dyDescent="0.25">
      <c r="B2085">
        <v>221</v>
      </c>
      <c r="C2085">
        <v>19</v>
      </c>
    </row>
    <row r="2086" spans="2:3" x14ac:dyDescent="0.25">
      <c r="B2086">
        <v>220</v>
      </c>
      <c r="C2086">
        <v>16</v>
      </c>
    </row>
    <row r="2087" spans="2:3" x14ac:dyDescent="0.25">
      <c r="B2087">
        <v>212</v>
      </c>
      <c r="C2087">
        <v>26</v>
      </c>
    </row>
    <row r="2088" spans="2:3" x14ac:dyDescent="0.25">
      <c r="B2088">
        <v>212</v>
      </c>
      <c r="C2088">
        <v>25</v>
      </c>
    </row>
    <row r="2089" spans="2:3" x14ac:dyDescent="0.25">
      <c r="B2089">
        <v>212</v>
      </c>
      <c r="C2089">
        <v>21</v>
      </c>
    </row>
    <row r="2090" spans="2:3" x14ac:dyDescent="0.25">
      <c r="B2090">
        <v>211</v>
      </c>
      <c r="C2090">
        <v>23</v>
      </c>
    </row>
    <row r="2091" spans="2:3" x14ac:dyDescent="0.25">
      <c r="B2091">
        <v>209</v>
      </c>
      <c r="C2091">
        <v>21</v>
      </c>
    </row>
    <row r="2092" spans="2:3" x14ac:dyDescent="0.25">
      <c r="B2092">
        <v>206</v>
      </c>
      <c r="C2092">
        <v>23</v>
      </c>
    </row>
    <row r="2093" spans="2:3" x14ac:dyDescent="0.25">
      <c r="B2093">
        <v>206</v>
      </c>
      <c r="C2093">
        <v>1</v>
      </c>
    </row>
    <row r="2094" spans="2:3" x14ac:dyDescent="0.25">
      <c r="B2094">
        <v>205</v>
      </c>
      <c r="C2094">
        <v>5</v>
      </c>
    </row>
    <row r="2095" spans="2:3" x14ac:dyDescent="0.25">
      <c r="B2095">
        <v>205</v>
      </c>
      <c r="C2095">
        <v>13</v>
      </c>
    </row>
    <row r="2096" spans="2:3" x14ac:dyDescent="0.25">
      <c r="B2096">
        <v>203</v>
      </c>
      <c r="C2096">
        <v>12</v>
      </c>
    </row>
    <row r="2097" spans="2:3" x14ac:dyDescent="0.25">
      <c r="B2097">
        <v>202</v>
      </c>
      <c r="C2097">
        <v>11</v>
      </c>
    </row>
    <row r="2098" spans="2:3" x14ac:dyDescent="0.25">
      <c r="B2098">
        <v>202</v>
      </c>
      <c r="C2098">
        <v>1</v>
      </c>
    </row>
    <row r="2099" spans="2:3" x14ac:dyDescent="0.25">
      <c r="B2099">
        <v>201</v>
      </c>
      <c r="C2099">
        <v>6</v>
      </c>
    </row>
    <row r="2100" spans="2:3" x14ac:dyDescent="0.25">
      <c r="B2100">
        <v>201</v>
      </c>
      <c r="C2100">
        <v>12</v>
      </c>
    </row>
    <row r="2101" spans="2:3" x14ac:dyDescent="0.25">
      <c r="B2101">
        <v>199</v>
      </c>
      <c r="C2101">
        <v>0</v>
      </c>
    </row>
    <row r="2102" spans="2:3" x14ac:dyDescent="0.25">
      <c r="B2102">
        <v>193</v>
      </c>
      <c r="C2102">
        <v>18</v>
      </c>
    </row>
    <row r="2103" spans="2:3" x14ac:dyDescent="0.25">
      <c r="B2103">
        <v>192</v>
      </c>
      <c r="C2103">
        <v>18</v>
      </c>
    </row>
    <row r="2104" spans="2:3" x14ac:dyDescent="0.25">
      <c r="B2104">
        <v>192</v>
      </c>
      <c r="C2104">
        <v>24</v>
      </c>
    </row>
    <row r="2105" spans="2:3" x14ac:dyDescent="0.25">
      <c r="B2105">
        <v>190</v>
      </c>
      <c r="C2105">
        <v>22</v>
      </c>
    </row>
    <row r="2106" spans="2:3" x14ac:dyDescent="0.25">
      <c r="B2106">
        <v>188</v>
      </c>
      <c r="C2106">
        <v>7</v>
      </c>
    </row>
    <row r="2107" spans="2:3" x14ac:dyDescent="0.25">
      <c r="B2107">
        <v>188</v>
      </c>
      <c r="C2107">
        <v>14</v>
      </c>
    </row>
    <row r="2108" spans="2:3" x14ac:dyDescent="0.25">
      <c r="B2108">
        <v>187</v>
      </c>
      <c r="C2108">
        <v>14</v>
      </c>
    </row>
    <row r="2109" spans="2:3" x14ac:dyDescent="0.25">
      <c r="B2109">
        <v>187</v>
      </c>
      <c r="C2109">
        <v>17</v>
      </c>
    </row>
    <row r="2110" spans="2:3" x14ac:dyDescent="0.25">
      <c r="B2110">
        <v>186</v>
      </c>
      <c r="C2110">
        <v>22</v>
      </c>
    </row>
    <row r="2111" spans="2:3" x14ac:dyDescent="0.25">
      <c r="B2111">
        <v>186</v>
      </c>
      <c r="C2111">
        <v>17</v>
      </c>
    </row>
    <row r="2112" spans="2:3" x14ac:dyDescent="0.25">
      <c r="B2112">
        <v>183</v>
      </c>
      <c r="C2112">
        <v>0</v>
      </c>
    </row>
    <row r="2113" spans="2:3" x14ac:dyDescent="0.25">
      <c r="B2113">
        <v>177</v>
      </c>
      <c r="C2113">
        <v>24</v>
      </c>
    </row>
    <row r="2114" spans="2:3" x14ac:dyDescent="0.25">
      <c r="B2114">
        <v>177</v>
      </c>
      <c r="C2114">
        <v>18</v>
      </c>
    </row>
    <row r="2115" spans="2:3" x14ac:dyDescent="0.25">
      <c r="B2115">
        <v>176</v>
      </c>
      <c r="C2115">
        <v>11</v>
      </c>
    </row>
    <row r="2116" spans="2:3" x14ac:dyDescent="0.25">
      <c r="B2116">
        <v>175</v>
      </c>
      <c r="C2116">
        <v>11</v>
      </c>
    </row>
    <row r="2117" spans="2:3" x14ac:dyDescent="0.25">
      <c r="B2117">
        <v>174</v>
      </c>
      <c r="C2117">
        <v>0</v>
      </c>
    </row>
    <row r="2118" spans="2:3" x14ac:dyDescent="0.25">
      <c r="B2118">
        <v>172</v>
      </c>
      <c r="C2118">
        <v>0</v>
      </c>
    </row>
    <row r="2119" spans="2:3" x14ac:dyDescent="0.25">
      <c r="B2119">
        <v>170</v>
      </c>
      <c r="C2119">
        <v>20</v>
      </c>
    </row>
    <row r="2120" spans="2:3" x14ac:dyDescent="0.25">
      <c r="B2120">
        <v>169</v>
      </c>
      <c r="C2120">
        <v>0</v>
      </c>
    </row>
    <row r="2121" spans="2:3" x14ac:dyDescent="0.25">
      <c r="B2121">
        <v>168</v>
      </c>
      <c r="C2121">
        <v>5</v>
      </c>
    </row>
    <row r="2122" spans="2:3" x14ac:dyDescent="0.25">
      <c r="B2122">
        <v>164</v>
      </c>
      <c r="C2122">
        <v>20</v>
      </c>
    </row>
    <row r="2123" spans="2:3" x14ac:dyDescent="0.25">
      <c r="B2123">
        <v>160</v>
      </c>
      <c r="C2123">
        <v>8</v>
      </c>
    </row>
    <row r="2124" spans="2:3" x14ac:dyDescent="0.25">
      <c r="B2124">
        <v>160</v>
      </c>
      <c r="C2124">
        <v>13</v>
      </c>
    </row>
    <row r="2125" spans="2:3" x14ac:dyDescent="0.25">
      <c r="B2125">
        <v>158</v>
      </c>
      <c r="C2125">
        <v>17</v>
      </c>
    </row>
    <row r="2126" spans="2:3" x14ac:dyDescent="0.25">
      <c r="B2126">
        <v>157</v>
      </c>
      <c r="C2126">
        <v>0</v>
      </c>
    </row>
    <row r="2127" spans="2:3" x14ac:dyDescent="0.25">
      <c r="B2127">
        <v>156</v>
      </c>
      <c r="C2127">
        <v>11</v>
      </c>
    </row>
    <row r="2128" spans="2:3" x14ac:dyDescent="0.25">
      <c r="B2128">
        <v>154</v>
      </c>
      <c r="C2128">
        <v>23</v>
      </c>
    </row>
    <row r="2129" spans="2:3" x14ac:dyDescent="0.25">
      <c r="B2129">
        <v>151</v>
      </c>
      <c r="C2129">
        <v>0</v>
      </c>
    </row>
    <row r="2130" spans="2:3" x14ac:dyDescent="0.25">
      <c r="B2130">
        <v>151</v>
      </c>
      <c r="C2130">
        <v>5</v>
      </c>
    </row>
    <row r="2131" spans="2:3" x14ac:dyDescent="0.25">
      <c r="B2131">
        <v>150</v>
      </c>
      <c r="C2131">
        <v>13</v>
      </c>
    </row>
    <row r="2132" spans="2:3" x14ac:dyDescent="0.25">
      <c r="B2132">
        <v>145</v>
      </c>
      <c r="C2132">
        <v>0</v>
      </c>
    </row>
    <row r="2133" spans="2:3" x14ac:dyDescent="0.25">
      <c r="B2133">
        <v>144</v>
      </c>
      <c r="C2133">
        <v>11</v>
      </c>
    </row>
    <row r="2134" spans="2:3" x14ac:dyDescent="0.25">
      <c r="B2134">
        <v>143</v>
      </c>
      <c r="C2134">
        <v>22</v>
      </c>
    </row>
    <row r="2135" spans="2:3" x14ac:dyDescent="0.25">
      <c r="B2135">
        <v>143</v>
      </c>
      <c r="C2135">
        <v>22</v>
      </c>
    </row>
    <row r="2136" spans="2:3" x14ac:dyDescent="0.25">
      <c r="B2136">
        <v>139</v>
      </c>
      <c r="C2136">
        <v>22</v>
      </c>
    </row>
    <row r="2137" spans="2:3" x14ac:dyDescent="0.25">
      <c r="B2137">
        <v>139</v>
      </c>
      <c r="C2137">
        <v>22</v>
      </c>
    </row>
    <row r="2138" spans="2:3" x14ac:dyDescent="0.25">
      <c r="B2138">
        <v>139</v>
      </c>
      <c r="C2138">
        <v>23</v>
      </c>
    </row>
    <row r="2139" spans="2:3" x14ac:dyDescent="0.25">
      <c r="B2139">
        <v>137</v>
      </c>
      <c r="C2139">
        <v>15</v>
      </c>
    </row>
    <row r="2140" spans="2:3" x14ac:dyDescent="0.25">
      <c r="B2140">
        <v>136</v>
      </c>
      <c r="C2140">
        <v>27</v>
      </c>
    </row>
    <row r="2141" spans="2:3" x14ac:dyDescent="0.25">
      <c r="B2141">
        <v>135</v>
      </c>
      <c r="C2141">
        <v>19</v>
      </c>
    </row>
    <row r="2142" spans="2:3" x14ac:dyDescent="0.25">
      <c r="B2142">
        <v>134</v>
      </c>
      <c r="C2142">
        <v>22</v>
      </c>
    </row>
    <row r="2143" spans="2:3" x14ac:dyDescent="0.25">
      <c r="B2143">
        <v>134</v>
      </c>
      <c r="C2143">
        <v>18</v>
      </c>
    </row>
    <row r="2144" spans="2:3" x14ac:dyDescent="0.25">
      <c r="B2144">
        <v>132</v>
      </c>
      <c r="C2144">
        <v>2</v>
      </c>
    </row>
    <row r="2145" spans="2:3" x14ac:dyDescent="0.25">
      <c r="B2145">
        <v>131</v>
      </c>
      <c r="C2145">
        <v>16</v>
      </c>
    </row>
    <row r="2146" spans="2:3" x14ac:dyDescent="0.25">
      <c r="B2146">
        <v>129</v>
      </c>
      <c r="C2146">
        <v>0</v>
      </c>
    </row>
    <row r="2147" spans="2:3" x14ac:dyDescent="0.25">
      <c r="B2147">
        <v>129</v>
      </c>
      <c r="C2147">
        <v>7</v>
      </c>
    </row>
    <row r="2148" spans="2:3" x14ac:dyDescent="0.25">
      <c r="B2148">
        <v>127</v>
      </c>
      <c r="C2148">
        <v>17</v>
      </c>
    </row>
    <row r="2149" spans="2:3" x14ac:dyDescent="0.25">
      <c r="B2149">
        <v>125</v>
      </c>
      <c r="C2149">
        <v>22</v>
      </c>
    </row>
    <row r="2150" spans="2:3" x14ac:dyDescent="0.25">
      <c r="B2150">
        <v>121</v>
      </c>
      <c r="C2150">
        <v>14</v>
      </c>
    </row>
    <row r="2151" spans="2:3" x14ac:dyDescent="0.25">
      <c r="B2151">
        <v>121</v>
      </c>
      <c r="C2151">
        <v>20</v>
      </c>
    </row>
    <row r="2152" spans="2:3" x14ac:dyDescent="0.25">
      <c r="B2152">
        <v>116</v>
      </c>
      <c r="C2152">
        <v>1</v>
      </c>
    </row>
    <row r="2153" spans="2:3" x14ac:dyDescent="0.25">
      <c r="B2153">
        <v>115</v>
      </c>
      <c r="C2153">
        <v>2</v>
      </c>
    </row>
    <row r="2154" spans="2:3" x14ac:dyDescent="0.25">
      <c r="B2154">
        <v>115</v>
      </c>
      <c r="C2154">
        <v>0</v>
      </c>
    </row>
    <row r="2155" spans="2:3" x14ac:dyDescent="0.25">
      <c r="B2155">
        <v>114</v>
      </c>
      <c r="C2155">
        <v>13</v>
      </c>
    </row>
    <row r="2156" spans="2:3" x14ac:dyDescent="0.25">
      <c r="B2156">
        <v>114</v>
      </c>
      <c r="C2156">
        <v>6</v>
      </c>
    </row>
    <row r="2157" spans="2:3" x14ac:dyDescent="0.25">
      <c r="B2157">
        <v>113</v>
      </c>
      <c r="C2157">
        <v>21</v>
      </c>
    </row>
    <row r="2158" spans="2:3" x14ac:dyDescent="0.25">
      <c r="B2158">
        <v>112</v>
      </c>
      <c r="C2158">
        <v>9</v>
      </c>
    </row>
    <row r="2159" spans="2:3" x14ac:dyDescent="0.25">
      <c r="B2159">
        <v>108</v>
      </c>
      <c r="C2159">
        <v>20</v>
      </c>
    </row>
    <row r="2160" spans="2:3" x14ac:dyDescent="0.25">
      <c r="B2160">
        <v>108</v>
      </c>
      <c r="C2160">
        <v>22</v>
      </c>
    </row>
    <row r="2161" spans="2:3" x14ac:dyDescent="0.25">
      <c r="B2161">
        <v>108</v>
      </c>
      <c r="C2161">
        <v>14</v>
      </c>
    </row>
    <row r="2162" spans="2:3" x14ac:dyDescent="0.25">
      <c r="B2162">
        <v>105</v>
      </c>
      <c r="C2162">
        <v>0</v>
      </c>
    </row>
    <row r="2163" spans="2:3" x14ac:dyDescent="0.25">
      <c r="B2163">
        <v>102</v>
      </c>
      <c r="C2163">
        <v>22</v>
      </c>
    </row>
    <row r="2164" spans="2:3" x14ac:dyDescent="0.25">
      <c r="B2164">
        <v>102</v>
      </c>
      <c r="C2164">
        <v>3</v>
      </c>
    </row>
    <row r="2165" spans="2:3" x14ac:dyDescent="0.25">
      <c r="B2165">
        <v>99</v>
      </c>
      <c r="C2165">
        <v>18</v>
      </c>
    </row>
    <row r="2166" spans="2:3" x14ac:dyDescent="0.25">
      <c r="B2166">
        <v>98</v>
      </c>
      <c r="C2166">
        <v>4</v>
      </c>
    </row>
    <row r="2167" spans="2:3" x14ac:dyDescent="0.25">
      <c r="B2167">
        <v>98</v>
      </c>
      <c r="C2167">
        <v>0</v>
      </c>
    </row>
    <row r="2168" spans="2:3" x14ac:dyDescent="0.25">
      <c r="B2168">
        <v>96</v>
      </c>
      <c r="C2168">
        <v>24</v>
      </c>
    </row>
    <row r="2169" spans="2:3" x14ac:dyDescent="0.25">
      <c r="B2169">
        <v>96</v>
      </c>
      <c r="C2169">
        <v>25</v>
      </c>
    </row>
    <row r="2170" spans="2:3" x14ac:dyDescent="0.25">
      <c r="B2170">
        <v>95</v>
      </c>
      <c r="C2170">
        <v>10</v>
      </c>
    </row>
    <row r="2171" spans="2:3" x14ac:dyDescent="0.25">
      <c r="B2171">
        <v>95</v>
      </c>
      <c r="C2171">
        <v>15</v>
      </c>
    </row>
    <row r="2172" spans="2:3" x14ac:dyDescent="0.25">
      <c r="B2172">
        <v>94</v>
      </c>
      <c r="C2172">
        <v>12</v>
      </c>
    </row>
    <row r="2173" spans="2:3" x14ac:dyDescent="0.25">
      <c r="B2173">
        <v>94</v>
      </c>
      <c r="C2173">
        <v>18</v>
      </c>
    </row>
    <row r="2174" spans="2:3" x14ac:dyDescent="0.25">
      <c r="B2174">
        <v>92</v>
      </c>
      <c r="C2174">
        <v>23</v>
      </c>
    </row>
    <row r="2175" spans="2:3" x14ac:dyDescent="0.25">
      <c r="B2175">
        <v>92</v>
      </c>
      <c r="C2175">
        <v>0</v>
      </c>
    </row>
    <row r="2176" spans="2:3" x14ac:dyDescent="0.25">
      <c r="B2176">
        <v>90</v>
      </c>
      <c r="C2176">
        <v>22</v>
      </c>
    </row>
    <row r="2177" spans="2:3" x14ac:dyDescent="0.25">
      <c r="B2177">
        <v>90</v>
      </c>
      <c r="C2177">
        <v>23</v>
      </c>
    </row>
    <row r="2178" spans="2:3" x14ac:dyDescent="0.25">
      <c r="B2178">
        <v>90</v>
      </c>
      <c r="C2178">
        <v>21</v>
      </c>
    </row>
    <row r="2179" spans="2:3" x14ac:dyDescent="0.25">
      <c r="B2179">
        <v>88</v>
      </c>
      <c r="C2179">
        <v>23</v>
      </c>
    </row>
    <row r="2180" spans="2:3" x14ac:dyDescent="0.25">
      <c r="B2180">
        <v>88</v>
      </c>
      <c r="C2180">
        <v>22</v>
      </c>
    </row>
    <row r="2181" spans="2:3" x14ac:dyDescent="0.25">
      <c r="B2181">
        <v>85</v>
      </c>
      <c r="C2181">
        <v>27</v>
      </c>
    </row>
    <row r="2182" spans="2:3" x14ac:dyDescent="0.25">
      <c r="B2182">
        <v>84</v>
      </c>
      <c r="C2182">
        <v>25</v>
      </c>
    </row>
    <row r="2183" spans="2:3" x14ac:dyDescent="0.25">
      <c r="B2183">
        <v>83</v>
      </c>
      <c r="C2183">
        <v>17</v>
      </c>
    </row>
    <row r="2184" spans="2:3" x14ac:dyDescent="0.25">
      <c r="B2184">
        <v>80</v>
      </c>
      <c r="C2184">
        <v>23</v>
      </c>
    </row>
    <row r="2185" spans="2:3" x14ac:dyDescent="0.25">
      <c r="B2185">
        <v>79</v>
      </c>
      <c r="C2185">
        <v>11</v>
      </c>
    </row>
    <row r="2186" spans="2:3" x14ac:dyDescent="0.25">
      <c r="B2186">
        <v>79</v>
      </c>
      <c r="C2186">
        <v>11</v>
      </c>
    </row>
    <row r="2187" spans="2:3" x14ac:dyDescent="0.25">
      <c r="B2187">
        <v>76</v>
      </c>
      <c r="C2187">
        <v>22</v>
      </c>
    </row>
    <row r="2188" spans="2:3" x14ac:dyDescent="0.25">
      <c r="B2188">
        <v>75</v>
      </c>
      <c r="C2188">
        <v>19</v>
      </c>
    </row>
    <row r="2189" spans="2:3" x14ac:dyDescent="0.25">
      <c r="B2189">
        <v>75</v>
      </c>
      <c r="C2189">
        <v>27</v>
      </c>
    </row>
    <row r="2190" spans="2:3" x14ac:dyDescent="0.25">
      <c r="B2190">
        <v>71</v>
      </c>
      <c r="C2190">
        <v>13</v>
      </c>
    </row>
    <row r="2191" spans="2:3" x14ac:dyDescent="0.25">
      <c r="B2191">
        <v>67</v>
      </c>
      <c r="C2191">
        <v>0</v>
      </c>
    </row>
    <row r="2192" spans="2:3" x14ac:dyDescent="0.25">
      <c r="B2192">
        <v>66</v>
      </c>
      <c r="C2192">
        <v>14</v>
      </c>
    </row>
    <row r="2193" spans="2:3" x14ac:dyDescent="0.25">
      <c r="B2193">
        <v>66</v>
      </c>
      <c r="C2193">
        <v>16</v>
      </c>
    </row>
    <row r="2194" spans="2:3" x14ac:dyDescent="0.25">
      <c r="B2194">
        <v>64</v>
      </c>
      <c r="C2194">
        <v>8</v>
      </c>
    </row>
    <row r="2195" spans="2:3" x14ac:dyDescent="0.25">
      <c r="B2195">
        <v>60</v>
      </c>
      <c r="C2195">
        <v>1</v>
      </c>
    </row>
    <row r="2196" spans="2:3" x14ac:dyDescent="0.25">
      <c r="B2196">
        <v>59</v>
      </c>
      <c r="C2196">
        <v>21</v>
      </c>
    </row>
    <row r="2197" spans="2:3" x14ac:dyDescent="0.25">
      <c r="B2197">
        <v>58</v>
      </c>
      <c r="C2197">
        <v>18</v>
      </c>
    </row>
    <row r="2198" spans="2:3" x14ac:dyDescent="0.25">
      <c r="B2198">
        <v>58</v>
      </c>
      <c r="C2198">
        <v>16</v>
      </c>
    </row>
    <row r="2199" spans="2:3" x14ac:dyDescent="0.25">
      <c r="B2199">
        <v>55</v>
      </c>
      <c r="C2199">
        <v>18</v>
      </c>
    </row>
    <row r="2200" spans="2:3" x14ac:dyDescent="0.25">
      <c r="B2200">
        <v>55</v>
      </c>
      <c r="C2200">
        <v>7</v>
      </c>
    </row>
    <row r="2201" spans="2:3" x14ac:dyDescent="0.25">
      <c r="B2201">
        <v>53</v>
      </c>
      <c r="C2201">
        <v>8</v>
      </c>
    </row>
    <row r="2202" spans="2:3" x14ac:dyDescent="0.25">
      <c r="B2202">
        <v>53</v>
      </c>
      <c r="C2202">
        <v>0</v>
      </c>
    </row>
    <row r="2203" spans="2:3" x14ac:dyDescent="0.25">
      <c r="B2203">
        <v>52</v>
      </c>
      <c r="C2203">
        <v>13</v>
      </c>
    </row>
    <row r="2204" spans="2:3" x14ac:dyDescent="0.25">
      <c r="B2204">
        <v>51</v>
      </c>
      <c r="C2204">
        <v>0</v>
      </c>
    </row>
    <row r="2205" spans="2:3" x14ac:dyDescent="0.25">
      <c r="B2205">
        <v>50</v>
      </c>
      <c r="C2205">
        <v>4</v>
      </c>
    </row>
    <row r="2206" spans="2:3" x14ac:dyDescent="0.25">
      <c r="B2206">
        <v>50</v>
      </c>
      <c r="C2206">
        <v>5</v>
      </c>
    </row>
    <row r="2207" spans="2:3" x14ac:dyDescent="0.25">
      <c r="B2207">
        <v>47</v>
      </c>
      <c r="C2207">
        <v>0</v>
      </c>
    </row>
    <row r="2208" spans="2:3" x14ac:dyDescent="0.25">
      <c r="B2208">
        <v>46</v>
      </c>
      <c r="C2208">
        <v>12</v>
      </c>
    </row>
    <row r="2209" spans="2:3" x14ac:dyDescent="0.25">
      <c r="B2209">
        <v>45</v>
      </c>
      <c r="C2209">
        <v>0</v>
      </c>
    </row>
    <row r="2210" spans="2:3" x14ac:dyDescent="0.25">
      <c r="B2210">
        <v>45</v>
      </c>
      <c r="C2210">
        <v>1</v>
      </c>
    </row>
    <row r="2211" spans="2:3" x14ac:dyDescent="0.25">
      <c r="B2211">
        <v>44</v>
      </c>
      <c r="C2211">
        <v>0</v>
      </c>
    </row>
    <row r="2212" spans="2:3" x14ac:dyDescent="0.25">
      <c r="B2212">
        <v>43</v>
      </c>
      <c r="C2212">
        <v>0</v>
      </c>
    </row>
    <row r="2213" spans="2:3" x14ac:dyDescent="0.25">
      <c r="B2213">
        <v>43</v>
      </c>
      <c r="C2213">
        <v>0</v>
      </c>
    </row>
    <row r="2214" spans="2:3" x14ac:dyDescent="0.25">
      <c r="B2214">
        <v>43</v>
      </c>
      <c r="C2214">
        <v>9</v>
      </c>
    </row>
    <row r="2215" spans="2:3" x14ac:dyDescent="0.25">
      <c r="B2215">
        <v>40</v>
      </c>
      <c r="C2215">
        <v>7</v>
      </c>
    </row>
    <row r="2216" spans="2:3" x14ac:dyDescent="0.25">
      <c r="B2216">
        <v>38</v>
      </c>
      <c r="C2216">
        <v>0</v>
      </c>
    </row>
    <row r="2217" spans="2:3" x14ac:dyDescent="0.25">
      <c r="B2217">
        <v>37</v>
      </c>
      <c r="C2217">
        <v>0</v>
      </c>
    </row>
    <row r="2218" spans="2:3" x14ac:dyDescent="0.25">
      <c r="B2218">
        <v>36</v>
      </c>
      <c r="C2218">
        <v>12</v>
      </c>
    </row>
    <row r="2219" spans="2:3" x14ac:dyDescent="0.25">
      <c r="B2219">
        <v>35</v>
      </c>
      <c r="C2219">
        <v>10</v>
      </c>
    </row>
    <row r="2220" spans="2:3" x14ac:dyDescent="0.25">
      <c r="B2220">
        <v>35</v>
      </c>
      <c r="C2220">
        <v>12</v>
      </c>
    </row>
    <row r="2221" spans="2:3" x14ac:dyDescent="0.25">
      <c r="B2221">
        <v>31</v>
      </c>
      <c r="C2221">
        <v>12</v>
      </c>
    </row>
    <row r="2222" spans="2:3" x14ac:dyDescent="0.25">
      <c r="B2222">
        <v>31</v>
      </c>
      <c r="C2222">
        <v>4</v>
      </c>
    </row>
    <row r="2223" spans="2:3" x14ac:dyDescent="0.25">
      <c r="B2223">
        <v>30</v>
      </c>
      <c r="C2223">
        <v>14</v>
      </c>
    </row>
    <row r="2224" spans="2:3" x14ac:dyDescent="0.25">
      <c r="B2224">
        <v>28</v>
      </c>
      <c r="C2224">
        <v>12</v>
      </c>
    </row>
    <row r="2225" spans="2:3" x14ac:dyDescent="0.25">
      <c r="B2225">
        <v>27</v>
      </c>
      <c r="C2225">
        <v>2</v>
      </c>
    </row>
    <row r="2226" spans="2:3" x14ac:dyDescent="0.25">
      <c r="B2226">
        <v>27</v>
      </c>
      <c r="C2226">
        <v>2</v>
      </c>
    </row>
    <row r="2227" spans="2:3" x14ac:dyDescent="0.25">
      <c r="B2227">
        <v>26</v>
      </c>
      <c r="C2227">
        <v>19</v>
      </c>
    </row>
    <row r="2228" spans="2:3" x14ac:dyDescent="0.25">
      <c r="B2228">
        <v>26</v>
      </c>
      <c r="C2228">
        <v>16</v>
      </c>
    </row>
    <row r="2229" spans="2:3" x14ac:dyDescent="0.25">
      <c r="B2229">
        <v>24</v>
      </c>
      <c r="C2229">
        <v>16</v>
      </c>
    </row>
    <row r="2230" spans="2:3" x14ac:dyDescent="0.25">
      <c r="B2230">
        <v>24</v>
      </c>
      <c r="C2230">
        <v>19</v>
      </c>
    </row>
    <row r="2231" spans="2:3" x14ac:dyDescent="0.25">
      <c r="B2231">
        <v>23</v>
      </c>
      <c r="C2231">
        <v>14</v>
      </c>
    </row>
    <row r="2232" spans="2:3" x14ac:dyDescent="0.25">
      <c r="B2232">
        <v>22</v>
      </c>
      <c r="C2232">
        <v>8</v>
      </c>
    </row>
    <row r="2233" spans="2:3" x14ac:dyDescent="0.25">
      <c r="B2233">
        <v>21</v>
      </c>
      <c r="C2233">
        <v>0</v>
      </c>
    </row>
    <row r="2234" spans="2:3" x14ac:dyDescent="0.25">
      <c r="B2234">
        <v>21</v>
      </c>
      <c r="C2234">
        <v>0</v>
      </c>
    </row>
    <row r="2235" spans="2:3" x14ac:dyDescent="0.25">
      <c r="B2235">
        <v>20</v>
      </c>
      <c r="C2235">
        <v>16</v>
      </c>
    </row>
    <row r="2236" spans="2:3" x14ac:dyDescent="0.25">
      <c r="B2236">
        <v>20</v>
      </c>
      <c r="C2236">
        <v>11</v>
      </c>
    </row>
    <row r="2237" spans="2:3" x14ac:dyDescent="0.25">
      <c r="B2237">
        <v>19</v>
      </c>
      <c r="C2237">
        <v>10</v>
      </c>
    </row>
    <row r="2238" spans="2:3" x14ac:dyDescent="0.25">
      <c r="B2238">
        <v>17</v>
      </c>
      <c r="C2238">
        <v>18</v>
      </c>
    </row>
    <row r="2239" spans="2:3" x14ac:dyDescent="0.25">
      <c r="B2239">
        <v>17</v>
      </c>
      <c r="C2239">
        <v>13</v>
      </c>
    </row>
    <row r="2240" spans="2:3" x14ac:dyDescent="0.25">
      <c r="B2240">
        <v>17</v>
      </c>
      <c r="C2240">
        <v>21</v>
      </c>
    </row>
    <row r="2241" spans="2:3" x14ac:dyDescent="0.25">
      <c r="B2241">
        <v>16</v>
      </c>
      <c r="C2241">
        <v>22</v>
      </c>
    </row>
    <row r="2242" spans="2:3" x14ac:dyDescent="0.25">
      <c r="B2242">
        <v>14</v>
      </c>
      <c r="C2242">
        <v>21</v>
      </c>
    </row>
    <row r="2243" spans="2:3" x14ac:dyDescent="0.25">
      <c r="B2243">
        <v>12</v>
      </c>
      <c r="C2243">
        <v>22</v>
      </c>
    </row>
    <row r="2244" spans="2:3" x14ac:dyDescent="0.25">
      <c r="B2244">
        <v>9</v>
      </c>
      <c r="C2244">
        <v>21</v>
      </c>
    </row>
    <row r="2245" spans="2:3" x14ac:dyDescent="0.25">
      <c r="B2245">
        <v>8</v>
      </c>
      <c r="C2245">
        <v>16</v>
      </c>
    </row>
    <row r="2246" spans="2:3" x14ac:dyDescent="0.25">
      <c r="B2246">
        <v>8</v>
      </c>
      <c r="C2246">
        <v>19</v>
      </c>
    </row>
    <row r="2247" spans="2:3" x14ac:dyDescent="0.25">
      <c r="B2247">
        <v>8</v>
      </c>
      <c r="C2247">
        <v>8</v>
      </c>
    </row>
    <row r="2248" spans="2:3" x14ac:dyDescent="0.25">
      <c r="B2248">
        <v>5</v>
      </c>
      <c r="C2248">
        <v>14</v>
      </c>
    </row>
    <row r="2249" spans="2:3" x14ac:dyDescent="0.25">
      <c r="B2249">
        <v>5</v>
      </c>
      <c r="C2249">
        <v>0</v>
      </c>
    </row>
    <row r="2250" spans="2:3" x14ac:dyDescent="0.25">
      <c r="B2250">
        <v>5</v>
      </c>
      <c r="C2250">
        <v>0</v>
      </c>
    </row>
    <row r="2251" spans="2:3" x14ac:dyDescent="0.25">
      <c r="B2251">
        <v>4</v>
      </c>
      <c r="C2251">
        <v>24</v>
      </c>
    </row>
    <row r="2252" spans="2:3" x14ac:dyDescent="0.25">
      <c r="B2252">
        <v>4</v>
      </c>
      <c r="C2252">
        <v>19</v>
      </c>
    </row>
    <row r="2253" spans="2:3" x14ac:dyDescent="0.25">
      <c r="B2253">
        <v>3</v>
      </c>
      <c r="C2253">
        <v>16</v>
      </c>
    </row>
    <row r="2254" spans="2:3" x14ac:dyDescent="0.25">
      <c r="B2254">
        <v>3</v>
      </c>
      <c r="C2254">
        <v>21</v>
      </c>
    </row>
    <row r="2255" spans="2:3" x14ac:dyDescent="0.25">
      <c r="B2255">
        <v>3</v>
      </c>
      <c r="C2255">
        <v>20</v>
      </c>
    </row>
    <row r="2256" spans="2:3" x14ac:dyDescent="0.25">
      <c r="B2256">
        <v>2</v>
      </c>
      <c r="C2256">
        <v>18</v>
      </c>
    </row>
    <row r="2257" spans="2:3" x14ac:dyDescent="0.25">
      <c r="B2257">
        <v>2</v>
      </c>
      <c r="C2257">
        <v>0</v>
      </c>
    </row>
    <row r="2258" spans="2:3" x14ac:dyDescent="0.25">
      <c r="B2258">
        <v>414</v>
      </c>
      <c r="C2258">
        <v>20</v>
      </c>
    </row>
    <row r="2259" spans="2:3" x14ac:dyDescent="0.25">
      <c r="B2259">
        <v>413</v>
      </c>
      <c r="C2259">
        <v>17</v>
      </c>
    </row>
    <row r="2260" spans="2:3" x14ac:dyDescent="0.25">
      <c r="B2260">
        <v>413</v>
      </c>
      <c r="C2260">
        <v>12</v>
      </c>
    </row>
    <row r="2261" spans="2:3" x14ac:dyDescent="0.25">
      <c r="B2261">
        <v>412</v>
      </c>
      <c r="C2261">
        <v>23</v>
      </c>
    </row>
    <row r="2262" spans="2:3" x14ac:dyDescent="0.25">
      <c r="B2262">
        <v>410</v>
      </c>
      <c r="C2262">
        <v>24</v>
      </c>
    </row>
    <row r="2263" spans="2:3" x14ac:dyDescent="0.25">
      <c r="B2263">
        <v>409</v>
      </c>
      <c r="C2263">
        <v>13</v>
      </c>
    </row>
    <row r="2264" spans="2:3" x14ac:dyDescent="0.25">
      <c r="B2264">
        <v>409</v>
      </c>
      <c r="C2264">
        <v>10</v>
      </c>
    </row>
    <row r="2265" spans="2:3" x14ac:dyDescent="0.25">
      <c r="B2265">
        <v>406</v>
      </c>
      <c r="C2265">
        <v>24</v>
      </c>
    </row>
    <row r="2266" spans="2:3" x14ac:dyDescent="0.25">
      <c r="B2266">
        <v>403</v>
      </c>
      <c r="C2266">
        <v>24</v>
      </c>
    </row>
    <row r="2267" spans="2:3" x14ac:dyDescent="0.25">
      <c r="B2267">
        <v>403</v>
      </c>
      <c r="C2267">
        <v>19</v>
      </c>
    </row>
    <row r="2268" spans="2:3" x14ac:dyDescent="0.25">
      <c r="B2268">
        <v>402</v>
      </c>
      <c r="C2268">
        <v>9</v>
      </c>
    </row>
    <row r="2269" spans="2:3" x14ac:dyDescent="0.25">
      <c r="B2269">
        <v>402</v>
      </c>
      <c r="C2269">
        <v>6</v>
      </c>
    </row>
    <row r="2270" spans="2:3" x14ac:dyDescent="0.25">
      <c r="B2270">
        <v>401</v>
      </c>
      <c r="C2270">
        <v>0</v>
      </c>
    </row>
    <row r="2271" spans="2:3" x14ac:dyDescent="0.25">
      <c r="B2271">
        <v>401</v>
      </c>
      <c r="C2271">
        <v>0</v>
      </c>
    </row>
    <row r="2272" spans="2:3" x14ac:dyDescent="0.25">
      <c r="B2272">
        <v>400</v>
      </c>
      <c r="C2272">
        <v>0</v>
      </c>
    </row>
    <row r="2273" spans="2:3" x14ac:dyDescent="0.25">
      <c r="B2273">
        <v>399</v>
      </c>
      <c r="C2273">
        <v>16</v>
      </c>
    </row>
    <row r="2274" spans="2:3" x14ac:dyDescent="0.25">
      <c r="B2274">
        <v>397</v>
      </c>
      <c r="C2274">
        <v>4</v>
      </c>
    </row>
    <row r="2275" spans="2:3" x14ac:dyDescent="0.25">
      <c r="B2275">
        <v>397</v>
      </c>
      <c r="C2275">
        <v>0</v>
      </c>
    </row>
    <row r="2276" spans="2:3" x14ac:dyDescent="0.25">
      <c r="B2276">
        <v>396</v>
      </c>
      <c r="C2276">
        <v>18</v>
      </c>
    </row>
    <row r="2277" spans="2:3" x14ac:dyDescent="0.25">
      <c r="B2277">
        <v>395</v>
      </c>
      <c r="C2277">
        <v>1</v>
      </c>
    </row>
    <row r="2278" spans="2:3" x14ac:dyDescent="0.25">
      <c r="B2278">
        <v>395</v>
      </c>
      <c r="C2278">
        <v>0</v>
      </c>
    </row>
    <row r="2279" spans="2:3" x14ac:dyDescent="0.25">
      <c r="B2279">
        <v>394</v>
      </c>
      <c r="C2279">
        <v>2</v>
      </c>
    </row>
    <row r="2280" spans="2:3" x14ac:dyDescent="0.25">
      <c r="B2280">
        <v>393</v>
      </c>
      <c r="C2280">
        <v>20</v>
      </c>
    </row>
    <row r="2281" spans="2:3" x14ac:dyDescent="0.25">
      <c r="B2281">
        <v>391</v>
      </c>
      <c r="C2281">
        <v>0</v>
      </c>
    </row>
    <row r="2282" spans="2:3" x14ac:dyDescent="0.25">
      <c r="B2282">
        <v>385</v>
      </c>
      <c r="C2282">
        <v>1</v>
      </c>
    </row>
    <row r="2283" spans="2:3" x14ac:dyDescent="0.25">
      <c r="B2283">
        <v>384</v>
      </c>
      <c r="C2283">
        <v>0</v>
      </c>
    </row>
    <row r="2284" spans="2:3" x14ac:dyDescent="0.25">
      <c r="B2284">
        <v>381</v>
      </c>
      <c r="C2284">
        <v>21</v>
      </c>
    </row>
    <row r="2285" spans="2:3" x14ac:dyDescent="0.25">
      <c r="B2285">
        <v>381</v>
      </c>
      <c r="C2285">
        <v>18</v>
      </c>
    </row>
    <row r="2286" spans="2:3" x14ac:dyDescent="0.25">
      <c r="B2286">
        <v>381</v>
      </c>
      <c r="C2286">
        <v>19</v>
      </c>
    </row>
    <row r="2287" spans="2:3" x14ac:dyDescent="0.25">
      <c r="B2287">
        <v>379</v>
      </c>
      <c r="C2287">
        <v>15</v>
      </c>
    </row>
    <row r="2288" spans="2:3" x14ac:dyDescent="0.25">
      <c r="B2288">
        <v>378</v>
      </c>
      <c r="C2288">
        <v>14</v>
      </c>
    </row>
    <row r="2289" spans="2:3" x14ac:dyDescent="0.25">
      <c r="B2289">
        <v>378</v>
      </c>
      <c r="C2289">
        <v>3</v>
      </c>
    </row>
    <row r="2290" spans="2:3" x14ac:dyDescent="0.25">
      <c r="B2290">
        <v>378</v>
      </c>
      <c r="C2290">
        <v>10</v>
      </c>
    </row>
    <row r="2291" spans="2:3" x14ac:dyDescent="0.25">
      <c r="B2291">
        <v>375</v>
      </c>
      <c r="C2291">
        <v>7</v>
      </c>
    </row>
    <row r="2292" spans="2:3" x14ac:dyDescent="0.25">
      <c r="B2292">
        <v>372</v>
      </c>
      <c r="C2292">
        <v>0</v>
      </c>
    </row>
    <row r="2293" spans="2:3" x14ac:dyDescent="0.25">
      <c r="B2293">
        <v>371</v>
      </c>
      <c r="C2293">
        <v>14</v>
      </c>
    </row>
    <row r="2294" spans="2:3" x14ac:dyDescent="0.25">
      <c r="B2294">
        <v>369</v>
      </c>
      <c r="C2294">
        <v>23</v>
      </c>
    </row>
    <row r="2295" spans="2:3" x14ac:dyDescent="0.25">
      <c r="B2295">
        <v>369</v>
      </c>
      <c r="C2295">
        <v>21</v>
      </c>
    </row>
    <row r="2296" spans="2:3" x14ac:dyDescent="0.25">
      <c r="B2296">
        <v>368</v>
      </c>
      <c r="C2296">
        <v>19</v>
      </c>
    </row>
    <row r="2297" spans="2:3" x14ac:dyDescent="0.25">
      <c r="B2297">
        <v>368</v>
      </c>
      <c r="C2297">
        <v>8</v>
      </c>
    </row>
    <row r="2298" spans="2:3" x14ac:dyDescent="0.25">
      <c r="B2298">
        <v>367</v>
      </c>
      <c r="C2298">
        <v>24</v>
      </c>
    </row>
    <row r="2299" spans="2:3" x14ac:dyDescent="0.25">
      <c r="B2299">
        <v>367</v>
      </c>
      <c r="C2299">
        <v>22</v>
      </c>
    </row>
    <row r="2300" spans="2:3" x14ac:dyDescent="0.25">
      <c r="B2300">
        <v>366</v>
      </c>
      <c r="C2300">
        <v>25</v>
      </c>
    </row>
    <row r="2301" spans="2:3" x14ac:dyDescent="0.25">
      <c r="B2301">
        <v>366</v>
      </c>
      <c r="C2301">
        <v>24</v>
      </c>
    </row>
    <row r="2302" spans="2:3" x14ac:dyDescent="0.25">
      <c r="B2302">
        <v>364</v>
      </c>
      <c r="C2302">
        <v>25</v>
      </c>
    </row>
    <row r="2303" spans="2:3" x14ac:dyDescent="0.25">
      <c r="B2303">
        <v>363</v>
      </c>
      <c r="C2303">
        <v>16</v>
      </c>
    </row>
    <row r="2304" spans="2:3" x14ac:dyDescent="0.25">
      <c r="B2304">
        <v>362</v>
      </c>
      <c r="C2304">
        <v>23</v>
      </c>
    </row>
    <row r="2305" spans="2:3" x14ac:dyDescent="0.25">
      <c r="B2305">
        <v>360</v>
      </c>
      <c r="C2305">
        <v>0</v>
      </c>
    </row>
    <row r="2306" spans="2:3" x14ac:dyDescent="0.25">
      <c r="B2306">
        <v>359</v>
      </c>
      <c r="C2306">
        <v>16</v>
      </c>
    </row>
    <row r="2307" spans="2:3" x14ac:dyDescent="0.25">
      <c r="B2307">
        <v>359</v>
      </c>
      <c r="C2307">
        <v>19</v>
      </c>
    </row>
    <row r="2308" spans="2:3" x14ac:dyDescent="0.25">
      <c r="B2308">
        <v>358</v>
      </c>
      <c r="C2308">
        <v>28</v>
      </c>
    </row>
    <row r="2309" spans="2:3" x14ac:dyDescent="0.25">
      <c r="B2309">
        <v>358</v>
      </c>
      <c r="C2309">
        <v>24</v>
      </c>
    </row>
    <row r="2310" spans="2:3" x14ac:dyDescent="0.25">
      <c r="B2310">
        <v>357</v>
      </c>
      <c r="C2310">
        <v>24</v>
      </c>
    </row>
    <row r="2311" spans="2:3" x14ac:dyDescent="0.25">
      <c r="B2311">
        <v>357</v>
      </c>
      <c r="C2311">
        <v>21</v>
      </c>
    </row>
    <row r="2312" spans="2:3" x14ac:dyDescent="0.25">
      <c r="B2312">
        <v>357</v>
      </c>
      <c r="C2312">
        <v>14</v>
      </c>
    </row>
    <row r="2313" spans="2:3" x14ac:dyDescent="0.25">
      <c r="B2313">
        <v>356</v>
      </c>
      <c r="C2313">
        <v>28</v>
      </c>
    </row>
    <row r="2314" spans="2:3" x14ac:dyDescent="0.25">
      <c r="B2314">
        <v>353</v>
      </c>
      <c r="C2314">
        <v>18</v>
      </c>
    </row>
    <row r="2315" spans="2:3" x14ac:dyDescent="0.25">
      <c r="B2315">
        <v>351</v>
      </c>
      <c r="C2315">
        <v>26</v>
      </c>
    </row>
    <row r="2316" spans="2:3" x14ac:dyDescent="0.25">
      <c r="B2316">
        <v>351</v>
      </c>
      <c r="C2316">
        <v>19</v>
      </c>
    </row>
    <row r="2317" spans="2:3" x14ac:dyDescent="0.25">
      <c r="B2317">
        <v>351</v>
      </c>
      <c r="C2317">
        <v>22</v>
      </c>
    </row>
    <row r="2318" spans="2:3" x14ac:dyDescent="0.25">
      <c r="B2318">
        <v>350</v>
      </c>
      <c r="C2318">
        <v>11</v>
      </c>
    </row>
    <row r="2319" spans="2:3" x14ac:dyDescent="0.25">
      <c r="B2319">
        <v>350</v>
      </c>
      <c r="C2319">
        <v>11</v>
      </c>
    </row>
    <row r="2320" spans="2:3" x14ac:dyDescent="0.25">
      <c r="B2320">
        <v>349</v>
      </c>
      <c r="C2320">
        <v>0</v>
      </c>
    </row>
    <row r="2321" spans="2:3" x14ac:dyDescent="0.25">
      <c r="B2321">
        <v>347</v>
      </c>
      <c r="C2321">
        <v>16</v>
      </c>
    </row>
    <row r="2322" spans="2:3" x14ac:dyDescent="0.25">
      <c r="B2322">
        <v>347</v>
      </c>
      <c r="C2322">
        <v>5</v>
      </c>
    </row>
    <row r="2323" spans="2:3" x14ac:dyDescent="0.25">
      <c r="B2323">
        <v>346</v>
      </c>
      <c r="C2323">
        <v>20</v>
      </c>
    </row>
    <row r="2324" spans="2:3" x14ac:dyDescent="0.25">
      <c r="B2324">
        <v>345</v>
      </c>
      <c r="C2324">
        <v>12</v>
      </c>
    </row>
    <row r="2325" spans="2:3" x14ac:dyDescent="0.25">
      <c r="B2325">
        <v>345</v>
      </c>
      <c r="C2325">
        <v>0</v>
      </c>
    </row>
    <row r="2326" spans="2:3" x14ac:dyDescent="0.25">
      <c r="B2326">
        <v>344</v>
      </c>
      <c r="C2326">
        <v>21</v>
      </c>
    </row>
    <row r="2327" spans="2:3" x14ac:dyDescent="0.25">
      <c r="B2327">
        <v>341</v>
      </c>
      <c r="C2327">
        <v>24</v>
      </c>
    </row>
    <row r="2328" spans="2:3" x14ac:dyDescent="0.25">
      <c r="B2328">
        <v>340</v>
      </c>
      <c r="C2328">
        <v>26</v>
      </c>
    </row>
    <row r="2329" spans="2:3" x14ac:dyDescent="0.25">
      <c r="B2329">
        <v>339</v>
      </c>
      <c r="C2329">
        <v>0</v>
      </c>
    </row>
    <row r="2330" spans="2:3" x14ac:dyDescent="0.25">
      <c r="B2330">
        <v>339</v>
      </c>
      <c r="C2330">
        <v>18</v>
      </c>
    </row>
    <row r="2331" spans="2:3" x14ac:dyDescent="0.25">
      <c r="B2331">
        <v>339</v>
      </c>
      <c r="C2331">
        <v>8</v>
      </c>
    </row>
    <row r="2332" spans="2:3" x14ac:dyDescent="0.25">
      <c r="B2332">
        <v>335</v>
      </c>
      <c r="C2332">
        <v>18</v>
      </c>
    </row>
    <row r="2333" spans="2:3" x14ac:dyDescent="0.25">
      <c r="B2333">
        <v>335</v>
      </c>
      <c r="C2333">
        <v>7</v>
      </c>
    </row>
    <row r="2334" spans="2:3" x14ac:dyDescent="0.25">
      <c r="B2334">
        <v>329</v>
      </c>
      <c r="C2334">
        <v>0</v>
      </c>
    </row>
    <row r="2335" spans="2:3" x14ac:dyDescent="0.25">
      <c r="B2335">
        <v>328</v>
      </c>
      <c r="C2335">
        <v>1</v>
      </c>
    </row>
    <row r="2336" spans="2:3" x14ac:dyDescent="0.25">
      <c r="B2336">
        <v>325</v>
      </c>
      <c r="C2336">
        <v>0</v>
      </c>
    </row>
    <row r="2337" spans="2:3" x14ac:dyDescent="0.25">
      <c r="B2337">
        <v>325</v>
      </c>
      <c r="C2337">
        <v>13</v>
      </c>
    </row>
    <row r="2338" spans="2:3" x14ac:dyDescent="0.25">
      <c r="B2338">
        <v>321</v>
      </c>
      <c r="C2338">
        <v>24</v>
      </c>
    </row>
    <row r="2339" spans="2:3" x14ac:dyDescent="0.25">
      <c r="B2339">
        <v>318</v>
      </c>
      <c r="C2339">
        <v>10</v>
      </c>
    </row>
    <row r="2340" spans="2:3" x14ac:dyDescent="0.25">
      <c r="B2340">
        <v>317</v>
      </c>
      <c r="C2340">
        <v>25</v>
      </c>
    </row>
    <row r="2341" spans="2:3" x14ac:dyDescent="0.25">
      <c r="B2341">
        <v>317</v>
      </c>
      <c r="C2341">
        <v>18</v>
      </c>
    </row>
    <row r="2342" spans="2:3" x14ac:dyDescent="0.25">
      <c r="B2342">
        <v>317</v>
      </c>
      <c r="C2342">
        <v>21</v>
      </c>
    </row>
    <row r="2343" spans="2:3" x14ac:dyDescent="0.25">
      <c r="B2343">
        <v>316</v>
      </c>
      <c r="C2343">
        <v>15</v>
      </c>
    </row>
    <row r="2344" spans="2:3" x14ac:dyDescent="0.25">
      <c r="B2344">
        <v>315</v>
      </c>
      <c r="C2344">
        <v>25</v>
      </c>
    </row>
    <row r="2345" spans="2:3" x14ac:dyDescent="0.25">
      <c r="B2345">
        <v>313</v>
      </c>
      <c r="C2345">
        <v>26</v>
      </c>
    </row>
    <row r="2346" spans="2:3" x14ac:dyDescent="0.25">
      <c r="B2346">
        <v>312</v>
      </c>
      <c r="C2346">
        <v>0</v>
      </c>
    </row>
    <row r="2347" spans="2:3" x14ac:dyDescent="0.25">
      <c r="B2347">
        <v>311</v>
      </c>
      <c r="C2347">
        <v>0</v>
      </c>
    </row>
    <row r="2348" spans="2:3" x14ac:dyDescent="0.25">
      <c r="B2348">
        <v>304</v>
      </c>
      <c r="C2348">
        <v>0</v>
      </c>
    </row>
    <row r="2349" spans="2:3" x14ac:dyDescent="0.25">
      <c r="B2349">
        <v>303</v>
      </c>
      <c r="C2349">
        <v>2</v>
      </c>
    </row>
    <row r="2350" spans="2:3" x14ac:dyDescent="0.25">
      <c r="B2350">
        <v>302</v>
      </c>
      <c r="C2350">
        <v>9</v>
      </c>
    </row>
    <row r="2351" spans="2:3" x14ac:dyDescent="0.25">
      <c r="B2351">
        <v>299</v>
      </c>
      <c r="C2351">
        <v>2</v>
      </c>
    </row>
    <row r="2352" spans="2:3" x14ac:dyDescent="0.25">
      <c r="B2352">
        <v>295</v>
      </c>
      <c r="C2352">
        <v>0</v>
      </c>
    </row>
    <row r="2353" spans="2:3" x14ac:dyDescent="0.25">
      <c r="B2353">
        <v>292</v>
      </c>
      <c r="C2353">
        <v>11</v>
      </c>
    </row>
    <row r="2354" spans="2:3" x14ac:dyDescent="0.25">
      <c r="B2354">
        <v>291</v>
      </c>
      <c r="C2354">
        <v>20</v>
      </c>
    </row>
    <row r="2355" spans="2:3" x14ac:dyDescent="0.25">
      <c r="B2355">
        <v>289</v>
      </c>
      <c r="C2355">
        <v>3</v>
      </c>
    </row>
    <row r="2356" spans="2:3" x14ac:dyDescent="0.25">
      <c r="B2356">
        <v>284</v>
      </c>
      <c r="C2356">
        <v>23</v>
      </c>
    </row>
    <row r="2357" spans="2:3" x14ac:dyDescent="0.25">
      <c r="B2357">
        <v>275</v>
      </c>
      <c r="C2357">
        <v>0</v>
      </c>
    </row>
    <row r="2358" spans="2:3" x14ac:dyDescent="0.25">
      <c r="B2358">
        <v>274</v>
      </c>
      <c r="C2358">
        <v>21</v>
      </c>
    </row>
    <row r="2359" spans="2:3" x14ac:dyDescent="0.25">
      <c r="B2359">
        <v>274</v>
      </c>
      <c r="C2359">
        <v>24</v>
      </c>
    </row>
    <row r="2360" spans="2:3" x14ac:dyDescent="0.25">
      <c r="B2360">
        <v>272</v>
      </c>
      <c r="C2360">
        <v>16</v>
      </c>
    </row>
    <row r="2361" spans="2:3" x14ac:dyDescent="0.25">
      <c r="B2361">
        <v>271</v>
      </c>
      <c r="C2361">
        <v>13</v>
      </c>
    </row>
    <row r="2362" spans="2:3" x14ac:dyDescent="0.25">
      <c r="B2362">
        <v>270</v>
      </c>
      <c r="C2362">
        <v>23</v>
      </c>
    </row>
    <row r="2363" spans="2:3" x14ac:dyDescent="0.25">
      <c r="B2363">
        <v>267</v>
      </c>
      <c r="C2363">
        <v>4</v>
      </c>
    </row>
    <row r="2364" spans="2:3" x14ac:dyDescent="0.25">
      <c r="B2364">
        <v>266</v>
      </c>
      <c r="C2364">
        <v>15</v>
      </c>
    </row>
    <row r="2365" spans="2:3" x14ac:dyDescent="0.25">
      <c r="B2365">
        <v>262</v>
      </c>
      <c r="C2365">
        <v>23</v>
      </c>
    </row>
    <row r="2366" spans="2:3" x14ac:dyDescent="0.25">
      <c r="B2366">
        <v>261</v>
      </c>
      <c r="C2366">
        <v>22</v>
      </c>
    </row>
    <row r="2367" spans="2:3" x14ac:dyDescent="0.25">
      <c r="B2367">
        <v>257</v>
      </c>
      <c r="C2367">
        <v>0</v>
      </c>
    </row>
    <row r="2368" spans="2:3" x14ac:dyDescent="0.25">
      <c r="B2368">
        <v>257</v>
      </c>
      <c r="C2368">
        <v>0</v>
      </c>
    </row>
    <row r="2369" spans="2:3" x14ac:dyDescent="0.25">
      <c r="B2369">
        <v>257</v>
      </c>
      <c r="C2369">
        <v>0</v>
      </c>
    </row>
    <row r="2370" spans="2:3" x14ac:dyDescent="0.25">
      <c r="B2370">
        <v>256</v>
      </c>
      <c r="C2370">
        <v>4</v>
      </c>
    </row>
    <row r="2371" spans="2:3" x14ac:dyDescent="0.25">
      <c r="B2371">
        <v>254</v>
      </c>
      <c r="C2371">
        <v>0</v>
      </c>
    </row>
    <row r="2372" spans="2:3" x14ac:dyDescent="0.25">
      <c r="B2372">
        <v>253</v>
      </c>
      <c r="C2372">
        <v>0</v>
      </c>
    </row>
    <row r="2373" spans="2:3" x14ac:dyDescent="0.25">
      <c r="B2373">
        <v>252</v>
      </c>
      <c r="C2373">
        <v>4</v>
      </c>
    </row>
    <row r="2374" spans="2:3" x14ac:dyDescent="0.25">
      <c r="B2374">
        <v>252</v>
      </c>
      <c r="C2374">
        <v>0</v>
      </c>
    </row>
    <row r="2375" spans="2:3" x14ac:dyDescent="0.25">
      <c r="B2375">
        <v>251</v>
      </c>
      <c r="C2375">
        <v>20</v>
      </c>
    </row>
    <row r="2376" spans="2:3" x14ac:dyDescent="0.25">
      <c r="B2376">
        <v>251</v>
      </c>
      <c r="C2376">
        <v>18</v>
      </c>
    </row>
    <row r="2377" spans="2:3" x14ac:dyDescent="0.25">
      <c r="B2377">
        <v>250</v>
      </c>
      <c r="C2377">
        <v>5</v>
      </c>
    </row>
    <row r="2378" spans="2:3" x14ac:dyDescent="0.25">
      <c r="B2378">
        <v>250</v>
      </c>
      <c r="C2378">
        <v>10</v>
      </c>
    </row>
    <row r="2379" spans="2:3" x14ac:dyDescent="0.25">
      <c r="B2379">
        <v>250</v>
      </c>
      <c r="C2379">
        <v>9</v>
      </c>
    </row>
    <row r="2380" spans="2:3" x14ac:dyDescent="0.25">
      <c r="B2380">
        <v>250</v>
      </c>
      <c r="C2380">
        <v>10</v>
      </c>
    </row>
    <row r="2381" spans="2:3" x14ac:dyDescent="0.25">
      <c r="B2381">
        <v>249</v>
      </c>
      <c r="C2381">
        <v>20</v>
      </c>
    </row>
    <row r="2382" spans="2:3" x14ac:dyDescent="0.25">
      <c r="B2382">
        <v>246</v>
      </c>
      <c r="C2382">
        <v>5</v>
      </c>
    </row>
    <row r="2383" spans="2:3" x14ac:dyDescent="0.25">
      <c r="B2383">
        <v>245</v>
      </c>
      <c r="C2383">
        <v>23</v>
      </c>
    </row>
    <row r="2384" spans="2:3" x14ac:dyDescent="0.25">
      <c r="B2384">
        <v>244</v>
      </c>
      <c r="C2384">
        <v>23</v>
      </c>
    </row>
    <row r="2385" spans="2:3" x14ac:dyDescent="0.25">
      <c r="B2385">
        <v>242</v>
      </c>
      <c r="C2385">
        <v>23</v>
      </c>
    </row>
    <row r="2386" spans="2:3" x14ac:dyDescent="0.25">
      <c r="B2386">
        <v>240</v>
      </c>
      <c r="C2386">
        <v>24</v>
      </c>
    </row>
    <row r="2387" spans="2:3" x14ac:dyDescent="0.25">
      <c r="B2387">
        <v>239</v>
      </c>
      <c r="C2387">
        <v>18</v>
      </c>
    </row>
    <row r="2388" spans="2:3" x14ac:dyDescent="0.25">
      <c r="B2388">
        <v>239</v>
      </c>
      <c r="C2388">
        <v>16</v>
      </c>
    </row>
    <row r="2389" spans="2:3" x14ac:dyDescent="0.25">
      <c r="B2389">
        <v>238</v>
      </c>
      <c r="C2389">
        <v>22</v>
      </c>
    </row>
    <row r="2390" spans="2:3" x14ac:dyDescent="0.25">
      <c r="B2390">
        <v>236</v>
      </c>
      <c r="C2390">
        <v>0</v>
      </c>
    </row>
    <row r="2391" spans="2:3" x14ac:dyDescent="0.25">
      <c r="B2391">
        <v>235</v>
      </c>
      <c r="C2391">
        <v>0</v>
      </c>
    </row>
    <row r="2392" spans="2:3" x14ac:dyDescent="0.25">
      <c r="B2392">
        <v>235</v>
      </c>
      <c r="C2392">
        <v>21</v>
      </c>
    </row>
    <row r="2393" spans="2:3" x14ac:dyDescent="0.25">
      <c r="B2393">
        <v>235</v>
      </c>
      <c r="C2393">
        <v>10</v>
      </c>
    </row>
    <row r="2394" spans="2:3" x14ac:dyDescent="0.25">
      <c r="B2394">
        <v>233</v>
      </c>
      <c r="C2394">
        <v>21</v>
      </c>
    </row>
    <row r="2395" spans="2:3" x14ac:dyDescent="0.25">
      <c r="B2395">
        <v>231</v>
      </c>
      <c r="C2395">
        <v>13</v>
      </c>
    </row>
    <row r="2396" spans="2:3" x14ac:dyDescent="0.25">
      <c r="B2396">
        <v>231</v>
      </c>
      <c r="C2396">
        <v>18</v>
      </c>
    </row>
    <row r="2397" spans="2:3" x14ac:dyDescent="0.25">
      <c r="B2397">
        <v>230</v>
      </c>
      <c r="C2397">
        <v>10</v>
      </c>
    </row>
    <row r="2398" spans="2:3" x14ac:dyDescent="0.25">
      <c r="B2398">
        <v>229</v>
      </c>
      <c r="C2398">
        <v>12</v>
      </c>
    </row>
    <row r="2399" spans="2:3" x14ac:dyDescent="0.25">
      <c r="B2399">
        <v>227</v>
      </c>
      <c r="C2399">
        <v>19</v>
      </c>
    </row>
    <row r="2400" spans="2:3" x14ac:dyDescent="0.25">
      <c r="B2400">
        <v>226</v>
      </c>
      <c r="C2400">
        <v>0</v>
      </c>
    </row>
    <row r="2401" spans="2:3" x14ac:dyDescent="0.25">
      <c r="B2401">
        <v>222</v>
      </c>
      <c r="C2401">
        <v>25</v>
      </c>
    </row>
    <row r="2402" spans="2:3" x14ac:dyDescent="0.25">
      <c r="B2402">
        <v>221</v>
      </c>
      <c r="C2402">
        <v>19</v>
      </c>
    </row>
    <row r="2403" spans="2:3" x14ac:dyDescent="0.25">
      <c r="B2403">
        <v>220</v>
      </c>
      <c r="C2403">
        <v>16</v>
      </c>
    </row>
    <row r="2404" spans="2:3" x14ac:dyDescent="0.25">
      <c r="B2404">
        <v>212</v>
      </c>
      <c r="C2404">
        <v>26</v>
      </c>
    </row>
    <row r="2405" spans="2:3" x14ac:dyDescent="0.25">
      <c r="B2405">
        <v>212</v>
      </c>
      <c r="C2405">
        <v>25</v>
      </c>
    </row>
    <row r="2406" spans="2:3" x14ac:dyDescent="0.25">
      <c r="B2406">
        <v>212</v>
      </c>
      <c r="C2406">
        <v>21</v>
      </c>
    </row>
    <row r="2407" spans="2:3" x14ac:dyDescent="0.25">
      <c r="B2407">
        <v>211</v>
      </c>
      <c r="C2407">
        <v>23</v>
      </c>
    </row>
    <row r="2408" spans="2:3" x14ac:dyDescent="0.25">
      <c r="B2408">
        <v>209</v>
      </c>
      <c r="C2408">
        <v>21</v>
      </c>
    </row>
    <row r="2409" spans="2:3" x14ac:dyDescent="0.25">
      <c r="B2409">
        <v>206</v>
      </c>
      <c r="C2409">
        <v>23</v>
      </c>
    </row>
    <row r="2410" spans="2:3" x14ac:dyDescent="0.25">
      <c r="B2410">
        <v>206</v>
      </c>
      <c r="C2410">
        <v>1</v>
      </c>
    </row>
    <row r="2411" spans="2:3" x14ac:dyDescent="0.25">
      <c r="B2411">
        <v>205</v>
      </c>
      <c r="C2411">
        <v>5</v>
      </c>
    </row>
    <row r="2412" spans="2:3" x14ac:dyDescent="0.25">
      <c r="B2412">
        <v>205</v>
      </c>
      <c r="C2412">
        <v>13</v>
      </c>
    </row>
    <row r="2413" spans="2:3" x14ac:dyDescent="0.25">
      <c r="B2413">
        <v>203</v>
      </c>
      <c r="C2413">
        <v>12</v>
      </c>
    </row>
    <row r="2414" spans="2:3" x14ac:dyDescent="0.25">
      <c r="B2414">
        <v>202</v>
      </c>
      <c r="C2414">
        <v>11</v>
      </c>
    </row>
    <row r="2415" spans="2:3" x14ac:dyDescent="0.25">
      <c r="B2415">
        <v>202</v>
      </c>
      <c r="C2415">
        <v>1</v>
      </c>
    </row>
    <row r="2416" spans="2:3" x14ac:dyDescent="0.25">
      <c r="B2416">
        <v>201</v>
      </c>
      <c r="C2416">
        <v>6</v>
      </c>
    </row>
    <row r="2417" spans="2:3" x14ac:dyDescent="0.25">
      <c r="B2417">
        <v>201</v>
      </c>
      <c r="C2417">
        <v>12</v>
      </c>
    </row>
    <row r="2418" spans="2:3" x14ac:dyDescent="0.25">
      <c r="B2418">
        <v>199</v>
      </c>
      <c r="C2418">
        <v>0</v>
      </c>
    </row>
    <row r="2419" spans="2:3" x14ac:dyDescent="0.25">
      <c r="B2419">
        <v>193</v>
      </c>
      <c r="C2419">
        <v>18</v>
      </c>
    </row>
    <row r="2420" spans="2:3" x14ac:dyDescent="0.25">
      <c r="B2420">
        <v>192</v>
      </c>
      <c r="C2420">
        <v>18</v>
      </c>
    </row>
    <row r="2421" spans="2:3" x14ac:dyDescent="0.25">
      <c r="B2421">
        <v>192</v>
      </c>
      <c r="C2421">
        <v>24</v>
      </c>
    </row>
    <row r="2422" spans="2:3" x14ac:dyDescent="0.25">
      <c r="B2422">
        <v>190</v>
      </c>
      <c r="C2422">
        <v>22</v>
      </c>
    </row>
    <row r="2423" spans="2:3" x14ac:dyDescent="0.25">
      <c r="B2423">
        <v>188</v>
      </c>
      <c r="C2423">
        <v>7</v>
      </c>
    </row>
    <row r="2424" spans="2:3" x14ac:dyDescent="0.25">
      <c r="B2424">
        <v>188</v>
      </c>
      <c r="C2424">
        <v>14</v>
      </c>
    </row>
    <row r="2425" spans="2:3" x14ac:dyDescent="0.25">
      <c r="B2425">
        <v>187</v>
      </c>
      <c r="C2425">
        <v>14</v>
      </c>
    </row>
    <row r="2426" spans="2:3" x14ac:dyDescent="0.25">
      <c r="B2426">
        <v>187</v>
      </c>
      <c r="C2426">
        <v>17</v>
      </c>
    </row>
    <row r="2427" spans="2:3" x14ac:dyDescent="0.25">
      <c r="B2427">
        <v>186</v>
      </c>
      <c r="C2427">
        <v>22</v>
      </c>
    </row>
    <row r="2428" spans="2:3" x14ac:dyDescent="0.25">
      <c r="B2428">
        <v>186</v>
      </c>
      <c r="C2428">
        <v>17</v>
      </c>
    </row>
    <row r="2429" spans="2:3" x14ac:dyDescent="0.25">
      <c r="B2429">
        <v>183</v>
      </c>
      <c r="C2429">
        <v>0</v>
      </c>
    </row>
    <row r="2430" spans="2:3" x14ac:dyDescent="0.25">
      <c r="B2430">
        <v>177</v>
      </c>
      <c r="C2430">
        <v>24</v>
      </c>
    </row>
    <row r="2431" spans="2:3" x14ac:dyDescent="0.25">
      <c r="B2431">
        <v>177</v>
      </c>
      <c r="C2431">
        <v>18</v>
      </c>
    </row>
    <row r="2432" spans="2:3" x14ac:dyDescent="0.25">
      <c r="B2432">
        <v>176</v>
      </c>
      <c r="C2432">
        <v>11</v>
      </c>
    </row>
    <row r="2433" spans="2:3" x14ac:dyDescent="0.25">
      <c r="B2433">
        <v>175</v>
      </c>
      <c r="C2433">
        <v>11</v>
      </c>
    </row>
    <row r="2434" spans="2:3" x14ac:dyDescent="0.25">
      <c r="B2434">
        <v>174</v>
      </c>
      <c r="C2434">
        <v>0</v>
      </c>
    </row>
    <row r="2435" spans="2:3" x14ac:dyDescent="0.25">
      <c r="B2435">
        <v>172</v>
      </c>
      <c r="C2435">
        <v>0</v>
      </c>
    </row>
    <row r="2436" spans="2:3" x14ac:dyDescent="0.25">
      <c r="B2436">
        <v>170</v>
      </c>
      <c r="C2436">
        <v>20</v>
      </c>
    </row>
    <row r="2437" spans="2:3" x14ac:dyDescent="0.25">
      <c r="B2437">
        <v>169</v>
      </c>
      <c r="C2437">
        <v>0</v>
      </c>
    </row>
    <row r="2438" spans="2:3" x14ac:dyDescent="0.25">
      <c r="B2438">
        <v>168</v>
      </c>
      <c r="C2438">
        <v>5</v>
      </c>
    </row>
    <row r="2439" spans="2:3" x14ac:dyDescent="0.25">
      <c r="B2439">
        <v>164</v>
      </c>
      <c r="C2439">
        <v>20</v>
      </c>
    </row>
    <row r="2440" spans="2:3" x14ac:dyDescent="0.25">
      <c r="B2440">
        <v>160</v>
      </c>
      <c r="C2440">
        <v>8</v>
      </c>
    </row>
    <row r="2441" spans="2:3" x14ac:dyDescent="0.25">
      <c r="B2441">
        <v>160</v>
      </c>
      <c r="C2441">
        <v>13</v>
      </c>
    </row>
    <row r="2442" spans="2:3" x14ac:dyDescent="0.25">
      <c r="B2442">
        <v>158</v>
      </c>
      <c r="C2442">
        <v>17</v>
      </c>
    </row>
    <row r="2443" spans="2:3" x14ac:dyDescent="0.25">
      <c r="B2443">
        <v>157</v>
      </c>
      <c r="C2443">
        <v>0</v>
      </c>
    </row>
    <row r="2444" spans="2:3" x14ac:dyDescent="0.25">
      <c r="B2444">
        <v>156</v>
      </c>
      <c r="C2444">
        <v>11</v>
      </c>
    </row>
    <row r="2445" spans="2:3" x14ac:dyDescent="0.25">
      <c r="B2445">
        <v>154</v>
      </c>
      <c r="C2445">
        <v>23</v>
      </c>
    </row>
    <row r="2446" spans="2:3" x14ac:dyDescent="0.25">
      <c r="B2446">
        <v>151</v>
      </c>
      <c r="C2446">
        <v>0</v>
      </c>
    </row>
    <row r="2447" spans="2:3" x14ac:dyDescent="0.25">
      <c r="B2447">
        <v>151</v>
      </c>
      <c r="C2447">
        <v>5</v>
      </c>
    </row>
    <row r="2448" spans="2:3" x14ac:dyDescent="0.25">
      <c r="B2448">
        <v>150</v>
      </c>
      <c r="C2448">
        <v>13</v>
      </c>
    </row>
    <row r="2449" spans="2:3" x14ac:dyDescent="0.25">
      <c r="B2449">
        <v>145</v>
      </c>
      <c r="C2449">
        <v>0</v>
      </c>
    </row>
    <row r="2450" spans="2:3" x14ac:dyDescent="0.25">
      <c r="B2450">
        <v>144</v>
      </c>
      <c r="C2450">
        <v>11</v>
      </c>
    </row>
    <row r="2451" spans="2:3" x14ac:dyDescent="0.25">
      <c r="B2451">
        <v>143</v>
      </c>
      <c r="C2451">
        <v>22</v>
      </c>
    </row>
    <row r="2452" spans="2:3" x14ac:dyDescent="0.25">
      <c r="B2452">
        <v>143</v>
      </c>
      <c r="C2452">
        <v>22</v>
      </c>
    </row>
    <row r="2453" spans="2:3" x14ac:dyDescent="0.25">
      <c r="B2453">
        <v>139</v>
      </c>
      <c r="C2453">
        <v>22</v>
      </c>
    </row>
    <row r="2454" spans="2:3" x14ac:dyDescent="0.25">
      <c r="B2454">
        <v>139</v>
      </c>
      <c r="C2454">
        <v>22</v>
      </c>
    </row>
    <row r="2455" spans="2:3" x14ac:dyDescent="0.25">
      <c r="B2455">
        <v>139</v>
      </c>
      <c r="C2455">
        <v>23</v>
      </c>
    </row>
    <row r="2456" spans="2:3" x14ac:dyDescent="0.25">
      <c r="B2456">
        <v>137</v>
      </c>
      <c r="C2456">
        <v>15</v>
      </c>
    </row>
    <row r="2457" spans="2:3" x14ac:dyDescent="0.25">
      <c r="B2457">
        <v>136</v>
      </c>
      <c r="C2457">
        <v>27</v>
      </c>
    </row>
    <row r="2458" spans="2:3" x14ac:dyDescent="0.25">
      <c r="B2458">
        <v>135</v>
      </c>
      <c r="C2458">
        <v>19</v>
      </c>
    </row>
    <row r="2459" spans="2:3" x14ac:dyDescent="0.25">
      <c r="B2459">
        <v>134</v>
      </c>
      <c r="C2459">
        <v>22</v>
      </c>
    </row>
    <row r="2460" spans="2:3" x14ac:dyDescent="0.25">
      <c r="B2460">
        <v>134</v>
      </c>
      <c r="C2460">
        <v>18</v>
      </c>
    </row>
    <row r="2461" spans="2:3" x14ac:dyDescent="0.25">
      <c r="B2461">
        <v>132</v>
      </c>
      <c r="C2461">
        <v>2</v>
      </c>
    </row>
    <row r="2462" spans="2:3" x14ac:dyDescent="0.25">
      <c r="B2462">
        <v>131</v>
      </c>
      <c r="C2462">
        <v>16</v>
      </c>
    </row>
    <row r="2463" spans="2:3" x14ac:dyDescent="0.25">
      <c r="B2463">
        <v>129</v>
      </c>
      <c r="C2463">
        <v>0</v>
      </c>
    </row>
    <row r="2464" spans="2:3" x14ac:dyDescent="0.25">
      <c r="B2464">
        <v>129</v>
      </c>
      <c r="C2464">
        <v>7</v>
      </c>
    </row>
    <row r="2465" spans="2:3" x14ac:dyDescent="0.25">
      <c r="B2465">
        <v>127</v>
      </c>
      <c r="C2465">
        <v>17</v>
      </c>
    </row>
    <row r="2466" spans="2:3" x14ac:dyDescent="0.25">
      <c r="B2466">
        <v>125</v>
      </c>
      <c r="C2466">
        <v>22</v>
      </c>
    </row>
    <row r="2467" spans="2:3" x14ac:dyDescent="0.25">
      <c r="B2467">
        <v>121</v>
      </c>
      <c r="C2467">
        <v>14</v>
      </c>
    </row>
    <row r="2468" spans="2:3" x14ac:dyDescent="0.25">
      <c r="B2468">
        <v>121</v>
      </c>
      <c r="C2468">
        <v>20</v>
      </c>
    </row>
    <row r="2469" spans="2:3" x14ac:dyDescent="0.25">
      <c r="B2469">
        <v>116</v>
      </c>
      <c r="C2469">
        <v>1</v>
      </c>
    </row>
    <row r="2470" spans="2:3" x14ac:dyDescent="0.25">
      <c r="B2470">
        <v>115</v>
      </c>
      <c r="C2470">
        <v>2</v>
      </c>
    </row>
    <row r="2471" spans="2:3" x14ac:dyDescent="0.25">
      <c r="B2471">
        <v>115</v>
      </c>
      <c r="C2471">
        <v>0</v>
      </c>
    </row>
    <row r="2472" spans="2:3" x14ac:dyDescent="0.25">
      <c r="B2472">
        <v>114</v>
      </c>
      <c r="C2472">
        <v>13</v>
      </c>
    </row>
    <row r="2473" spans="2:3" x14ac:dyDescent="0.25">
      <c r="B2473">
        <v>114</v>
      </c>
      <c r="C2473">
        <v>6</v>
      </c>
    </row>
    <row r="2474" spans="2:3" x14ac:dyDescent="0.25">
      <c r="B2474">
        <v>113</v>
      </c>
      <c r="C2474">
        <v>21</v>
      </c>
    </row>
    <row r="2475" spans="2:3" x14ac:dyDescent="0.25">
      <c r="B2475">
        <v>112</v>
      </c>
      <c r="C2475">
        <v>9</v>
      </c>
    </row>
    <row r="2476" spans="2:3" x14ac:dyDescent="0.25">
      <c r="B2476">
        <v>108</v>
      </c>
      <c r="C2476">
        <v>20</v>
      </c>
    </row>
    <row r="2477" spans="2:3" x14ac:dyDescent="0.25">
      <c r="B2477">
        <v>108</v>
      </c>
      <c r="C2477">
        <v>22</v>
      </c>
    </row>
    <row r="2478" spans="2:3" x14ac:dyDescent="0.25">
      <c r="B2478">
        <v>108</v>
      </c>
      <c r="C2478">
        <v>14</v>
      </c>
    </row>
    <row r="2479" spans="2:3" x14ac:dyDescent="0.25">
      <c r="B2479">
        <v>105</v>
      </c>
      <c r="C2479">
        <v>0</v>
      </c>
    </row>
    <row r="2480" spans="2:3" x14ac:dyDescent="0.25">
      <c r="B2480">
        <v>102</v>
      </c>
      <c r="C2480">
        <v>22</v>
      </c>
    </row>
    <row r="2481" spans="2:3" x14ac:dyDescent="0.25">
      <c r="B2481">
        <v>102</v>
      </c>
      <c r="C2481">
        <v>3</v>
      </c>
    </row>
    <row r="2482" spans="2:3" x14ac:dyDescent="0.25">
      <c r="B2482">
        <v>99</v>
      </c>
      <c r="C2482">
        <v>18</v>
      </c>
    </row>
    <row r="2483" spans="2:3" x14ac:dyDescent="0.25">
      <c r="B2483">
        <v>98</v>
      </c>
      <c r="C2483">
        <v>4</v>
      </c>
    </row>
    <row r="2484" spans="2:3" x14ac:dyDescent="0.25">
      <c r="B2484">
        <v>98</v>
      </c>
      <c r="C2484">
        <v>0</v>
      </c>
    </row>
    <row r="2485" spans="2:3" x14ac:dyDescent="0.25">
      <c r="B2485">
        <v>96</v>
      </c>
      <c r="C2485">
        <v>24</v>
      </c>
    </row>
    <row r="2486" spans="2:3" x14ac:dyDescent="0.25">
      <c r="B2486">
        <v>96</v>
      </c>
      <c r="C2486">
        <v>25</v>
      </c>
    </row>
    <row r="2487" spans="2:3" x14ac:dyDescent="0.25">
      <c r="B2487">
        <v>95</v>
      </c>
      <c r="C2487">
        <v>10</v>
      </c>
    </row>
    <row r="2488" spans="2:3" x14ac:dyDescent="0.25">
      <c r="B2488">
        <v>95</v>
      </c>
      <c r="C2488">
        <v>15</v>
      </c>
    </row>
    <row r="2489" spans="2:3" x14ac:dyDescent="0.25">
      <c r="B2489">
        <v>94</v>
      </c>
      <c r="C2489">
        <v>12</v>
      </c>
    </row>
    <row r="2490" spans="2:3" x14ac:dyDescent="0.25">
      <c r="B2490">
        <v>94</v>
      </c>
      <c r="C2490">
        <v>18</v>
      </c>
    </row>
    <row r="2491" spans="2:3" x14ac:dyDescent="0.25">
      <c r="B2491">
        <v>92</v>
      </c>
      <c r="C2491">
        <v>23</v>
      </c>
    </row>
    <row r="2492" spans="2:3" x14ac:dyDescent="0.25">
      <c r="B2492">
        <v>92</v>
      </c>
      <c r="C2492">
        <v>0</v>
      </c>
    </row>
    <row r="2493" spans="2:3" x14ac:dyDescent="0.25">
      <c r="B2493">
        <v>90</v>
      </c>
      <c r="C2493">
        <v>22</v>
      </c>
    </row>
    <row r="2494" spans="2:3" x14ac:dyDescent="0.25">
      <c r="B2494">
        <v>90</v>
      </c>
      <c r="C2494">
        <v>23</v>
      </c>
    </row>
    <row r="2495" spans="2:3" x14ac:dyDescent="0.25">
      <c r="B2495">
        <v>90</v>
      </c>
      <c r="C2495">
        <v>21</v>
      </c>
    </row>
    <row r="2496" spans="2:3" x14ac:dyDescent="0.25">
      <c r="B2496">
        <v>88</v>
      </c>
      <c r="C2496">
        <v>23</v>
      </c>
    </row>
    <row r="2497" spans="2:3" x14ac:dyDescent="0.25">
      <c r="B2497">
        <v>88</v>
      </c>
      <c r="C2497">
        <v>22</v>
      </c>
    </row>
    <row r="2498" spans="2:3" x14ac:dyDescent="0.25">
      <c r="B2498">
        <v>85</v>
      </c>
      <c r="C2498">
        <v>27</v>
      </c>
    </row>
    <row r="2499" spans="2:3" x14ac:dyDescent="0.25">
      <c r="B2499">
        <v>84</v>
      </c>
      <c r="C2499">
        <v>25</v>
      </c>
    </row>
    <row r="2500" spans="2:3" x14ac:dyDescent="0.25">
      <c r="B2500">
        <v>83</v>
      </c>
      <c r="C2500">
        <v>17</v>
      </c>
    </row>
    <row r="2501" spans="2:3" x14ac:dyDescent="0.25">
      <c r="B2501">
        <v>80</v>
      </c>
      <c r="C2501">
        <v>23</v>
      </c>
    </row>
    <row r="2502" spans="2:3" x14ac:dyDescent="0.25">
      <c r="B2502">
        <v>79</v>
      </c>
      <c r="C2502">
        <v>11</v>
      </c>
    </row>
    <row r="2503" spans="2:3" x14ac:dyDescent="0.25">
      <c r="B2503">
        <v>79</v>
      </c>
      <c r="C2503">
        <v>11</v>
      </c>
    </row>
    <row r="2504" spans="2:3" x14ac:dyDescent="0.25">
      <c r="B2504">
        <v>76</v>
      </c>
      <c r="C2504">
        <v>22</v>
      </c>
    </row>
    <row r="2505" spans="2:3" x14ac:dyDescent="0.25">
      <c r="B2505">
        <v>75</v>
      </c>
      <c r="C2505">
        <v>19</v>
      </c>
    </row>
    <row r="2506" spans="2:3" x14ac:dyDescent="0.25">
      <c r="B2506">
        <v>75</v>
      </c>
      <c r="C2506">
        <v>27</v>
      </c>
    </row>
    <row r="2507" spans="2:3" x14ac:dyDescent="0.25">
      <c r="B2507">
        <v>71</v>
      </c>
      <c r="C2507">
        <v>13</v>
      </c>
    </row>
    <row r="2508" spans="2:3" x14ac:dyDescent="0.25">
      <c r="B2508">
        <v>67</v>
      </c>
      <c r="C2508">
        <v>0</v>
      </c>
    </row>
    <row r="2509" spans="2:3" x14ac:dyDescent="0.25">
      <c r="B2509">
        <v>66</v>
      </c>
      <c r="C2509">
        <v>14</v>
      </c>
    </row>
    <row r="2510" spans="2:3" x14ac:dyDescent="0.25">
      <c r="B2510">
        <v>66</v>
      </c>
      <c r="C2510">
        <v>16</v>
      </c>
    </row>
    <row r="2511" spans="2:3" x14ac:dyDescent="0.25">
      <c r="B2511">
        <v>64</v>
      </c>
      <c r="C2511">
        <v>8</v>
      </c>
    </row>
    <row r="2512" spans="2:3" x14ac:dyDescent="0.25">
      <c r="B2512">
        <v>60</v>
      </c>
      <c r="C2512">
        <v>1</v>
      </c>
    </row>
    <row r="2513" spans="2:3" x14ac:dyDescent="0.25">
      <c r="B2513">
        <v>59</v>
      </c>
      <c r="C2513">
        <v>21</v>
      </c>
    </row>
    <row r="2514" spans="2:3" x14ac:dyDescent="0.25">
      <c r="B2514">
        <v>58</v>
      </c>
      <c r="C2514">
        <v>18</v>
      </c>
    </row>
    <row r="2515" spans="2:3" x14ac:dyDescent="0.25">
      <c r="B2515">
        <v>58</v>
      </c>
      <c r="C2515">
        <v>16</v>
      </c>
    </row>
    <row r="2516" spans="2:3" x14ac:dyDescent="0.25">
      <c r="B2516">
        <v>55</v>
      </c>
      <c r="C2516">
        <v>18</v>
      </c>
    </row>
    <row r="2517" spans="2:3" x14ac:dyDescent="0.25">
      <c r="B2517">
        <v>55</v>
      </c>
      <c r="C2517">
        <v>7</v>
      </c>
    </row>
    <row r="2518" spans="2:3" x14ac:dyDescent="0.25">
      <c r="B2518">
        <v>53</v>
      </c>
      <c r="C2518">
        <v>8</v>
      </c>
    </row>
    <row r="2519" spans="2:3" x14ac:dyDescent="0.25">
      <c r="B2519">
        <v>53</v>
      </c>
      <c r="C2519">
        <v>0</v>
      </c>
    </row>
    <row r="2520" spans="2:3" x14ac:dyDescent="0.25">
      <c r="B2520">
        <v>52</v>
      </c>
      <c r="C2520">
        <v>13</v>
      </c>
    </row>
    <row r="2521" spans="2:3" x14ac:dyDescent="0.25">
      <c r="B2521">
        <v>51</v>
      </c>
      <c r="C2521">
        <v>0</v>
      </c>
    </row>
    <row r="2522" spans="2:3" x14ac:dyDescent="0.25">
      <c r="B2522">
        <v>50</v>
      </c>
      <c r="C2522">
        <v>4</v>
      </c>
    </row>
    <row r="2523" spans="2:3" x14ac:dyDescent="0.25">
      <c r="B2523">
        <v>50</v>
      </c>
      <c r="C2523">
        <v>5</v>
      </c>
    </row>
    <row r="2524" spans="2:3" x14ac:dyDescent="0.25">
      <c r="B2524">
        <v>47</v>
      </c>
      <c r="C2524">
        <v>0</v>
      </c>
    </row>
    <row r="2525" spans="2:3" x14ac:dyDescent="0.25">
      <c r="B2525">
        <v>46</v>
      </c>
      <c r="C2525">
        <v>12</v>
      </c>
    </row>
    <row r="2526" spans="2:3" x14ac:dyDescent="0.25">
      <c r="B2526">
        <v>45</v>
      </c>
      <c r="C2526">
        <v>0</v>
      </c>
    </row>
    <row r="2527" spans="2:3" x14ac:dyDescent="0.25">
      <c r="B2527">
        <v>45</v>
      </c>
      <c r="C2527">
        <v>1</v>
      </c>
    </row>
    <row r="2528" spans="2:3" x14ac:dyDescent="0.25">
      <c r="B2528">
        <v>44</v>
      </c>
      <c r="C2528">
        <v>0</v>
      </c>
    </row>
    <row r="2529" spans="2:3" x14ac:dyDescent="0.25">
      <c r="B2529">
        <v>43</v>
      </c>
      <c r="C2529">
        <v>0</v>
      </c>
    </row>
    <row r="2530" spans="2:3" x14ac:dyDescent="0.25">
      <c r="B2530">
        <v>43</v>
      </c>
      <c r="C2530">
        <v>0</v>
      </c>
    </row>
    <row r="2531" spans="2:3" x14ac:dyDescent="0.25">
      <c r="B2531">
        <v>43</v>
      </c>
      <c r="C2531">
        <v>9</v>
      </c>
    </row>
    <row r="2532" spans="2:3" x14ac:dyDescent="0.25">
      <c r="B2532">
        <v>40</v>
      </c>
      <c r="C2532">
        <v>7</v>
      </c>
    </row>
    <row r="2533" spans="2:3" x14ac:dyDescent="0.25">
      <c r="B2533">
        <v>38</v>
      </c>
      <c r="C2533">
        <v>0</v>
      </c>
    </row>
    <row r="2534" spans="2:3" x14ac:dyDescent="0.25">
      <c r="B2534">
        <v>37</v>
      </c>
      <c r="C2534">
        <v>0</v>
      </c>
    </row>
    <row r="2535" spans="2:3" x14ac:dyDescent="0.25">
      <c r="B2535">
        <v>36</v>
      </c>
      <c r="C2535">
        <v>12</v>
      </c>
    </row>
    <row r="2536" spans="2:3" x14ac:dyDescent="0.25">
      <c r="B2536">
        <v>35</v>
      </c>
      <c r="C2536">
        <v>10</v>
      </c>
    </row>
    <row r="2537" spans="2:3" x14ac:dyDescent="0.25">
      <c r="B2537">
        <v>35</v>
      </c>
      <c r="C2537">
        <v>12</v>
      </c>
    </row>
    <row r="2538" spans="2:3" x14ac:dyDescent="0.25">
      <c r="B2538">
        <v>31</v>
      </c>
      <c r="C2538">
        <v>12</v>
      </c>
    </row>
    <row r="2539" spans="2:3" x14ac:dyDescent="0.25">
      <c r="B2539">
        <v>31</v>
      </c>
      <c r="C2539">
        <v>4</v>
      </c>
    </row>
    <row r="2540" spans="2:3" x14ac:dyDescent="0.25">
      <c r="B2540">
        <v>30</v>
      </c>
      <c r="C2540">
        <v>14</v>
      </c>
    </row>
    <row r="2541" spans="2:3" x14ac:dyDescent="0.25">
      <c r="B2541">
        <v>28</v>
      </c>
      <c r="C2541">
        <v>12</v>
      </c>
    </row>
    <row r="2542" spans="2:3" x14ac:dyDescent="0.25">
      <c r="B2542">
        <v>27</v>
      </c>
      <c r="C2542">
        <v>2</v>
      </c>
    </row>
    <row r="2543" spans="2:3" x14ac:dyDescent="0.25">
      <c r="B2543">
        <v>27</v>
      </c>
      <c r="C2543">
        <v>2</v>
      </c>
    </row>
    <row r="2544" spans="2:3" x14ac:dyDescent="0.25">
      <c r="B2544">
        <v>26</v>
      </c>
      <c r="C2544">
        <v>19</v>
      </c>
    </row>
    <row r="2545" spans="2:3" x14ac:dyDescent="0.25">
      <c r="B2545">
        <v>26</v>
      </c>
      <c r="C2545">
        <v>16</v>
      </c>
    </row>
    <row r="2546" spans="2:3" x14ac:dyDescent="0.25">
      <c r="B2546">
        <v>24</v>
      </c>
      <c r="C2546">
        <v>16</v>
      </c>
    </row>
    <row r="2547" spans="2:3" x14ac:dyDescent="0.25">
      <c r="B2547">
        <v>24</v>
      </c>
      <c r="C2547">
        <v>19</v>
      </c>
    </row>
    <row r="2548" spans="2:3" x14ac:dyDescent="0.25">
      <c r="B2548">
        <v>23</v>
      </c>
      <c r="C2548">
        <v>14</v>
      </c>
    </row>
    <row r="2549" spans="2:3" x14ac:dyDescent="0.25">
      <c r="B2549">
        <v>22</v>
      </c>
      <c r="C2549">
        <v>8</v>
      </c>
    </row>
    <row r="2550" spans="2:3" x14ac:dyDescent="0.25">
      <c r="B2550">
        <v>21</v>
      </c>
      <c r="C2550">
        <v>0</v>
      </c>
    </row>
    <row r="2551" spans="2:3" x14ac:dyDescent="0.25">
      <c r="B2551">
        <v>21</v>
      </c>
      <c r="C2551">
        <v>0</v>
      </c>
    </row>
    <row r="2552" spans="2:3" x14ac:dyDescent="0.25">
      <c r="B2552">
        <v>20</v>
      </c>
      <c r="C2552">
        <v>16</v>
      </c>
    </row>
    <row r="2553" spans="2:3" x14ac:dyDescent="0.25">
      <c r="B2553">
        <v>20</v>
      </c>
      <c r="C2553">
        <v>11</v>
      </c>
    </row>
    <row r="2554" spans="2:3" x14ac:dyDescent="0.25">
      <c r="B2554">
        <v>19</v>
      </c>
      <c r="C2554">
        <v>10</v>
      </c>
    </row>
    <row r="2555" spans="2:3" x14ac:dyDescent="0.25">
      <c r="B2555">
        <v>17</v>
      </c>
      <c r="C2555">
        <v>18</v>
      </c>
    </row>
    <row r="2556" spans="2:3" x14ac:dyDescent="0.25">
      <c r="B2556">
        <v>17</v>
      </c>
      <c r="C2556">
        <v>13</v>
      </c>
    </row>
    <row r="2557" spans="2:3" x14ac:dyDescent="0.25">
      <c r="B2557">
        <v>17</v>
      </c>
      <c r="C2557">
        <v>21</v>
      </c>
    </row>
    <row r="2558" spans="2:3" x14ac:dyDescent="0.25">
      <c r="B2558">
        <v>16</v>
      </c>
      <c r="C2558">
        <v>22</v>
      </c>
    </row>
    <row r="2559" spans="2:3" x14ac:dyDescent="0.25">
      <c r="B2559">
        <v>14</v>
      </c>
      <c r="C2559">
        <v>21</v>
      </c>
    </row>
    <row r="2560" spans="2:3" x14ac:dyDescent="0.25">
      <c r="B2560">
        <v>12</v>
      </c>
      <c r="C2560">
        <v>22</v>
      </c>
    </row>
    <row r="2561" spans="2:3" x14ac:dyDescent="0.25">
      <c r="B2561">
        <v>9</v>
      </c>
      <c r="C2561">
        <v>21</v>
      </c>
    </row>
    <row r="2562" spans="2:3" x14ac:dyDescent="0.25">
      <c r="B2562">
        <v>8</v>
      </c>
      <c r="C2562">
        <v>16</v>
      </c>
    </row>
    <row r="2563" spans="2:3" x14ac:dyDescent="0.25">
      <c r="B2563">
        <v>8</v>
      </c>
      <c r="C2563">
        <v>19</v>
      </c>
    </row>
    <row r="2564" spans="2:3" x14ac:dyDescent="0.25">
      <c r="B2564">
        <v>8</v>
      </c>
      <c r="C2564">
        <v>8</v>
      </c>
    </row>
    <row r="2565" spans="2:3" x14ac:dyDescent="0.25">
      <c r="B2565">
        <v>5</v>
      </c>
      <c r="C2565">
        <v>14</v>
      </c>
    </row>
    <row r="2566" spans="2:3" x14ac:dyDescent="0.25">
      <c r="B2566">
        <v>5</v>
      </c>
      <c r="C2566">
        <v>0</v>
      </c>
    </row>
    <row r="2567" spans="2:3" x14ac:dyDescent="0.25">
      <c r="B2567">
        <v>5</v>
      </c>
      <c r="C2567">
        <v>0</v>
      </c>
    </row>
    <row r="2568" spans="2:3" x14ac:dyDescent="0.25">
      <c r="B2568">
        <v>4</v>
      </c>
      <c r="C2568">
        <v>24</v>
      </c>
    </row>
    <row r="2569" spans="2:3" x14ac:dyDescent="0.25">
      <c r="B2569">
        <v>4</v>
      </c>
      <c r="C2569">
        <v>19</v>
      </c>
    </row>
    <row r="2570" spans="2:3" x14ac:dyDescent="0.25">
      <c r="B2570">
        <v>3</v>
      </c>
      <c r="C2570">
        <v>16</v>
      </c>
    </row>
    <row r="2571" spans="2:3" x14ac:dyDescent="0.25">
      <c r="B2571">
        <v>3</v>
      </c>
      <c r="C2571">
        <v>21</v>
      </c>
    </row>
    <row r="2572" spans="2:3" x14ac:dyDescent="0.25">
      <c r="B2572">
        <v>3</v>
      </c>
      <c r="C2572">
        <v>20</v>
      </c>
    </row>
    <row r="2573" spans="2:3" x14ac:dyDescent="0.25">
      <c r="B2573">
        <v>2</v>
      </c>
      <c r="C2573">
        <v>18</v>
      </c>
    </row>
    <row r="2574" spans="2:3" x14ac:dyDescent="0.25">
      <c r="B2574">
        <v>2</v>
      </c>
      <c r="C2574">
        <v>0</v>
      </c>
    </row>
    <row r="2575" spans="2:3" x14ac:dyDescent="0.25">
      <c r="B2575">
        <v>227</v>
      </c>
      <c r="C2575">
        <v>20</v>
      </c>
    </row>
    <row r="2576" spans="2:3" x14ac:dyDescent="0.25">
      <c r="B2576">
        <v>226</v>
      </c>
      <c r="C2576">
        <v>17</v>
      </c>
    </row>
    <row r="2577" spans="2:3" x14ac:dyDescent="0.25">
      <c r="B2577">
        <v>226</v>
      </c>
      <c r="C2577">
        <v>12</v>
      </c>
    </row>
    <row r="2578" spans="2:3" x14ac:dyDescent="0.25">
      <c r="B2578">
        <v>225</v>
      </c>
      <c r="C2578">
        <v>23</v>
      </c>
    </row>
    <row r="2579" spans="2:3" x14ac:dyDescent="0.25">
      <c r="B2579">
        <v>223</v>
      </c>
      <c r="C2579">
        <v>24</v>
      </c>
    </row>
    <row r="2580" spans="2:3" x14ac:dyDescent="0.25">
      <c r="B2580">
        <v>222</v>
      </c>
      <c r="C2580">
        <v>13</v>
      </c>
    </row>
    <row r="2581" spans="2:3" x14ac:dyDescent="0.25">
      <c r="B2581">
        <v>222</v>
      </c>
      <c r="C2581">
        <v>10</v>
      </c>
    </row>
    <row r="2582" spans="2:3" x14ac:dyDescent="0.25">
      <c r="B2582">
        <v>219</v>
      </c>
      <c r="C2582">
        <v>24</v>
      </c>
    </row>
    <row r="2583" spans="2:3" x14ac:dyDescent="0.25">
      <c r="B2583">
        <v>216</v>
      </c>
      <c r="C2583">
        <v>24</v>
      </c>
    </row>
    <row r="2584" spans="2:3" x14ac:dyDescent="0.25">
      <c r="B2584">
        <v>216</v>
      </c>
      <c r="C2584">
        <v>19</v>
      </c>
    </row>
    <row r="2585" spans="2:3" x14ac:dyDescent="0.25">
      <c r="B2585">
        <v>215</v>
      </c>
      <c r="C2585">
        <v>9</v>
      </c>
    </row>
    <row r="2586" spans="2:3" x14ac:dyDescent="0.25">
      <c r="B2586">
        <v>215</v>
      </c>
      <c r="C2586">
        <v>6</v>
      </c>
    </row>
    <row r="2587" spans="2:3" x14ac:dyDescent="0.25">
      <c r="B2587">
        <v>214</v>
      </c>
      <c r="C2587">
        <v>0</v>
      </c>
    </row>
    <row r="2588" spans="2:3" x14ac:dyDescent="0.25">
      <c r="B2588">
        <v>214</v>
      </c>
      <c r="C2588">
        <v>0</v>
      </c>
    </row>
    <row r="2589" spans="2:3" x14ac:dyDescent="0.25">
      <c r="B2589">
        <v>213</v>
      </c>
      <c r="C2589">
        <v>0</v>
      </c>
    </row>
    <row r="2590" spans="2:3" x14ac:dyDescent="0.25">
      <c r="B2590">
        <v>212</v>
      </c>
      <c r="C2590">
        <v>16</v>
      </c>
    </row>
    <row r="2591" spans="2:3" x14ac:dyDescent="0.25">
      <c r="B2591">
        <v>210</v>
      </c>
      <c r="C2591">
        <v>4</v>
      </c>
    </row>
    <row r="2592" spans="2:3" x14ac:dyDescent="0.25">
      <c r="B2592">
        <v>210</v>
      </c>
      <c r="C2592">
        <v>0</v>
      </c>
    </row>
    <row r="2593" spans="2:3" x14ac:dyDescent="0.25">
      <c r="B2593">
        <v>209</v>
      </c>
      <c r="C2593">
        <v>18</v>
      </c>
    </row>
    <row r="2594" spans="2:3" x14ac:dyDescent="0.25">
      <c r="B2594">
        <v>208</v>
      </c>
      <c r="C2594">
        <v>1</v>
      </c>
    </row>
    <row r="2595" spans="2:3" x14ac:dyDescent="0.25">
      <c r="B2595">
        <v>208</v>
      </c>
      <c r="C2595">
        <v>0</v>
      </c>
    </row>
    <row r="2596" spans="2:3" x14ac:dyDescent="0.25">
      <c r="B2596">
        <v>207</v>
      </c>
      <c r="C2596">
        <v>2</v>
      </c>
    </row>
    <row r="2597" spans="2:3" x14ac:dyDescent="0.25">
      <c r="B2597">
        <v>206</v>
      </c>
      <c r="C2597">
        <v>20</v>
      </c>
    </row>
    <row r="2598" spans="2:3" x14ac:dyDescent="0.25">
      <c r="B2598">
        <v>204</v>
      </c>
      <c r="C2598">
        <v>0</v>
      </c>
    </row>
    <row r="2599" spans="2:3" x14ac:dyDescent="0.25">
      <c r="B2599">
        <v>198</v>
      </c>
      <c r="C2599">
        <v>1</v>
      </c>
    </row>
    <row r="2600" spans="2:3" x14ac:dyDescent="0.25">
      <c r="B2600">
        <v>197</v>
      </c>
      <c r="C2600">
        <v>0</v>
      </c>
    </row>
    <row r="2601" spans="2:3" x14ac:dyDescent="0.25">
      <c r="B2601">
        <v>193</v>
      </c>
      <c r="C2601">
        <v>18</v>
      </c>
    </row>
    <row r="2602" spans="2:3" x14ac:dyDescent="0.25">
      <c r="B2602">
        <v>192</v>
      </c>
      <c r="C2602">
        <v>18</v>
      </c>
    </row>
    <row r="2603" spans="2:3" x14ac:dyDescent="0.25">
      <c r="B2603">
        <v>192</v>
      </c>
      <c r="C2603">
        <v>24</v>
      </c>
    </row>
    <row r="2604" spans="2:3" x14ac:dyDescent="0.25">
      <c r="B2604">
        <v>190</v>
      </c>
      <c r="C2604">
        <v>22</v>
      </c>
    </row>
    <row r="2605" spans="2:3" x14ac:dyDescent="0.25">
      <c r="B2605">
        <v>188</v>
      </c>
      <c r="C2605">
        <v>7</v>
      </c>
    </row>
    <row r="2606" spans="2:3" x14ac:dyDescent="0.25">
      <c r="B2606">
        <v>188</v>
      </c>
      <c r="C2606">
        <v>14</v>
      </c>
    </row>
    <row r="2607" spans="2:3" x14ac:dyDescent="0.25">
      <c r="B2607">
        <v>187</v>
      </c>
      <c r="C2607">
        <v>14</v>
      </c>
    </row>
    <row r="2608" spans="2:3" x14ac:dyDescent="0.25">
      <c r="B2608">
        <v>187</v>
      </c>
      <c r="C2608">
        <v>17</v>
      </c>
    </row>
    <row r="2609" spans="2:3" x14ac:dyDescent="0.25">
      <c r="B2609">
        <v>186</v>
      </c>
      <c r="C2609">
        <v>22</v>
      </c>
    </row>
    <row r="2610" spans="2:3" x14ac:dyDescent="0.25">
      <c r="B2610">
        <v>186</v>
      </c>
      <c r="C2610">
        <v>17</v>
      </c>
    </row>
    <row r="2611" spans="2:3" x14ac:dyDescent="0.25">
      <c r="B2611">
        <v>183</v>
      </c>
      <c r="C2611">
        <v>0</v>
      </c>
    </row>
    <row r="2612" spans="2:3" x14ac:dyDescent="0.25">
      <c r="B2612">
        <v>177</v>
      </c>
      <c r="C2612">
        <v>24</v>
      </c>
    </row>
    <row r="2613" spans="2:3" x14ac:dyDescent="0.25">
      <c r="B2613">
        <v>177</v>
      </c>
      <c r="C2613">
        <v>18</v>
      </c>
    </row>
    <row r="2614" spans="2:3" x14ac:dyDescent="0.25">
      <c r="B2614">
        <v>176</v>
      </c>
      <c r="C2614">
        <v>11</v>
      </c>
    </row>
    <row r="2615" spans="2:3" x14ac:dyDescent="0.25">
      <c r="B2615">
        <v>175</v>
      </c>
      <c r="C2615">
        <v>11</v>
      </c>
    </row>
    <row r="2616" spans="2:3" x14ac:dyDescent="0.25">
      <c r="B2616">
        <v>174</v>
      </c>
      <c r="C2616">
        <v>0</v>
      </c>
    </row>
    <row r="2617" spans="2:3" x14ac:dyDescent="0.25">
      <c r="B2617">
        <v>172</v>
      </c>
      <c r="C2617">
        <v>0</v>
      </c>
    </row>
    <row r="2618" spans="2:3" x14ac:dyDescent="0.25">
      <c r="B2618">
        <v>170</v>
      </c>
      <c r="C2618">
        <v>20</v>
      </c>
    </row>
    <row r="2619" spans="2:3" x14ac:dyDescent="0.25">
      <c r="B2619">
        <v>169</v>
      </c>
      <c r="C2619">
        <v>0</v>
      </c>
    </row>
    <row r="2620" spans="2:3" x14ac:dyDescent="0.25">
      <c r="B2620">
        <v>168</v>
      </c>
      <c r="C2620">
        <v>5</v>
      </c>
    </row>
    <row r="2621" spans="2:3" x14ac:dyDescent="0.25">
      <c r="B2621">
        <v>164</v>
      </c>
      <c r="C2621">
        <v>20</v>
      </c>
    </row>
    <row r="2622" spans="2:3" x14ac:dyDescent="0.25">
      <c r="B2622">
        <v>160</v>
      </c>
      <c r="C2622">
        <v>8</v>
      </c>
    </row>
    <row r="2623" spans="2:3" x14ac:dyDescent="0.25">
      <c r="B2623">
        <v>160</v>
      </c>
      <c r="C2623">
        <v>13</v>
      </c>
    </row>
    <row r="2624" spans="2:3" x14ac:dyDescent="0.25">
      <c r="B2624">
        <v>158</v>
      </c>
      <c r="C2624">
        <v>17</v>
      </c>
    </row>
    <row r="2625" spans="2:3" x14ac:dyDescent="0.25">
      <c r="B2625">
        <v>157</v>
      </c>
      <c r="C2625">
        <v>0</v>
      </c>
    </row>
    <row r="2626" spans="2:3" x14ac:dyDescent="0.25">
      <c r="B2626">
        <v>156</v>
      </c>
      <c r="C2626">
        <v>11</v>
      </c>
    </row>
    <row r="2627" spans="2:3" x14ac:dyDescent="0.25">
      <c r="B2627">
        <v>154</v>
      </c>
      <c r="C2627">
        <v>23</v>
      </c>
    </row>
    <row r="2628" spans="2:3" x14ac:dyDescent="0.25">
      <c r="B2628">
        <v>151</v>
      </c>
      <c r="C2628">
        <v>0</v>
      </c>
    </row>
    <row r="2629" spans="2:3" x14ac:dyDescent="0.25">
      <c r="B2629">
        <v>151</v>
      </c>
      <c r="C2629">
        <v>5</v>
      </c>
    </row>
    <row r="2630" spans="2:3" x14ac:dyDescent="0.25">
      <c r="B2630">
        <v>150</v>
      </c>
      <c r="C2630">
        <v>13</v>
      </c>
    </row>
    <row r="2631" spans="2:3" x14ac:dyDescent="0.25">
      <c r="B2631">
        <v>145</v>
      </c>
      <c r="C2631">
        <v>0</v>
      </c>
    </row>
    <row r="2632" spans="2:3" x14ac:dyDescent="0.25">
      <c r="B2632">
        <v>144</v>
      </c>
      <c r="C2632">
        <v>11</v>
      </c>
    </row>
    <row r="2633" spans="2:3" x14ac:dyDescent="0.25">
      <c r="B2633">
        <v>143</v>
      </c>
      <c r="C2633">
        <v>22</v>
      </c>
    </row>
    <row r="2634" spans="2:3" x14ac:dyDescent="0.25">
      <c r="B2634">
        <v>143</v>
      </c>
      <c r="C2634">
        <v>22</v>
      </c>
    </row>
    <row r="2635" spans="2:3" x14ac:dyDescent="0.25">
      <c r="B2635">
        <v>139</v>
      </c>
      <c r="C2635">
        <v>22</v>
      </c>
    </row>
    <row r="2636" spans="2:3" x14ac:dyDescent="0.25">
      <c r="B2636">
        <v>139</v>
      </c>
      <c r="C2636">
        <v>22</v>
      </c>
    </row>
    <row r="2637" spans="2:3" x14ac:dyDescent="0.25">
      <c r="B2637">
        <v>139</v>
      </c>
      <c r="C2637">
        <v>23</v>
      </c>
    </row>
    <row r="2638" spans="2:3" x14ac:dyDescent="0.25">
      <c r="B2638">
        <v>137</v>
      </c>
      <c r="C2638">
        <v>15</v>
      </c>
    </row>
    <row r="2639" spans="2:3" x14ac:dyDescent="0.25">
      <c r="B2639">
        <v>136</v>
      </c>
      <c r="C2639">
        <v>27</v>
      </c>
    </row>
    <row r="2640" spans="2:3" x14ac:dyDescent="0.25">
      <c r="B2640">
        <v>135</v>
      </c>
      <c r="C2640">
        <v>19</v>
      </c>
    </row>
    <row r="2641" spans="2:3" x14ac:dyDescent="0.25">
      <c r="B2641">
        <v>134</v>
      </c>
      <c r="C2641">
        <v>22</v>
      </c>
    </row>
    <row r="2642" spans="2:3" x14ac:dyDescent="0.25">
      <c r="B2642">
        <v>134</v>
      </c>
      <c r="C2642">
        <v>18</v>
      </c>
    </row>
    <row r="2643" spans="2:3" x14ac:dyDescent="0.25">
      <c r="B2643">
        <v>132</v>
      </c>
      <c r="C2643">
        <v>2</v>
      </c>
    </row>
    <row r="2644" spans="2:3" x14ac:dyDescent="0.25">
      <c r="B2644">
        <v>131</v>
      </c>
      <c r="C2644">
        <v>16</v>
      </c>
    </row>
    <row r="2645" spans="2:3" x14ac:dyDescent="0.25">
      <c r="B2645">
        <v>129</v>
      </c>
      <c r="C2645">
        <v>0</v>
      </c>
    </row>
    <row r="2646" spans="2:3" x14ac:dyDescent="0.25">
      <c r="B2646">
        <v>129</v>
      </c>
      <c r="C2646">
        <v>7</v>
      </c>
    </row>
    <row r="2647" spans="2:3" x14ac:dyDescent="0.25">
      <c r="B2647">
        <v>127</v>
      </c>
      <c r="C2647">
        <v>17</v>
      </c>
    </row>
    <row r="2648" spans="2:3" x14ac:dyDescent="0.25">
      <c r="B2648">
        <v>125</v>
      </c>
      <c r="C2648">
        <v>22</v>
      </c>
    </row>
    <row r="2649" spans="2:3" x14ac:dyDescent="0.25">
      <c r="B2649">
        <v>121</v>
      </c>
      <c r="C2649">
        <v>14</v>
      </c>
    </row>
    <row r="2650" spans="2:3" x14ac:dyDescent="0.25">
      <c r="B2650">
        <v>121</v>
      </c>
      <c r="C2650">
        <v>20</v>
      </c>
    </row>
    <row r="2651" spans="2:3" x14ac:dyDescent="0.25">
      <c r="B2651">
        <v>116</v>
      </c>
      <c r="C2651">
        <v>1</v>
      </c>
    </row>
    <row r="2652" spans="2:3" x14ac:dyDescent="0.25">
      <c r="B2652">
        <v>115</v>
      </c>
      <c r="C2652">
        <v>2</v>
      </c>
    </row>
    <row r="2653" spans="2:3" x14ac:dyDescent="0.25">
      <c r="B2653">
        <v>115</v>
      </c>
      <c r="C2653">
        <v>0</v>
      </c>
    </row>
    <row r="2654" spans="2:3" x14ac:dyDescent="0.25">
      <c r="B2654">
        <v>114</v>
      </c>
      <c r="C2654">
        <v>13</v>
      </c>
    </row>
    <row r="2655" spans="2:3" x14ac:dyDescent="0.25">
      <c r="B2655">
        <v>114</v>
      </c>
      <c r="C2655">
        <v>6</v>
      </c>
    </row>
    <row r="2656" spans="2:3" x14ac:dyDescent="0.25">
      <c r="B2656">
        <v>113</v>
      </c>
      <c r="C2656">
        <v>21</v>
      </c>
    </row>
    <row r="2657" spans="2:3" x14ac:dyDescent="0.25">
      <c r="B2657">
        <v>112</v>
      </c>
      <c r="C2657">
        <v>9</v>
      </c>
    </row>
    <row r="2658" spans="2:3" x14ac:dyDescent="0.25">
      <c r="B2658">
        <v>108</v>
      </c>
      <c r="C2658">
        <v>20</v>
      </c>
    </row>
    <row r="2659" spans="2:3" x14ac:dyDescent="0.25">
      <c r="B2659">
        <v>108</v>
      </c>
      <c r="C2659">
        <v>22</v>
      </c>
    </row>
    <row r="2660" spans="2:3" x14ac:dyDescent="0.25">
      <c r="B2660">
        <v>108</v>
      </c>
      <c r="C2660">
        <v>14</v>
      </c>
    </row>
    <row r="2661" spans="2:3" x14ac:dyDescent="0.25">
      <c r="B2661">
        <v>105</v>
      </c>
      <c r="C2661">
        <v>0</v>
      </c>
    </row>
    <row r="2662" spans="2:3" x14ac:dyDescent="0.25">
      <c r="B2662">
        <v>102</v>
      </c>
      <c r="C2662">
        <v>22</v>
      </c>
    </row>
    <row r="2663" spans="2:3" x14ac:dyDescent="0.25">
      <c r="B2663">
        <v>102</v>
      </c>
      <c r="C2663">
        <v>3</v>
      </c>
    </row>
    <row r="2664" spans="2:3" x14ac:dyDescent="0.25">
      <c r="B2664">
        <v>99</v>
      </c>
      <c r="C2664">
        <v>18</v>
      </c>
    </row>
    <row r="2665" spans="2:3" x14ac:dyDescent="0.25">
      <c r="B2665">
        <v>98</v>
      </c>
      <c r="C2665">
        <v>4</v>
      </c>
    </row>
    <row r="2666" spans="2:3" x14ac:dyDescent="0.25">
      <c r="B2666">
        <v>98</v>
      </c>
      <c r="C2666">
        <v>0</v>
      </c>
    </row>
    <row r="2667" spans="2:3" x14ac:dyDescent="0.25">
      <c r="B2667">
        <v>96</v>
      </c>
      <c r="C2667">
        <v>24</v>
      </c>
    </row>
    <row r="2668" spans="2:3" x14ac:dyDescent="0.25">
      <c r="B2668">
        <v>96</v>
      </c>
      <c r="C2668">
        <v>25</v>
      </c>
    </row>
    <row r="2669" spans="2:3" x14ac:dyDescent="0.25">
      <c r="B2669">
        <v>95</v>
      </c>
      <c r="C2669">
        <v>10</v>
      </c>
    </row>
    <row r="2670" spans="2:3" x14ac:dyDescent="0.25">
      <c r="B2670">
        <v>95</v>
      </c>
      <c r="C2670">
        <v>15</v>
      </c>
    </row>
    <row r="2671" spans="2:3" x14ac:dyDescent="0.25">
      <c r="B2671">
        <v>94</v>
      </c>
      <c r="C2671">
        <v>12</v>
      </c>
    </row>
    <row r="2672" spans="2:3" x14ac:dyDescent="0.25">
      <c r="B2672">
        <v>94</v>
      </c>
      <c r="C2672">
        <v>18</v>
      </c>
    </row>
    <row r="2673" spans="2:3" x14ac:dyDescent="0.25">
      <c r="B2673">
        <v>92</v>
      </c>
      <c r="C2673">
        <v>23</v>
      </c>
    </row>
    <row r="2674" spans="2:3" x14ac:dyDescent="0.25">
      <c r="B2674">
        <v>92</v>
      </c>
      <c r="C2674">
        <v>0</v>
      </c>
    </row>
    <row r="2675" spans="2:3" x14ac:dyDescent="0.25">
      <c r="B2675">
        <v>90</v>
      </c>
      <c r="C2675">
        <v>22</v>
      </c>
    </row>
    <row r="2676" spans="2:3" x14ac:dyDescent="0.25">
      <c r="B2676">
        <v>90</v>
      </c>
      <c r="C2676">
        <v>23</v>
      </c>
    </row>
    <row r="2677" spans="2:3" x14ac:dyDescent="0.25">
      <c r="B2677">
        <v>90</v>
      </c>
      <c r="C2677">
        <v>21</v>
      </c>
    </row>
    <row r="2678" spans="2:3" x14ac:dyDescent="0.25">
      <c r="B2678">
        <v>88</v>
      </c>
      <c r="C2678">
        <v>23</v>
      </c>
    </row>
    <row r="2679" spans="2:3" x14ac:dyDescent="0.25">
      <c r="B2679">
        <v>88</v>
      </c>
      <c r="C2679">
        <v>22</v>
      </c>
    </row>
    <row r="2680" spans="2:3" x14ac:dyDescent="0.25">
      <c r="B2680">
        <v>85</v>
      </c>
      <c r="C2680">
        <v>27</v>
      </c>
    </row>
    <row r="2681" spans="2:3" x14ac:dyDescent="0.25">
      <c r="B2681">
        <v>84</v>
      </c>
      <c r="C2681">
        <v>25</v>
      </c>
    </row>
    <row r="2682" spans="2:3" x14ac:dyDescent="0.25">
      <c r="B2682">
        <v>83</v>
      </c>
      <c r="C2682">
        <v>17</v>
      </c>
    </row>
    <row r="2683" spans="2:3" x14ac:dyDescent="0.25">
      <c r="B2683">
        <v>80</v>
      </c>
      <c r="C2683">
        <v>23</v>
      </c>
    </row>
    <row r="2684" spans="2:3" x14ac:dyDescent="0.25">
      <c r="B2684">
        <v>79</v>
      </c>
      <c r="C2684">
        <v>11</v>
      </c>
    </row>
    <row r="2685" spans="2:3" x14ac:dyDescent="0.25">
      <c r="B2685">
        <v>79</v>
      </c>
      <c r="C2685">
        <v>11</v>
      </c>
    </row>
    <row r="2686" spans="2:3" x14ac:dyDescent="0.25">
      <c r="B2686">
        <v>76</v>
      </c>
      <c r="C2686">
        <v>22</v>
      </c>
    </row>
    <row r="2687" spans="2:3" x14ac:dyDescent="0.25">
      <c r="B2687">
        <v>75</v>
      </c>
      <c r="C2687">
        <v>19</v>
      </c>
    </row>
    <row r="2688" spans="2:3" x14ac:dyDescent="0.25">
      <c r="B2688">
        <v>75</v>
      </c>
      <c r="C2688">
        <v>27</v>
      </c>
    </row>
    <row r="2689" spans="2:3" x14ac:dyDescent="0.25">
      <c r="B2689">
        <v>71</v>
      </c>
      <c r="C2689">
        <v>13</v>
      </c>
    </row>
    <row r="2690" spans="2:3" x14ac:dyDescent="0.25">
      <c r="B2690">
        <v>67</v>
      </c>
      <c r="C2690">
        <v>0</v>
      </c>
    </row>
    <row r="2691" spans="2:3" x14ac:dyDescent="0.25">
      <c r="B2691">
        <v>66</v>
      </c>
      <c r="C2691">
        <v>14</v>
      </c>
    </row>
    <row r="2692" spans="2:3" x14ac:dyDescent="0.25">
      <c r="B2692">
        <v>66</v>
      </c>
      <c r="C2692">
        <v>16</v>
      </c>
    </row>
    <row r="2693" spans="2:3" x14ac:dyDescent="0.25">
      <c r="B2693">
        <v>64</v>
      </c>
      <c r="C2693">
        <v>8</v>
      </c>
    </row>
    <row r="2694" spans="2:3" x14ac:dyDescent="0.25">
      <c r="B2694">
        <v>60</v>
      </c>
      <c r="C2694">
        <v>1</v>
      </c>
    </row>
    <row r="2695" spans="2:3" x14ac:dyDescent="0.25">
      <c r="B2695">
        <v>59</v>
      </c>
      <c r="C2695">
        <v>21</v>
      </c>
    </row>
    <row r="2696" spans="2:3" x14ac:dyDescent="0.25">
      <c r="B2696">
        <v>58</v>
      </c>
      <c r="C2696">
        <v>18</v>
      </c>
    </row>
    <row r="2697" spans="2:3" x14ac:dyDescent="0.25">
      <c r="B2697">
        <v>58</v>
      </c>
      <c r="C2697">
        <v>16</v>
      </c>
    </row>
    <row r="2698" spans="2:3" x14ac:dyDescent="0.25">
      <c r="B2698">
        <v>55</v>
      </c>
      <c r="C2698">
        <v>18</v>
      </c>
    </row>
    <row r="2699" spans="2:3" x14ac:dyDescent="0.25">
      <c r="B2699">
        <v>55</v>
      </c>
      <c r="C2699">
        <v>7</v>
      </c>
    </row>
    <row r="2700" spans="2:3" x14ac:dyDescent="0.25">
      <c r="B2700">
        <v>53</v>
      </c>
      <c r="C2700">
        <v>8</v>
      </c>
    </row>
    <row r="2701" spans="2:3" x14ac:dyDescent="0.25">
      <c r="B2701">
        <v>53</v>
      </c>
      <c r="C2701">
        <v>0</v>
      </c>
    </row>
    <row r="2702" spans="2:3" x14ac:dyDescent="0.25">
      <c r="B2702">
        <v>52</v>
      </c>
      <c r="C2702">
        <v>13</v>
      </c>
    </row>
    <row r="2703" spans="2:3" x14ac:dyDescent="0.25">
      <c r="B2703">
        <v>51</v>
      </c>
      <c r="C2703">
        <v>0</v>
      </c>
    </row>
    <row r="2704" spans="2:3" x14ac:dyDescent="0.25">
      <c r="B2704">
        <v>50</v>
      </c>
      <c r="C2704">
        <v>4</v>
      </c>
    </row>
    <row r="2705" spans="2:3" x14ac:dyDescent="0.25">
      <c r="B2705">
        <v>50</v>
      </c>
      <c r="C2705">
        <v>5</v>
      </c>
    </row>
    <row r="2706" spans="2:3" x14ac:dyDescent="0.25">
      <c r="B2706">
        <v>47</v>
      </c>
      <c r="C2706">
        <v>0</v>
      </c>
    </row>
    <row r="2707" spans="2:3" x14ac:dyDescent="0.25">
      <c r="B2707">
        <v>46</v>
      </c>
      <c r="C2707">
        <v>12</v>
      </c>
    </row>
    <row r="2708" spans="2:3" x14ac:dyDescent="0.25">
      <c r="B2708">
        <v>45</v>
      </c>
      <c r="C2708">
        <v>0</v>
      </c>
    </row>
    <row r="2709" spans="2:3" x14ac:dyDescent="0.25">
      <c r="B2709">
        <v>45</v>
      </c>
      <c r="C2709">
        <v>1</v>
      </c>
    </row>
    <row r="2710" spans="2:3" x14ac:dyDescent="0.25">
      <c r="B2710">
        <v>44</v>
      </c>
      <c r="C2710">
        <v>0</v>
      </c>
    </row>
    <row r="2711" spans="2:3" x14ac:dyDescent="0.25">
      <c r="B2711">
        <v>43</v>
      </c>
      <c r="C2711">
        <v>0</v>
      </c>
    </row>
    <row r="2712" spans="2:3" x14ac:dyDescent="0.25">
      <c r="B2712">
        <v>43</v>
      </c>
      <c r="C2712">
        <v>0</v>
      </c>
    </row>
    <row r="2713" spans="2:3" x14ac:dyDescent="0.25">
      <c r="B2713">
        <v>43</v>
      </c>
      <c r="C2713">
        <v>9</v>
      </c>
    </row>
    <row r="2714" spans="2:3" x14ac:dyDescent="0.25">
      <c r="B2714">
        <v>40</v>
      </c>
      <c r="C2714">
        <v>7</v>
      </c>
    </row>
    <row r="2715" spans="2:3" x14ac:dyDescent="0.25">
      <c r="B2715">
        <v>38</v>
      </c>
      <c r="C2715">
        <v>0</v>
      </c>
    </row>
    <row r="2716" spans="2:3" x14ac:dyDescent="0.25">
      <c r="B2716">
        <v>37</v>
      </c>
      <c r="C2716">
        <v>0</v>
      </c>
    </row>
    <row r="2717" spans="2:3" x14ac:dyDescent="0.25">
      <c r="B2717">
        <v>36</v>
      </c>
      <c r="C2717">
        <v>12</v>
      </c>
    </row>
    <row r="2718" spans="2:3" x14ac:dyDescent="0.25">
      <c r="B2718">
        <v>35</v>
      </c>
      <c r="C2718">
        <v>10</v>
      </c>
    </row>
    <row r="2719" spans="2:3" x14ac:dyDescent="0.25">
      <c r="B2719">
        <v>35</v>
      </c>
      <c r="C2719">
        <v>12</v>
      </c>
    </row>
    <row r="2720" spans="2:3" x14ac:dyDescent="0.25">
      <c r="B2720">
        <v>31</v>
      </c>
      <c r="C2720">
        <v>12</v>
      </c>
    </row>
    <row r="2721" spans="2:3" x14ac:dyDescent="0.25">
      <c r="B2721">
        <v>31</v>
      </c>
      <c r="C2721">
        <v>4</v>
      </c>
    </row>
    <row r="2722" spans="2:3" x14ac:dyDescent="0.25">
      <c r="B2722">
        <v>30</v>
      </c>
      <c r="C2722">
        <v>14</v>
      </c>
    </row>
    <row r="2723" spans="2:3" x14ac:dyDescent="0.25">
      <c r="B2723">
        <v>28</v>
      </c>
      <c r="C2723">
        <v>12</v>
      </c>
    </row>
    <row r="2724" spans="2:3" x14ac:dyDescent="0.25">
      <c r="B2724">
        <v>27</v>
      </c>
      <c r="C2724">
        <v>2</v>
      </c>
    </row>
    <row r="2725" spans="2:3" x14ac:dyDescent="0.25">
      <c r="B2725">
        <v>27</v>
      </c>
      <c r="C2725">
        <v>2</v>
      </c>
    </row>
    <row r="2726" spans="2:3" x14ac:dyDescent="0.25">
      <c r="B2726">
        <v>26</v>
      </c>
      <c r="C2726">
        <v>19</v>
      </c>
    </row>
    <row r="2727" spans="2:3" x14ac:dyDescent="0.25">
      <c r="B2727">
        <v>26</v>
      </c>
      <c r="C2727">
        <v>16</v>
      </c>
    </row>
    <row r="2728" spans="2:3" x14ac:dyDescent="0.25">
      <c r="B2728">
        <v>24</v>
      </c>
      <c r="C2728">
        <v>16</v>
      </c>
    </row>
    <row r="2729" spans="2:3" x14ac:dyDescent="0.25">
      <c r="B2729">
        <v>24</v>
      </c>
      <c r="C2729">
        <v>19</v>
      </c>
    </row>
    <row r="2730" spans="2:3" x14ac:dyDescent="0.25">
      <c r="B2730">
        <v>23</v>
      </c>
      <c r="C2730">
        <v>14</v>
      </c>
    </row>
    <row r="2731" spans="2:3" x14ac:dyDescent="0.25">
      <c r="B2731">
        <v>22</v>
      </c>
      <c r="C2731">
        <v>8</v>
      </c>
    </row>
    <row r="2732" spans="2:3" x14ac:dyDescent="0.25">
      <c r="B2732">
        <v>21</v>
      </c>
      <c r="C2732">
        <v>0</v>
      </c>
    </row>
    <row r="2733" spans="2:3" x14ac:dyDescent="0.25">
      <c r="B2733">
        <v>21</v>
      </c>
      <c r="C2733">
        <v>0</v>
      </c>
    </row>
    <row r="2734" spans="2:3" x14ac:dyDescent="0.25">
      <c r="B2734">
        <v>20</v>
      </c>
      <c r="C2734">
        <v>16</v>
      </c>
    </row>
    <row r="2735" spans="2:3" x14ac:dyDescent="0.25">
      <c r="B2735">
        <v>20</v>
      </c>
      <c r="C2735">
        <v>11</v>
      </c>
    </row>
    <row r="2736" spans="2:3" x14ac:dyDescent="0.25">
      <c r="B2736">
        <v>19</v>
      </c>
      <c r="C2736">
        <v>10</v>
      </c>
    </row>
    <row r="2737" spans="2:3" x14ac:dyDescent="0.25">
      <c r="B2737">
        <v>17</v>
      </c>
      <c r="C2737">
        <v>18</v>
      </c>
    </row>
    <row r="2738" spans="2:3" x14ac:dyDescent="0.25">
      <c r="B2738">
        <v>17</v>
      </c>
      <c r="C2738">
        <v>13</v>
      </c>
    </row>
    <row r="2739" spans="2:3" x14ac:dyDescent="0.25">
      <c r="B2739">
        <v>17</v>
      </c>
      <c r="C2739">
        <v>21</v>
      </c>
    </row>
    <row r="2740" spans="2:3" x14ac:dyDescent="0.25">
      <c r="B2740">
        <v>16</v>
      </c>
      <c r="C2740">
        <v>22</v>
      </c>
    </row>
    <row r="2741" spans="2:3" x14ac:dyDescent="0.25">
      <c r="B2741">
        <v>14</v>
      </c>
      <c r="C2741">
        <v>21</v>
      </c>
    </row>
    <row r="2742" spans="2:3" x14ac:dyDescent="0.25">
      <c r="B2742">
        <v>12</v>
      </c>
      <c r="C2742">
        <v>22</v>
      </c>
    </row>
    <row r="2743" spans="2:3" x14ac:dyDescent="0.25">
      <c r="B2743">
        <v>9</v>
      </c>
      <c r="C2743">
        <v>21</v>
      </c>
    </row>
    <row r="2744" spans="2:3" x14ac:dyDescent="0.25">
      <c r="B2744">
        <v>8</v>
      </c>
      <c r="C2744">
        <v>16</v>
      </c>
    </row>
    <row r="2745" spans="2:3" x14ac:dyDescent="0.25">
      <c r="B2745">
        <v>8</v>
      </c>
      <c r="C2745">
        <v>19</v>
      </c>
    </row>
    <row r="2746" spans="2:3" x14ac:dyDescent="0.25">
      <c r="B2746">
        <v>8</v>
      </c>
      <c r="C2746">
        <v>8</v>
      </c>
    </row>
    <row r="2747" spans="2:3" x14ac:dyDescent="0.25">
      <c r="B2747">
        <v>5</v>
      </c>
      <c r="C2747">
        <v>14</v>
      </c>
    </row>
    <row r="2748" spans="2:3" x14ac:dyDescent="0.25">
      <c r="B2748">
        <v>5</v>
      </c>
      <c r="C2748">
        <v>0</v>
      </c>
    </row>
    <row r="2749" spans="2:3" x14ac:dyDescent="0.25">
      <c r="B2749">
        <v>5</v>
      </c>
      <c r="C2749">
        <v>0</v>
      </c>
    </row>
    <row r="2750" spans="2:3" x14ac:dyDescent="0.25">
      <c r="B2750">
        <v>4</v>
      </c>
      <c r="C2750">
        <v>24</v>
      </c>
    </row>
    <row r="2751" spans="2:3" x14ac:dyDescent="0.25">
      <c r="B2751">
        <v>4</v>
      </c>
      <c r="C2751">
        <v>19</v>
      </c>
    </row>
    <row r="2752" spans="2:3" x14ac:dyDescent="0.25">
      <c r="B2752">
        <v>3</v>
      </c>
      <c r="C2752">
        <v>16</v>
      </c>
    </row>
    <row r="2753" spans="2:3" x14ac:dyDescent="0.25">
      <c r="B2753">
        <v>3</v>
      </c>
      <c r="C2753">
        <v>21</v>
      </c>
    </row>
    <row r="2754" spans="2:3" x14ac:dyDescent="0.25">
      <c r="B2754">
        <v>3</v>
      </c>
      <c r="C2754">
        <v>20</v>
      </c>
    </row>
    <row r="2755" spans="2:3" x14ac:dyDescent="0.25">
      <c r="B2755">
        <v>2</v>
      </c>
      <c r="C2755">
        <v>18</v>
      </c>
    </row>
    <row r="2756" spans="2:3" x14ac:dyDescent="0.25">
      <c r="B2756">
        <v>2</v>
      </c>
      <c r="C2756">
        <v>0</v>
      </c>
    </row>
  </sheetData>
  <customSheetViews>
    <customSheetView guid="{13E00259-D325-4D27-B6D0-F1F28B665E89}" scale="86" topLeftCell="A7">
      <selection activeCell="A922" sqref="A92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175E9-9173-4FCF-A8A8-CF581AF79672}">
  <dimension ref="A1:L1049"/>
  <sheetViews>
    <sheetView topLeftCell="C1" workbookViewId="0">
      <selection activeCell="K3" sqref="K3"/>
    </sheetView>
  </sheetViews>
  <sheetFormatPr defaultRowHeight="15" x14ac:dyDescent="0.25"/>
  <cols>
    <col min="1" max="1" width="64.5703125" bestFit="1" customWidth="1"/>
    <col min="8" max="8" width="64.5703125" bestFit="1" customWidth="1"/>
  </cols>
  <sheetData>
    <row r="1" spans="1:12" x14ac:dyDescent="0.25">
      <c r="A1" t="s">
        <v>73</v>
      </c>
      <c r="B1" t="s">
        <v>1164</v>
      </c>
      <c r="C1">
        <f>COUNTIF(A:A,"uncertain significance~likely benign")</f>
        <v>87</v>
      </c>
      <c r="H1" t="s">
        <v>12</v>
      </c>
      <c r="L1" t="s">
        <v>1168</v>
      </c>
    </row>
    <row r="2" spans="1:12" x14ac:dyDescent="0.25">
      <c r="A2" t="s">
        <v>73</v>
      </c>
      <c r="B2" t="s">
        <v>1157</v>
      </c>
      <c r="C2">
        <f>COUNTIF(A:A,"uncertain significance~benign~likely benign")</f>
        <v>10</v>
      </c>
      <c r="H2" t="s">
        <v>55</v>
      </c>
      <c r="J2" t="s">
        <v>1169</v>
      </c>
      <c r="K2">
        <f>COUNTIF(H:H,"*benign*")</f>
        <v>477</v>
      </c>
      <c r="L2" s="1">
        <f>K2/$K$5</f>
        <v>0.37797147385103014</v>
      </c>
    </row>
    <row r="3" spans="1:12" x14ac:dyDescent="0.25">
      <c r="A3" t="s">
        <v>73</v>
      </c>
      <c r="B3" t="s">
        <v>1158</v>
      </c>
      <c r="C3">
        <f>COUNTIF(A:A,"uncertain significance~likely benign~other")</f>
        <v>16</v>
      </c>
      <c r="H3" t="s">
        <v>55</v>
      </c>
      <c r="J3" t="s">
        <v>216</v>
      </c>
      <c r="K3">
        <f>COUNTIF(H:H, "*pathogenic*")</f>
        <v>234</v>
      </c>
      <c r="L3" s="1">
        <f t="shared" ref="L3:L4" si="0">K3/$K$5</f>
        <v>0.18541996830427893</v>
      </c>
    </row>
    <row r="4" spans="1:12" x14ac:dyDescent="0.25">
      <c r="A4" t="s">
        <v>73</v>
      </c>
      <c r="B4" t="s">
        <v>1165</v>
      </c>
      <c r="C4">
        <f>COUNTIF(A:A,"uncertain significance~benign~likely benign~other")</f>
        <v>12</v>
      </c>
      <c r="H4" t="s">
        <v>55</v>
      </c>
      <c r="J4" t="s">
        <v>1170</v>
      </c>
      <c r="K4">
        <f>COUNTIF(H:H, "*uncertain*")</f>
        <v>551</v>
      </c>
      <c r="L4" s="1">
        <f t="shared" si="0"/>
        <v>0.43660855784469099</v>
      </c>
    </row>
    <row r="5" spans="1:12" x14ac:dyDescent="0.25">
      <c r="A5" t="s">
        <v>73</v>
      </c>
      <c r="B5" t="s">
        <v>1166</v>
      </c>
      <c r="C5">
        <f>COUNTIF(A:A,"uncertain significance~likely benign~pathogenic")</f>
        <v>12</v>
      </c>
      <c r="H5" t="s">
        <v>55</v>
      </c>
      <c r="J5" t="s">
        <v>1167</v>
      </c>
      <c r="K5">
        <f>SUM(K2:K4)</f>
        <v>1262</v>
      </c>
    </row>
    <row r="6" spans="1:12" x14ac:dyDescent="0.25">
      <c r="A6" t="s">
        <v>73</v>
      </c>
      <c r="B6" t="s">
        <v>1159</v>
      </c>
      <c r="C6">
        <f>COUNTIF(A:A,"uncertain significance~likely pathogenic~pathogenic~other")</f>
        <v>27</v>
      </c>
      <c r="H6" t="s">
        <v>55</v>
      </c>
    </row>
    <row r="7" spans="1:12" x14ac:dyDescent="0.25">
      <c r="A7" t="s">
        <v>73</v>
      </c>
      <c r="B7" t="s">
        <v>1160</v>
      </c>
      <c r="C7">
        <f>COUNTIF(A:A,"uncertain significance~likely pathogenic~pathogenic~other~risk factor")</f>
        <v>8</v>
      </c>
      <c r="H7" t="s">
        <v>55</v>
      </c>
    </row>
    <row r="8" spans="1:12" x14ac:dyDescent="0.25">
      <c r="A8" t="s">
        <v>73</v>
      </c>
      <c r="B8" t="s">
        <v>1161</v>
      </c>
      <c r="C8">
        <f>COUNTIF(A:A,"uncertain significance~other")</f>
        <v>17</v>
      </c>
      <c r="H8" t="s">
        <v>55</v>
      </c>
    </row>
    <row r="9" spans="1:12" x14ac:dyDescent="0.25">
      <c r="A9" t="s">
        <v>73</v>
      </c>
      <c r="B9" t="s">
        <v>1162</v>
      </c>
      <c r="C9">
        <f>COUNTIF(A:A,"uncertain significance~pathogenic")</f>
        <v>10</v>
      </c>
      <c r="H9" t="s">
        <v>55</v>
      </c>
    </row>
    <row r="10" spans="1:12" x14ac:dyDescent="0.25">
      <c r="A10" t="s">
        <v>73</v>
      </c>
      <c r="B10" t="s">
        <v>1163</v>
      </c>
      <c r="C10">
        <f>COUNTIF(A:A,"uncertain significance~pathogenic~other")</f>
        <v>22</v>
      </c>
      <c r="H10" t="s">
        <v>55</v>
      </c>
    </row>
    <row r="11" spans="1:12" x14ac:dyDescent="0.25">
      <c r="A11" t="s">
        <v>73</v>
      </c>
      <c r="H11" t="s">
        <v>55</v>
      </c>
    </row>
    <row r="12" spans="1:12" x14ac:dyDescent="0.25">
      <c r="A12" t="s">
        <v>73</v>
      </c>
      <c r="H12" t="s">
        <v>55</v>
      </c>
    </row>
    <row r="13" spans="1:12" x14ac:dyDescent="0.25">
      <c r="A13" t="s">
        <v>73</v>
      </c>
      <c r="H13" t="s">
        <v>55</v>
      </c>
    </row>
    <row r="14" spans="1:12" x14ac:dyDescent="0.25">
      <c r="A14" t="s">
        <v>73</v>
      </c>
      <c r="H14" t="s">
        <v>55</v>
      </c>
    </row>
    <row r="15" spans="1:12" x14ac:dyDescent="0.25">
      <c r="A15" t="s">
        <v>73</v>
      </c>
      <c r="H15" t="s">
        <v>55</v>
      </c>
    </row>
    <row r="16" spans="1:12" x14ac:dyDescent="0.25">
      <c r="A16" t="s">
        <v>73</v>
      </c>
      <c r="H16" t="s">
        <v>55</v>
      </c>
    </row>
    <row r="17" spans="1:8" x14ac:dyDescent="0.25">
      <c r="A17" t="s">
        <v>73</v>
      </c>
      <c r="H17" t="s">
        <v>55</v>
      </c>
    </row>
    <row r="18" spans="1:8" x14ac:dyDescent="0.25">
      <c r="A18" t="s">
        <v>73</v>
      </c>
      <c r="H18" t="s">
        <v>55</v>
      </c>
    </row>
    <row r="19" spans="1:8" x14ac:dyDescent="0.25">
      <c r="A19" t="s">
        <v>73</v>
      </c>
      <c r="H19" t="s">
        <v>55</v>
      </c>
    </row>
    <row r="20" spans="1:8" x14ac:dyDescent="0.25">
      <c r="A20" t="s">
        <v>73</v>
      </c>
      <c r="H20" t="s">
        <v>55</v>
      </c>
    </row>
    <row r="21" spans="1:8" x14ac:dyDescent="0.25">
      <c r="A21" t="s">
        <v>73</v>
      </c>
      <c r="H21" t="s">
        <v>55</v>
      </c>
    </row>
    <row r="22" spans="1:8" x14ac:dyDescent="0.25">
      <c r="A22" t="s">
        <v>73</v>
      </c>
      <c r="H22" t="s">
        <v>55</v>
      </c>
    </row>
    <row r="23" spans="1:8" x14ac:dyDescent="0.25">
      <c r="A23" t="s">
        <v>73</v>
      </c>
      <c r="H23" t="s">
        <v>55</v>
      </c>
    </row>
    <row r="24" spans="1:8" x14ac:dyDescent="0.25">
      <c r="A24" t="s">
        <v>73</v>
      </c>
      <c r="H24" t="s">
        <v>55</v>
      </c>
    </row>
    <row r="25" spans="1:8" x14ac:dyDescent="0.25">
      <c r="A25" t="s">
        <v>73</v>
      </c>
      <c r="H25" t="s">
        <v>419</v>
      </c>
    </row>
    <row r="26" spans="1:8" x14ac:dyDescent="0.25">
      <c r="A26" t="s">
        <v>73</v>
      </c>
      <c r="H26" t="s">
        <v>419</v>
      </c>
    </row>
    <row r="27" spans="1:8" x14ac:dyDescent="0.25">
      <c r="A27" t="s">
        <v>73</v>
      </c>
      <c r="H27" t="s">
        <v>419</v>
      </c>
    </row>
    <row r="28" spans="1:8" x14ac:dyDescent="0.25">
      <c r="A28" t="s">
        <v>73</v>
      </c>
      <c r="H28" t="s">
        <v>419</v>
      </c>
    </row>
    <row r="29" spans="1:8" x14ac:dyDescent="0.25">
      <c r="A29" t="s">
        <v>73</v>
      </c>
      <c r="H29" t="s">
        <v>419</v>
      </c>
    </row>
    <row r="30" spans="1:8" x14ac:dyDescent="0.25">
      <c r="A30" t="s">
        <v>73</v>
      </c>
      <c r="H30" t="s">
        <v>419</v>
      </c>
    </row>
    <row r="31" spans="1:8" x14ac:dyDescent="0.25">
      <c r="A31" t="s">
        <v>73</v>
      </c>
      <c r="H31" t="s">
        <v>419</v>
      </c>
    </row>
    <row r="32" spans="1:8" x14ac:dyDescent="0.25">
      <c r="A32" t="s">
        <v>73</v>
      </c>
      <c r="H32" t="s">
        <v>419</v>
      </c>
    </row>
    <row r="33" spans="1:8" x14ac:dyDescent="0.25">
      <c r="A33" t="s">
        <v>73</v>
      </c>
      <c r="H33" t="s">
        <v>419</v>
      </c>
    </row>
    <row r="34" spans="1:8" x14ac:dyDescent="0.25">
      <c r="A34" t="s">
        <v>73</v>
      </c>
      <c r="H34" t="s">
        <v>419</v>
      </c>
    </row>
    <row r="35" spans="1:8" x14ac:dyDescent="0.25">
      <c r="A35" t="s">
        <v>73</v>
      </c>
      <c r="H35" t="s">
        <v>419</v>
      </c>
    </row>
    <row r="36" spans="1:8" x14ac:dyDescent="0.25">
      <c r="A36" t="s">
        <v>73</v>
      </c>
      <c r="H36" t="s">
        <v>419</v>
      </c>
    </row>
    <row r="37" spans="1:8" x14ac:dyDescent="0.25">
      <c r="A37" t="s">
        <v>73</v>
      </c>
      <c r="H37" t="s">
        <v>419</v>
      </c>
    </row>
    <row r="38" spans="1:8" x14ac:dyDescent="0.25">
      <c r="A38" t="s">
        <v>73</v>
      </c>
      <c r="H38" t="s">
        <v>419</v>
      </c>
    </row>
    <row r="39" spans="1:8" x14ac:dyDescent="0.25">
      <c r="A39" t="s">
        <v>73</v>
      </c>
      <c r="H39" t="s">
        <v>419</v>
      </c>
    </row>
    <row r="40" spans="1:8" x14ac:dyDescent="0.25">
      <c r="A40" t="s">
        <v>73</v>
      </c>
      <c r="H40" t="s">
        <v>419</v>
      </c>
    </row>
    <row r="41" spans="1:8" x14ac:dyDescent="0.25">
      <c r="A41" t="s">
        <v>73</v>
      </c>
      <c r="H41" t="s">
        <v>419</v>
      </c>
    </row>
    <row r="42" spans="1:8" x14ac:dyDescent="0.25">
      <c r="A42" t="s">
        <v>73</v>
      </c>
      <c r="H42" t="s">
        <v>419</v>
      </c>
    </row>
    <row r="43" spans="1:8" x14ac:dyDescent="0.25">
      <c r="A43" t="s">
        <v>73</v>
      </c>
      <c r="H43" t="s">
        <v>419</v>
      </c>
    </row>
    <row r="44" spans="1:8" x14ac:dyDescent="0.25">
      <c r="A44" t="s">
        <v>73</v>
      </c>
      <c r="H44" t="s">
        <v>419</v>
      </c>
    </row>
    <row r="45" spans="1:8" x14ac:dyDescent="0.25">
      <c r="A45" t="s">
        <v>73</v>
      </c>
      <c r="H45" t="s">
        <v>152</v>
      </c>
    </row>
    <row r="46" spans="1:8" x14ac:dyDescent="0.25">
      <c r="A46" t="s">
        <v>73</v>
      </c>
      <c r="H46" t="s">
        <v>152</v>
      </c>
    </row>
    <row r="47" spans="1:8" x14ac:dyDescent="0.25">
      <c r="A47" t="s">
        <v>73</v>
      </c>
      <c r="H47" t="s">
        <v>152</v>
      </c>
    </row>
    <row r="48" spans="1:8" x14ac:dyDescent="0.25">
      <c r="A48" t="s">
        <v>73</v>
      </c>
      <c r="H48" t="s">
        <v>152</v>
      </c>
    </row>
    <row r="49" spans="1:8" x14ac:dyDescent="0.25">
      <c r="A49" t="s">
        <v>73</v>
      </c>
      <c r="H49" t="s">
        <v>152</v>
      </c>
    </row>
    <row r="50" spans="1:8" x14ac:dyDescent="0.25">
      <c r="A50" t="s">
        <v>73</v>
      </c>
      <c r="H50" t="s">
        <v>844</v>
      </c>
    </row>
    <row r="51" spans="1:8" x14ac:dyDescent="0.25">
      <c r="A51" t="s">
        <v>73</v>
      </c>
      <c r="H51" t="s">
        <v>844</v>
      </c>
    </row>
    <row r="52" spans="1:8" x14ac:dyDescent="0.25">
      <c r="A52" t="s">
        <v>73</v>
      </c>
      <c r="H52" t="s">
        <v>844</v>
      </c>
    </row>
    <row r="53" spans="1:8" x14ac:dyDescent="0.25">
      <c r="A53" t="s">
        <v>73</v>
      </c>
      <c r="H53" t="s">
        <v>844</v>
      </c>
    </row>
    <row r="54" spans="1:8" x14ac:dyDescent="0.25">
      <c r="A54" t="s">
        <v>73</v>
      </c>
      <c r="H54" t="s">
        <v>844</v>
      </c>
    </row>
    <row r="55" spans="1:8" x14ac:dyDescent="0.25">
      <c r="A55" t="s">
        <v>73</v>
      </c>
      <c r="H55" t="s">
        <v>844</v>
      </c>
    </row>
    <row r="56" spans="1:8" x14ac:dyDescent="0.25">
      <c r="A56" t="s">
        <v>73</v>
      </c>
      <c r="H56" t="s">
        <v>844</v>
      </c>
    </row>
    <row r="57" spans="1:8" x14ac:dyDescent="0.25">
      <c r="A57" t="s">
        <v>73</v>
      </c>
      <c r="H57" t="s">
        <v>844</v>
      </c>
    </row>
    <row r="58" spans="1:8" x14ac:dyDescent="0.25">
      <c r="A58" t="s">
        <v>73</v>
      </c>
      <c r="H58" t="s">
        <v>844</v>
      </c>
    </row>
    <row r="59" spans="1:8" x14ac:dyDescent="0.25">
      <c r="A59" t="s">
        <v>73</v>
      </c>
      <c r="H59" t="s">
        <v>844</v>
      </c>
    </row>
    <row r="60" spans="1:8" x14ac:dyDescent="0.25">
      <c r="A60" t="s">
        <v>73</v>
      </c>
      <c r="H60" t="s">
        <v>844</v>
      </c>
    </row>
    <row r="61" spans="1:8" x14ac:dyDescent="0.25">
      <c r="A61" t="s">
        <v>73</v>
      </c>
      <c r="H61" t="s">
        <v>844</v>
      </c>
    </row>
    <row r="62" spans="1:8" x14ac:dyDescent="0.25">
      <c r="A62" t="s">
        <v>73</v>
      </c>
      <c r="H62" t="s">
        <v>844</v>
      </c>
    </row>
    <row r="63" spans="1:8" x14ac:dyDescent="0.25">
      <c r="A63" t="s">
        <v>73</v>
      </c>
      <c r="H63" t="s">
        <v>844</v>
      </c>
    </row>
    <row r="64" spans="1:8" x14ac:dyDescent="0.25">
      <c r="A64" t="s">
        <v>73</v>
      </c>
      <c r="H64" t="s">
        <v>844</v>
      </c>
    </row>
    <row r="65" spans="1:8" x14ac:dyDescent="0.25">
      <c r="A65" t="s">
        <v>73</v>
      </c>
      <c r="H65" t="s">
        <v>844</v>
      </c>
    </row>
    <row r="66" spans="1:8" x14ac:dyDescent="0.25">
      <c r="A66" t="s">
        <v>73</v>
      </c>
      <c r="H66" t="s">
        <v>844</v>
      </c>
    </row>
    <row r="67" spans="1:8" x14ac:dyDescent="0.25">
      <c r="A67" t="s">
        <v>73</v>
      </c>
      <c r="H67" t="s">
        <v>844</v>
      </c>
    </row>
    <row r="68" spans="1:8" x14ac:dyDescent="0.25">
      <c r="A68" t="s">
        <v>73</v>
      </c>
      <c r="H68" t="s">
        <v>47</v>
      </c>
    </row>
    <row r="69" spans="1:8" x14ac:dyDescent="0.25">
      <c r="A69" t="s">
        <v>73</v>
      </c>
      <c r="H69" t="s">
        <v>47</v>
      </c>
    </row>
    <row r="70" spans="1:8" x14ac:dyDescent="0.25">
      <c r="A70" t="s">
        <v>73</v>
      </c>
      <c r="H70" t="s">
        <v>47</v>
      </c>
    </row>
    <row r="71" spans="1:8" x14ac:dyDescent="0.25">
      <c r="A71" t="s">
        <v>73</v>
      </c>
      <c r="H71" t="s">
        <v>47</v>
      </c>
    </row>
    <row r="72" spans="1:8" x14ac:dyDescent="0.25">
      <c r="A72" t="s">
        <v>73</v>
      </c>
      <c r="H72" t="s">
        <v>47</v>
      </c>
    </row>
    <row r="73" spans="1:8" x14ac:dyDescent="0.25">
      <c r="A73" t="s">
        <v>73</v>
      </c>
      <c r="H73" t="s">
        <v>47</v>
      </c>
    </row>
    <row r="74" spans="1:8" x14ac:dyDescent="0.25">
      <c r="A74" t="s">
        <v>73</v>
      </c>
      <c r="H74" t="s">
        <v>47</v>
      </c>
    </row>
    <row r="75" spans="1:8" x14ac:dyDescent="0.25">
      <c r="A75" t="s">
        <v>73</v>
      </c>
      <c r="H75" t="s">
        <v>47</v>
      </c>
    </row>
    <row r="76" spans="1:8" x14ac:dyDescent="0.25">
      <c r="A76" t="s">
        <v>73</v>
      </c>
      <c r="H76" t="s">
        <v>47</v>
      </c>
    </row>
    <row r="77" spans="1:8" x14ac:dyDescent="0.25">
      <c r="A77" t="s">
        <v>73</v>
      </c>
      <c r="H77" t="s">
        <v>47</v>
      </c>
    </row>
    <row r="78" spans="1:8" x14ac:dyDescent="0.25">
      <c r="A78" t="s">
        <v>73</v>
      </c>
      <c r="H78" t="s">
        <v>47</v>
      </c>
    </row>
    <row r="79" spans="1:8" x14ac:dyDescent="0.25">
      <c r="A79" t="s">
        <v>73</v>
      </c>
      <c r="H79" t="s">
        <v>47</v>
      </c>
    </row>
    <row r="80" spans="1:8" x14ac:dyDescent="0.25">
      <c r="A80" t="s">
        <v>73</v>
      </c>
      <c r="H80" t="s">
        <v>47</v>
      </c>
    </row>
    <row r="81" spans="1:8" x14ac:dyDescent="0.25">
      <c r="A81" t="s">
        <v>73</v>
      </c>
      <c r="H81" t="s">
        <v>47</v>
      </c>
    </row>
    <row r="82" spans="1:8" x14ac:dyDescent="0.25">
      <c r="A82" t="s">
        <v>73</v>
      </c>
      <c r="H82" t="s">
        <v>47</v>
      </c>
    </row>
    <row r="83" spans="1:8" x14ac:dyDescent="0.25">
      <c r="A83" t="s">
        <v>73</v>
      </c>
      <c r="H83" t="s">
        <v>47</v>
      </c>
    </row>
    <row r="84" spans="1:8" x14ac:dyDescent="0.25">
      <c r="A84" t="s">
        <v>73</v>
      </c>
      <c r="H84" t="s">
        <v>47</v>
      </c>
    </row>
    <row r="85" spans="1:8" x14ac:dyDescent="0.25">
      <c r="A85" t="s">
        <v>73</v>
      </c>
      <c r="H85" t="s">
        <v>47</v>
      </c>
    </row>
    <row r="86" spans="1:8" x14ac:dyDescent="0.25">
      <c r="A86" t="s">
        <v>73</v>
      </c>
      <c r="H86" t="s">
        <v>47</v>
      </c>
    </row>
    <row r="87" spans="1:8" x14ac:dyDescent="0.25">
      <c r="A87" t="s">
        <v>73</v>
      </c>
      <c r="H87" t="s">
        <v>47</v>
      </c>
    </row>
    <row r="88" spans="1:8" x14ac:dyDescent="0.25">
      <c r="A88" t="s">
        <v>73</v>
      </c>
      <c r="H88" t="s">
        <v>47</v>
      </c>
    </row>
    <row r="89" spans="1:8" x14ac:dyDescent="0.25">
      <c r="A89" t="s">
        <v>73</v>
      </c>
      <c r="H89" t="s">
        <v>47</v>
      </c>
    </row>
    <row r="90" spans="1:8" x14ac:dyDescent="0.25">
      <c r="A90" t="s">
        <v>73</v>
      </c>
      <c r="H90" t="s">
        <v>47</v>
      </c>
    </row>
    <row r="91" spans="1:8" x14ac:dyDescent="0.25">
      <c r="A91" t="s">
        <v>73</v>
      </c>
      <c r="H91" t="s">
        <v>47</v>
      </c>
    </row>
    <row r="92" spans="1:8" x14ac:dyDescent="0.25">
      <c r="A92" t="s">
        <v>73</v>
      </c>
      <c r="H92" t="s">
        <v>47</v>
      </c>
    </row>
    <row r="93" spans="1:8" x14ac:dyDescent="0.25">
      <c r="A93" t="s">
        <v>73</v>
      </c>
      <c r="H93" t="s">
        <v>47</v>
      </c>
    </row>
    <row r="94" spans="1:8" x14ac:dyDescent="0.25">
      <c r="A94" t="s">
        <v>73</v>
      </c>
      <c r="H94" t="s">
        <v>47</v>
      </c>
    </row>
    <row r="95" spans="1:8" x14ac:dyDescent="0.25">
      <c r="A95" t="s">
        <v>73</v>
      </c>
      <c r="H95" t="s">
        <v>47</v>
      </c>
    </row>
    <row r="96" spans="1:8" x14ac:dyDescent="0.25">
      <c r="A96" t="s">
        <v>73</v>
      </c>
      <c r="H96" t="s">
        <v>47</v>
      </c>
    </row>
    <row r="97" spans="1:8" x14ac:dyDescent="0.25">
      <c r="A97" t="s">
        <v>73</v>
      </c>
      <c r="H97" t="s">
        <v>47</v>
      </c>
    </row>
    <row r="98" spans="1:8" x14ac:dyDescent="0.25">
      <c r="A98" t="s">
        <v>73</v>
      </c>
      <c r="H98" t="s">
        <v>47</v>
      </c>
    </row>
    <row r="99" spans="1:8" x14ac:dyDescent="0.25">
      <c r="A99" t="s">
        <v>73</v>
      </c>
      <c r="H99" t="s">
        <v>47</v>
      </c>
    </row>
    <row r="100" spans="1:8" x14ac:dyDescent="0.25">
      <c r="A100" t="s">
        <v>73</v>
      </c>
      <c r="H100" t="s">
        <v>47</v>
      </c>
    </row>
    <row r="101" spans="1:8" x14ac:dyDescent="0.25">
      <c r="A101" t="s">
        <v>73</v>
      </c>
      <c r="H101" t="s">
        <v>47</v>
      </c>
    </row>
    <row r="102" spans="1:8" x14ac:dyDescent="0.25">
      <c r="A102" t="s">
        <v>73</v>
      </c>
      <c r="H102" t="s">
        <v>47</v>
      </c>
    </row>
    <row r="103" spans="1:8" x14ac:dyDescent="0.25">
      <c r="A103" t="s">
        <v>73</v>
      </c>
      <c r="H103" t="s">
        <v>47</v>
      </c>
    </row>
    <row r="104" spans="1:8" x14ac:dyDescent="0.25">
      <c r="A104" t="s">
        <v>73</v>
      </c>
      <c r="H104" t="s">
        <v>47</v>
      </c>
    </row>
    <row r="105" spans="1:8" x14ac:dyDescent="0.25">
      <c r="A105" t="s">
        <v>73</v>
      </c>
      <c r="H105" t="s">
        <v>47</v>
      </c>
    </row>
    <row r="106" spans="1:8" x14ac:dyDescent="0.25">
      <c r="A106" t="s">
        <v>73</v>
      </c>
      <c r="H106" t="s">
        <v>47</v>
      </c>
    </row>
    <row r="107" spans="1:8" x14ac:dyDescent="0.25">
      <c r="A107" t="s">
        <v>73</v>
      </c>
      <c r="H107" t="s">
        <v>47</v>
      </c>
    </row>
    <row r="108" spans="1:8" x14ac:dyDescent="0.25">
      <c r="A108" t="s">
        <v>73</v>
      </c>
      <c r="H108" t="s">
        <v>47</v>
      </c>
    </row>
    <row r="109" spans="1:8" x14ac:dyDescent="0.25">
      <c r="A109" t="s">
        <v>73</v>
      </c>
      <c r="H109" t="s">
        <v>47</v>
      </c>
    </row>
    <row r="110" spans="1:8" x14ac:dyDescent="0.25">
      <c r="A110" t="s">
        <v>73</v>
      </c>
      <c r="H110" t="s">
        <v>47</v>
      </c>
    </row>
    <row r="111" spans="1:8" x14ac:dyDescent="0.25">
      <c r="A111" t="s">
        <v>73</v>
      </c>
      <c r="H111" t="s">
        <v>47</v>
      </c>
    </row>
    <row r="112" spans="1:8" x14ac:dyDescent="0.25">
      <c r="A112" t="s">
        <v>73</v>
      </c>
      <c r="H112" t="s">
        <v>47</v>
      </c>
    </row>
    <row r="113" spans="1:8" x14ac:dyDescent="0.25">
      <c r="A113" t="s">
        <v>73</v>
      </c>
      <c r="H113" t="s">
        <v>47</v>
      </c>
    </row>
    <row r="114" spans="1:8" x14ac:dyDescent="0.25">
      <c r="A114" t="s">
        <v>73</v>
      </c>
      <c r="H114" t="s">
        <v>47</v>
      </c>
    </row>
    <row r="115" spans="1:8" x14ac:dyDescent="0.25">
      <c r="A115" t="s">
        <v>73</v>
      </c>
      <c r="H115" t="s">
        <v>47</v>
      </c>
    </row>
    <row r="116" spans="1:8" x14ac:dyDescent="0.25">
      <c r="A116" t="s">
        <v>73</v>
      </c>
      <c r="H116" t="s">
        <v>47</v>
      </c>
    </row>
    <row r="117" spans="1:8" x14ac:dyDescent="0.25">
      <c r="A117" t="s">
        <v>73</v>
      </c>
      <c r="H117" t="s">
        <v>47</v>
      </c>
    </row>
    <row r="118" spans="1:8" x14ac:dyDescent="0.25">
      <c r="A118" t="s">
        <v>73</v>
      </c>
      <c r="H118" t="s">
        <v>47</v>
      </c>
    </row>
    <row r="119" spans="1:8" x14ac:dyDescent="0.25">
      <c r="A119" t="s">
        <v>73</v>
      </c>
      <c r="H119" t="s">
        <v>47</v>
      </c>
    </row>
    <row r="120" spans="1:8" x14ac:dyDescent="0.25">
      <c r="A120" t="s">
        <v>73</v>
      </c>
      <c r="H120" t="s">
        <v>47</v>
      </c>
    </row>
    <row r="121" spans="1:8" x14ac:dyDescent="0.25">
      <c r="A121" t="s">
        <v>73</v>
      </c>
      <c r="H121" t="s">
        <v>47</v>
      </c>
    </row>
    <row r="122" spans="1:8" x14ac:dyDescent="0.25">
      <c r="A122" t="s">
        <v>73</v>
      </c>
      <c r="H122" t="s">
        <v>47</v>
      </c>
    </row>
    <row r="123" spans="1:8" x14ac:dyDescent="0.25">
      <c r="A123" t="s">
        <v>73</v>
      </c>
      <c r="H123" t="s">
        <v>47</v>
      </c>
    </row>
    <row r="124" spans="1:8" x14ac:dyDescent="0.25">
      <c r="A124" t="s">
        <v>73</v>
      </c>
      <c r="H124" t="s">
        <v>47</v>
      </c>
    </row>
    <row r="125" spans="1:8" x14ac:dyDescent="0.25">
      <c r="A125" t="s">
        <v>73</v>
      </c>
      <c r="H125" t="s">
        <v>47</v>
      </c>
    </row>
    <row r="126" spans="1:8" x14ac:dyDescent="0.25">
      <c r="A126" t="s">
        <v>73</v>
      </c>
      <c r="H126" t="s">
        <v>47</v>
      </c>
    </row>
    <row r="127" spans="1:8" x14ac:dyDescent="0.25">
      <c r="A127" t="s">
        <v>73</v>
      </c>
      <c r="H127" t="s">
        <v>47</v>
      </c>
    </row>
    <row r="128" spans="1:8" x14ac:dyDescent="0.25">
      <c r="A128" t="s">
        <v>73</v>
      </c>
      <c r="H128" t="s">
        <v>47</v>
      </c>
    </row>
    <row r="129" spans="1:8" x14ac:dyDescent="0.25">
      <c r="A129" t="s">
        <v>73</v>
      </c>
      <c r="H129" t="s">
        <v>47</v>
      </c>
    </row>
    <row r="130" spans="1:8" x14ac:dyDescent="0.25">
      <c r="A130" t="s">
        <v>73</v>
      </c>
      <c r="H130" t="s">
        <v>47</v>
      </c>
    </row>
    <row r="131" spans="1:8" x14ac:dyDescent="0.25">
      <c r="A131" t="s">
        <v>73</v>
      </c>
      <c r="H131" t="s">
        <v>47</v>
      </c>
    </row>
    <row r="132" spans="1:8" x14ac:dyDescent="0.25">
      <c r="A132" t="s">
        <v>73</v>
      </c>
      <c r="H132" t="s">
        <v>47</v>
      </c>
    </row>
    <row r="133" spans="1:8" x14ac:dyDescent="0.25">
      <c r="A133" t="s">
        <v>73</v>
      </c>
      <c r="H133" t="s">
        <v>47</v>
      </c>
    </row>
    <row r="134" spans="1:8" x14ac:dyDescent="0.25">
      <c r="A134" t="s">
        <v>73</v>
      </c>
      <c r="H134" t="s">
        <v>47</v>
      </c>
    </row>
    <row r="135" spans="1:8" x14ac:dyDescent="0.25">
      <c r="A135" t="s">
        <v>73</v>
      </c>
      <c r="H135" t="s">
        <v>47</v>
      </c>
    </row>
    <row r="136" spans="1:8" x14ac:dyDescent="0.25">
      <c r="A136" t="s">
        <v>73</v>
      </c>
      <c r="H136" t="s">
        <v>47</v>
      </c>
    </row>
    <row r="137" spans="1:8" x14ac:dyDescent="0.25">
      <c r="A137" t="s">
        <v>73</v>
      </c>
      <c r="H137" t="s">
        <v>47</v>
      </c>
    </row>
    <row r="138" spans="1:8" x14ac:dyDescent="0.25">
      <c r="A138" t="s">
        <v>73</v>
      </c>
      <c r="H138" t="s">
        <v>47</v>
      </c>
    </row>
    <row r="139" spans="1:8" x14ac:dyDescent="0.25">
      <c r="A139" t="s">
        <v>73</v>
      </c>
      <c r="H139" t="s">
        <v>47</v>
      </c>
    </row>
    <row r="140" spans="1:8" x14ac:dyDescent="0.25">
      <c r="A140" t="s">
        <v>73</v>
      </c>
      <c r="H140" t="s">
        <v>47</v>
      </c>
    </row>
    <row r="141" spans="1:8" x14ac:dyDescent="0.25">
      <c r="A141" t="s">
        <v>73</v>
      </c>
      <c r="H141" t="s">
        <v>47</v>
      </c>
    </row>
    <row r="142" spans="1:8" x14ac:dyDescent="0.25">
      <c r="A142" t="s">
        <v>73</v>
      </c>
      <c r="H142" t="s">
        <v>47</v>
      </c>
    </row>
    <row r="143" spans="1:8" x14ac:dyDescent="0.25">
      <c r="A143" t="s">
        <v>73</v>
      </c>
      <c r="H143" t="s">
        <v>47</v>
      </c>
    </row>
    <row r="144" spans="1:8" x14ac:dyDescent="0.25">
      <c r="A144" t="s">
        <v>73</v>
      </c>
      <c r="H144" t="s">
        <v>47</v>
      </c>
    </row>
    <row r="145" spans="1:8" x14ac:dyDescent="0.25">
      <c r="A145" t="s">
        <v>73</v>
      </c>
      <c r="H145" t="s">
        <v>47</v>
      </c>
    </row>
    <row r="146" spans="1:8" x14ac:dyDescent="0.25">
      <c r="A146" t="s">
        <v>73</v>
      </c>
      <c r="H146" t="s">
        <v>47</v>
      </c>
    </row>
    <row r="147" spans="1:8" x14ac:dyDescent="0.25">
      <c r="A147" t="s">
        <v>73</v>
      </c>
      <c r="H147" t="s">
        <v>47</v>
      </c>
    </row>
    <row r="148" spans="1:8" x14ac:dyDescent="0.25">
      <c r="A148" t="s">
        <v>73</v>
      </c>
      <c r="H148" t="s">
        <v>47</v>
      </c>
    </row>
    <row r="149" spans="1:8" x14ac:dyDescent="0.25">
      <c r="A149" t="s">
        <v>73</v>
      </c>
      <c r="H149" t="s">
        <v>47</v>
      </c>
    </row>
    <row r="150" spans="1:8" x14ac:dyDescent="0.25">
      <c r="A150" t="s">
        <v>73</v>
      </c>
      <c r="H150" t="s">
        <v>47</v>
      </c>
    </row>
    <row r="151" spans="1:8" x14ac:dyDescent="0.25">
      <c r="A151" t="s">
        <v>73</v>
      </c>
      <c r="H151" t="s">
        <v>47</v>
      </c>
    </row>
    <row r="152" spans="1:8" x14ac:dyDescent="0.25">
      <c r="A152" t="s">
        <v>73</v>
      </c>
      <c r="H152" t="s">
        <v>47</v>
      </c>
    </row>
    <row r="153" spans="1:8" x14ac:dyDescent="0.25">
      <c r="A153" t="s">
        <v>73</v>
      </c>
      <c r="H153" t="s">
        <v>47</v>
      </c>
    </row>
    <row r="154" spans="1:8" x14ac:dyDescent="0.25">
      <c r="A154" t="s">
        <v>73</v>
      </c>
      <c r="H154" t="s">
        <v>47</v>
      </c>
    </row>
    <row r="155" spans="1:8" x14ac:dyDescent="0.25">
      <c r="A155" t="s">
        <v>73</v>
      </c>
      <c r="H155" t="s">
        <v>47</v>
      </c>
    </row>
    <row r="156" spans="1:8" x14ac:dyDescent="0.25">
      <c r="A156" t="s">
        <v>73</v>
      </c>
      <c r="H156" t="s">
        <v>47</v>
      </c>
    </row>
    <row r="157" spans="1:8" x14ac:dyDescent="0.25">
      <c r="A157" t="s">
        <v>73</v>
      </c>
      <c r="H157" t="s">
        <v>47</v>
      </c>
    </row>
    <row r="158" spans="1:8" x14ac:dyDescent="0.25">
      <c r="A158" t="s">
        <v>73</v>
      </c>
      <c r="H158" t="s">
        <v>47</v>
      </c>
    </row>
    <row r="159" spans="1:8" x14ac:dyDescent="0.25">
      <c r="A159" t="s">
        <v>73</v>
      </c>
      <c r="H159" t="s">
        <v>47</v>
      </c>
    </row>
    <row r="160" spans="1:8" x14ac:dyDescent="0.25">
      <c r="A160" t="s">
        <v>73</v>
      </c>
      <c r="H160" t="s">
        <v>47</v>
      </c>
    </row>
    <row r="161" spans="1:8" x14ac:dyDescent="0.25">
      <c r="A161" t="s">
        <v>73</v>
      </c>
      <c r="H161" t="s">
        <v>47</v>
      </c>
    </row>
    <row r="162" spans="1:8" x14ac:dyDescent="0.25">
      <c r="A162" t="s">
        <v>73</v>
      </c>
      <c r="H162" t="s">
        <v>47</v>
      </c>
    </row>
    <row r="163" spans="1:8" x14ac:dyDescent="0.25">
      <c r="A163" t="s">
        <v>73</v>
      </c>
      <c r="H163" t="s">
        <v>47</v>
      </c>
    </row>
    <row r="164" spans="1:8" x14ac:dyDescent="0.25">
      <c r="A164" t="s">
        <v>73</v>
      </c>
      <c r="H164" t="s">
        <v>47</v>
      </c>
    </row>
    <row r="165" spans="1:8" x14ac:dyDescent="0.25">
      <c r="A165" t="s">
        <v>73</v>
      </c>
      <c r="H165" t="s">
        <v>47</v>
      </c>
    </row>
    <row r="166" spans="1:8" x14ac:dyDescent="0.25">
      <c r="A166" t="s">
        <v>73</v>
      </c>
      <c r="H166" t="s">
        <v>47</v>
      </c>
    </row>
    <row r="167" spans="1:8" x14ac:dyDescent="0.25">
      <c r="A167" t="s">
        <v>73</v>
      </c>
      <c r="H167" t="s">
        <v>47</v>
      </c>
    </row>
    <row r="168" spans="1:8" x14ac:dyDescent="0.25">
      <c r="A168" t="s">
        <v>73</v>
      </c>
      <c r="H168" t="s">
        <v>47</v>
      </c>
    </row>
    <row r="169" spans="1:8" x14ac:dyDescent="0.25">
      <c r="A169" t="s">
        <v>73</v>
      </c>
      <c r="H169" t="s">
        <v>47</v>
      </c>
    </row>
    <row r="170" spans="1:8" x14ac:dyDescent="0.25">
      <c r="A170" t="s">
        <v>73</v>
      </c>
      <c r="H170" t="s">
        <v>47</v>
      </c>
    </row>
    <row r="171" spans="1:8" x14ac:dyDescent="0.25">
      <c r="A171" t="s">
        <v>73</v>
      </c>
      <c r="H171" t="s">
        <v>47</v>
      </c>
    </row>
    <row r="172" spans="1:8" x14ac:dyDescent="0.25">
      <c r="A172" t="s">
        <v>73</v>
      </c>
      <c r="H172" t="s">
        <v>47</v>
      </c>
    </row>
    <row r="173" spans="1:8" x14ac:dyDescent="0.25">
      <c r="A173" t="s">
        <v>73</v>
      </c>
      <c r="H173" t="s">
        <v>47</v>
      </c>
    </row>
    <row r="174" spans="1:8" x14ac:dyDescent="0.25">
      <c r="A174" t="s">
        <v>73</v>
      </c>
      <c r="H174" t="s">
        <v>47</v>
      </c>
    </row>
    <row r="175" spans="1:8" x14ac:dyDescent="0.25">
      <c r="A175" t="s">
        <v>73</v>
      </c>
      <c r="H175" t="s">
        <v>47</v>
      </c>
    </row>
    <row r="176" spans="1:8" x14ac:dyDescent="0.25">
      <c r="A176" t="s">
        <v>73</v>
      </c>
      <c r="H176" t="s">
        <v>47</v>
      </c>
    </row>
    <row r="177" spans="1:8" x14ac:dyDescent="0.25">
      <c r="A177" t="s">
        <v>73</v>
      </c>
      <c r="H177" t="s">
        <v>47</v>
      </c>
    </row>
    <row r="178" spans="1:8" x14ac:dyDescent="0.25">
      <c r="A178" t="s">
        <v>73</v>
      </c>
      <c r="H178" t="s">
        <v>47</v>
      </c>
    </row>
    <row r="179" spans="1:8" x14ac:dyDescent="0.25">
      <c r="A179" t="s">
        <v>73</v>
      </c>
      <c r="H179" t="s">
        <v>47</v>
      </c>
    </row>
    <row r="180" spans="1:8" x14ac:dyDescent="0.25">
      <c r="A180" t="s">
        <v>73</v>
      </c>
      <c r="H180" t="s">
        <v>47</v>
      </c>
    </row>
    <row r="181" spans="1:8" x14ac:dyDescent="0.25">
      <c r="A181" t="s">
        <v>73</v>
      </c>
      <c r="H181" t="s">
        <v>47</v>
      </c>
    </row>
    <row r="182" spans="1:8" x14ac:dyDescent="0.25">
      <c r="A182" t="s">
        <v>73</v>
      </c>
      <c r="H182" t="s">
        <v>47</v>
      </c>
    </row>
    <row r="183" spans="1:8" x14ac:dyDescent="0.25">
      <c r="A183" t="s">
        <v>73</v>
      </c>
      <c r="H183" t="s">
        <v>47</v>
      </c>
    </row>
    <row r="184" spans="1:8" x14ac:dyDescent="0.25">
      <c r="A184" t="s">
        <v>73</v>
      </c>
      <c r="H184" t="s">
        <v>47</v>
      </c>
    </row>
    <row r="185" spans="1:8" x14ac:dyDescent="0.25">
      <c r="A185" t="s">
        <v>73</v>
      </c>
      <c r="H185" t="s">
        <v>47</v>
      </c>
    </row>
    <row r="186" spans="1:8" x14ac:dyDescent="0.25">
      <c r="A186" t="s">
        <v>73</v>
      </c>
      <c r="H186" t="s">
        <v>47</v>
      </c>
    </row>
    <row r="187" spans="1:8" x14ac:dyDescent="0.25">
      <c r="A187" t="s">
        <v>73</v>
      </c>
      <c r="H187" t="s">
        <v>47</v>
      </c>
    </row>
    <row r="188" spans="1:8" x14ac:dyDescent="0.25">
      <c r="A188" t="s">
        <v>73</v>
      </c>
      <c r="H188" t="s">
        <v>47</v>
      </c>
    </row>
    <row r="189" spans="1:8" x14ac:dyDescent="0.25">
      <c r="A189" t="s">
        <v>73</v>
      </c>
      <c r="H189" t="s">
        <v>47</v>
      </c>
    </row>
    <row r="190" spans="1:8" x14ac:dyDescent="0.25">
      <c r="A190" t="s">
        <v>73</v>
      </c>
      <c r="H190" t="s">
        <v>47</v>
      </c>
    </row>
    <row r="191" spans="1:8" x14ac:dyDescent="0.25">
      <c r="A191" t="s">
        <v>73</v>
      </c>
      <c r="H191" t="s">
        <v>47</v>
      </c>
    </row>
    <row r="192" spans="1:8" x14ac:dyDescent="0.25">
      <c r="A192" t="s">
        <v>73</v>
      </c>
      <c r="H192" t="s">
        <v>47</v>
      </c>
    </row>
    <row r="193" spans="1:8" x14ac:dyDescent="0.25">
      <c r="A193" t="s">
        <v>73</v>
      </c>
      <c r="H193" t="s">
        <v>47</v>
      </c>
    </row>
    <row r="194" spans="1:8" x14ac:dyDescent="0.25">
      <c r="A194" t="s">
        <v>73</v>
      </c>
      <c r="H194" t="s">
        <v>47</v>
      </c>
    </row>
    <row r="195" spans="1:8" x14ac:dyDescent="0.25">
      <c r="A195" t="s">
        <v>73</v>
      </c>
      <c r="H195" t="s">
        <v>47</v>
      </c>
    </row>
    <row r="196" spans="1:8" x14ac:dyDescent="0.25">
      <c r="A196" t="s">
        <v>73</v>
      </c>
      <c r="H196" t="s">
        <v>47</v>
      </c>
    </row>
    <row r="197" spans="1:8" x14ac:dyDescent="0.25">
      <c r="A197" t="s">
        <v>73</v>
      </c>
      <c r="H197" t="s">
        <v>47</v>
      </c>
    </row>
    <row r="198" spans="1:8" x14ac:dyDescent="0.25">
      <c r="A198" t="s">
        <v>73</v>
      </c>
      <c r="H198" t="s">
        <v>47</v>
      </c>
    </row>
    <row r="199" spans="1:8" x14ac:dyDescent="0.25">
      <c r="A199" t="s">
        <v>73</v>
      </c>
      <c r="H199" t="s">
        <v>47</v>
      </c>
    </row>
    <row r="200" spans="1:8" x14ac:dyDescent="0.25">
      <c r="A200" t="s">
        <v>73</v>
      </c>
      <c r="H200" t="s">
        <v>47</v>
      </c>
    </row>
    <row r="201" spans="1:8" x14ac:dyDescent="0.25">
      <c r="A201" t="s">
        <v>73</v>
      </c>
      <c r="H201" t="s">
        <v>47</v>
      </c>
    </row>
    <row r="202" spans="1:8" x14ac:dyDescent="0.25">
      <c r="A202" t="s">
        <v>73</v>
      </c>
      <c r="H202" t="s">
        <v>47</v>
      </c>
    </row>
    <row r="203" spans="1:8" x14ac:dyDescent="0.25">
      <c r="A203" t="s">
        <v>73</v>
      </c>
      <c r="H203" t="s">
        <v>47</v>
      </c>
    </row>
    <row r="204" spans="1:8" x14ac:dyDescent="0.25">
      <c r="A204" t="s">
        <v>73</v>
      </c>
      <c r="H204" t="s">
        <v>47</v>
      </c>
    </row>
    <row r="205" spans="1:8" x14ac:dyDescent="0.25">
      <c r="A205" t="s">
        <v>73</v>
      </c>
      <c r="H205" t="s">
        <v>47</v>
      </c>
    </row>
    <row r="206" spans="1:8" x14ac:dyDescent="0.25">
      <c r="A206" t="s">
        <v>73</v>
      </c>
      <c r="H206" t="s">
        <v>47</v>
      </c>
    </row>
    <row r="207" spans="1:8" x14ac:dyDescent="0.25">
      <c r="A207" t="s">
        <v>73</v>
      </c>
      <c r="H207" t="s">
        <v>47</v>
      </c>
    </row>
    <row r="208" spans="1:8" x14ac:dyDescent="0.25">
      <c r="A208" t="s">
        <v>73</v>
      </c>
      <c r="H208" t="s">
        <v>47</v>
      </c>
    </row>
    <row r="209" spans="1:8" x14ac:dyDescent="0.25">
      <c r="A209" t="s">
        <v>73</v>
      </c>
      <c r="H209" t="s">
        <v>47</v>
      </c>
    </row>
    <row r="210" spans="1:8" x14ac:dyDescent="0.25">
      <c r="A210" t="s">
        <v>73</v>
      </c>
      <c r="H210" t="s">
        <v>47</v>
      </c>
    </row>
    <row r="211" spans="1:8" x14ac:dyDescent="0.25">
      <c r="A211" t="s">
        <v>73</v>
      </c>
      <c r="H211" t="s">
        <v>47</v>
      </c>
    </row>
    <row r="212" spans="1:8" x14ac:dyDescent="0.25">
      <c r="A212" t="s">
        <v>73</v>
      </c>
      <c r="H212" t="s">
        <v>47</v>
      </c>
    </row>
    <row r="213" spans="1:8" x14ac:dyDescent="0.25">
      <c r="A213" t="s">
        <v>73</v>
      </c>
      <c r="H213" t="s">
        <v>47</v>
      </c>
    </row>
    <row r="214" spans="1:8" x14ac:dyDescent="0.25">
      <c r="A214" t="s">
        <v>73</v>
      </c>
      <c r="H214" t="s">
        <v>47</v>
      </c>
    </row>
    <row r="215" spans="1:8" x14ac:dyDescent="0.25">
      <c r="A215" t="s">
        <v>73</v>
      </c>
      <c r="H215" t="s">
        <v>47</v>
      </c>
    </row>
    <row r="216" spans="1:8" x14ac:dyDescent="0.25">
      <c r="A216" t="s">
        <v>73</v>
      </c>
      <c r="H216" t="s">
        <v>47</v>
      </c>
    </row>
    <row r="217" spans="1:8" x14ac:dyDescent="0.25">
      <c r="A217" t="s">
        <v>73</v>
      </c>
      <c r="H217" t="s">
        <v>47</v>
      </c>
    </row>
    <row r="218" spans="1:8" x14ac:dyDescent="0.25">
      <c r="A218" t="s">
        <v>73</v>
      </c>
      <c r="H218" t="s">
        <v>47</v>
      </c>
    </row>
    <row r="219" spans="1:8" x14ac:dyDescent="0.25">
      <c r="A219" t="s">
        <v>73</v>
      </c>
      <c r="H219" t="s">
        <v>47</v>
      </c>
    </row>
    <row r="220" spans="1:8" x14ac:dyDescent="0.25">
      <c r="A220" t="s">
        <v>73</v>
      </c>
      <c r="H220" t="s">
        <v>47</v>
      </c>
    </row>
    <row r="221" spans="1:8" x14ac:dyDescent="0.25">
      <c r="A221" t="s">
        <v>73</v>
      </c>
      <c r="H221" t="s">
        <v>47</v>
      </c>
    </row>
    <row r="222" spans="1:8" x14ac:dyDescent="0.25">
      <c r="A222" t="s">
        <v>73</v>
      </c>
      <c r="H222" t="s">
        <v>47</v>
      </c>
    </row>
    <row r="223" spans="1:8" x14ac:dyDescent="0.25">
      <c r="A223" t="s">
        <v>73</v>
      </c>
      <c r="H223" t="s">
        <v>47</v>
      </c>
    </row>
    <row r="224" spans="1:8" x14ac:dyDescent="0.25">
      <c r="A224" t="s">
        <v>73</v>
      </c>
      <c r="H224" t="s">
        <v>47</v>
      </c>
    </row>
    <row r="225" spans="1:8" x14ac:dyDescent="0.25">
      <c r="A225" t="s">
        <v>73</v>
      </c>
      <c r="H225" t="s">
        <v>47</v>
      </c>
    </row>
    <row r="226" spans="1:8" x14ac:dyDescent="0.25">
      <c r="A226" t="s">
        <v>73</v>
      </c>
      <c r="H226" t="s">
        <v>47</v>
      </c>
    </row>
    <row r="227" spans="1:8" x14ac:dyDescent="0.25">
      <c r="A227" t="s">
        <v>73</v>
      </c>
      <c r="H227" t="s">
        <v>47</v>
      </c>
    </row>
    <row r="228" spans="1:8" x14ac:dyDescent="0.25">
      <c r="A228" t="s">
        <v>73</v>
      </c>
      <c r="H228" t="s">
        <v>47</v>
      </c>
    </row>
    <row r="229" spans="1:8" x14ac:dyDescent="0.25">
      <c r="A229" t="s">
        <v>73</v>
      </c>
      <c r="H229" t="s">
        <v>47</v>
      </c>
    </row>
    <row r="230" spans="1:8" x14ac:dyDescent="0.25">
      <c r="A230" t="s">
        <v>73</v>
      </c>
      <c r="H230" t="s">
        <v>47</v>
      </c>
    </row>
    <row r="231" spans="1:8" x14ac:dyDescent="0.25">
      <c r="A231" t="s">
        <v>73</v>
      </c>
      <c r="H231" t="s">
        <v>47</v>
      </c>
    </row>
    <row r="232" spans="1:8" x14ac:dyDescent="0.25">
      <c r="A232" t="s">
        <v>73</v>
      </c>
      <c r="H232" t="s">
        <v>47</v>
      </c>
    </row>
    <row r="233" spans="1:8" x14ac:dyDescent="0.25">
      <c r="A233" t="s">
        <v>73</v>
      </c>
      <c r="H233" t="s">
        <v>47</v>
      </c>
    </row>
    <row r="234" spans="1:8" x14ac:dyDescent="0.25">
      <c r="A234" t="s">
        <v>73</v>
      </c>
      <c r="H234" t="s">
        <v>47</v>
      </c>
    </row>
    <row r="235" spans="1:8" x14ac:dyDescent="0.25">
      <c r="A235" t="s">
        <v>73</v>
      </c>
      <c r="H235" t="s">
        <v>47</v>
      </c>
    </row>
    <row r="236" spans="1:8" x14ac:dyDescent="0.25">
      <c r="A236" t="s">
        <v>73</v>
      </c>
      <c r="H236" t="s">
        <v>47</v>
      </c>
    </row>
    <row r="237" spans="1:8" x14ac:dyDescent="0.25">
      <c r="A237" t="s">
        <v>73</v>
      </c>
      <c r="H237" t="s">
        <v>47</v>
      </c>
    </row>
    <row r="238" spans="1:8" x14ac:dyDescent="0.25">
      <c r="A238" t="s">
        <v>73</v>
      </c>
      <c r="H238" t="s">
        <v>47</v>
      </c>
    </row>
    <row r="239" spans="1:8" x14ac:dyDescent="0.25">
      <c r="A239" t="s">
        <v>73</v>
      </c>
      <c r="H239" t="s">
        <v>47</v>
      </c>
    </row>
    <row r="240" spans="1:8" x14ac:dyDescent="0.25">
      <c r="A240" t="s">
        <v>73</v>
      </c>
      <c r="H240" t="s">
        <v>47</v>
      </c>
    </row>
    <row r="241" spans="1:8" x14ac:dyDescent="0.25">
      <c r="A241" t="s">
        <v>73</v>
      </c>
      <c r="H241" t="s">
        <v>47</v>
      </c>
    </row>
    <row r="242" spans="1:8" x14ac:dyDescent="0.25">
      <c r="A242" t="s">
        <v>73</v>
      </c>
      <c r="H242" t="s">
        <v>47</v>
      </c>
    </row>
    <row r="243" spans="1:8" x14ac:dyDescent="0.25">
      <c r="A243" t="s">
        <v>73</v>
      </c>
      <c r="H243" t="s">
        <v>47</v>
      </c>
    </row>
    <row r="244" spans="1:8" x14ac:dyDescent="0.25">
      <c r="A244" t="s">
        <v>73</v>
      </c>
      <c r="H244" t="s">
        <v>47</v>
      </c>
    </row>
    <row r="245" spans="1:8" x14ac:dyDescent="0.25">
      <c r="A245" t="s">
        <v>73</v>
      </c>
      <c r="H245" t="s">
        <v>47</v>
      </c>
    </row>
    <row r="246" spans="1:8" x14ac:dyDescent="0.25">
      <c r="A246" t="s">
        <v>73</v>
      </c>
      <c r="H246" t="s">
        <v>47</v>
      </c>
    </row>
    <row r="247" spans="1:8" x14ac:dyDescent="0.25">
      <c r="A247" t="s">
        <v>73</v>
      </c>
      <c r="H247" t="s">
        <v>47</v>
      </c>
    </row>
    <row r="248" spans="1:8" x14ac:dyDescent="0.25">
      <c r="A248" t="s">
        <v>73</v>
      </c>
      <c r="H248" t="s">
        <v>47</v>
      </c>
    </row>
    <row r="249" spans="1:8" x14ac:dyDescent="0.25">
      <c r="A249" t="s">
        <v>73</v>
      </c>
      <c r="H249" t="s">
        <v>47</v>
      </c>
    </row>
    <row r="250" spans="1:8" x14ac:dyDescent="0.25">
      <c r="A250" t="s">
        <v>73</v>
      </c>
      <c r="H250" t="s">
        <v>47</v>
      </c>
    </row>
    <row r="251" spans="1:8" x14ac:dyDescent="0.25">
      <c r="A251" t="s">
        <v>73</v>
      </c>
      <c r="H251" t="s">
        <v>47</v>
      </c>
    </row>
    <row r="252" spans="1:8" x14ac:dyDescent="0.25">
      <c r="A252" t="s">
        <v>73</v>
      </c>
      <c r="H252" t="s">
        <v>47</v>
      </c>
    </row>
    <row r="253" spans="1:8" x14ac:dyDescent="0.25">
      <c r="A253" t="s">
        <v>73</v>
      </c>
      <c r="H253" t="s">
        <v>47</v>
      </c>
    </row>
    <row r="254" spans="1:8" x14ac:dyDescent="0.25">
      <c r="A254" t="s">
        <v>73</v>
      </c>
      <c r="H254" t="s">
        <v>47</v>
      </c>
    </row>
    <row r="255" spans="1:8" x14ac:dyDescent="0.25">
      <c r="A255" t="s">
        <v>73</v>
      </c>
      <c r="H255" t="s">
        <v>47</v>
      </c>
    </row>
    <row r="256" spans="1:8" x14ac:dyDescent="0.25">
      <c r="A256" t="s">
        <v>73</v>
      </c>
      <c r="H256" t="s">
        <v>47</v>
      </c>
    </row>
    <row r="257" spans="1:8" x14ac:dyDescent="0.25">
      <c r="A257" t="s">
        <v>73</v>
      </c>
      <c r="H257" t="s">
        <v>47</v>
      </c>
    </row>
    <row r="258" spans="1:8" x14ac:dyDescent="0.25">
      <c r="A258" t="s">
        <v>73</v>
      </c>
      <c r="H258" t="s">
        <v>47</v>
      </c>
    </row>
    <row r="259" spans="1:8" x14ac:dyDescent="0.25">
      <c r="A259" t="s">
        <v>73</v>
      </c>
      <c r="H259" t="s">
        <v>47</v>
      </c>
    </row>
    <row r="260" spans="1:8" x14ac:dyDescent="0.25">
      <c r="A260" t="s">
        <v>73</v>
      </c>
      <c r="H260" t="s">
        <v>47</v>
      </c>
    </row>
    <row r="261" spans="1:8" x14ac:dyDescent="0.25">
      <c r="A261" t="s">
        <v>73</v>
      </c>
      <c r="H261" t="s">
        <v>47</v>
      </c>
    </row>
    <row r="262" spans="1:8" x14ac:dyDescent="0.25">
      <c r="A262" t="s">
        <v>73</v>
      </c>
      <c r="H262" t="s">
        <v>47</v>
      </c>
    </row>
    <row r="263" spans="1:8" x14ac:dyDescent="0.25">
      <c r="A263" t="s">
        <v>73</v>
      </c>
      <c r="H263" t="s">
        <v>47</v>
      </c>
    </row>
    <row r="264" spans="1:8" x14ac:dyDescent="0.25">
      <c r="A264" t="s">
        <v>73</v>
      </c>
      <c r="H264" t="s">
        <v>47</v>
      </c>
    </row>
    <row r="265" spans="1:8" x14ac:dyDescent="0.25">
      <c r="A265" t="s">
        <v>73</v>
      </c>
      <c r="H265" t="s">
        <v>47</v>
      </c>
    </row>
    <row r="266" spans="1:8" x14ac:dyDescent="0.25">
      <c r="A266" t="s">
        <v>73</v>
      </c>
      <c r="H266" t="s">
        <v>47</v>
      </c>
    </row>
    <row r="267" spans="1:8" x14ac:dyDescent="0.25">
      <c r="A267" t="s">
        <v>73</v>
      </c>
      <c r="H267" t="s">
        <v>47</v>
      </c>
    </row>
    <row r="268" spans="1:8" x14ac:dyDescent="0.25">
      <c r="A268" t="s">
        <v>73</v>
      </c>
      <c r="H268" t="s">
        <v>47</v>
      </c>
    </row>
    <row r="269" spans="1:8" x14ac:dyDescent="0.25">
      <c r="A269" t="s">
        <v>73</v>
      </c>
      <c r="H269" t="s">
        <v>47</v>
      </c>
    </row>
    <row r="270" spans="1:8" x14ac:dyDescent="0.25">
      <c r="A270" t="s">
        <v>73</v>
      </c>
      <c r="H270" t="s">
        <v>47</v>
      </c>
    </row>
    <row r="271" spans="1:8" x14ac:dyDescent="0.25">
      <c r="A271" t="s">
        <v>73</v>
      </c>
      <c r="H271" t="s">
        <v>47</v>
      </c>
    </row>
    <row r="272" spans="1:8" x14ac:dyDescent="0.25">
      <c r="A272" t="s">
        <v>73</v>
      </c>
      <c r="H272" t="s">
        <v>47</v>
      </c>
    </row>
    <row r="273" spans="1:8" x14ac:dyDescent="0.25">
      <c r="A273" t="s">
        <v>73</v>
      </c>
      <c r="H273" t="s">
        <v>47</v>
      </c>
    </row>
    <row r="274" spans="1:8" x14ac:dyDescent="0.25">
      <c r="A274" t="s">
        <v>73</v>
      </c>
      <c r="H274" t="s">
        <v>47</v>
      </c>
    </row>
    <row r="275" spans="1:8" x14ac:dyDescent="0.25">
      <c r="A275" t="s">
        <v>73</v>
      </c>
      <c r="H275" t="s">
        <v>47</v>
      </c>
    </row>
    <row r="276" spans="1:8" x14ac:dyDescent="0.25">
      <c r="A276" t="s">
        <v>73</v>
      </c>
      <c r="H276" t="s">
        <v>47</v>
      </c>
    </row>
    <row r="277" spans="1:8" x14ac:dyDescent="0.25">
      <c r="A277" t="s">
        <v>73</v>
      </c>
      <c r="H277" t="s">
        <v>47</v>
      </c>
    </row>
    <row r="278" spans="1:8" x14ac:dyDescent="0.25">
      <c r="A278" t="s">
        <v>73</v>
      </c>
      <c r="H278" t="s">
        <v>47</v>
      </c>
    </row>
    <row r="279" spans="1:8" x14ac:dyDescent="0.25">
      <c r="A279" t="s">
        <v>73</v>
      </c>
      <c r="H279" t="s">
        <v>47</v>
      </c>
    </row>
    <row r="280" spans="1:8" x14ac:dyDescent="0.25">
      <c r="A280" t="s">
        <v>73</v>
      </c>
      <c r="H280" t="s">
        <v>47</v>
      </c>
    </row>
    <row r="281" spans="1:8" x14ac:dyDescent="0.25">
      <c r="A281" t="s">
        <v>73</v>
      </c>
      <c r="H281" t="s">
        <v>47</v>
      </c>
    </row>
    <row r="282" spans="1:8" x14ac:dyDescent="0.25">
      <c r="A282" t="s">
        <v>73</v>
      </c>
      <c r="H282" t="s">
        <v>47</v>
      </c>
    </row>
    <row r="283" spans="1:8" x14ac:dyDescent="0.25">
      <c r="A283" t="s">
        <v>73</v>
      </c>
      <c r="H283" t="s">
        <v>47</v>
      </c>
    </row>
    <row r="284" spans="1:8" x14ac:dyDescent="0.25">
      <c r="A284" t="s">
        <v>73</v>
      </c>
      <c r="H284" t="s">
        <v>47</v>
      </c>
    </row>
    <row r="285" spans="1:8" x14ac:dyDescent="0.25">
      <c r="A285" t="s">
        <v>73</v>
      </c>
      <c r="H285" t="s">
        <v>47</v>
      </c>
    </row>
    <row r="286" spans="1:8" x14ac:dyDescent="0.25">
      <c r="A286" t="s">
        <v>73</v>
      </c>
      <c r="H286" t="s">
        <v>47</v>
      </c>
    </row>
    <row r="287" spans="1:8" x14ac:dyDescent="0.25">
      <c r="A287" t="s">
        <v>73</v>
      </c>
      <c r="H287" t="s">
        <v>47</v>
      </c>
    </row>
    <row r="288" spans="1:8" x14ac:dyDescent="0.25">
      <c r="A288" t="s">
        <v>73</v>
      </c>
      <c r="H288" t="s">
        <v>47</v>
      </c>
    </row>
    <row r="289" spans="1:8" x14ac:dyDescent="0.25">
      <c r="A289" t="s">
        <v>73</v>
      </c>
      <c r="H289" t="s">
        <v>47</v>
      </c>
    </row>
    <row r="290" spans="1:8" x14ac:dyDescent="0.25">
      <c r="A290" t="s">
        <v>73</v>
      </c>
      <c r="H290" t="s">
        <v>47</v>
      </c>
    </row>
    <row r="291" spans="1:8" x14ac:dyDescent="0.25">
      <c r="A291" t="s">
        <v>73</v>
      </c>
      <c r="H291" t="s">
        <v>47</v>
      </c>
    </row>
    <row r="292" spans="1:8" x14ac:dyDescent="0.25">
      <c r="A292" t="s">
        <v>73</v>
      </c>
      <c r="H292" t="s">
        <v>47</v>
      </c>
    </row>
    <row r="293" spans="1:8" x14ac:dyDescent="0.25">
      <c r="A293" t="s">
        <v>73</v>
      </c>
      <c r="H293" t="s">
        <v>47</v>
      </c>
    </row>
    <row r="294" spans="1:8" x14ac:dyDescent="0.25">
      <c r="A294" t="s">
        <v>73</v>
      </c>
      <c r="H294" t="s">
        <v>47</v>
      </c>
    </row>
    <row r="295" spans="1:8" x14ac:dyDescent="0.25">
      <c r="A295" t="s">
        <v>73</v>
      </c>
      <c r="H295" t="s">
        <v>47</v>
      </c>
    </row>
    <row r="296" spans="1:8" x14ac:dyDescent="0.25">
      <c r="A296" t="s">
        <v>73</v>
      </c>
      <c r="H296" t="s">
        <v>47</v>
      </c>
    </row>
    <row r="297" spans="1:8" x14ac:dyDescent="0.25">
      <c r="A297" t="s">
        <v>73</v>
      </c>
      <c r="H297" t="s">
        <v>47</v>
      </c>
    </row>
    <row r="298" spans="1:8" x14ac:dyDescent="0.25">
      <c r="A298" t="s">
        <v>73</v>
      </c>
      <c r="H298" t="s">
        <v>47</v>
      </c>
    </row>
    <row r="299" spans="1:8" x14ac:dyDescent="0.25">
      <c r="A299" t="s">
        <v>73</v>
      </c>
      <c r="H299" t="s">
        <v>47</v>
      </c>
    </row>
    <row r="300" spans="1:8" x14ac:dyDescent="0.25">
      <c r="A300" t="s">
        <v>73</v>
      </c>
      <c r="H300" t="s">
        <v>47</v>
      </c>
    </row>
    <row r="301" spans="1:8" x14ac:dyDescent="0.25">
      <c r="A301" t="s">
        <v>73</v>
      </c>
      <c r="H301" t="s">
        <v>47</v>
      </c>
    </row>
    <row r="302" spans="1:8" x14ac:dyDescent="0.25">
      <c r="A302" t="s">
        <v>73</v>
      </c>
      <c r="H302" t="s">
        <v>47</v>
      </c>
    </row>
    <row r="303" spans="1:8" x14ac:dyDescent="0.25">
      <c r="A303" t="s">
        <v>73</v>
      </c>
      <c r="H303" t="s">
        <v>47</v>
      </c>
    </row>
    <row r="304" spans="1:8" x14ac:dyDescent="0.25">
      <c r="A304" t="s">
        <v>73</v>
      </c>
      <c r="H304" t="s">
        <v>47</v>
      </c>
    </row>
    <row r="305" spans="1:8" x14ac:dyDescent="0.25">
      <c r="A305" t="s">
        <v>73</v>
      </c>
      <c r="H305" t="s">
        <v>47</v>
      </c>
    </row>
    <row r="306" spans="1:8" x14ac:dyDescent="0.25">
      <c r="A306" t="s">
        <v>73</v>
      </c>
      <c r="H306" t="s">
        <v>47</v>
      </c>
    </row>
    <row r="307" spans="1:8" x14ac:dyDescent="0.25">
      <c r="A307" t="s">
        <v>73</v>
      </c>
      <c r="H307" t="s">
        <v>47</v>
      </c>
    </row>
    <row r="308" spans="1:8" x14ac:dyDescent="0.25">
      <c r="A308" t="s">
        <v>73</v>
      </c>
      <c r="H308" t="s">
        <v>47</v>
      </c>
    </row>
    <row r="309" spans="1:8" x14ac:dyDescent="0.25">
      <c r="A309" t="s">
        <v>73</v>
      </c>
      <c r="H309" t="s">
        <v>47</v>
      </c>
    </row>
    <row r="310" spans="1:8" x14ac:dyDescent="0.25">
      <c r="A310" t="s">
        <v>73</v>
      </c>
      <c r="H310" t="s">
        <v>47</v>
      </c>
    </row>
    <row r="311" spans="1:8" x14ac:dyDescent="0.25">
      <c r="A311" t="s">
        <v>73</v>
      </c>
      <c r="H311" t="s">
        <v>47</v>
      </c>
    </row>
    <row r="312" spans="1:8" x14ac:dyDescent="0.25">
      <c r="A312" t="s">
        <v>73</v>
      </c>
      <c r="H312" t="s">
        <v>47</v>
      </c>
    </row>
    <row r="313" spans="1:8" x14ac:dyDescent="0.25">
      <c r="A313" t="s">
        <v>73</v>
      </c>
      <c r="H313" t="s">
        <v>47</v>
      </c>
    </row>
    <row r="314" spans="1:8" x14ac:dyDescent="0.25">
      <c r="A314" t="s">
        <v>73</v>
      </c>
      <c r="H314" t="s">
        <v>47</v>
      </c>
    </row>
    <row r="315" spans="1:8" x14ac:dyDescent="0.25">
      <c r="A315" t="s">
        <v>73</v>
      </c>
      <c r="H315" t="s">
        <v>47</v>
      </c>
    </row>
    <row r="316" spans="1:8" x14ac:dyDescent="0.25">
      <c r="A316" t="s">
        <v>73</v>
      </c>
      <c r="H316" t="s">
        <v>47</v>
      </c>
    </row>
    <row r="317" spans="1:8" x14ac:dyDescent="0.25">
      <c r="A317" t="s">
        <v>73</v>
      </c>
      <c r="H317" t="s">
        <v>47</v>
      </c>
    </row>
    <row r="318" spans="1:8" x14ac:dyDescent="0.25">
      <c r="A318" t="s">
        <v>73</v>
      </c>
      <c r="H318" t="s">
        <v>47</v>
      </c>
    </row>
    <row r="319" spans="1:8" x14ac:dyDescent="0.25">
      <c r="A319" t="s">
        <v>73</v>
      </c>
      <c r="H319" t="s">
        <v>47</v>
      </c>
    </row>
    <row r="320" spans="1:8" x14ac:dyDescent="0.25">
      <c r="A320" t="s">
        <v>73</v>
      </c>
      <c r="H320" t="s">
        <v>47</v>
      </c>
    </row>
    <row r="321" spans="1:8" x14ac:dyDescent="0.25">
      <c r="A321" t="s">
        <v>73</v>
      </c>
      <c r="H321" t="s">
        <v>47</v>
      </c>
    </row>
    <row r="322" spans="1:8" x14ac:dyDescent="0.25">
      <c r="A322" t="s">
        <v>73</v>
      </c>
      <c r="H322" t="s">
        <v>47</v>
      </c>
    </row>
    <row r="323" spans="1:8" x14ac:dyDescent="0.25">
      <c r="A323" t="s">
        <v>73</v>
      </c>
      <c r="H323" t="s">
        <v>47</v>
      </c>
    </row>
    <row r="324" spans="1:8" x14ac:dyDescent="0.25">
      <c r="A324" t="s">
        <v>73</v>
      </c>
      <c r="H324" t="s">
        <v>47</v>
      </c>
    </row>
    <row r="325" spans="1:8" x14ac:dyDescent="0.25">
      <c r="A325" t="s">
        <v>73</v>
      </c>
      <c r="H325" t="s">
        <v>47</v>
      </c>
    </row>
    <row r="326" spans="1:8" x14ac:dyDescent="0.25">
      <c r="A326" t="s">
        <v>73</v>
      </c>
      <c r="H326" t="s">
        <v>47</v>
      </c>
    </row>
    <row r="327" spans="1:8" x14ac:dyDescent="0.25">
      <c r="A327" t="s">
        <v>73</v>
      </c>
      <c r="H327" t="s">
        <v>47</v>
      </c>
    </row>
    <row r="328" spans="1:8" x14ac:dyDescent="0.25">
      <c r="A328" t="s">
        <v>73</v>
      </c>
      <c r="H328" t="s">
        <v>47</v>
      </c>
    </row>
    <row r="329" spans="1:8" x14ac:dyDescent="0.25">
      <c r="A329" t="s">
        <v>73</v>
      </c>
      <c r="H329" t="s">
        <v>47</v>
      </c>
    </row>
    <row r="330" spans="1:8" x14ac:dyDescent="0.25">
      <c r="A330" t="s">
        <v>73</v>
      </c>
      <c r="H330" t="s">
        <v>47</v>
      </c>
    </row>
    <row r="331" spans="1:8" x14ac:dyDescent="0.25">
      <c r="A331" t="s">
        <v>467</v>
      </c>
      <c r="H331" t="s">
        <v>679</v>
      </c>
    </row>
    <row r="332" spans="1:8" x14ac:dyDescent="0.25">
      <c r="A332" t="s">
        <v>467</v>
      </c>
      <c r="H332" t="s">
        <v>679</v>
      </c>
    </row>
    <row r="333" spans="1:8" x14ac:dyDescent="0.25">
      <c r="A333" t="s">
        <v>467</v>
      </c>
      <c r="H333" t="s">
        <v>679</v>
      </c>
    </row>
    <row r="334" spans="1:8" x14ac:dyDescent="0.25">
      <c r="A334" t="s">
        <v>467</v>
      </c>
      <c r="H334" t="s">
        <v>679</v>
      </c>
    </row>
    <row r="335" spans="1:8" x14ac:dyDescent="0.25">
      <c r="A335" t="s">
        <v>467</v>
      </c>
      <c r="H335" t="s">
        <v>679</v>
      </c>
    </row>
    <row r="336" spans="1:8" x14ac:dyDescent="0.25">
      <c r="A336" t="s">
        <v>467</v>
      </c>
      <c r="H336" t="s">
        <v>744</v>
      </c>
    </row>
    <row r="337" spans="1:8" x14ac:dyDescent="0.25">
      <c r="A337" t="s">
        <v>467</v>
      </c>
      <c r="H337" t="s">
        <v>744</v>
      </c>
    </row>
    <row r="338" spans="1:8" x14ac:dyDescent="0.25">
      <c r="A338" t="s">
        <v>467</v>
      </c>
      <c r="H338" t="s">
        <v>744</v>
      </c>
    </row>
    <row r="339" spans="1:8" x14ac:dyDescent="0.25">
      <c r="A339" t="s">
        <v>467</v>
      </c>
      <c r="H339" t="s">
        <v>744</v>
      </c>
    </row>
    <row r="340" spans="1:8" x14ac:dyDescent="0.25">
      <c r="A340" t="s">
        <v>467</v>
      </c>
      <c r="H340" t="s">
        <v>744</v>
      </c>
    </row>
    <row r="341" spans="1:8" x14ac:dyDescent="0.25">
      <c r="A341" t="s">
        <v>292</v>
      </c>
      <c r="H341" t="s">
        <v>744</v>
      </c>
    </row>
    <row r="342" spans="1:8" x14ac:dyDescent="0.25">
      <c r="A342" t="s">
        <v>292</v>
      </c>
      <c r="H342" t="s">
        <v>335</v>
      </c>
    </row>
    <row r="343" spans="1:8" x14ac:dyDescent="0.25">
      <c r="A343" t="s">
        <v>292</v>
      </c>
      <c r="H343" t="s">
        <v>335</v>
      </c>
    </row>
    <row r="344" spans="1:8" x14ac:dyDescent="0.25">
      <c r="A344" t="s">
        <v>292</v>
      </c>
      <c r="H344" t="s">
        <v>335</v>
      </c>
    </row>
    <row r="345" spans="1:8" x14ac:dyDescent="0.25">
      <c r="A345" t="s">
        <v>292</v>
      </c>
      <c r="H345" t="s">
        <v>335</v>
      </c>
    </row>
    <row r="346" spans="1:8" x14ac:dyDescent="0.25">
      <c r="A346" t="s">
        <v>292</v>
      </c>
      <c r="H346" t="s">
        <v>335</v>
      </c>
    </row>
    <row r="347" spans="1:8" x14ac:dyDescent="0.25">
      <c r="A347" t="s">
        <v>292</v>
      </c>
      <c r="H347" t="s">
        <v>335</v>
      </c>
    </row>
    <row r="348" spans="1:8" x14ac:dyDescent="0.25">
      <c r="A348" t="s">
        <v>292</v>
      </c>
      <c r="H348" t="s">
        <v>335</v>
      </c>
    </row>
    <row r="349" spans="1:8" x14ac:dyDescent="0.25">
      <c r="A349" t="s">
        <v>292</v>
      </c>
      <c r="H349" t="s">
        <v>335</v>
      </c>
    </row>
    <row r="350" spans="1:8" x14ac:dyDescent="0.25">
      <c r="A350" t="s">
        <v>292</v>
      </c>
      <c r="H350" t="s">
        <v>335</v>
      </c>
    </row>
    <row r="351" spans="1:8" x14ac:dyDescent="0.25">
      <c r="A351" t="s">
        <v>292</v>
      </c>
      <c r="H351" t="s">
        <v>335</v>
      </c>
    </row>
    <row r="352" spans="1:8" x14ac:dyDescent="0.25">
      <c r="A352" t="s">
        <v>292</v>
      </c>
      <c r="H352" t="s">
        <v>335</v>
      </c>
    </row>
    <row r="353" spans="1:8" x14ac:dyDescent="0.25">
      <c r="A353" t="s">
        <v>282</v>
      </c>
      <c r="H353" t="s">
        <v>335</v>
      </c>
    </row>
    <row r="354" spans="1:8" x14ac:dyDescent="0.25">
      <c r="A354" t="s">
        <v>282</v>
      </c>
      <c r="H354" t="s">
        <v>335</v>
      </c>
    </row>
    <row r="355" spans="1:8" x14ac:dyDescent="0.25">
      <c r="A355" t="s">
        <v>282</v>
      </c>
      <c r="H355" t="s">
        <v>335</v>
      </c>
    </row>
    <row r="356" spans="1:8" x14ac:dyDescent="0.25">
      <c r="A356" t="s">
        <v>282</v>
      </c>
      <c r="H356" t="s">
        <v>335</v>
      </c>
    </row>
    <row r="357" spans="1:8" x14ac:dyDescent="0.25">
      <c r="A357" t="s">
        <v>282</v>
      </c>
      <c r="H357" t="s">
        <v>335</v>
      </c>
    </row>
    <row r="358" spans="1:8" x14ac:dyDescent="0.25">
      <c r="A358" t="s">
        <v>282</v>
      </c>
      <c r="H358" t="s">
        <v>335</v>
      </c>
    </row>
    <row r="359" spans="1:8" x14ac:dyDescent="0.25">
      <c r="A359" t="s">
        <v>282</v>
      </c>
      <c r="H359" t="s">
        <v>335</v>
      </c>
    </row>
    <row r="360" spans="1:8" x14ac:dyDescent="0.25">
      <c r="A360" t="s">
        <v>282</v>
      </c>
      <c r="H360" t="s">
        <v>335</v>
      </c>
    </row>
    <row r="361" spans="1:8" x14ac:dyDescent="0.25">
      <c r="A361" t="s">
        <v>282</v>
      </c>
      <c r="H361" t="s">
        <v>335</v>
      </c>
    </row>
    <row r="362" spans="1:8" x14ac:dyDescent="0.25">
      <c r="A362" t="s">
        <v>282</v>
      </c>
      <c r="H362" t="s">
        <v>335</v>
      </c>
    </row>
    <row r="363" spans="1:8" x14ac:dyDescent="0.25">
      <c r="A363" t="s">
        <v>282</v>
      </c>
      <c r="H363" t="s">
        <v>335</v>
      </c>
    </row>
    <row r="364" spans="1:8" x14ac:dyDescent="0.25">
      <c r="A364" t="s">
        <v>282</v>
      </c>
      <c r="H364" t="s">
        <v>335</v>
      </c>
    </row>
    <row r="365" spans="1:8" x14ac:dyDescent="0.25">
      <c r="A365" t="s">
        <v>282</v>
      </c>
      <c r="H365" t="s">
        <v>335</v>
      </c>
    </row>
    <row r="366" spans="1:8" x14ac:dyDescent="0.25">
      <c r="A366" t="s">
        <v>282</v>
      </c>
      <c r="H366" t="s">
        <v>335</v>
      </c>
    </row>
    <row r="367" spans="1:8" x14ac:dyDescent="0.25">
      <c r="A367" t="s">
        <v>282</v>
      </c>
      <c r="H367" t="s">
        <v>335</v>
      </c>
    </row>
    <row r="368" spans="1:8" x14ac:dyDescent="0.25">
      <c r="A368" t="s">
        <v>282</v>
      </c>
      <c r="H368" t="s">
        <v>335</v>
      </c>
    </row>
    <row r="369" spans="1:8" x14ac:dyDescent="0.25">
      <c r="A369" t="s">
        <v>282</v>
      </c>
      <c r="H369" t="s">
        <v>335</v>
      </c>
    </row>
    <row r="370" spans="1:8" x14ac:dyDescent="0.25">
      <c r="A370" t="s">
        <v>282</v>
      </c>
      <c r="H370" t="s">
        <v>335</v>
      </c>
    </row>
    <row r="371" spans="1:8" x14ac:dyDescent="0.25">
      <c r="A371" t="s">
        <v>282</v>
      </c>
      <c r="H371" t="s">
        <v>335</v>
      </c>
    </row>
    <row r="372" spans="1:8" x14ac:dyDescent="0.25">
      <c r="A372" t="s">
        <v>282</v>
      </c>
      <c r="H372" t="s">
        <v>335</v>
      </c>
    </row>
    <row r="373" spans="1:8" x14ac:dyDescent="0.25">
      <c r="A373" t="s">
        <v>282</v>
      </c>
      <c r="H373" t="s">
        <v>335</v>
      </c>
    </row>
    <row r="374" spans="1:8" x14ac:dyDescent="0.25">
      <c r="A374" t="s">
        <v>282</v>
      </c>
      <c r="H374" t="s">
        <v>335</v>
      </c>
    </row>
    <row r="375" spans="1:8" x14ac:dyDescent="0.25">
      <c r="A375" t="s">
        <v>282</v>
      </c>
      <c r="H375" t="s">
        <v>335</v>
      </c>
    </row>
    <row r="376" spans="1:8" x14ac:dyDescent="0.25">
      <c r="A376" t="s">
        <v>282</v>
      </c>
      <c r="H376" t="s">
        <v>335</v>
      </c>
    </row>
    <row r="377" spans="1:8" x14ac:dyDescent="0.25">
      <c r="A377" t="s">
        <v>282</v>
      </c>
      <c r="H377" t="s">
        <v>335</v>
      </c>
    </row>
    <row r="378" spans="1:8" x14ac:dyDescent="0.25">
      <c r="A378" t="s">
        <v>282</v>
      </c>
      <c r="H378" t="s">
        <v>335</v>
      </c>
    </row>
    <row r="379" spans="1:8" x14ac:dyDescent="0.25">
      <c r="A379" t="s">
        <v>282</v>
      </c>
      <c r="H379" t="s">
        <v>335</v>
      </c>
    </row>
    <row r="380" spans="1:8" x14ac:dyDescent="0.25">
      <c r="A380" t="s">
        <v>282</v>
      </c>
      <c r="H380" t="s">
        <v>335</v>
      </c>
    </row>
    <row r="381" spans="1:8" x14ac:dyDescent="0.25">
      <c r="A381" t="s">
        <v>282</v>
      </c>
      <c r="H381" t="s">
        <v>335</v>
      </c>
    </row>
    <row r="382" spans="1:8" x14ac:dyDescent="0.25">
      <c r="A382" t="s">
        <v>282</v>
      </c>
      <c r="H382" t="s">
        <v>335</v>
      </c>
    </row>
    <row r="383" spans="1:8" x14ac:dyDescent="0.25">
      <c r="A383" t="s">
        <v>282</v>
      </c>
      <c r="H383" t="s">
        <v>335</v>
      </c>
    </row>
    <row r="384" spans="1:8" x14ac:dyDescent="0.25">
      <c r="A384" t="s">
        <v>282</v>
      </c>
      <c r="H384" t="s">
        <v>335</v>
      </c>
    </row>
    <row r="385" spans="1:8" x14ac:dyDescent="0.25">
      <c r="A385" t="s">
        <v>282</v>
      </c>
      <c r="H385" t="s">
        <v>335</v>
      </c>
    </row>
    <row r="386" spans="1:8" x14ac:dyDescent="0.25">
      <c r="A386" t="s">
        <v>282</v>
      </c>
      <c r="H386" t="s">
        <v>335</v>
      </c>
    </row>
    <row r="387" spans="1:8" x14ac:dyDescent="0.25">
      <c r="A387" t="s">
        <v>282</v>
      </c>
      <c r="H387" t="s">
        <v>335</v>
      </c>
    </row>
    <row r="388" spans="1:8" x14ac:dyDescent="0.25">
      <c r="A388" t="s">
        <v>282</v>
      </c>
      <c r="H388" t="s">
        <v>335</v>
      </c>
    </row>
    <row r="389" spans="1:8" x14ac:dyDescent="0.25">
      <c r="A389" t="s">
        <v>282</v>
      </c>
      <c r="H389" t="s">
        <v>335</v>
      </c>
    </row>
    <row r="390" spans="1:8" x14ac:dyDescent="0.25">
      <c r="A390" t="s">
        <v>282</v>
      </c>
      <c r="H390" t="s">
        <v>335</v>
      </c>
    </row>
    <row r="391" spans="1:8" x14ac:dyDescent="0.25">
      <c r="A391" t="s">
        <v>282</v>
      </c>
      <c r="H391" t="s">
        <v>335</v>
      </c>
    </row>
    <row r="392" spans="1:8" x14ac:dyDescent="0.25">
      <c r="A392" t="s">
        <v>282</v>
      </c>
      <c r="H392" t="s">
        <v>335</v>
      </c>
    </row>
    <row r="393" spans="1:8" x14ac:dyDescent="0.25">
      <c r="A393" t="s">
        <v>282</v>
      </c>
      <c r="H393" t="s">
        <v>335</v>
      </c>
    </row>
    <row r="394" spans="1:8" x14ac:dyDescent="0.25">
      <c r="A394" t="s">
        <v>282</v>
      </c>
      <c r="H394" t="s">
        <v>335</v>
      </c>
    </row>
    <row r="395" spans="1:8" x14ac:dyDescent="0.25">
      <c r="A395" t="s">
        <v>282</v>
      </c>
      <c r="H395" t="s">
        <v>335</v>
      </c>
    </row>
    <row r="396" spans="1:8" x14ac:dyDescent="0.25">
      <c r="A396" t="s">
        <v>282</v>
      </c>
      <c r="H396" t="s">
        <v>335</v>
      </c>
    </row>
    <row r="397" spans="1:8" x14ac:dyDescent="0.25">
      <c r="A397" t="s">
        <v>282</v>
      </c>
      <c r="H397" t="s">
        <v>335</v>
      </c>
    </row>
    <row r="398" spans="1:8" x14ac:dyDescent="0.25">
      <c r="A398" t="s">
        <v>282</v>
      </c>
      <c r="H398" t="s">
        <v>335</v>
      </c>
    </row>
    <row r="399" spans="1:8" x14ac:dyDescent="0.25">
      <c r="A399" t="s">
        <v>282</v>
      </c>
      <c r="H399" t="s">
        <v>335</v>
      </c>
    </row>
    <row r="400" spans="1:8" x14ac:dyDescent="0.25">
      <c r="A400" t="s">
        <v>282</v>
      </c>
      <c r="H400" t="s">
        <v>95</v>
      </c>
    </row>
    <row r="401" spans="1:8" x14ac:dyDescent="0.25">
      <c r="A401" t="s">
        <v>282</v>
      </c>
      <c r="H401" t="s">
        <v>95</v>
      </c>
    </row>
    <row r="402" spans="1:8" x14ac:dyDescent="0.25">
      <c r="A402" t="s">
        <v>282</v>
      </c>
      <c r="H402" t="s">
        <v>95</v>
      </c>
    </row>
    <row r="403" spans="1:8" x14ac:dyDescent="0.25">
      <c r="A403" t="s">
        <v>282</v>
      </c>
      <c r="H403" t="s">
        <v>95</v>
      </c>
    </row>
    <row r="404" spans="1:8" x14ac:dyDescent="0.25">
      <c r="A404" t="s">
        <v>282</v>
      </c>
      <c r="H404" t="s">
        <v>95</v>
      </c>
    </row>
    <row r="405" spans="1:8" x14ac:dyDescent="0.25">
      <c r="A405" t="s">
        <v>282</v>
      </c>
      <c r="H405" t="s">
        <v>528</v>
      </c>
    </row>
    <row r="406" spans="1:8" x14ac:dyDescent="0.25">
      <c r="A406" t="s">
        <v>282</v>
      </c>
      <c r="H406" t="s">
        <v>528</v>
      </c>
    </row>
    <row r="407" spans="1:8" x14ac:dyDescent="0.25">
      <c r="A407" t="s">
        <v>282</v>
      </c>
      <c r="H407" t="s">
        <v>528</v>
      </c>
    </row>
    <row r="408" spans="1:8" x14ac:dyDescent="0.25">
      <c r="A408" t="s">
        <v>282</v>
      </c>
      <c r="H408" t="s">
        <v>528</v>
      </c>
    </row>
    <row r="409" spans="1:8" x14ac:dyDescent="0.25">
      <c r="A409" t="s">
        <v>282</v>
      </c>
      <c r="H409" t="s">
        <v>528</v>
      </c>
    </row>
    <row r="410" spans="1:8" x14ac:dyDescent="0.25">
      <c r="A410" t="s">
        <v>282</v>
      </c>
      <c r="H410" t="s">
        <v>528</v>
      </c>
    </row>
    <row r="411" spans="1:8" x14ac:dyDescent="0.25">
      <c r="A411" t="s">
        <v>282</v>
      </c>
      <c r="H411" t="s">
        <v>528</v>
      </c>
    </row>
    <row r="412" spans="1:8" x14ac:dyDescent="0.25">
      <c r="A412" t="s">
        <v>282</v>
      </c>
      <c r="H412" t="s">
        <v>528</v>
      </c>
    </row>
    <row r="413" spans="1:8" x14ac:dyDescent="0.25">
      <c r="A413" t="s">
        <v>282</v>
      </c>
      <c r="H413" t="s">
        <v>528</v>
      </c>
    </row>
    <row r="414" spans="1:8" x14ac:dyDescent="0.25">
      <c r="A414" t="s">
        <v>282</v>
      </c>
      <c r="H414" t="s">
        <v>528</v>
      </c>
    </row>
    <row r="415" spans="1:8" x14ac:dyDescent="0.25">
      <c r="A415" t="s">
        <v>282</v>
      </c>
      <c r="H415" t="s">
        <v>528</v>
      </c>
    </row>
    <row r="416" spans="1:8" x14ac:dyDescent="0.25">
      <c r="A416" t="s">
        <v>282</v>
      </c>
      <c r="H416" t="s">
        <v>339</v>
      </c>
    </row>
    <row r="417" spans="1:8" x14ac:dyDescent="0.25">
      <c r="A417" t="s">
        <v>282</v>
      </c>
      <c r="H417" t="s">
        <v>339</v>
      </c>
    </row>
    <row r="418" spans="1:8" x14ac:dyDescent="0.25">
      <c r="A418" t="s">
        <v>282</v>
      </c>
      <c r="H418" t="s">
        <v>339</v>
      </c>
    </row>
    <row r="419" spans="1:8" x14ac:dyDescent="0.25">
      <c r="A419" t="s">
        <v>282</v>
      </c>
      <c r="H419" t="s">
        <v>339</v>
      </c>
    </row>
    <row r="420" spans="1:8" x14ac:dyDescent="0.25">
      <c r="A420" t="s">
        <v>282</v>
      </c>
      <c r="H420" t="s">
        <v>339</v>
      </c>
    </row>
    <row r="421" spans="1:8" x14ac:dyDescent="0.25">
      <c r="A421" t="s">
        <v>282</v>
      </c>
      <c r="H421" t="s">
        <v>339</v>
      </c>
    </row>
    <row r="422" spans="1:8" x14ac:dyDescent="0.25">
      <c r="A422" t="s">
        <v>282</v>
      </c>
      <c r="H422" t="s">
        <v>339</v>
      </c>
    </row>
    <row r="423" spans="1:8" x14ac:dyDescent="0.25">
      <c r="A423" t="s">
        <v>282</v>
      </c>
      <c r="H423" t="s">
        <v>339</v>
      </c>
    </row>
    <row r="424" spans="1:8" x14ac:dyDescent="0.25">
      <c r="A424" t="s">
        <v>282</v>
      </c>
      <c r="H424" t="s">
        <v>339</v>
      </c>
    </row>
    <row r="425" spans="1:8" x14ac:dyDescent="0.25">
      <c r="A425" t="s">
        <v>282</v>
      </c>
      <c r="H425" t="s">
        <v>235</v>
      </c>
    </row>
    <row r="426" spans="1:8" x14ac:dyDescent="0.25">
      <c r="A426" t="s">
        <v>282</v>
      </c>
      <c r="H426" t="s">
        <v>235</v>
      </c>
    </row>
    <row r="427" spans="1:8" x14ac:dyDescent="0.25">
      <c r="A427" t="s">
        <v>282</v>
      </c>
      <c r="H427" t="s">
        <v>235</v>
      </c>
    </row>
    <row r="428" spans="1:8" x14ac:dyDescent="0.25">
      <c r="A428" t="s">
        <v>282</v>
      </c>
      <c r="H428" t="s">
        <v>235</v>
      </c>
    </row>
    <row r="429" spans="1:8" x14ac:dyDescent="0.25">
      <c r="A429" t="s">
        <v>282</v>
      </c>
      <c r="H429" t="s">
        <v>216</v>
      </c>
    </row>
    <row r="430" spans="1:8" x14ac:dyDescent="0.25">
      <c r="A430" t="s">
        <v>282</v>
      </c>
      <c r="H430" t="s">
        <v>216</v>
      </c>
    </row>
    <row r="431" spans="1:8" x14ac:dyDescent="0.25">
      <c r="A431" t="s">
        <v>282</v>
      </c>
      <c r="H431" t="s">
        <v>216</v>
      </c>
    </row>
    <row r="432" spans="1:8" x14ac:dyDescent="0.25">
      <c r="A432" t="s">
        <v>282</v>
      </c>
      <c r="H432" t="s">
        <v>216</v>
      </c>
    </row>
    <row r="433" spans="1:8" x14ac:dyDescent="0.25">
      <c r="A433" t="s">
        <v>282</v>
      </c>
      <c r="H433" t="s">
        <v>216</v>
      </c>
    </row>
    <row r="434" spans="1:8" x14ac:dyDescent="0.25">
      <c r="A434" t="s">
        <v>282</v>
      </c>
      <c r="H434" t="s">
        <v>216</v>
      </c>
    </row>
    <row r="435" spans="1:8" x14ac:dyDescent="0.25">
      <c r="A435" t="s">
        <v>282</v>
      </c>
      <c r="H435" t="s">
        <v>216</v>
      </c>
    </row>
    <row r="436" spans="1:8" x14ac:dyDescent="0.25">
      <c r="A436" t="s">
        <v>282</v>
      </c>
      <c r="H436" t="s">
        <v>216</v>
      </c>
    </row>
    <row r="437" spans="1:8" x14ac:dyDescent="0.25">
      <c r="A437" t="s">
        <v>282</v>
      </c>
      <c r="H437" t="s">
        <v>216</v>
      </c>
    </row>
    <row r="438" spans="1:8" x14ac:dyDescent="0.25">
      <c r="A438" t="s">
        <v>282</v>
      </c>
      <c r="H438" t="s">
        <v>216</v>
      </c>
    </row>
    <row r="439" spans="1:8" x14ac:dyDescent="0.25">
      <c r="A439" t="s">
        <v>282</v>
      </c>
      <c r="H439" t="s">
        <v>216</v>
      </c>
    </row>
    <row r="440" spans="1:8" x14ac:dyDescent="0.25">
      <c r="A440" t="s">
        <v>193</v>
      </c>
      <c r="H440" t="s">
        <v>216</v>
      </c>
    </row>
    <row r="441" spans="1:8" x14ac:dyDescent="0.25">
      <c r="A441" t="s">
        <v>193</v>
      </c>
      <c r="H441" t="s">
        <v>216</v>
      </c>
    </row>
    <row r="442" spans="1:8" x14ac:dyDescent="0.25">
      <c r="A442" t="s">
        <v>193</v>
      </c>
      <c r="H442" t="s">
        <v>216</v>
      </c>
    </row>
    <row r="443" spans="1:8" x14ac:dyDescent="0.25">
      <c r="A443" t="s">
        <v>193</v>
      </c>
      <c r="H443" t="s">
        <v>216</v>
      </c>
    </row>
    <row r="444" spans="1:8" x14ac:dyDescent="0.25">
      <c r="A444" t="s">
        <v>193</v>
      </c>
      <c r="H444" t="s">
        <v>216</v>
      </c>
    </row>
    <row r="445" spans="1:8" x14ac:dyDescent="0.25">
      <c r="A445" t="s">
        <v>193</v>
      </c>
      <c r="H445" t="s">
        <v>216</v>
      </c>
    </row>
    <row r="446" spans="1:8" x14ac:dyDescent="0.25">
      <c r="A446" t="s">
        <v>193</v>
      </c>
      <c r="H446" t="s">
        <v>216</v>
      </c>
    </row>
    <row r="447" spans="1:8" x14ac:dyDescent="0.25">
      <c r="A447" t="s">
        <v>193</v>
      </c>
      <c r="H447" t="s">
        <v>216</v>
      </c>
    </row>
    <row r="448" spans="1:8" x14ac:dyDescent="0.25">
      <c r="A448" t="s">
        <v>193</v>
      </c>
      <c r="H448" t="s">
        <v>216</v>
      </c>
    </row>
    <row r="449" spans="1:8" x14ac:dyDescent="0.25">
      <c r="A449" t="s">
        <v>193</v>
      </c>
      <c r="H449" t="s">
        <v>216</v>
      </c>
    </row>
    <row r="450" spans="1:8" x14ac:dyDescent="0.25">
      <c r="A450" t="s">
        <v>193</v>
      </c>
      <c r="H450" t="s">
        <v>216</v>
      </c>
    </row>
    <row r="451" spans="1:8" x14ac:dyDescent="0.25">
      <c r="A451" t="s">
        <v>193</v>
      </c>
      <c r="H451" t="s">
        <v>216</v>
      </c>
    </row>
    <row r="452" spans="1:8" x14ac:dyDescent="0.25">
      <c r="A452" t="s">
        <v>193</v>
      </c>
      <c r="H452" t="s">
        <v>216</v>
      </c>
    </row>
    <row r="453" spans="1:8" x14ac:dyDescent="0.25">
      <c r="A453" t="s">
        <v>193</v>
      </c>
      <c r="H453" t="s">
        <v>216</v>
      </c>
    </row>
    <row r="454" spans="1:8" x14ac:dyDescent="0.25">
      <c r="A454" t="s">
        <v>193</v>
      </c>
      <c r="H454" t="s">
        <v>216</v>
      </c>
    </row>
    <row r="455" spans="1:8" x14ac:dyDescent="0.25">
      <c r="A455" t="s">
        <v>193</v>
      </c>
      <c r="H455" t="s">
        <v>216</v>
      </c>
    </row>
    <row r="456" spans="1:8" x14ac:dyDescent="0.25">
      <c r="A456" t="s">
        <v>944</v>
      </c>
      <c r="H456" t="s">
        <v>216</v>
      </c>
    </row>
    <row r="457" spans="1:8" x14ac:dyDescent="0.25">
      <c r="A457" t="s">
        <v>944</v>
      </c>
      <c r="H457" t="s">
        <v>216</v>
      </c>
    </row>
    <row r="458" spans="1:8" x14ac:dyDescent="0.25">
      <c r="A458" t="s">
        <v>944</v>
      </c>
      <c r="H458" t="s">
        <v>216</v>
      </c>
    </row>
    <row r="459" spans="1:8" x14ac:dyDescent="0.25">
      <c r="A459" t="s">
        <v>944</v>
      </c>
      <c r="H459" t="s">
        <v>216</v>
      </c>
    </row>
    <row r="460" spans="1:8" x14ac:dyDescent="0.25">
      <c r="A460" t="s">
        <v>944</v>
      </c>
      <c r="H460" t="s">
        <v>216</v>
      </c>
    </row>
    <row r="461" spans="1:8" x14ac:dyDescent="0.25">
      <c r="A461" t="s">
        <v>944</v>
      </c>
      <c r="H461" t="s">
        <v>216</v>
      </c>
    </row>
    <row r="462" spans="1:8" x14ac:dyDescent="0.25">
      <c r="A462" t="s">
        <v>944</v>
      </c>
      <c r="H462" t="s">
        <v>216</v>
      </c>
    </row>
    <row r="463" spans="1:8" x14ac:dyDescent="0.25">
      <c r="A463" t="s">
        <v>944</v>
      </c>
      <c r="H463" t="s">
        <v>216</v>
      </c>
    </row>
    <row r="464" spans="1:8" x14ac:dyDescent="0.25">
      <c r="A464" t="s">
        <v>944</v>
      </c>
      <c r="H464" t="s">
        <v>216</v>
      </c>
    </row>
    <row r="465" spans="1:8" x14ac:dyDescent="0.25">
      <c r="A465" t="s">
        <v>944</v>
      </c>
      <c r="H465" t="s">
        <v>216</v>
      </c>
    </row>
    <row r="466" spans="1:8" x14ac:dyDescent="0.25">
      <c r="A466" t="s">
        <v>944</v>
      </c>
      <c r="H466" t="s">
        <v>216</v>
      </c>
    </row>
    <row r="467" spans="1:8" x14ac:dyDescent="0.25">
      <c r="A467" t="s">
        <v>944</v>
      </c>
      <c r="H467" t="s">
        <v>216</v>
      </c>
    </row>
    <row r="468" spans="1:8" x14ac:dyDescent="0.25">
      <c r="A468" t="s">
        <v>178</v>
      </c>
      <c r="H468" t="s">
        <v>216</v>
      </c>
    </row>
    <row r="469" spans="1:8" x14ac:dyDescent="0.25">
      <c r="A469" t="s">
        <v>178</v>
      </c>
      <c r="H469" t="s">
        <v>216</v>
      </c>
    </row>
    <row r="470" spans="1:8" x14ac:dyDescent="0.25">
      <c r="A470" t="s">
        <v>178</v>
      </c>
      <c r="H470" t="s">
        <v>816</v>
      </c>
    </row>
    <row r="471" spans="1:8" x14ac:dyDescent="0.25">
      <c r="A471" t="s">
        <v>178</v>
      </c>
      <c r="H471" t="s">
        <v>816</v>
      </c>
    </row>
    <row r="472" spans="1:8" x14ac:dyDescent="0.25">
      <c r="A472" t="s">
        <v>178</v>
      </c>
      <c r="H472" t="s">
        <v>816</v>
      </c>
    </row>
    <row r="473" spans="1:8" x14ac:dyDescent="0.25">
      <c r="A473" t="s">
        <v>178</v>
      </c>
      <c r="H473" t="s">
        <v>816</v>
      </c>
    </row>
    <row r="474" spans="1:8" x14ac:dyDescent="0.25">
      <c r="A474" t="s">
        <v>178</v>
      </c>
      <c r="H474" t="s">
        <v>816</v>
      </c>
    </row>
    <row r="475" spans="1:8" x14ac:dyDescent="0.25">
      <c r="A475" t="s">
        <v>178</v>
      </c>
      <c r="H475" t="s">
        <v>816</v>
      </c>
    </row>
    <row r="476" spans="1:8" x14ac:dyDescent="0.25">
      <c r="A476" t="s">
        <v>178</v>
      </c>
      <c r="H476" t="s">
        <v>816</v>
      </c>
    </row>
    <row r="477" spans="1:8" x14ac:dyDescent="0.25">
      <c r="A477" t="s">
        <v>178</v>
      </c>
      <c r="H477" t="s">
        <v>816</v>
      </c>
    </row>
    <row r="478" spans="1:8" x14ac:dyDescent="0.25">
      <c r="A478" t="s">
        <v>178</v>
      </c>
      <c r="H478" t="s">
        <v>816</v>
      </c>
    </row>
    <row r="479" spans="1:8" x14ac:dyDescent="0.25">
      <c r="A479" t="s">
        <v>178</v>
      </c>
      <c r="H479" t="s">
        <v>816</v>
      </c>
    </row>
    <row r="480" spans="1:8" x14ac:dyDescent="0.25">
      <c r="A480" t="s">
        <v>178</v>
      </c>
      <c r="H480" t="s">
        <v>816</v>
      </c>
    </row>
    <row r="481" spans="1:8" x14ac:dyDescent="0.25">
      <c r="A481" t="s">
        <v>178</v>
      </c>
      <c r="H481" t="s">
        <v>816</v>
      </c>
    </row>
    <row r="482" spans="1:8" x14ac:dyDescent="0.25">
      <c r="A482" t="s">
        <v>178</v>
      </c>
      <c r="H482" t="s">
        <v>816</v>
      </c>
    </row>
    <row r="483" spans="1:8" x14ac:dyDescent="0.25">
      <c r="A483" t="s">
        <v>178</v>
      </c>
      <c r="H483" t="s">
        <v>816</v>
      </c>
    </row>
    <row r="484" spans="1:8" x14ac:dyDescent="0.25">
      <c r="A484" t="s">
        <v>178</v>
      </c>
      <c r="H484" t="s">
        <v>816</v>
      </c>
    </row>
    <row r="485" spans="1:8" x14ac:dyDescent="0.25">
      <c r="A485" t="s">
        <v>178</v>
      </c>
      <c r="H485" t="s">
        <v>816</v>
      </c>
    </row>
    <row r="486" spans="1:8" x14ac:dyDescent="0.25">
      <c r="A486" t="s">
        <v>178</v>
      </c>
      <c r="H486" t="s">
        <v>816</v>
      </c>
    </row>
    <row r="487" spans="1:8" x14ac:dyDescent="0.25">
      <c r="A487" t="s">
        <v>178</v>
      </c>
      <c r="H487" t="s">
        <v>816</v>
      </c>
    </row>
    <row r="488" spans="1:8" x14ac:dyDescent="0.25">
      <c r="A488" t="s">
        <v>178</v>
      </c>
      <c r="H488" t="s">
        <v>816</v>
      </c>
    </row>
    <row r="489" spans="1:8" x14ac:dyDescent="0.25">
      <c r="A489" t="s">
        <v>178</v>
      </c>
      <c r="H489" t="s">
        <v>816</v>
      </c>
    </row>
    <row r="490" spans="1:8" x14ac:dyDescent="0.25">
      <c r="A490" t="s">
        <v>178</v>
      </c>
      <c r="H490" t="s">
        <v>816</v>
      </c>
    </row>
    <row r="491" spans="1:8" x14ac:dyDescent="0.25">
      <c r="A491" t="s">
        <v>178</v>
      </c>
      <c r="H491" t="s">
        <v>816</v>
      </c>
    </row>
    <row r="492" spans="1:8" x14ac:dyDescent="0.25">
      <c r="A492" t="s">
        <v>178</v>
      </c>
      <c r="H492" t="s">
        <v>816</v>
      </c>
    </row>
    <row r="493" spans="1:8" x14ac:dyDescent="0.25">
      <c r="A493" t="s">
        <v>178</v>
      </c>
      <c r="H493" t="s">
        <v>816</v>
      </c>
    </row>
    <row r="494" spans="1:8" x14ac:dyDescent="0.25">
      <c r="A494" t="s">
        <v>178</v>
      </c>
      <c r="H494" t="s">
        <v>509</v>
      </c>
    </row>
    <row r="495" spans="1:8" x14ac:dyDescent="0.25">
      <c r="A495" t="s">
        <v>276</v>
      </c>
      <c r="H495" t="s">
        <v>509</v>
      </c>
    </row>
    <row r="496" spans="1:8" x14ac:dyDescent="0.25">
      <c r="A496" t="s">
        <v>276</v>
      </c>
      <c r="H496" t="s">
        <v>509</v>
      </c>
    </row>
    <row r="497" spans="1:8" x14ac:dyDescent="0.25">
      <c r="A497" t="s">
        <v>276</v>
      </c>
      <c r="H497" t="s">
        <v>509</v>
      </c>
    </row>
    <row r="498" spans="1:8" x14ac:dyDescent="0.25">
      <c r="A498" t="s">
        <v>276</v>
      </c>
      <c r="H498" t="s">
        <v>509</v>
      </c>
    </row>
    <row r="499" spans="1:8" x14ac:dyDescent="0.25">
      <c r="A499" t="s">
        <v>276</v>
      </c>
      <c r="H499" t="s">
        <v>73</v>
      </c>
    </row>
    <row r="500" spans="1:8" x14ac:dyDescent="0.25">
      <c r="A500" t="s">
        <v>276</v>
      </c>
      <c r="H500" t="s">
        <v>73</v>
      </c>
    </row>
    <row r="501" spans="1:8" x14ac:dyDescent="0.25">
      <c r="A501" t="s">
        <v>276</v>
      </c>
      <c r="H501" t="s">
        <v>73</v>
      </c>
    </row>
    <row r="502" spans="1:8" x14ac:dyDescent="0.25">
      <c r="A502" t="s">
        <v>276</v>
      </c>
      <c r="H502" t="s">
        <v>73</v>
      </c>
    </row>
    <row r="503" spans="1:8" x14ac:dyDescent="0.25">
      <c r="A503" t="s">
        <v>659</v>
      </c>
      <c r="H503" t="s">
        <v>73</v>
      </c>
    </row>
    <row r="504" spans="1:8" x14ac:dyDescent="0.25">
      <c r="A504" t="s">
        <v>659</v>
      </c>
      <c r="H504" t="s">
        <v>73</v>
      </c>
    </row>
    <row r="505" spans="1:8" x14ac:dyDescent="0.25">
      <c r="A505" t="s">
        <v>659</v>
      </c>
      <c r="H505" t="s">
        <v>73</v>
      </c>
    </row>
    <row r="506" spans="1:8" x14ac:dyDescent="0.25">
      <c r="A506" t="s">
        <v>659</v>
      </c>
      <c r="H506" t="s">
        <v>73</v>
      </c>
    </row>
    <row r="507" spans="1:8" x14ac:dyDescent="0.25">
      <c r="A507" t="s">
        <v>659</v>
      </c>
      <c r="H507" t="s">
        <v>73</v>
      </c>
    </row>
    <row r="508" spans="1:8" x14ac:dyDescent="0.25">
      <c r="A508" t="s">
        <v>659</v>
      </c>
      <c r="H508" t="s">
        <v>73</v>
      </c>
    </row>
    <row r="509" spans="1:8" x14ac:dyDescent="0.25">
      <c r="A509" t="s">
        <v>659</v>
      </c>
      <c r="H509" t="s">
        <v>73</v>
      </c>
    </row>
    <row r="510" spans="1:8" x14ac:dyDescent="0.25">
      <c r="A510" t="s">
        <v>659</v>
      </c>
      <c r="H510" t="s">
        <v>73</v>
      </c>
    </row>
    <row r="511" spans="1:8" x14ac:dyDescent="0.25">
      <c r="A511" t="s">
        <v>659</v>
      </c>
      <c r="H511" t="s">
        <v>73</v>
      </c>
    </row>
    <row r="512" spans="1:8" x14ac:dyDescent="0.25">
      <c r="A512" t="s">
        <v>659</v>
      </c>
      <c r="H512" t="s">
        <v>73</v>
      </c>
    </row>
    <row r="513" spans="1:8" x14ac:dyDescent="0.25">
      <c r="A513" t="s">
        <v>659</v>
      </c>
      <c r="H513" t="s">
        <v>73</v>
      </c>
    </row>
    <row r="514" spans="1:8" x14ac:dyDescent="0.25">
      <c r="A514" t="s">
        <v>659</v>
      </c>
      <c r="H514" t="s">
        <v>73</v>
      </c>
    </row>
    <row r="515" spans="1:8" x14ac:dyDescent="0.25">
      <c r="A515" t="s">
        <v>659</v>
      </c>
      <c r="H515" t="s">
        <v>73</v>
      </c>
    </row>
    <row r="516" spans="1:8" x14ac:dyDescent="0.25">
      <c r="A516" t="s">
        <v>659</v>
      </c>
      <c r="H516" t="s">
        <v>73</v>
      </c>
    </row>
    <row r="517" spans="1:8" x14ac:dyDescent="0.25">
      <c r="A517" t="s">
        <v>659</v>
      </c>
      <c r="H517" t="s">
        <v>73</v>
      </c>
    </row>
    <row r="518" spans="1:8" x14ac:dyDescent="0.25">
      <c r="A518" t="s">
        <v>659</v>
      </c>
      <c r="H518" t="s">
        <v>73</v>
      </c>
    </row>
    <row r="519" spans="1:8" x14ac:dyDescent="0.25">
      <c r="A519" t="s">
        <v>659</v>
      </c>
      <c r="H519" t="s">
        <v>73</v>
      </c>
    </row>
    <row r="520" spans="1:8" x14ac:dyDescent="0.25">
      <c r="A520" t="s">
        <v>183</v>
      </c>
      <c r="H520" t="s">
        <v>73</v>
      </c>
    </row>
    <row r="521" spans="1:8" x14ac:dyDescent="0.25">
      <c r="A521" t="s">
        <v>183</v>
      </c>
      <c r="H521" t="s">
        <v>73</v>
      </c>
    </row>
    <row r="522" spans="1:8" x14ac:dyDescent="0.25">
      <c r="A522" t="s">
        <v>183</v>
      </c>
      <c r="H522" t="s">
        <v>73</v>
      </c>
    </row>
    <row r="523" spans="1:8" x14ac:dyDescent="0.25">
      <c r="A523" t="s">
        <v>183</v>
      </c>
      <c r="H523" t="s">
        <v>73</v>
      </c>
    </row>
    <row r="524" spans="1:8" x14ac:dyDescent="0.25">
      <c r="A524" t="s">
        <v>183</v>
      </c>
      <c r="H524" t="s">
        <v>73</v>
      </c>
    </row>
    <row r="525" spans="1:8" x14ac:dyDescent="0.25">
      <c r="A525" t="s">
        <v>183</v>
      </c>
      <c r="H525" t="s">
        <v>73</v>
      </c>
    </row>
    <row r="526" spans="1:8" x14ac:dyDescent="0.25">
      <c r="A526" t="s">
        <v>183</v>
      </c>
      <c r="H526" t="s">
        <v>73</v>
      </c>
    </row>
    <row r="527" spans="1:8" x14ac:dyDescent="0.25">
      <c r="A527" t="s">
        <v>183</v>
      </c>
      <c r="H527" t="s">
        <v>73</v>
      </c>
    </row>
    <row r="528" spans="1:8" x14ac:dyDescent="0.25">
      <c r="A528" t="s">
        <v>183</v>
      </c>
      <c r="H528" t="s">
        <v>73</v>
      </c>
    </row>
    <row r="529" spans="1:8" x14ac:dyDescent="0.25">
      <c r="A529" t="s">
        <v>183</v>
      </c>
      <c r="H529" t="s">
        <v>73</v>
      </c>
    </row>
    <row r="530" spans="1:8" x14ac:dyDescent="0.25">
      <c r="A530" t="s">
        <v>323</v>
      </c>
      <c r="H530" t="s">
        <v>73</v>
      </c>
    </row>
    <row r="531" spans="1:8" x14ac:dyDescent="0.25">
      <c r="A531" t="s">
        <v>323</v>
      </c>
      <c r="H531" t="s">
        <v>73</v>
      </c>
    </row>
    <row r="532" spans="1:8" x14ac:dyDescent="0.25">
      <c r="A532" t="s">
        <v>323</v>
      </c>
      <c r="H532" t="s">
        <v>73</v>
      </c>
    </row>
    <row r="533" spans="1:8" x14ac:dyDescent="0.25">
      <c r="A533" t="s">
        <v>323</v>
      </c>
      <c r="H533" t="s">
        <v>73</v>
      </c>
    </row>
    <row r="534" spans="1:8" x14ac:dyDescent="0.25">
      <c r="A534" t="s">
        <v>323</v>
      </c>
      <c r="H534" t="s">
        <v>73</v>
      </c>
    </row>
    <row r="535" spans="1:8" x14ac:dyDescent="0.25">
      <c r="A535" t="s">
        <v>323</v>
      </c>
      <c r="H535" t="s">
        <v>73</v>
      </c>
    </row>
    <row r="536" spans="1:8" x14ac:dyDescent="0.25">
      <c r="A536" t="s">
        <v>323</v>
      </c>
      <c r="H536" t="s">
        <v>73</v>
      </c>
    </row>
    <row r="537" spans="1:8" x14ac:dyDescent="0.25">
      <c r="A537" t="s">
        <v>323</v>
      </c>
      <c r="H537" t="s">
        <v>73</v>
      </c>
    </row>
    <row r="538" spans="1:8" x14ac:dyDescent="0.25">
      <c r="A538" t="s">
        <v>323</v>
      </c>
      <c r="H538" t="s">
        <v>73</v>
      </c>
    </row>
    <row r="539" spans="1:8" x14ac:dyDescent="0.25">
      <c r="A539" t="s">
        <v>323</v>
      </c>
      <c r="H539" t="s">
        <v>73</v>
      </c>
    </row>
    <row r="540" spans="1:8" x14ac:dyDescent="0.25">
      <c r="A540" t="s">
        <v>323</v>
      </c>
      <c r="H540" t="s">
        <v>73</v>
      </c>
    </row>
    <row r="541" spans="1:8" x14ac:dyDescent="0.25">
      <c r="A541" t="s">
        <v>323</v>
      </c>
      <c r="H541" t="s">
        <v>73</v>
      </c>
    </row>
    <row r="542" spans="1:8" x14ac:dyDescent="0.25">
      <c r="A542" t="s">
        <v>323</v>
      </c>
      <c r="H542" t="s">
        <v>73</v>
      </c>
    </row>
    <row r="543" spans="1:8" x14ac:dyDescent="0.25">
      <c r="A543" t="s">
        <v>323</v>
      </c>
      <c r="H543" t="s">
        <v>73</v>
      </c>
    </row>
    <row r="544" spans="1:8" x14ac:dyDescent="0.25">
      <c r="A544" t="s">
        <v>323</v>
      </c>
      <c r="H544" t="s">
        <v>73</v>
      </c>
    </row>
    <row r="545" spans="1:8" x14ac:dyDescent="0.25">
      <c r="A545" t="s">
        <v>323</v>
      </c>
      <c r="H545" t="s">
        <v>73</v>
      </c>
    </row>
    <row r="546" spans="1:8" x14ac:dyDescent="0.25">
      <c r="A546" t="s">
        <v>323</v>
      </c>
      <c r="H546" t="s">
        <v>73</v>
      </c>
    </row>
    <row r="547" spans="1:8" x14ac:dyDescent="0.25">
      <c r="A547" t="s">
        <v>323</v>
      </c>
      <c r="H547" t="s">
        <v>73</v>
      </c>
    </row>
    <row r="548" spans="1:8" x14ac:dyDescent="0.25">
      <c r="A548" t="s">
        <v>323</v>
      </c>
      <c r="H548" t="s">
        <v>73</v>
      </c>
    </row>
    <row r="549" spans="1:8" x14ac:dyDescent="0.25">
      <c r="A549" t="s">
        <v>323</v>
      </c>
      <c r="H549" t="s">
        <v>73</v>
      </c>
    </row>
    <row r="550" spans="1:8" x14ac:dyDescent="0.25">
      <c r="A550" t="s">
        <v>323</v>
      </c>
      <c r="H550" t="s">
        <v>73</v>
      </c>
    </row>
    <row r="551" spans="1:8" x14ac:dyDescent="0.25">
      <c r="A551" t="s">
        <v>323</v>
      </c>
      <c r="H551" t="s">
        <v>73</v>
      </c>
    </row>
    <row r="552" spans="1:8" x14ac:dyDescent="0.25">
      <c r="H552" t="s">
        <v>73</v>
      </c>
    </row>
    <row r="553" spans="1:8" x14ac:dyDescent="0.25">
      <c r="H553" t="s">
        <v>73</v>
      </c>
    </row>
    <row r="554" spans="1:8" x14ac:dyDescent="0.25">
      <c r="H554" t="s">
        <v>73</v>
      </c>
    </row>
    <row r="555" spans="1:8" x14ac:dyDescent="0.25">
      <c r="H555" t="s">
        <v>73</v>
      </c>
    </row>
    <row r="556" spans="1:8" x14ac:dyDescent="0.25">
      <c r="H556" t="s">
        <v>73</v>
      </c>
    </row>
    <row r="557" spans="1:8" x14ac:dyDescent="0.25">
      <c r="H557" t="s">
        <v>73</v>
      </c>
    </row>
    <row r="558" spans="1:8" x14ac:dyDescent="0.25">
      <c r="H558" t="s">
        <v>73</v>
      </c>
    </row>
    <row r="559" spans="1:8" x14ac:dyDescent="0.25">
      <c r="H559" t="s">
        <v>73</v>
      </c>
    </row>
    <row r="560" spans="1:8" x14ac:dyDescent="0.25">
      <c r="H560" t="s">
        <v>73</v>
      </c>
    </row>
    <row r="561" spans="8:8" x14ac:dyDescent="0.25">
      <c r="H561" t="s">
        <v>73</v>
      </c>
    </row>
    <row r="562" spans="8:8" x14ac:dyDescent="0.25">
      <c r="H562" t="s">
        <v>73</v>
      </c>
    </row>
    <row r="563" spans="8:8" x14ac:dyDescent="0.25">
      <c r="H563" t="s">
        <v>73</v>
      </c>
    </row>
    <row r="564" spans="8:8" x14ac:dyDescent="0.25">
      <c r="H564" t="s">
        <v>73</v>
      </c>
    </row>
    <row r="565" spans="8:8" x14ac:dyDescent="0.25">
      <c r="H565" t="s">
        <v>73</v>
      </c>
    </row>
    <row r="566" spans="8:8" x14ac:dyDescent="0.25">
      <c r="H566" t="s">
        <v>73</v>
      </c>
    </row>
    <row r="567" spans="8:8" x14ac:dyDescent="0.25">
      <c r="H567" t="s">
        <v>73</v>
      </c>
    </row>
    <row r="568" spans="8:8" x14ac:dyDescent="0.25">
      <c r="H568" t="s">
        <v>73</v>
      </c>
    </row>
    <row r="569" spans="8:8" x14ac:dyDescent="0.25">
      <c r="H569" t="s">
        <v>73</v>
      </c>
    </row>
    <row r="570" spans="8:8" x14ac:dyDescent="0.25">
      <c r="H570" t="s">
        <v>73</v>
      </c>
    </row>
    <row r="571" spans="8:8" x14ac:dyDescent="0.25">
      <c r="H571" t="s">
        <v>73</v>
      </c>
    </row>
    <row r="572" spans="8:8" x14ac:dyDescent="0.25">
      <c r="H572" t="s">
        <v>73</v>
      </c>
    </row>
    <row r="573" spans="8:8" x14ac:dyDescent="0.25">
      <c r="H573" t="s">
        <v>73</v>
      </c>
    </row>
    <row r="574" spans="8:8" x14ac:dyDescent="0.25">
      <c r="H574" t="s">
        <v>73</v>
      </c>
    </row>
    <row r="575" spans="8:8" x14ac:dyDescent="0.25">
      <c r="H575" t="s">
        <v>73</v>
      </c>
    </row>
    <row r="576" spans="8:8" x14ac:dyDescent="0.25">
      <c r="H576" t="s">
        <v>73</v>
      </c>
    </row>
    <row r="577" spans="8:8" x14ac:dyDescent="0.25">
      <c r="H577" t="s">
        <v>73</v>
      </c>
    </row>
    <row r="578" spans="8:8" x14ac:dyDescent="0.25">
      <c r="H578" t="s">
        <v>73</v>
      </c>
    </row>
    <row r="579" spans="8:8" x14ac:dyDescent="0.25">
      <c r="H579" t="s">
        <v>73</v>
      </c>
    </row>
    <row r="580" spans="8:8" x14ac:dyDescent="0.25">
      <c r="H580" t="s">
        <v>73</v>
      </c>
    </row>
    <row r="581" spans="8:8" x14ac:dyDescent="0.25">
      <c r="H581" t="s">
        <v>73</v>
      </c>
    </row>
    <row r="582" spans="8:8" x14ac:dyDescent="0.25">
      <c r="H582" t="s">
        <v>73</v>
      </c>
    </row>
    <row r="583" spans="8:8" x14ac:dyDescent="0.25">
      <c r="H583" t="s">
        <v>73</v>
      </c>
    </row>
    <row r="584" spans="8:8" x14ac:dyDescent="0.25">
      <c r="H584" t="s">
        <v>73</v>
      </c>
    </row>
    <row r="585" spans="8:8" x14ac:dyDescent="0.25">
      <c r="H585" t="s">
        <v>73</v>
      </c>
    </row>
    <row r="586" spans="8:8" x14ac:dyDescent="0.25">
      <c r="H586" t="s">
        <v>73</v>
      </c>
    </row>
    <row r="587" spans="8:8" x14ac:dyDescent="0.25">
      <c r="H587" t="s">
        <v>73</v>
      </c>
    </row>
    <row r="588" spans="8:8" x14ac:dyDescent="0.25">
      <c r="H588" t="s">
        <v>73</v>
      </c>
    </row>
    <row r="589" spans="8:8" x14ac:dyDescent="0.25">
      <c r="H589" t="s">
        <v>73</v>
      </c>
    </row>
    <row r="590" spans="8:8" x14ac:dyDescent="0.25">
      <c r="H590" t="s">
        <v>73</v>
      </c>
    </row>
    <row r="591" spans="8:8" x14ac:dyDescent="0.25">
      <c r="H591" t="s">
        <v>73</v>
      </c>
    </row>
    <row r="592" spans="8:8" x14ac:dyDescent="0.25">
      <c r="H592" t="s">
        <v>73</v>
      </c>
    </row>
    <row r="593" spans="8:8" x14ac:dyDescent="0.25">
      <c r="H593" t="s">
        <v>73</v>
      </c>
    </row>
    <row r="594" spans="8:8" x14ac:dyDescent="0.25">
      <c r="H594" t="s">
        <v>73</v>
      </c>
    </row>
    <row r="595" spans="8:8" x14ac:dyDescent="0.25">
      <c r="H595" t="s">
        <v>73</v>
      </c>
    </row>
    <row r="596" spans="8:8" x14ac:dyDescent="0.25">
      <c r="H596" t="s">
        <v>73</v>
      </c>
    </row>
    <row r="597" spans="8:8" x14ac:dyDescent="0.25">
      <c r="H597" t="s">
        <v>73</v>
      </c>
    </row>
    <row r="598" spans="8:8" x14ac:dyDescent="0.25">
      <c r="H598" t="s">
        <v>73</v>
      </c>
    </row>
    <row r="599" spans="8:8" x14ac:dyDescent="0.25">
      <c r="H599" t="s">
        <v>73</v>
      </c>
    </row>
    <row r="600" spans="8:8" x14ac:dyDescent="0.25">
      <c r="H600" t="s">
        <v>73</v>
      </c>
    </row>
    <row r="601" spans="8:8" x14ac:dyDescent="0.25">
      <c r="H601" t="s">
        <v>73</v>
      </c>
    </row>
    <row r="602" spans="8:8" x14ac:dyDescent="0.25">
      <c r="H602" t="s">
        <v>73</v>
      </c>
    </row>
    <row r="603" spans="8:8" x14ac:dyDescent="0.25">
      <c r="H603" t="s">
        <v>73</v>
      </c>
    </row>
    <row r="604" spans="8:8" x14ac:dyDescent="0.25">
      <c r="H604" t="s">
        <v>73</v>
      </c>
    </row>
    <row r="605" spans="8:8" x14ac:dyDescent="0.25">
      <c r="H605" t="s">
        <v>73</v>
      </c>
    </row>
    <row r="606" spans="8:8" x14ac:dyDescent="0.25">
      <c r="H606" t="s">
        <v>73</v>
      </c>
    </row>
    <row r="607" spans="8:8" x14ac:dyDescent="0.25">
      <c r="H607" t="s">
        <v>73</v>
      </c>
    </row>
    <row r="608" spans="8:8" x14ac:dyDescent="0.25">
      <c r="H608" t="s">
        <v>73</v>
      </c>
    </row>
    <row r="609" spans="8:8" x14ac:dyDescent="0.25">
      <c r="H609" t="s">
        <v>73</v>
      </c>
    </row>
    <row r="610" spans="8:8" x14ac:dyDescent="0.25">
      <c r="H610" t="s">
        <v>73</v>
      </c>
    </row>
    <row r="611" spans="8:8" x14ac:dyDescent="0.25">
      <c r="H611" t="s">
        <v>73</v>
      </c>
    </row>
    <row r="612" spans="8:8" x14ac:dyDescent="0.25">
      <c r="H612" t="s">
        <v>73</v>
      </c>
    </row>
    <row r="613" spans="8:8" x14ac:dyDescent="0.25">
      <c r="H613" t="s">
        <v>73</v>
      </c>
    </row>
    <row r="614" spans="8:8" x14ac:dyDescent="0.25">
      <c r="H614" t="s">
        <v>73</v>
      </c>
    </row>
    <row r="615" spans="8:8" x14ac:dyDescent="0.25">
      <c r="H615" t="s">
        <v>73</v>
      </c>
    </row>
    <row r="616" spans="8:8" x14ac:dyDescent="0.25">
      <c r="H616" t="s">
        <v>73</v>
      </c>
    </row>
    <row r="617" spans="8:8" x14ac:dyDescent="0.25">
      <c r="H617" t="s">
        <v>73</v>
      </c>
    </row>
    <row r="618" spans="8:8" x14ac:dyDescent="0.25">
      <c r="H618" t="s">
        <v>73</v>
      </c>
    </row>
    <row r="619" spans="8:8" x14ac:dyDescent="0.25">
      <c r="H619" t="s">
        <v>73</v>
      </c>
    </row>
    <row r="620" spans="8:8" x14ac:dyDescent="0.25">
      <c r="H620" t="s">
        <v>73</v>
      </c>
    </row>
    <row r="621" spans="8:8" x14ac:dyDescent="0.25">
      <c r="H621" t="s">
        <v>73</v>
      </c>
    </row>
    <row r="622" spans="8:8" x14ac:dyDescent="0.25">
      <c r="H622" t="s">
        <v>73</v>
      </c>
    </row>
    <row r="623" spans="8:8" x14ac:dyDescent="0.25">
      <c r="H623" t="s">
        <v>73</v>
      </c>
    </row>
    <row r="624" spans="8:8" x14ac:dyDescent="0.25">
      <c r="H624" t="s">
        <v>73</v>
      </c>
    </row>
    <row r="625" spans="8:8" x14ac:dyDescent="0.25">
      <c r="H625" t="s">
        <v>73</v>
      </c>
    </row>
    <row r="626" spans="8:8" x14ac:dyDescent="0.25">
      <c r="H626" t="s">
        <v>73</v>
      </c>
    </row>
    <row r="627" spans="8:8" x14ac:dyDescent="0.25">
      <c r="H627" t="s">
        <v>73</v>
      </c>
    </row>
    <row r="628" spans="8:8" x14ac:dyDescent="0.25">
      <c r="H628" t="s">
        <v>73</v>
      </c>
    </row>
    <row r="629" spans="8:8" x14ac:dyDescent="0.25">
      <c r="H629" t="s">
        <v>73</v>
      </c>
    </row>
    <row r="630" spans="8:8" x14ac:dyDescent="0.25">
      <c r="H630" t="s">
        <v>73</v>
      </c>
    </row>
    <row r="631" spans="8:8" x14ac:dyDescent="0.25">
      <c r="H631" t="s">
        <v>73</v>
      </c>
    </row>
    <row r="632" spans="8:8" x14ac:dyDescent="0.25">
      <c r="H632" t="s">
        <v>73</v>
      </c>
    </row>
    <row r="633" spans="8:8" x14ac:dyDescent="0.25">
      <c r="H633" t="s">
        <v>73</v>
      </c>
    </row>
    <row r="634" spans="8:8" x14ac:dyDescent="0.25">
      <c r="H634" t="s">
        <v>73</v>
      </c>
    </row>
    <row r="635" spans="8:8" x14ac:dyDescent="0.25">
      <c r="H635" t="s">
        <v>73</v>
      </c>
    </row>
    <row r="636" spans="8:8" x14ac:dyDescent="0.25">
      <c r="H636" t="s">
        <v>73</v>
      </c>
    </row>
    <row r="637" spans="8:8" x14ac:dyDescent="0.25">
      <c r="H637" t="s">
        <v>73</v>
      </c>
    </row>
    <row r="638" spans="8:8" x14ac:dyDescent="0.25">
      <c r="H638" t="s">
        <v>73</v>
      </c>
    </row>
    <row r="639" spans="8:8" x14ac:dyDescent="0.25">
      <c r="H639" t="s">
        <v>73</v>
      </c>
    </row>
    <row r="640" spans="8:8" x14ac:dyDescent="0.25">
      <c r="H640" t="s">
        <v>73</v>
      </c>
    </row>
    <row r="641" spans="8:8" x14ac:dyDescent="0.25">
      <c r="H641" t="s">
        <v>73</v>
      </c>
    </row>
    <row r="642" spans="8:8" x14ac:dyDescent="0.25">
      <c r="H642" t="s">
        <v>73</v>
      </c>
    </row>
    <row r="643" spans="8:8" x14ac:dyDescent="0.25">
      <c r="H643" t="s">
        <v>73</v>
      </c>
    </row>
    <row r="644" spans="8:8" x14ac:dyDescent="0.25">
      <c r="H644" t="s">
        <v>73</v>
      </c>
    </row>
    <row r="645" spans="8:8" x14ac:dyDescent="0.25">
      <c r="H645" t="s">
        <v>73</v>
      </c>
    </row>
    <row r="646" spans="8:8" x14ac:dyDescent="0.25">
      <c r="H646" t="s">
        <v>73</v>
      </c>
    </row>
    <row r="647" spans="8:8" x14ac:dyDescent="0.25">
      <c r="H647" t="s">
        <v>73</v>
      </c>
    </row>
    <row r="648" spans="8:8" x14ac:dyDescent="0.25">
      <c r="H648" t="s">
        <v>73</v>
      </c>
    </row>
    <row r="649" spans="8:8" x14ac:dyDescent="0.25">
      <c r="H649" t="s">
        <v>73</v>
      </c>
    </row>
    <row r="650" spans="8:8" x14ac:dyDescent="0.25">
      <c r="H650" t="s">
        <v>73</v>
      </c>
    </row>
    <row r="651" spans="8:8" x14ac:dyDescent="0.25">
      <c r="H651" t="s">
        <v>73</v>
      </c>
    </row>
    <row r="652" spans="8:8" x14ac:dyDescent="0.25">
      <c r="H652" t="s">
        <v>73</v>
      </c>
    </row>
    <row r="653" spans="8:8" x14ac:dyDescent="0.25">
      <c r="H653" t="s">
        <v>73</v>
      </c>
    </row>
    <row r="654" spans="8:8" x14ac:dyDescent="0.25">
      <c r="H654" t="s">
        <v>73</v>
      </c>
    </row>
    <row r="655" spans="8:8" x14ac:dyDescent="0.25">
      <c r="H655" t="s">
        <v>73</v>
      </c>
    </row>
    <row r="656" spans="8:8" x14ac:dyDescent="0.25">
      <c r="H656" t="s">
        <v>73</v>
      </c>
    </row>
    <row r="657" spans="8:8" x14ac:dyDescent="0.25">
      <c r="H657" t="s">
        <v>73</v>
      </c>
    </row>
    <row r="658" spans="8:8" x14ac:dyDescent="0.25">
      <c r="H658" t="s">
        <v>73</v>
      </c>
    </row>
    <row r="659" spans="8:8" x14ac:dyDescent="0.25">
      <c r="H659" t="s">
        <v>73</v>
      </c>
    </row>
    <row r="660" spans="8:8" x14ac:dyDescent="0.25">
      <c r="H660" t="s">
        <v>73</v>
      </c>
    </row>
    <row r="661" spans="8:8" x14ac:dyDescent="0.25">
      <c r="H661" t="s">
        <v>73</v>
      </c>
    </row>
    <row r="662" spans="8:8" x14ac:dyDescent="0.25">
      <c r="H662" t="s">
        <v>73</v>
      </c>
    </row>
    <row r="663" spans="8:8" x14ac:dyDescent="0.25">
      <c r="H663" t="s">
        <v>73</v>
      </c>
    </row>
    <row r="664" spans="8:8" x14ac:dyDescent="0.25">
      <c r="H664" t="s">
        <v>73</v>
      </c>
    </row>
    <row r="665" spans="8:8" x14ac:dyDescent="0.25">
      <c r="H665" t="s">
        <v>73</v>
      </c>
    </row>
    <row r="666" spans="8:8" x14ac:dyDescent="0.25">
      <c r="H666" t="s">
        <v>73</v>
      </c>
    </row>
    <row r="667" spans="8:8" x14ac:dyDescent="0.25">
      <c r="H667" t="s">
        <v>73</v>
      </c>
    </row>
    <row r="668" spans="8:8" x14ac:dyDescent="0.25">
      <c r="H668" t="s">
        <v>73</v>
      </c>
    </row>
    <row r="669" spans="8:8" x14ac:dyDescent="0.25">
      <c r="H669" t="s">
        <v>73</v>
      </c>
    </row>
    <row r="670" spans="8:8" x14ac:dyDescent="0.25">
      <c r="H670" t="s">
        <v>73</v>
      </c>
    </row>
    <row r="671" spans="8:8" x14ac:dyDescent="0.25">
      <c r="H671" t="s">
        <v>73</v>
      </c>
    </row>
    <row r="672" spans="8:8" x14ac:dyDescent="0.25">
      <c r="H672" t="s">
        <v>73</v>
      </c>
    </row>
    <row r="673" spans="8:8" x14ac:dyDescent="0.25">
      <c r="H673" t="s">
        <v>73</v>
      </c>
    </row>
    <row r="674" spans="8:8" x14ac:dyDescent="0.25">
      <c r="H674" t="s">
        <v>73</v>
      </c>
    </row>
    <row r="675" spans="8:8" x14ac:dyDescent="0.25">
      <c r="H675" t="s">
        <v>73</v>
      </c>
    </row>
    <row r="676" spans="8:8" x14ac:dyDescent="0.25">
      <c r="H676" t="s">
        <v>73</v>
      </c>
    </row>
    <row r="677" spans="8:8" x14ac:dyDescent="0.25">
      <c r="H677" t="s">
        <v>73</v>
      </c>
    </row>
    <row r="678" spans="8:8" x14ac:dyDescent="0.25">
      <c r="H678" t="s">
        <v>73</v>
      </c>
    </row>
    <row r="679" spans="8:8" x14ac:dyDescent="0.25">
      <c r="H679" t="s">
        <v>73</v>
      </c>
    </row>
    <row r="680" spans="8:8" x14ac:dyDescent="0.25">
      <c r="H680" t="s">
        <v>73</v>
      </c>
    </row>
    <row r="681" spans="8:8" x14ac:dyDescent="0.25">
      <c r="H681" t="s">
        <v>73</v>
      </c>
    </row>
    <row r="682" spans="8:8" x14ac:dyDescent="0.25">
      <c r="H682" t="s">
        <v>73</v>
      </c>
    </row>
    <row r="683" spans="8:8" x14ac:dyDescent="0.25">
      <c r="H683" t="s">
        <v>73</v>
      </c>
    </row>
    <row r="684" spans="8:8" x14ac:dyDescent="0.25">
      <c r="H684" t="s">
        <v>73</v>
      </c>
    </row>
    <row r="685" spans="8:8" x14ac:dyDescent="0.25">
      <c r="H685" t="s">
        <v>73</v>
      </c>
    </row>
    <row r="686" spans="8:8" x14ac:dyDescent="0.25">
      <c r="H686" t="s">
        <v>73</v>
      </c>
    </row>
    <row r="687" spans="8:8" x14ac:dyDescent="0.25">
      <c r="H687" t="s">
        <v>73</v>
      </c>
    </row>
    <row r="688" spans="8:8" x14ac:dyDescent="0.25">
      <c r="H688" t="s">
        <v>73</v>
      </c>
    </row>
    <row r="689" spans="8:8" x14ac:dyDescent="0.25">
      <c r="H689" t="s">
        <v>73</v>
      </c>
    </row>
    <row r="690" spans="8:8" x14ac:dyDescent="0.25">
      <c r="H690" t="s">
        <v>73</v>
      </c>
    </row>
    <row r="691" spans="8:8" x14ac:dyDescent="0.25">
      <c r="H691" t="s">
        <v>73</v>
      </c>
    </row>
    <row r="692" spans="8:8" x14ac:dyDescent="0.25">
      <c r="H692" t="s">
        <v>73</v>
      </c>
    </row>
    <row r="693" spans="8:8" x14ac:dyDescent="0.25">
      <c r="H693" t="s">
        <v>73</v>
      </c>
    </row>
    <row r="694" spans="8:8" x14ac:dyDescent="0.25">
      <c r="H694" t="s">
        <v>73</v>
      </c>
    </row>
    <row r="695" spans="8:8" x14ac:dyDescent="0.25">
      <c r="H695" t="s">
        <v>73</v>
      </c>
    </row>
    <row r="696" spans="8:8" x14ac:dyDescent="0.25">
      <c r="H696" t="s">
        <v>73</v>
      </c>
    </row>
    <row r="697" spans="8:8" x14ac:dyDescent="0.25">
      <c r="H697" t="s">
        <v>73</v>
      </c>
    </row>
    <row r="698" spans="8:8" x14ac:dyDescent="0.25">
      <c r="H698" t="s">
        <v>73</v>
      </c>
    </row>
    <row r="699" spans="8:8" x14ac:dyDescent="0.25">
      <c r="H699" t="s">
        <v>73</v>
      </c>
    </row>
    <row r="700" spans="8:8" x14ac:dyDescent="0.25">
      <c r="H700" t="s">
        <v>73</v>
      </c>
    </row>
    <row r="701" spans="8:8" x14ac:dyDescent="0.25">
      <c r="H701" t="s">
        <v>73</v>
      </c>
    </row>
    <row r="702" spans="8:8" x14ac:dyDescent="0.25">
      <c r="H702" t="s">
        <v>73</v>
      </c>
    </row>
    <row r="703" spans="8:8" x14ac:dyDescent="0.25">
      <c r="H703" t="s">
        <v>73</v>
      </c>
    </row>
    <row r="704" spans="8:8" x14ac:dyDescent="0.25">
      <c r="H704" t="s">
        <v>73</v>
      </c>
    </row>
    <row r="705" spans="8:8" x14ac:dyDescent="0.25">
      <c r="H705" t="s">
        <v>73</v>
      </c>
    </row>
    <row r="706" spans="8:8" x14ac:dyDescent="0.25">
      <c r="H706" t="s">
        <v>73</v>
      </c>
    </row>
    <row r="707" spans="8:8" x14ac:dyDescent="0.25">
      <c r="H707" t="s">
        <v>73</v>
      </c>
    </row>
    <row r="708" spans="8:8" x14ac:dyDescent="0.25">
      <c r="H708" t="s">
        <v>73</v>
      </c>
    </row>
    <row r="709" spans="8:8" x14ac:dyDescent="0.25">
      <c r="H709" t="s">
        <v>73</v>
      </c>
    </row>
    <row r="710" spans="8:8" x14ac:dyDescent="0.25">
      <c r="H710" t="s">
        <v>73</v>
      </c>
    </row>
    <row r="711" spans="8:8" x14ac:dyDescent="0.25">
      <c r="H711" t="s">
        <v>73</v>
      </c>
    </row>
    <row r="712" spans="8:8" x14ac:dyDescent="0.25">
      <c r="H712" t="s">
        <v>73</v>
      </c>
    </row>
    <row r="713" spans="8:8" x14ac:dyDescent="0.25">
      <c r="H713" t="s">
        <v>73</v>
      </c>
    </row>
    <row r="714" spans="8:8" x14ac:dyDescent="0.25">
      <c r="H714" t="s">
        <v>73</v>
      </c>
    </row>
    <row r="715" spans="8:8" x14ac:dyDescent="0.25">
      <c r="H715" t="s">
        <v>73</v>
      </c>
    </row>
    <row r="716" spans="8:8" x14ac:dyDescent="0.25">
      <c r="H716" t="s">
        <v>73</v>
      </c>
    </row>
    <row r="717" spans="8:8" x14ac:dyDescent="0.25">
      <c r="H717" t="s">
        <v>73</v>
      </c>
    </row>
    <row r="718" spans="8:8" x14ac:dyDescent="0.25">
      <c r="H718" t="s">
        <v>73</v>
      </c>
    </row>
    <row r="719" spans="8:8" x14ac:dyDescent="0.25">
      <c r="H719" t="s">
        <v>73</v>
      </c>
    </row>
    <row r="720" spans="8:8" x14ac:dyDescent="0.25">
      <c r="H720" t="s">
        <v>73</v>
      </c>
    </row>
    <row r="721" spans="8:8" x14ac:dyDescent="0.25">
      <c r="H721" t="s">
        <v>73</v>
      </c>
    </row>
    <row r="722" spans="8:8" x14ac:dyDescent="0.25">
      <c r="H722" t="s">
        <v>73</v>
      </c>
    </row>
    <row r="723" spans="8:8" x14ac:dyDescent="0.25">
      <c r="H723" t="s">
        <v>73</v>
      </c>
    </row>
    <row r="724" spans="8:8" x14ac:dyDescent="0.25">
      <c r="H724" t="s">
        <v>73</v>
      </c>
    </row>
    <row r="725" spans="8:8" x14ac:dyDescent="0.25">
      <c r="H725" t="s">
        <v>73</v>
      </c>
    </row>
    <row r="726" spans="8:8" x14ac:dyDescent="0.25">
      <c r="H726" t="s">
        <v>73</v>
      </c>
    </row>
    <row r="727" spans="8:8" x14ac:dyDescent="0.25">
      <c r="H727" t="s">
        <v>73</v>
      </c>
    </row>
    <row r="728" spans="8:8" x14ac:dyDescent="0.25">
      <c r="H728" t="s">
        <v>73</v>
      </c>
    </row>
    <row r="729" spans="8:8" x14ac:dyDescent="0.25">
      <c r="H729" t="s">
        <v>73</v>
      </c>
    </row>
    <row r="730" spans="8:8" x14ac:dyDescent="0.25">
      <c r="H730" t="s">
        <v>73</v>
      </c>
    </row>
    <row r="731" spans="8:8" x14ac:dyDescent="0.25">
      <c r="H731" t="s">
        <v>73</v>
      </c>
    </row>
    <row r="732" spans="8:8" x14ac:dyDescent="0.25">
      <c r="H732" t="s">
        <v>73</v>
      </c>
    </row>
    <row r="733" spans="8:8" x14ac:dyDescent="0.25">
      <c r="H733" t="s">
        <v>73</v>
      </c>
    </row>
    <row r="734" spans="8:8" x14ac:dyDescent="0.25">
      <c r="H734" t="s">
        <v>73</v>
      </c>
    </row>
    <row r="735" spans="8:8" x14ac:dyDescent="0.25">
      <c r="H735" t="s">
        <v>73</v>
      </c>
    </row>
    <row r="736" spans="8:8" x14ac:dyDescent="0.25">
      <c r="H736" t="s">
        <v>73</v>
      </c>
    </row>
    <row r="737" spans="8:8" x14ac:dyDescent="0.25">
      <c r="H737" t="s">
        <v>73</v>
      </c>
    </row>
    <row r="738" spans="8:8" x14ac:dyDescent="0.25">
      <c r="H738" t="s">
        <v>73</v>
      </c>
    </row>
    <row r="739" spans="8:8" x14ac:dyDescent="0.25">
      <c r="H739" t="s">
        <v>73</v>
      </c>
    </row>
    <row r="740" spans="8:8" x14ac:dyDescent="0.25">
      <c r="H740" t="s">
        <v>73</v>
      </c>
    </row>
    <row r="741" spans="8:8" x14ac:dyDescent="0.25">
      <c r="H741" t="s">
        <v>73</v>
      </c>
    </row>
    <row r="742" spans="8:8" x14ac:dyDescent="0.25">
      <c r="H742" t="s">
        <v>73</v>
      </c>
    </row>
    <row r="743" spans="8:8" x14ac:dyDescent="0.25">
      <c r="H743" t="s">
        <v>73</v>
      </c>
    </row>
    <row r="744" spans="8:8" x14ac:dyDescent="0.25">
      <c r="H744" t="s">
        <v>73</v>
      </c>
    </row>
    <row r="745" spans="8:8" x14ac:dyDescent="0.25">
      <c r="H745" t="s">
        <v>73</v>
      </c>
    </row>
    <row r="746" spans="8:8" x14ac:dyDescent="0.25">
      <c r="H746" t="s">
        <v>73</v>
      </c>
    </row>
    <row r="747" spans="8:8" x14ac:dyDescent="0.25">
      <c r="H747" t="s">
        <v>73</v>
      </c>
    </row>
    <row r="748" spans="8:8" x14ac:dyDescent="0.25">
      <c r="H748" t="s">
        <v>73</v>
      </c>
    </row>
    <row r="749" spans="8:8" x14ac:dyDescent="0.25">
      <c r="H749" t="s">
        <v>73</v>
      </c>
    </row>
    <row r="750" spans="8:8" x14ac:dyDescent="0.25">
      <c r="H750" t="s">
        <v>73</v>
      </c>
    </row>
    <row r="751" spans="8:8" x14ac:dyDescent="0.25">
      <c r="H751" t="s">
        <v>73</v>
      </c>
    </row>
    <row r="752" spans="8:8" x14ac:dyDescent="0.25">
      <c r="H752" t="s">
        <v>73</v>
      </c>
    </row>
    <row r="753" spans="8:8" x14ac:dyDescent="0.25">
      <c r="H753" t="s">
        <v>73</v>
      </c>
    </row>
    <row r="754" spans="8:8" x14ac:dyDescent="0.25">
      <c r="H754" t="s">
        <v>73</v>
      </c>
    </row>
    <row r="755" spans="8:8" x14ac:dyDescent="0.25">
      <c r="H755" t="s">
        <v>73</v>
      </c>
    </row>
    <row r="756" spans="8:8" x14ac:dyDescent="0.25">
      <c r="H756" t="s">
        <v>73</v>
      </c>
    </row>
    <row r="757" spans="8:8" x14ac:dyDescent="0.25">
      <c r="H757" t="s">
        <v>73</v>
      </c>
    </row>
    <row r="758" spans="8:8" x14ac:dyDescent="0.25">
      <c r="H758" t="s">
        <v>73</v>
      </c>
    </row>
    <row r="759" spans="8:8" x14ac:dyDescent="0.25">
      <c r="H759" t="s">
        <v>73</v>
      </c>
    </row>
    <row r="760" spans="8:8" x14ac:dyDescent="0.25">
      <c r="H760" t="s">
        <v>73</v>
      </c>
    </row>
    <row r="761" spans="8:8" x14ac:dyDescent="0.25">
      <c r="H761" t="s">
        <v>73</v>
      </c>
    </row>
    <row r="762" spans="8:8" x14ac:dyDescent="0.25">
      <c r="H762" t="s">
        <v>73</v>
      </c>
    </row>
    <row r="763" spans="8:8" x14ac:dyDescent="0.25">
      <c r="H763" t="s">
        <v>73</v>
      </c>
    </row>
    <row r="764" spans="8:8" x14ac:dyDescent="0.25">
      <c r="H764" t="s">
        <v>73</v>
      </c>
    </row>
    <row r="765" spans="8:8" x14ac:dyDescent="0.25">
      <c r="H765" t="s">
        <v>73</v>
      </c>
    </row>
    <row r="766" spans="8:8" x14ac:dyDescent="0.25">
      <c r="H766" t="s">
        <v>73</v>
      </c>
    </row>
    <row r="767" spans="8:8" x14ac:dyDescent="0.25">
      <c r="H767" t="s">
        <v>73</v>
      </c>
    </row>
    <row r="768" spans="8:8" x14ac:dyDescent="0.25">
      <c r="H768" t="s">
        <v>73</v>
      </c>
    </row>
    <row r="769" spans="8:8" x14ac:dyDescent="0.25">
      <c r="H769" t="s">
        <v>73</v>
      </c>
    </row>
    <row r="770" spans="8:8" x14ac:dyDescent="0.25">
      <c r="H770" t="s">
        <v>73</v>
      </c>
    </row>
    <row r="771" spans="8:8" x14ac:dyDescent="0.25">
      <c r="H771" t="s">
        <v>73</v>
      </c>
    </row>
    <row r="772" spans="8:8" x14ac:dyDescent="0.25">
      <c r="H772" t="s">
        <v>73</v>
      </c>
    </row>
    <row r="773" spans="8:8" x14ac:dyDescent="0.25">
      <c r="H773" t="s">
        <v>73</v>
      </c>
    </row>
    <row r="774" spans="8:8" x14ac:dyDescent="0.25">
      <c r="H774" t="s">
        <v>73</v>
      </c>
    </row>
    <row r="775" spans="8:8" x14ac:dyDescent="0.25">
      <c r="H775" t="s">
        <v>73</v>
      </c>
    </row>
    <row r="776" spans="8:8" x14ac:dyDescent="0.25">
      <c r="H776" t="s">
        <v>73</v>
      </c>
    </row>
    <row r="777" spans="8:8" x14ac:dyDescent="0.25">
      <c r="H777" t="s">
        <v>73</v>
      </c>
    </row>
    <row r="778" spans="8:8" x14ac:dyDescent="0.25">
      <c r="H778" t="s">
        <v>73</v>
      </c>
    </row>
    <row r="779" spans="8:8" x14ac:dyDescent="0.25">
      <c r="H779" t="s">
        <v>73</v>
      </c>
    </row>
    <row r="780" spans="8:8" x14ac:dyDescent="0.25">
      <c r="H780" t="s">
        <v>73</v>
      </c>
    </row>
    <row r="781" spans="8:8" x14ac:dyDescent="0.25">
      <c r="H781" t="s">
        <v>73</v>
      </c>
    </row>
    <row r="782" spans="8:8" x14ac:dyDescent="0.25">
      <c r="H782" t="s">
        <v>73</v>
      </c>
    </row>
    <row r="783" spans="8:8" x14ac:dyDescent="0.25">
      <c r="H783" t="s">
        <v>73</v>
      </c>
    </row>
    <row r="784" spans="8:8" x14ac:dyDescent="0.25">
      <c r="H784" t="s">
        <v>73</v>
      </c>
    </row>
    <row r="785" spans="8:8" x14ac:dyDescent="0.25">
      <c r="H785" t="s">
        <v>73</v>
      </c>
    </row>
    <row r="786" spans="8:8" x14ac:dyDescent="0.25">
      <c r="H786" t="s">
        <v>73</v>
      </c>
    </row>
    <row r="787" spans="8:8" x14ac:dyDescent="0.25">
      <c r="H787" t="s">
        <v>73</v>
      </c>
    </row>
    <row r="788" spans="8:8" x14ac:dyDescent="0.25">
      <c r="H788" t="s">
        <v>73</v>
      </c>
    </row>
    <row r="789" spans="8:8" x14ac:dyDescent="0.25">
      <c r="H789" t="s">
        <v>73</v>
      </c>
    </row>
    <row r="790" spans="8:8" x14ac:dyDescent="0.25">
      <c r="H790" t="s">
        <v>73</v>
      </c>
    </row>
    <row r="791" spans="8:8" x14ac:dyDescent="0.25">
      <c r="H791" t="s">
        <v>73</v>
      </c>
    </row>
    <row r="792" spans="8:8" x14ac:dyDescent="0.25">
      <c r="H792" t="s">
        <v>73</v>
      </c>
    </row>
    <row r="793" spans="8:8" x14ac:dyDescent="0.25">
      <c r="H793" t="s">
        <v>73</v>
      </c>
    </row>
    <row r="794" spans="8:8" x14ac:dyDescent="0.25">
      <c r="H794" t="s">
        <v>73</v>
      </c>
    </row>
    <row r="795" spans="8:8" x14ac:dyDescent="0.25">
      <c r="H795" t="s">
        <v>73</v>
      </c>
    </row>
    <row r="796" spans="8:8" x14ac:dyDescent="0.25">
      <c r="H796" t="s">
        <v>73</v>
      </c>
    </row>
    <row r="797" spans="8:8" x14ac:dyDescent="0.25">
      <c r="H797" t="s">
        <v>73</v>
      </c>
    </row>
    <row r="798" spans="8:8" x14ac:dyDescent="0.25">
      <c r="H798" t="s">
        <v>73</v>
      </c>
    </row>
    <row r="799" spans="8:8" x14ac:dyDescent="0.25">
      <c r="H799" t="s">
        <v>73</v>
      </c>
    </row>
    <row r="800" spans="8:8" x14ac:dyDescent="0.25">
      <c r="H800" t="s">
        <v>73</v>
      </c>
    </row>
    <row r="801" spans="8:8" x14ac:dyDescent="0.25">
      <c r="H801" t="s">
        <v>73</v>
      </c>
    </row>
    <row r="802" spans="8:8" x14ac:dyDescent="0.25">
      <c r="H802" t="s">
        <v>73</v>
      </c>
    </row>
    <row r="803" spans="8:8" x14ac:dyDescent="0.25">
      <c r="H803" t="s">
        <v>73</v>
      </c>
    </row>
    <row r="804" spans="8:8" x14ac:dyDescent="0.25">
      <c r="H804" t="s">
        <v>73</v>
      </c>
    </row>
    <row r="805" spans="8:8" x14ac:dyDescent="0.25">
      <c r="H805" t="s">
        <v>73</v>
      </c>
    </row>
    <row r="806" spans="8:8" x14ac:dyDescent="0.25">
      <c r="H806" t="s">
        <v>73</v>
      </c>
    </row>
    <row r="807" spans="8:8" x14ac:dyDescent="0.25">
      <c r="H807" t="s">
        <v>73</v>
      </c>
    </row>
    <row r="808" spans="8:8" x14ac:dyDescent="0.25">
      <c r="H808" t="s">
        <v>73</v>
      </c>
    </row>
    <row r="809" spans="8:8" x14ac:dyDescent="0.25">
      <c r="H809" t="s">
        <v>73</v>
      </c>
    </row>
    <row r="810" spans="8:8" x14ac:dyDescent="0.25">
      <c r="H810" t="s">
        <v>73</v>
      </c>
    </row>
    <row r="811" spans="8:8" x14ac:dyDescent="0.25">
      <c r="H811" t="s">
        <v>73</v>
      </c>
    </row>
    <row r="812" spans="8:8" x14ac:dyDescent="0.25">
      <c r="H812" t="s">
        <v>73</v>
      </c>
    </row>
    <row r="813" spans="8:8" x14ac:dyDescent="0.25">
      <c r="H813" t="s">
        <v>73</v>
      </c>
    </row>
    <row r="814" spans="8:8" x14ac:dyDescent="0.25">
      <c r="H814" t="s">
        <v>73</v>
      </c>
    </row>
    <row r="815" spans="8:8" x14ac:dyDescent="0.25">
      <c r="H815" t="s">
        <v>73</v>
      </c>
    </row>
    <row r="816" spans="8:8" x14ac:dyDescent="0.25">
      <c r="H816" t="s">
        <v>73</v>
      </c>
    </row>
    <row r="817" spans="8:8" x14ac:dyDescent="0.25">
      <c r="H817" t="s">
        <v>73</v>
      </c>
    </row>
    <row r="818" spans="8:8" x14ac:dyDescent="0.25">
      <c r="H818" t="s">
        <v>73</v>
      </c>
    </row>
    <row r="819" spans="8:8" x14ac:dyDescent="0.25">
      <c r="H819" t="s">
        <v>73</v>
      </c>
    </row>
    <row r="820" spans="8:8" x14ac:dyDescent="0.25">
      <c r="H820" t="s">
        <v>73</v>
      </c>
    </row>
    <row r="821" spans="8:8" x14ac:dyDescent="0.25">
      <c r="H821" t="s">
        <v>73</v>
      </c>
    </row>
    <row r="822" spans="8:8" x14ac:dyDescent="0.25">
      <c r="H822" t="s">
        <v>73</v>
      </c>
    </row>
    <row r="823" spans="8:8" x14ac:dyDescent="0.25">
      <c r="H823" t="s">
        <v>73</v>
      </c>
    </row>
    <row r="824" spans="8:8" x14ac:dyDescent="0.25">
      <c r="H824" t="s">
        <v>73</v>
      </c>
    </row>
    <row r="825" spans="8:8" x14ac:dyDescent="0.25">
      <c r="H825" t="s">
        <v>73</v>
      </c>
    </row>
    <row r="826" spans="8:8" x14ac:dyDescent="0.25">
      <c r="H826" t="s">
        <v>73</v>
      </c>
    </row>
    <row r="827" spans="8:8" x14ac:dyDescent="0.25">
      <c r="H827" t="s">
        <v>73</v>
      </c>
    </row>
    <row r="828" spans="8:8" x14ac:dyDescent="0.25">
      <c r="H828" t="s">
        <v>73</v>
      </c>
    </row>
    <row r="829" spans="8:8" x14ac:dyDescent="0.25">
      <c r="H829" t="s">
        <v>467</v>
      </c>
    </row>
    <row r="830" spans="8:8" x14ac:dyDescent="0.25">
      <c r="H830" t="s">
        <v>467</v>
      </c>
    </row>
    <row r="831" spans="8:8" x14ac:dyDescent="0.25">
      <c r="H831" t="s">
        <v>467</v>
      </c>
    </row>
    <row r="832" spans="8:8" x14ac:dyDescent="0.25">
      <c r="H832" t="s">
        <v>467</v>
      </c>
    </row>
    <row r="833" spans="8:8" x14ac:dyDescent="0.25">
      <c r="H833" t="s">
        <v>467</v>
      </c>
    </row>
    <row r="834" spans="8:8" x14ac:dyDescent="0.25">
      <c r="H834" t="s">
        <v>467</v>
      </c>
    </row>
    <row r="835" spans="8:8" x14ac:dyDescent="0.25">
      <c r="H835" t="s">
        <v>467</v>
      </c>
    </row>
    <row r="836" spans="8:8" x14ac:dyDescent="0.25">
      <c r="H836" t="s">
        <v>467</v>
      </c>
    </row>
    <row r="837" spans="8:8" x14ac:dyDescent="0.25">
      <c r="H837" t="s">
        <v>467</v>
      </c>
    </row>
    <row r="838" spans="8:8" x14ac:dyDescent="0.25">
      <c r="H838" t="s">
        <v>467</v>
      </c>
    </row>
    <row r="839" spans="8:8" x14ac:dyDescent="0.25">
      <c r="H839" t="s">
        <v>292</v>
      </c>
    </row>
    <row r="840" spans="8:8" x14ac:dyDescent="0.25">
      <c r="H840" t="s">
        <v>292</v>
      </c>
    </row>
    <row r="841" spans="8:8" x14ac:dyDescent="0.25">
      <c r="H841" t="s">
        <v>292</v>
      </c>
    </row>
    <row r="842" spans="8:8" x14ac:dyDescent="0.25">
      <c r="H842" t="s">
        <v>292</v>
      </c>
    </row>
    <row r="843" spans="8:8" x14ac:dyDescent="0.25">
      <c r="H843" t="s">
        <v>292</v>
      </c>
    </row>
    <row r="844" spans="8:8" x14ac:dyDescent="0.25">
      <c r="H844" t="s">
        <v>292</v>
      </c>
    </row>
    <row r="845" spans="8:8" x14ac:dyDescent="0.25">
      <c r="H845" t="s">
        <v>292</v>
      </c>
    </row>
    <row r="846" spans="8:8" x14ac:dyDescent="0.25">
      <c r="H846" t="s">
        <v>292</v>
      </c>
    </row>
    <row r="847" spans="8:8" x14ac:dyDescent="0.25">
      <c r="H847" t="s">
        <v>292</v>
      </c>
    </row>
    <row r="848" spans="8:8" x14ac:dyDescent="0.25">
      <c r="H848" t="s">
        <v>292</v>
      </c>
    </row>
    <row r="849" spans="8:8" x14ac:dyDescent="0.25">
      <c r="H849" t="s">
        <v>292</v>
      </c>
    </row>
    <row r="850" spans="8:8" x14ac:dyDescent="0.25">
      <c r="H850" t="s">
        <v>292</v>
      </c>
    </row>
    <row r="851" spans="8:8" x14ac:dyDescent="0.25">
      <c r="H851" t="s">
        <v>282</v>
      </c>
    </row>
    <row r="852" spans="8:8" x14ac:dyDescent="0.25">
      <c r="H852" t="s">
        <v>282</v>
      </c>
    </row>
    <row r="853" spans="8:8" x14ac:dyDescent="0.25">
      <c r="H853" t="s">
        <v>282</v>
      </c>
    </row>
    <row r="854" spans="8:8" x14ac:dyDescent="0.25">
      <c r="H854" t="s">
        <v>282</v>
      </c>
    </row>
    <row r="855" spans="8:8" x14ac:dyDescent="0.25">
      <c r="H855" t="s">
        <v>282</v>
      </c>
    </row>
    <row r="856" spans="8:8" x14ac:dyDescent="0.25">
      <c r="H856" t="s">
        <v>282</v>
      </c>
    </row>
    <row r="857" spans="8:8" x14ac:dyDescent="0.25">
      <c r="H857" t="s">
        <v>282</v>
      </c>
    </row>
    <row r="858" spans="8:8" x14ac:dyDescent="0.25">
      <c r="H858" t="s">
        <v>282</v>
      </c>
    </row>
    <row r="859" spans="8:8" x14ac:dyDescent="0.25">
      <c r="H859" t="s">
        <v>282</v>
      </c>
    </row>
    <row r="860" spans="8:8" x14ac:dyDescent="0.25">
      <c r="H860" t="s">
        <v>282</v>
      </c>
    </row>
    <row r="861" spans="8:8" x14ac:dyDescent="0.25">
      <c r="H861" t="s">
        <v>282</v>
      </c>
    </row>
    <row r="862" spans="8:8" x14ac:dyDescent="0.25">
      <c r="H862" t="s">
        <v>282</v>
      </c>
    </row>
    <row r="863" spans="8:8" x14ac:dyDescent="0.25">
      <c r="H863" t="s">
        <v>282</v>
      </c>
    </row>
    <row r="864" spans="8:8" x14ac:dyDescent="0.25">
      <c r="H864" t="s">
        <v>282</v>
      </c>
    </row>
    <row r="865" spans="8:8" x14ac:dyDescent="0.25">
      <c r="H865" t="s">
        <v>282</v>
      </c>
    </row>
    <row r="866" spans="8:8" x14ac:dyDescent="0.25">
      <c r="H866" t="s">
        <v>282</v>
      </c>
    </row>
    <row r="867" spans="8:8" x14ac:dyDescent="0.25">
      <c r="H867" t="s">
        <v>282</v>
      </c>
    </row>
    <row r="868" spans="8:8" x14ac:dyDescent="0.25">
      <c r="H868" t="s">
        <v>282</v>
      </c>
    </row>
    <row r="869" spans="8:8" x14ac:dyDescent="0.25">
      <c r="H869" t="s">
        <v>282</v>
      </c>
    </row>
    <row r="870" spans="8:8" x14ac:dyDescent="0.25">
      <c r="H870" t="s">
        <v>282</v>
      </c>
    </row>
    <row r="871" spans="8:8" x14ac:dyDescent="0.25">
      <c r="H871" t="s">
        <v>282</v>
      </c>
    </row>
    <row r="872" spans="8:8" x14ac:dyDescent="0.25">
      <c r="H872" t="s">
        <v>282</v>
      </c>
    </row>
    <row r="873" spans="8:8" x14ac:dyDescent="0.25">
      <c r="H873" t="s">
        <v>282</v>
      </c>
    </row>
    <row r="874" spans="8:8" x14ac:dyDescent="0.25">
      <c r="H874" t="s">
        <v>282</v>
      </c>
    </row>
    <row r="875" spans="8:8" x14ac:dyDescent="0.25">
      <c r="H875" t="s">
        <v>282</v>
      </c>
    </row>
    <row r="876" spans="8:8" x14ac:dyDescent="0.25">
      <c r="H876" t="s">
        <v>282</v>
      </c>
    </row>
    <row r="877" spans="8:8" x14ac:dyDescent="0.25">
      <c r="H877" t="s">
        <v>282</v>
      </c>
    </row>
    <row r="878" spans="8:8" x14ac:dyDescent="0.25">
      <c r="H878" t="s">
        <v>282</v>
      </c>
    </row>
    <row r="879" spans="8:8" x14ac:dyDescent="0.25">
      <c r="H879" t="s">
        <v>282</v>
      </c>
    </row>
    <row r="880" spans="8:8" x14ac:dyDescent="0.25">
      <c r="H880" t="s">
        <v>282</v>
      </c>
    </row>
    <row r="881" spans="8:8" x14ac:dyDescent="0.25">
      <c r="H881" t="s">
        <v>282</v>
      </c>
    </row>
    <row r="882" spans="8:8" x14ac:dyDescent="0.25">
      <c r="H882" t="s">
        <v>282</v>
      </c>
    </row>
    <row r="883" spans="8:8" x14ac:dyDescent="0.25">
      <c r="H883" t="s">
        <v>282</v>
      </c>
    </row>
    <row r="884" spans="8:8" x14ac:dyDescent="0.25">
      <c r="H884" t="s">
        <v>282</v>
      </c>
    </row>
    <row r="885" spans="8:8" x14ac:dyDescent="0.25">
      <c r="H885" t="s">
        <v>282</v>
      </c>
    </row>
    <row r="886" spans="8:8" x14ac:dyDescent="0.25">
      <c r="H886" t="s">
        <v>282</v>
      </c>
    </row>
    <row r="887" spans="8:8" x14ac:dyDescent="0.25">
      <c r="H887" t="s">
        <v>282</v>
      </c>
    </row>
    <row r="888" spans="8:8" x14ac:dyDescent="0.25">
      <c r="H888" t="s">
        <v>282</v>
      </c>
    </row>
    <row r="889" spans="8:8" x14ac:dyDescent="0.25">
      <c r="H889" t="s">
        <v>282</v>
      </c>
    </row>
    <row r="890" spans="8:8" x14ac:dyDescent="0.25">
      <c r="H890" t="s">
        <v>282</v>
      </c>
    </row>
    <row r="891" spans="8:8" x14ac:dyDescent="0.25">
      <c r="H891" t="s">
        <v>282</v>
      </c>
    </row>
    <row r="892" spans="8:8" x14ac:dyDescent="0.25">
      <c r="H892" t="s">
        <v>282</v>
      </c>
    </row>
    <row r="893" spans="8:8" x14ac:dyDescent="0.25">
      <c r="H893" t="s">
        <v>282</v>
      </c>
    </row>
    <row r="894" spans="8:8" x14ac:dyDescent="0.25">
      <c r="H894" t="s">
        <v>282</v>
      </c>
    </row>
    <row r="895" spans="8:8" x14ac:dyDescent="0.25">
      <c r="H895" t="s">
        <v>282</v>
      </c>
    </row>
    <row r="896" spans="8:8" x14ac:dyDescent="0.25">
      <c r="H896" t="s">
        <v>282</v>
      </c>
    </row>
    <row r="897" spans="8:8" x14ac:dyDescent="0.25">
      <c r="H897" t="s">
        <v>282</v>
      </c>
    </row>
    <row r="898" spans="8:8" x14ac:dyDescent="0.25">
      <c r="H898" t="s">
        <v>282</v>
      </c>
    </row>
    <row r="899" spans="8:8" x14ac:dyDescent="0.25">
      <c r="H899" t="s">
        <v>282</v>
      </c>
    </row>
    <row r="900" spans="8:8" x14ac:dyDescent="0.25">
      <c r="H900" t="s">
        <v>282</v>
      </c>
    </row>
    <row r="901" spans="8:8" x14ac:dyDescent="0.25">
      <c r="H901" t="s">
        <v>282</v>
      </c>
    </row>
    <row r="902" spans="8:8" x14ac:dyDescent="0.25">
      <c r="H902" t="s">
        <v>282</v>
      </c>
    </row>
    <row r="903" spans="8:8" x14ac:dyDescent="0.25">
      <c r="H903" t="s">
        <v>282</v>
      </c>
    </row>
    <row r="904" spans="8:8" x14ac:dyDescent="0.25">
      <c r="H904" t="s">
        <v>282</v>
      </c>
    </row>
    <row r="905" spans="8:8" x14ac:dyDescent="0.25">
      <c r="H905" t="s">
        <v>282</v>
      </c>
    </row>
    <row r="906" spans="8:8" x14ac:dyDescent="0.25">
      <c r="H906" t="s">
        <v>282</v>
      </c>
    </row>
    <row r="907" spans="8:8" x14ac:dyDescent="0.25">
      <c r="H907" t="s">
        <v>282</v>
      </c>
    </row>
    <row r="908" spans="8:8" x14ac:dyDescent="0.25">
      <c r="H908" t="s">
        <v>282</v>
      </c>
    </row>
    <row r="909" spans="8:8" x14ac:dyDescent="0.25">
      <c r="H909" t="s">
        <v>282</v>
      </c>
    </row>
    <row r="910" spans="8:8" x14ac:dyDescent="0.25">
      <c r="H910" t="s">
        <v>282</v>
      </c>
    </row>
    <row r="911" spans="8:8" x14ac:dyDescent="0.25">
      <c r="H911" t="s">
        <v>282</v>
      </c>
    </row>
    <row r="912" spans="8:8" x14ac:dyDescent="0.25">
      <c r="H912" t="s">
        <v>282</v>
      </c>
    </row>
    <row r="913" spans="8:8" x14ac:dyDescent="0.25">
      <c r="H913" t="s">
        <v>282</v>
      </c>
    </row>
    <row r="914" spans="8:8" x14ac:dyDescent="0.25">
      <c r="H914" t="s">
        <v>282</v>
      </c>
    </row>
    <row r="915" spans="8:8" x14ac:dyDescent="0.25">
      <c r="H915" t="s">
        <v>282</v>
      </c>
    </row>
    <row r="916" spans="8:8" x14ac:dyDescent="0.25">
      <c r="H916" t="s">
        <v>282</v>
      </c>
    </row>
    <row r="917" spans="8:8" x14ac:dyDescent="0.25">
      <c r="H917" t="s">
        <v>282</v>
      </c>
    </row>
    <row r="918" spans="8:8" x14ac:dyDescent="0.25">
      <c r="H918" t="s">
        <v>282</v>
      </c>
    </row>
    <row r="919" spans="8:8" x14ac:dyDescent="0.25">
      <c r="H919" t="s">
        <v>282</v>
      </c>
    </row>
    <row r="920" spans="8:8" x14ac:dyDescent="0.25">
      <c r="H920" t="s">
        <v>282</v>
      </c>
    </row>
    <row r="921" spans="8:8" x14ac:dyDescent="0.25">
      <c r="H921" t="s">
        <v>282</v>
      </c>
    </row>
    <row r="922" spans="8:8" x14ac:dyDescent="0.25">
      <c r="H922" t="s">
        <v>282</v>
      </c>
    </row>
    <row r="923" spans="8:8" x14ac:dyDescent="0.25">
      <c r="H923" t="s">
        <v>282</v>
      </c>
    </row>
    <row r="924" spans="8:8" x14ac:dyDescent="0.25">
      <c r="H924" t="s">
        <v>282</v>
      </c>
    </row>
    <row r="925" spans="8:8" x14ac:dyDescent="0.25">
      <c r="H925" t="s">
        <v>282</v>
      </c>
    </row>
    <row r="926" spans="8:8" x14ac:dyDescent="0.25">
      <c r="H926" t="s">
        <v>282</v>
      </c>
    </row>
    <row r="927" spans="8:8" x14ac:dyDescent="0.25">
      <c r="H927" t="s">
        <v>282</v>
      </c>
    </row>
    <row r="928" spans="8:8" x14ac:dyDescent="0.25">
      <c r="H928" t="s">
        <v>282</v>
      </c>
    </row>
    <row r="929" spans="8:8" x14ac:dyDescent="0.25">
      <c r="H929" t="s">
        <v>282</v>
      </c>
    </row>
    <row r="930" spans="8:8" x14ac:dyDescent="0.25">
      <c r="H930" t="s">
        <v>282</v>
      </c>
    </row>
    <row r="931" spans="8:8" x14ac:dyDescent="0.25">
      <c r="H931" t="s">
        <v>282</v>
      </c>
    </row>
    <row r="932" spans="8:8" x14ac:dyDescent="0.25">
      <c r="H932" t="s">
        <v>282</v>
      </c>
    </row>
    <row r="933" spans="8:8" x14ac:dyDescent="0.25">
      <c r="H933" t="s">
        <v>282</v>
      </c>
    </row>
    <row r="934" spans="8:8" x14ac:dyDescent="0.25">
      <c r="H934" t="s">
        <v>282</v>
      </c>
    </row>
    <row r="935" spans="8:8" x14ac:dyDescent="0.25">
      <c r="H935" t="s">
        <v>282</v>
      </c>
    </row>
    <row r="936" spans="8:8" x14ac:dyDescent="0.25">
      <c r="H936" t="s">
        <v>282</v>
      </c>
    </row>
    <row r="937" spans="8:8" x14ac:dyDescent="0.25">
      <c r="H937" t="s">
        <v>282</v>
      </c>
    </row>
    <row r="938" spans="8:8" x14ac:dyDescent="0.25">
      <c r="H938" t="s">
        <v>193</v>
      </c>
    </row>
    <row r="939" spans="8:8" x14ac:dyDescent="0.25">
      <c r="H939" t="s">
        <v>193</v>
      </c>
    </row>
    <row r="940" spans="8:8" x14ac:dyDescent="0.25">
      <c r="H940" t="s">
        <v>193</v>
      </c>
    </row>
    <row r="941" spans="8:8" x14ac:dyDescent="0.25">
      <c r="H941" t="s">
        <v>193</v>
      </c>
    </row>
    <row r="942" spans="8:8" x14ac:dyDescent="0.25">
      <c r="H942" t="s">
        <v>193</v>
      </c>
    </row>
    <row r="943" spans="8:8" x14ac:dyDescent="0.25">
      <c r="H943" t="s">
        <v>193</v>
      </c>
    </row>
    <row r="944" spans="8:8" x14ac:dyDescent="0.25">
      <c r="H944" t="s">
        <v>193</v>
      </c>
    </row>
    <row r="945" spans="8:8" x14ac:dyDescent="0.25">
      <c r="H945" t="s">
        <v>193</v>
      </c>
    </row>
    <row r="946" spans="8:8" x14ac:dyDescent="0.25">
      <c r="H946" t="s">
        <v>193</v>
      </c>
    </row>
    <row r="947" spans="8:8" x14ac:dyDescent="0.25">
      <c r="H947" t="s">
        <v>193</v>
      </c>
    </row>
    <row r="948" spans="8:8" x14ac:dyDescent="0.25">
      <c r="H948" t="s">
        <v>193</v>
      </c>
    </row>
    <row r="949" spans="8:8" x14ac:dyDescent="0.25">
      <c r="H949" t="s">
        <v>193</v>
      </c>
    </row>
    <row r="950" spans="8:8" x14ac:dyDescent="0.25">
      <c r="H950" t="s">
        <v>193</v>
      </c>
    </row>
    <row r="951" spans="8:8" x14ac:dyDescent="0.25">
      <c r="H951" t="s">
        <v>193</v>
      </c>
    </row>
    <row r="952" spans="8:8" x14ac:dyDescent="0.25">
      <c r="H952" t="s">
        <v>193</v>
      </c>
    </row>
    <row r="953" spans="8:8" x14ac:dyDescent="0.25">
      <c r="H953" t="s">
        <v>193</v>
      </c>
    </row>
    <row r="954" spans="8:8" x14ac:dyDescent="0.25">
      <c r="H954" t="s">
        <v>944</v>
      </c>
    </row>
    <row r="955" spans="8:8" x14ac:dyDescent="0.25">
      <c r="H955" t="s">
        <v>944</v>
      </c>
    </row>
    <row r="956" spans="8:8" x14ac:dyDescent="0.25">
      <c r="H956" t="s">
        <v>944</v>
      </c>
    </row>
    <row r="957" spans="8:8" x14ac:dyDescent="0.25">
      <c r="H957" t="s">
        <v>944</v>
      </c>
    </row>
    <row r="958" spans="8:8" x14ac:dyDescent="0.25">
      <c r="H958" t="s">
        <v>944</v>
      </c>
    </row>
    <row r="959" spans="8:8" x14ac:dyDescent="0.25">
      <c r="H959" t="s">
        <v>944</v>
      </c>
    </row>
    <row r="960" spans="8:8" x14ac:dyDescent="0.25">
      <c r="H960" t="s">
        <v>944</v>
      </c>
    </row>
    <row r="961" spans="8:8" x14ac:dyDescent="0.25">
      <c r="H961" t="s">
        <v>944</v>
      </c>
    </row>
    <row r="962" spans="8:8" x14ac:dyDescent="0.25">
      <c r="H962" t="s">
        <v>944</v>
      </c>
    </row>
    <row r="963" spans="8:8" x14ac:dyDescent="0.25">
      <c r="H963" t="s">
        <v>944</v>
      </c>
    </row>
    <row r="964" spans="8:8" x14ac:dyDescent="0.25">
      <c r="H964" t="s">
        <v>944</v>
      </c>
    </row>
    <row r="965" spans="8:8" x14ac:dyDescent="0.25">
      <c r="H965" t="s">
        <v>944</v>
      </c>
    </row>
    <row r="966" spans="8:8" x14ac:dyDescent="0.25">
      <c r="H966" t="s">
        <v>178</v>
      </c>
    </row>
    <row r="967" spans="8:8" x14ac:dyDescent="0.25">
      <c r="H967" t="s">
        <v>178</v>
      </c>
    </row>
    <row r="968" spans="8:8" x14ac:dyDescent="0.25">
      <c r="H968" t="s">
        <v>178</v>
      </c>
    </row>
    <row r="969" spans="8:8" x14ac:dyDescent="0.25">
      <c r="H969" t="s">
        <v>178</v>
      </c>
    </row>
    <row r="970" spans="8:8" x14ac:dyDescent="0.25">
      <c r="H970" t="s">
        <v>178</v>
      </c>
    </row>
    <row r="971" spans="8:8" x14ac:dyDescent="0.25">
      <c r="H971" t="s">
        <v>178</v>
      </c>
    </row>
    <row r="972" spans="8:8" x14ac:dyDescent="0.25">
      <c r="H972" t="s">
        <v>178</v>
      </c>
    </row>
    <row r="973" spans="8:8" x14ac:dyDescent="0.25">
      <c r="H973" t="s">
        <v>178</v>
      </c>
    </row>
    <row r="974" spans="8:8" x14ac:dyDescent="0.25">
      <c r="H974" t="s">
        <v>178</v>
      </c>
    </row>
    <row r="975" spans="8:8" x14ac:dyDescent="0.25">
      <c r="H975" t="s">
        <v>178</v>
      </c>
    </row>
    <row r="976" spans="8:8" x14ac:dyDescent="0.25">
      <c r="H976" t="s">
        <v>178</v>
      </c>
    </row>
    <row r="977" spans="8:8" x14ac:dyDescent="0.25">
      <c r="H977" t="s">
        <v>178</v>
      </c>
    </row>
    <row r="978" spans="8:8" x14ac:dyDescent="0.25">
      <c r="H978" t="s">
        <v>178</v>
      </c>
    </row>
    <row r="979" spans="8:8" x14ac:dyDescent="0.25">
      <c r="H979" t="s">
        <v>178</v>
      </c>
    </row>
    <row r="980" spans="8:8" x14ac:dyDescent="0.25">
      <c r="H980" t="s">
        <v>178</v>
      </c>
    </row>
    <row r="981" spans="8:8" x14ac:dyDescent="0.25">
      <c r="H981" t="s">
        <v>178</v>
      </c>
    </row>
    <row r="982" spans="8:8" x14ac:dyDescent="0.25">
      <c r="H982" t="s">
        <v>178</v>
      </c>
    </row>
    <row r="983" spans="8:8" x14ac:dyDescent="0.25">
      <c r="H983" t="s">
        <v>178</v>
      </c>
    </row>
    <row r="984" spans="8:8" x14ac:dyDescent="0.25">
      <c r="H984" t="s">
        <v>178</v>
      </c>
    </row>
    <row r="985" spans="8:8" x14ac:dyDescent="0.25">
      <c r="H985" t="s">
        <v>178</v>
      </c>
    </row>
    <row r="986" spans="8:8" x14ac:dyDescent="0.25">
      <c r="H986" t="s">
        <v>178</v>
      </c>
    </row>
    <row r="987" spans="8:8" x14ac:dyDescent="0.25">
      <c r="H987" t="s">
        <v>178</v>
      </c>
    </row>
    <row r="988" spans="8:8" x14ac:dyDescent="0.25">
      <c r="H988" t="s">
        <v>178</v>
      </c>
    </row>
    <row r="989" spans="8:8" x14ac:dyDescent="0.25">
      <c r="H989" t="s">
        <v>178</v>
      </c>
    </row>
    <row r="990" spans="8:8" x14ac:dyDescent="0.25">
      <c r="H990" t="s">
        <v>178</v>
      </c>
    </row>
    <row r="991" spans="8:8" x14ac:dyDescent="0.25">
      <c r="H991" t="s">
        <v>178</v>
      </c>
    </row>
    <row r="992" spans="8:8" x14ac:dyDescent="0.25">
      <c r="H992" t="s">
        <v>178</v>
      </c>
    </row>
    <row r="993" spans="8:8" x14ac:dyDescent="0.25">
      <c r="H993" t="s">
        <v>276</v>
      </c>
    </row>
    <row r="994" spans="8:8" x14ac:dyDescent="0.25">
      <c r="H994" t="s">
        <v>276</v>
      </c>
    </row>
    <row r="995" spans="8:8" x14ac:dyDescent="0.25">
      <c r="H995" t="s">
        <v>276</v>
      </c>
    </row>
    <row r="996" spans="8:8" x14ac:dyDescent="0.25">
      <c r="H996" t="s">
        <v>276</v>
      </c>
    </row>
    <row r="997" spans="8:8" x14ac:dyDescent="0.25">
      <c r="H997" t="s">
        <v>276</v>
      </c>
    </row>
    <row r="998" spans="8:8" x14ac:dyDescent="0.25">
      <c r="H998" t="s">
        <v>276</v>
      </c>
    </row>
    <row r="999" spans="8:8" x14ac:dyDescent="0.25">
      <c r="H999" t="s">
        <v>276</v>
      </c>
    </row>
    <row r="1000" spans="8:8" x14ac:dyDescent="0.25">
      <c r="H1000" t="s">
        <v>276</v>
      </c>
    </row>
    <row r="1001" spans="8:8" x14ac:dyDescent="0.25">
      <c r="H1001" t="s">
        <v>659</v>
      </c>
    </row>
    <row r="1002" spans="8:8" x14ac:dyDescent="0.25">
      <c r="H1002" t="s">
        <v>659</v>
      </c>
    </row>
    <row r="1003" spans="8:8" x14ac:dyDescent="0.25">
      <c r="H1003" t="s">
        <v>659</v>
      </c>
    </row>
    <row r="1004" spans="8:8" x14ac:dyDescent="0.25">
      <c r="H1004" t="s">
        <v>659</v>
      </c>
    </row>
    <row r="1005" spans="8:8" x14ac:dyDescent="0.25">
      <c r="H1005" t="s">
        <v>659</v>
      </c>
    </row>
    <row r="1006" spans="8:8" x14ac:dyDescent="0.25">
      <c r="H1006" t="s">
        <v>659</v>
      </c>
    </row>
    <row r="1007" spans="8:8" x14ac:dyDescent="0.25">
      <c r="H1007" t="s">
        <v>659</v>
      </c>
    </row>
    <row r="1008" spans="8:8" x14ac:dyDescent="0.25">
      <c r="H1008" t="s">
        <v>659</v>
      </c>
    </row>
    <row r="1009" spans="8:8" x14ac:dyDescent="0.25">
      <c r="H1009" t="s">
        <v>659</v>
      </c>
    </row>
    <row r="1010" spans="8:8" x14ac:dyDescent="0.25">
      <c r="H1010" t="s">
        <v>659</v>
      </c>
    </row>
    <row r="1011" spans="8:8" x14ac:dyDescent="0.25">
      <c r="H1011" t="s">
        <v>659</v>
      </c>
    </row>
    <row r="1012" spans="8:8" x14ac:dyDescent="0.25">
      <c r="H1012" t="s">
        <v>659</v>
      </c>
    </row>
    <row r="1013" spans="8:8" x14ac:dyDescent="0.25">
      <c r="H1013" t="s">
        <v>659</v>
      </c>
    </row>
    <row r="1014" spans="8:8" x14ac:dyDescent="0.25">
      <c r="H1014" t="s">
        <v>659</v>
      </c>
    </row>
    <row r="1015" spans="8:8" x14ac:dyDescent="0.25">
      <c r="H1015" t="s">
        <v>659</v>
      </c>
    </row>
    <row r="1016" spans="8:8" x14ac:dyDescent="0.25">
      <c r="H1016" t="s">
        <v>659</v>
      </c>
    </row>
    <row r="1017" spans="8:8" x14ac:dyDescent="0.25">
      <c r="H1017" t="s">
        <v>659</v>
      </c>
    </row>
    <row r="1018" spans="8:8" x14ac:dyDescent="0.25">
      <c r="H1018" t="s">
        <v>183</v>
      </c>
    </row>
    <row r="1019" spans="8:8" x14ac:dyDescent="0.25">
      <c r="H1019" t="s">
        <v>183</v>
      </c>
    </row>
    <row r="1020" spans="8:8" x14ac:dyDescent="0.25">
      <c r="H1020" t="s">
        <v>183</v>
      </c>
    </row>
    <row r="1021" spans="8:8" x14ac:dyDescent="0.25">
      <c r="H1021" t="s">
        <v>183</v>
      </c>
    </row>
    <row r="1022" spans="8:8" x14ac:dyDescent="0.25">
      <c r="H1022" t="s">
        <v>183</v>
      </c>
    </row>
    <row r="1023" spans="8:8" x14ac:dyDescent="0.25">
      <c r="H1023" t="s">
        <v>183</v>
      </c>
    </row>
    <row r="1024" spans="8:8" x14ac:dyDescent="0.25">
      <c r="H1024" t="s">
        <v>183</v>
      </c>
    </row>
    <row r="1025" spans="8:8" x14ac:dyDescent="0.25">
      <c r="H1025" t="s">
        <v>183</v>
      </c>
    </row>
    <row r="1026" spans="8:8" x14ac:dyDescent="0.25">
      <c r="H1026" t="s">
        <v>183</v>
      </c>
    </row>
    <row r="1027" spans="8:8" x14ac:dyDescent="0.25">
      <c r="H1027" t="s">
        <v>183</v>
      </c>
    </row>
    <row r="1028" spans="8:8" x14ac:dyDescent="0.25">
      <c r="H1028" t="s">
        <v>323</v>
      </c>
    </row>
    <row r="1029" spans="8:8" x14ac:dyDescent="0.25">
      <c r="H1029" t="s">
        <v>323</v>
      </c>
    </row>
    <row r="1030" spans="8:8" x14ac:dyDescent="0.25">
      <c r="H1030" t="s">
        <v>323</v>
      </c>
    </row>
    <row r="1031" spans="8:8" x14ac:dyDescent="0.25">
      <c r="H1031" t="s">
        <v>323</v>
      </c>
    </row>
    <row r="1032" spans="8:8" x14ac:dyDescent="0.25">
      <c r="H1032" t="s">
        <v>323</v>
      </c>
    </row>
    <row r="1033" spans="8:8" x14ac:dyDescent="0.25">
      <c r="H1033" t="s">
        <v>323</v>
      </c>
    </row>
    <row r="1034" spans="8:8" x14ac:dyDescent="0.25">
      <c r="H1034" t="s">
        <v>323</v>
      </c>
    </row>
    <row r="1035" spans="8:8" x14ac:dyDescent="0.25">
      <c r="H1035" t="s">
        <v>323</v>
      </c>
    </row>
    <row r="1036" spans="8:8" x14ac:dyDescent="0.25">
      <c r="H1036" t="s">
        <v>323</v>
      </c>
    </row>
    <row r="1037" spans="8:8" x14ac:dyDescent="0.25">
      <c r="H1037" t="s">
        <v>323</v>
      </c>
    </row>
    <row r="1038" spans="8:8" x14ac:dyDescent="0.25">
      <c r="H1038" t="s">
        <v>323</v>
      </c>
    </row>
    <row r="1039" spans="8:8" x14ac:dyDescent="0.25">
      <c r="H1039" t="s">
        <v>323</v>
      </c>
    </row>
    <row r="1040" spans="8:8" x14ac:dyDescent="0.25">
      <c r="H1040" t="s">
        <v>323</v>
      </c>
    </row>
    <row r="1041" spans="8:8" x14ac:dyDescent="0.25">
      <c r="H1041" t="s">
        <v>323</v>
      </c>
    </row>
    <row r="1042" spans="8:8" x14ac:dyDescent="0.25">
      <c r="H1042" t="s">
        <v>323</v>
      </c>
    </row>
    <row r="1043" spans="8:8" x14ac:dyDescent="0.25">
      <c r="H1043" t="s">
        <v>323</v>
      </c>
    </row>
    <row r="1044" spans="8:8" x14ac:dyDescent="0.25">
      <c r="H1044" t="s">
        <v>323</v>
      </c>
    </row>
    <row r="1045" spans="8:8" x14ac:dyDescent="0.25">
      <c r="H1045" t="s">
        <v>323</v>
      </c>
    </row>
    <row r="1046" spans="8:8" x14ac:dyDescent="0.25">
      <c r="H1046" t="s">
        <v>323</v>
      </c>
    </row>
    <row r="1047" spans="8:8" x14ac:dyDescent="0.25">
      <c r="H1047" t="s">
        <v>323</v>
      </c>
    </row>
    <row r="1048" spans="8:8" x14ac:dyDescent="0.25">
      <c r="H1048" t="s">
        <v>323</v>
      </c>
    </row>
    <row r="1049" spans="8:8" x14ac:dyDescent="0.25">
      <c r="H1049" t="s">
        <v>323</v>
      </c>
    </row>
  </sheetData>
  <customSheetViews>
    <customSheetView guid="{13E00259-D325-4D27-B6D0-F1F28B665E89}" topLeftCell="C1">
      <selection activeCell="K3" sqref="K3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4</vt:i4>
      </vt:variant>
    </vt:vector>
  </HeadingPairs>
  <TitlesOfParts>
    <vt:vector size="10" baseType="lpstr">
      <vt:lpstr>ensembl-export</vt:lpstr>
      <vt:lpstr>Sheet2</vt:lpstr>
      <vt:lpstr>Sheet4</vt:lpstr>
      <vt:lpstr>Sheet3</vt:lpstr>
      <vt:lpstr>Position and CADD Score Table</vt:lpstr>
      <vt:lpstr>Sheet1</vt:lpstr>
      <vt:lpstr>PolyphenPieChart</vt:lpstr>
      <vt:lpstr>PieChart</vt:lpstr>
      <vt:lpstr>Variant Pie Chart</vt:lpstr>
      <vt:lpstr>Position and CADD Score Figure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Hasting, Lucas Wilburn</cp:lastModifiedBy>
  <cp:lastPrinted>2026-01-20T21:18:27Z</cp:lastPrinted>
  <dcterms:created xsi:type="dcterms:W3CDTF">2026-01-13T21:53:51Z</dcterms:created>
  <dcterms:modified xsi:type="dcterms:W3CDTF">2026-02-10T20:25:26Z</dcterms:modified>
</cp:coreProperties>
</file>